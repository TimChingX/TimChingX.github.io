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入户维修" sheetId="1" state="visible" r:id="rId3"/>
    <sheet name="公区维修" sheetId="2" state="visible" r:id="rId4"/>
    <sheet name="总仪表盘" sheetId="3" state="visible" r:id="rId5"/>
    <sheet name="单元查询" sheetId="4" state="visible" r:id="rId6"/>
    <sheet name="入户维修评价表" sheetId="5" state="visible" r:id="rId7"/>
    <sheet name="辅助数据" sheetId="6" state="hidden" r:id="rId8"/>
  </sheets>
  <definedNames>
    <definedName function="false" hidden="false" localSheetId="0" name="_xlnm.Print_Titles" vbProcedure="false">入户维修!$4:$4</definedName>
    <definedName function="false" hidden="true" localSheetId="0" name="_xlnm._FilterDatabase" vbProcedure="false">入户维修!$A$4:$P$404</definedName>
    <definedName function="false" hidden="false" localSheetId="4" name="_xlnm.Print_Area" vbProcedure="false">入户维修评价表!$A$1:$F$24</definedName>
    <definedName function="false" hidden="false" localSheetId="1" name="_xlnm.Print_Titles" vbProcedure="false">公区维修!$4:$4</definedName>
    <definedName function="false" hidden="true" localSheetId="1" name="_xlnm._FilterDatabase" vbProcedure="false">公区维修!$A$4:$O$404</definedName>
    <definedName function="false" hidden="false" localSheetId="3" name="_xlnm.Print_Area" vbProcedure="false">单元查询!$A$1:$L$42</definedName>
    <definedName function="false" hidden="false" localSheetId="2" name="_xlnm.Print_Area" vbProcedure="false">总仪表盘!$A$1:$P$163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Noto Sans CJK SC"/>
            <family val="2"/>
          </rPr>
          <t xml:space="preserve">看板说明：
</t>
        </r>
        <r>
          <rPr>
            <sz val="10"/>
            <rFont val="Arial"/>
            <family val="2"/>
          </rPr>
          <t xml:space="preserve">1. </t>
        </r>
        <r>
          <rPr>
            <sz val="10"/>
            <rFont val="Noto Sans CJK SC"/>
            <family val="2"/>
          </rPr>
          <t xml:space="preserve">跟进人</t>
        </r>
        <r>
          <rPr>
            <sz val="10"/>
            <rFont val="Arial"/>
            <family val="2"/>
          </rPr>
          <t xml:space="preserve">1/2/3 </t>
        </r>
        <r>
          <rPr>
            <sz val="10"/>
            <rFont val="Noto Sans CJK SC"/>
            <family val="2"/>
          </rPr>
          <t xml:space="preserve">中被选中的师傅，只要该行「完成情况」＝跟进中，即计入“工作中师傅”并自动从“空闲师傅”移除；
</t>
        </r>
        <r>
          <rPr>
            <sz val="10"/>
            <rFont val="Arial"/>
            <family val="2"/>
          </rPr>
          <t xml:space="preserve">2. </t>
        </r>
        <r>
          <rPr>
            <sz val="10"/>
            <rFont val="Noto Sans CJK SC"/>
            <family val="2"/>
          </rPr>
          <t xml:space="preserve">完成情况改为“已完成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需另约时间”后自动回到空闲；
</t>
        </r>
        <r>
          <rPr>
            <sz val="10"/>
            <rFont val="Arial"/>
            <family val="2"/>
          </rPr>
          <t xml:space="preserve">3. </t>
        </r>
        <r>
          <rPr>
            <sz val="10"/>
            <rFont val="Noto Sans CJK SC"/>
            <family val="2"/>
          </rPr>
          <t xml:space="preserve">统计同时覆盖【入户维修】与【公区维修】。</t>
        </r>
      </text>
    </comment>
    <comment ref="M4" authorId="0">
      <text>
        <r>
          <rPr>
            <sz val="10"/>
            <rFont val="Noto Sans CJK SC"/>
            <family val="2"/>
          </rPr>
          <t xml:space="preserve">本列自动生成，不用手工填。
规则：楼栋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房号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位置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月日
例：</t>
        </r>
        <r>
          <rPr>
            <sz val="10"/>
            <rFont val="Arial"/>
            <family val="2"/>
          </rPr>
          <t xml:space="preserve">7</t>
        </r>
        <r>
          <rPr>
            <sz val="10"/>
            <rFont val="Noto Sans CJK SC"/>
            <family val="2"/>
          </rPr>
          <t xml:space="preserve">栋</t>
        </r>
        <r>
          <rPr>
            <sz val="10"/>
            <rFont val="Arial"/>
            <family val="2"/>
          </rPr>
          <t xml:space="preserve">1203</t>
        </r>
        <r>
          <rPr>
            <sz val="10"/>
            <rFont val="Noto Sans CJK SC"/>
            <family val="2"/>
          </rPr>
          <t xml:space="preserve">室，</t>
        </r>
        <r>
          <rPr>
            <sz val="10"/>
            <rFont val="Arial"/>
            <family val="2"/>
          </rPr>
          <t xml:space="preserve">7</t>
        </r>
        <r>
          <rPr>
            <sz val="10"/>
            <rFont val="Noto Sans CJK SC"/>
            <family val="2"/>
          </rPr>
          <t xml:space="preserve">月</t>
        </r>
        <r>
          <rPr>
            <sz val="10"/>
            <rFont val="Arial"/>
            <family val="2"/>
          </rPr>
          <t xml:space="preserve">30</t>
        </r>
        <r>
          <rPr>
            <sz val="10"/>
            <rFont val="Noto Sans CJK SC"/>
            <family val="2"/>
          </rPr>
          <t xml:space="preserve">日报修 → </t>
        </r>
        <r>
          <rPr>
            <sz val="10"/>
            <rFont val="Arial"/>
            <family val="2"/>
          </rPr>
          <t xml:space="preserve">7-1203-0730
</t>
        </r>
        <r>
          <rPr>
            <sz val="10"/>
            <rFont val="Noto Sans CJK SC"/>
            <family val="2"/>
          </rPr>
          <t xml:space="preserve">同一户（同楼栋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同房号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位置）再次报修时，按第几次自动加后缀：
第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次 → </t>
        </r>
        <r>
          <rPr>
            <sz val="10"/>
            <rFont val="Arial"/>
            <family val="2"/>
          </rPr>
          <t xml:space="preserve">7-1203-0730-02
</t>
        </r>
        <r>
          <rPr>
            <sz val="10"/>
            <rFont val="Noto Sans CJK SC"/>
            <family val="2"/>
          </rPr>
          <t xml:space="preserve">第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次 → </t>
        </r>
        <r>
          <rPr>
            <sz val="10"/>
            <rFont val="Arial"/>
            <family val="2"/>
          </rPr>
          <t xml:space="preserve">7-1203-0730-03
</t>
        </r>
        <r>
          <rPr>
            <sz val="10"/>
            <rFont val="Noto Sans CJK SC"/>
            <family val="2"/>
          </rPr>
          <t xml:space="preserve">（第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次不加后缀，日期取当次报修日期）
楼栋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房号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日期没填齐时显示「待补」。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Noto Sans CJK SC"/>
            <family val="2"/>
          </rPr>
          <t xml:space="preserve">看板说明：
</t>
        </r>
        <r>
          <rPr>
            <sz val="10"/>
            <rFont val="Arial"/>
            <family val="2"/>
          </rPr>
          <t xml:space="preserve">1. </t>
        </r>
        <r>
          <rPr>
            <sz val="10"/>
            <rFont val="Noto Sans CJK SC"/>
            <family val="2"/>
          </rPr>
          <t xml:space="preserve">跟进人</t>
        </r>
        <r>
          <rPr>
            <sz val="10"/>
            <rFont val="Arial"/>
            <family val="2"/>
          </rPr>
          <t xml:space="preserve">1/2/3 </t>
        </r>
        <r>
          <rPr>
            <sz val="10"/>
            <rFont val="Noto Sans CJK SC"/>
            <family val="2"/>
          </rPr>
          <t xml:space="preserve">中被选中的师傅，只要该行「完成情况」＝跟进中，即计入“工作中师傅”并自动从“空闲师傅”移除；
</t>
        </r>
        <r>
          <rPr>
            <sz val="10"/>
            <rFont val="Arial"/>
            <family val="2"/>
          </rPr>
          <t xml:space="preserve">2. </t>
        </r>
        <r>
          <rPr>
            <sz val="10"/>
            <rFont val="Noto Sans CJK SC"/>
            <family val="2"/>
          </rPr>
          <t xml:space="preserve">完成情况改为“已完成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需另约时间”后自动回到空闲；
</t>
        </r>
        <r>
          <rPr>
            <sz val="10"/>
            <rFont val="Arial"/>
            <family val="2"/>
          </rPr>
          <t xml:space="preserve">3. </t>
        </r>
        <r>
          <rPr>
            <sz val="10"/>
            <rFont val="Noto Sans CJK SC"/>
            <family val="2"/>
          </rPr>
          <t xml:space="preserve">统计同时覆盖【入户维修】与【公区维修】。</t>
        </r>
      </text>
    </comment>
    <comment ref="L4" authorId="0">
      <text>
        <r>
          <rPr>
            <sz val="10"/>
            <rFont val="Noto Sans CJK SC"/>
            <family val="2"/>
          </rPr>
          <t xml:space="preserve">本列自动生成，不用手工填。
规则：楼栋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房号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位置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月日
例：</t>
        </r>
        <r>
          <rPr>
            <sz val="10"/>
            <rFont val="Arial"/>
            <family val="2"/>
          </rPr>
          <t xml:space="preserve">7</t>
        </r>
        <r>
          <rPr>
            <sz val="10"/>
            <rFont val="Noto Sans CJK SC"/>
            <family val="2"/>
          </rPr>
          <t xml:space="preserve">栋</t>
        </r>
        <r>
          <rPr>
            <sz val="10"/>
            <rFont val="Arial"/>
            <family val="2"/>
          </rPr>
          <t xml:space="preserve">1203</t>
        </r>
        <r>
          <rPr>
            <sz val="10"/>
            <rFont val="Noto Sans CJK SC"/>
            <family val="2"/>
          </rPr>
          <t xml:space="preserve">室，</t>
        </r>
        <r>
          <rPr>
            <sz val="10"/>
            <rFont val="Arial"/>
            <family val="2"/>
          </rPr>
          <t xml:space="preserve">7</t>
        </r>
        <r>
          <rPr>
            <sz val="10"/>
            <rFont val="Noto Sans CJK SC"/>
            <family val="2"/>
          </rPr>
          <t xml:space="preserve">月</t>
        </r>
        <r>
          <rPr>
            <sz val="10"/>
            <rFont val="Arial"/>
            <family val="2"/>
          </rPr>
          <t xml:space="preserve">30</t>
        </r>
        <r>
          <rPr>
            <sz val="10"/>
            <rFont val="Noto Sans CJK SC"/>
            <family val="2"/>
          </rPr>
          <t xml:space="preserve">日报修 → </t>
        </r>
        <r>
          <rPr>
            <sz val="10"/>
            <rFont val="Arial"/>
            <family val="2"/>
          </rPr>
          <t xml:space="preserve">7-1203-0730
</t>
        </r>
        <r>
          <rPr>
            <sz val="10"/>
            <rFont val="Noto Sans CJK SC"/>
            <family val="2"/>
          </rPr>
          <t xml:space="preserve">同一户（同楼栋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同房号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位置）再次报修时，按第几次自动加后缀：
第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次 → </t>
        </r>
        <r>
          <rPr>
            <sz val="10"/>
            <rFont val="Arial"/>
            <family val="2"/>
          </rPr>
          <t xml:space="preserve">7-1203-0730-02
</t>
        </r>
        <r>
          <rPr>
            <sz val="10"/>
            <rFont val="Noto Sans CJK SC"/>
            <family val="2"/>
          </rPr>
          <t xml:space="preserve">第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次 → </t>
        </r>
        <r>
          <rPr>
            <sz val="10"/>
            <rFont val="Arial"/>
            <family val="2"/>
          </rPr>
          <t xml:space="preserve">7-1203-0730-03
</t>
        </r>
        <r>
          <rPr>
            <sz val="10"/>
            <rFont val="Noto Sans CJK SC"/>
            <family val="2"/>
          </rPr>
          <t xml:space="preserve">（第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次不加后缀，日期取当次报修日期）
楼栋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房号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日期没填齐时显示「待补」。</t>
        </r>
      </text>
    </comment>
  </commentList>
</comments>
</file>

<file path=xl/sharedStrings.xml><?xml version="1.0" encoding="utf-8"?>
<sst xmlns="http://schemas.openxmlformats.org/spreadsheetml/2006/main" count="1476" uniqueCount="515">
  <si>
    <t xml:space="preserve">入户维修台账　｜　师傅调度看板（名单自动刷新）</t>
  </si>
  <si>
    <t xml:space="preserve">← 师傅名单（顺序勿改）</t>
  </si>
  <si>
    <t xml:space="preserve">休息</t>
  </si>
  <si>
    <t xml:space="preserve">上班</t>
  </si>
  <si>
    <t xml:space="preserve">← 选「休息」后，该师傅不再出现在空闲名单</t>
  </si>
  <si>
    <t xml:space="preserve">序号</t>
  </si>
  <si>
    <t xml:space="preserve">报修日期</t>
  </si>
  <si>
    <t xml:space="preserve">楼栋</t>
  </si>
  <si>
    <t xml:space="preserve">房号</t>
  </si>
  <si>
    <t xml:space="preserve">报修问题描述</t>
  </si>
  <si>
    <r>
      <rPr>
        <b val="true"/>
        <sz val="10"/>
        <color rgb="FFFFFFFF"/>
        <rFont val="Noto Sans CJK SC"/>
        <family val="2"/>
      </rPr>
      <t xml:space="preserve">跟进人</t>
    </r>
    <r>
      <rPr>
        <b val="true"/>
        <sz val="10"/>
        <color rgb="FFFFFFFF"/>
        <rFont val="等线"/>
        <family val="4"/>
        <charset val="134"/>
      </rPr>
      <t xml:space="preserve">1</t>
    </r>
  </si>
  <si>
    <r>
      <rPr>
        <b val="true"/>
        <sz val="10"/>
        <color rgb="FFFFFFFF"/>
        <rFont val="Noto Sans CJK SC"/>
        <family val="2"/>
      </rPr>
      <t xml:space="preserve">跟进人</t>
    </r>
    <r>
      <rPr>
        <b val="true"/>
        <sz val="10"/>
        <color rgb="FFFFFFFF"/>
        <rFont val="等线"/>
        <family val="4"/>
        <charset val="134"/>
      </rPr>
      <t xml:space="preserve">2</t>
    </r>
  </si>
  <si>
    <r>
      <rPr>
        <b val="true"/>
        <sz val="10"/>
        <color rgb="FFFFFFFF"/>
        <rFont val="Noto Sans CJK SC"/>
        <family val="2"/>
      </rPr>
      <t xml:space="preserve">跟进人</t>
    </r>
    <r>
      <rPr>
        <b val="true"/>
        <sz val="10"/>
        <color rgb="FFFFFFFF"/>
        <rFont val="等线"/>
        <family val="4"/>
        <charset val="134"/>
      </rPr>
      <t xml:space="preserve">3</t>
    </r>
  </si>
  <si>
    <t xml:space="preserve">预约时间</t>
  </si>
  <si>
    <t xml:space="preserve">上门排序</t>
  </si>
  <si>
    <t xml:space="preserve">完成情况</t>
  </si>
  <si>
    <t xml:space="preserve">该户累计</t>
  </si>
  <si>
    <t xml:space="preserve">单据编号</t>
  </si>
  <si>
    <t xml:space="preserve">维修备注</t>
  </si>
  <si>
    <t xml:space="preserve">维修评价</t>
  </si>
  <si>
    <t xml:space="preserve">业主意见与建议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</si>
  <si>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栋</t>
    </r>
  </si>
  <si>
    <t xml:space="preserve">403</t>
  </si>
  <si>
    <t xml:space="preserve">空调百叶更换</t>
  </si>
  <si>
    <t xml:space="preserve">张师傅</t>
  </si>
  <si>
    <t xml:space="preserve">李师傅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</si>
  <si>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16:00</t>
    </r>
  </si>
  <si>
    <r>
      <rPr>
        <sz val="10"/>
        <color rgb="FF1F2933"/>
        <rFont val="Noto Sans CJK SC"/>
        <family val="2"/>
      </rPr>
      <t xml:space="preserve">优先</t>
    </r>
    <r>
      <rPr>
        <sz val="10"/>
        <color rgb="FF1F2933"/>
        <rFont val="等线"/>
        <family val="4"/>
        <charset val="134"/>
      </rPr>
      <t xml:space="preserve">2</t>
    </r>
  </si>
  <si>
    <t xml:space="preserve">已完成</t>
  </si>
  <si>
    <r>
      <rPr>
        <sz val="10"/>
        <color rgb="FF1F2933"/>
        <rFont val="Noto Sans CJK SC"/>
        <family val="2"/>
      </rPr>
      <t xml:space="preserve">第</t>
    </r>
    <r>
      <rPr>
        <sz val="10"/>
        <color rgb="FF1F2933"/>
        <rFont val="等线"/>
        <family val="4"/>
        <charset val="134"/>
      </rPr>
      <t xml:space="preserve">3</t>
    </r>
    <r>
      <rPr>
        <sz val="10"/>
        <color rgb="FF1F2933"/>
        <rFont val="Noto Sans CJK SC"/>
        <family val="2"/>
      </rPr>
      <t xml:space="preserve">次变更时间</t>
    </r>
  </si>
  <si>
    <t xml:space="preserve">非常满意</t>
  </si>
  <si>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栋</t>
    </r>
  </si>
  <si>
    <t xml:space="preserve">2504</t>
  </si>
  <si>
    <t xml:space="preserve">室内空调排水不畅</t>
  </si>
  <si>
    <t xml:space="preserve">刘师傅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</si>
  <si>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10:00</t>
    </r>
  </si>
  <si>
    <t xml:space="preserve">跟进中</t>
  </si>
  <si>
    <t xml:space="preserve">需要贴保温棉，待料处理</t>
  </si>
  <si>
    <r>
      <rPr>
        <sz val="10"/>
        <color rgb="FF1F2933"/>
        <rFont val="等线"/>
        <family val="4"/>
        <charset val="134"/>
      </rPr>
      <t xml:space="preserve">5</t>
    </r>
    <r>
      <rPr>
        <sz val="10"/>
        <color rgb="FF1F2933"/>
        <rFont val="Noto Sans CJK SC"/>
        <family val="2"/>
      </rPr>
      <t xml:space="preserve">栋</t>
    </r>
  </si>
  <si>
    <t xml:space="preserve">503</t>
  </si>
  <si>
    <t xml:space="preserve">雨棚漏水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</si>
  <si>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</t>
    </r>
  </si>
  <si>
    <t xml:space="preserve">看天气情况另约时间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</si>
  <si>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栋</t>
    </r>
  </si>
  <si>
    <t xml:space="preserve">2904</t>
  </si>
  <si>
    <t xml:space="preserve">门把手螺丝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</si>
  <si>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上午</t>
    </r>
  </si>
  <si>
    <t xml:space="preserve">询问材料，无材料，业主自己采购</t>
  </si>
  <si>
    <t xml:space="preserve">满意</t>
  </si>
  <si>
    <t xml:space="preserve">2004</t>
  </si>
  <si>
    <t xml:space="preserve">主卧地面冷凝水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</si>
  <si>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14:00</t>
    </r>
    <r>
      <rPr>
        <sz val="10"/>
        <color rgb="FF1F2933"/>
        <rFont val="Noto Sans CJK SC"/>
        <family val="2"/>
      </rPr>
      <t xml:space="preserve">后</t>
    </r>
  </si>
  <si>
    <t xml:space="preserve">楼下住户空调出风口已调整</t>
  </si>
  <si>
    <t xml:space="preserve">一般</t>
  </si>
  <si>
    <t xml:space="preserve">2501</t>
  </si>
  <si>
    <t xml:space="preserve">门把手松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</si>
  <si>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12:00</t>
    </r>
  </si>
  <si>
    <t xml:space="preserve">好评</t>
  </si>
  <si>
    <t xml:space="preserve">服务不错</t>
  </si>
  <si>
    <t xml:space="preserve">701</t>
  </si>
  <si>
    <t xml:space="preserve">墙面鼓包，看能不能处理</t>
  </si>
  <si>
    <r>
      <rPr>
        <sz val="10"/>
        <color rgb="FF1F2933"/>
        <rFont val="Noto Sans CJK SC"/>
        <family val="2"/>
      </rPr>
      <t xml:space="preserve">优先</t>
    </r>
    <r>
      <rPr>
        <sz val="10"/>
        <color rgb="FF1F2933"/>
        <rFont val="等线"/>
        <family val="4"/>
        <charset val="134"/>
      </rPr>
      <t xml:space="preserve">1</t>
    </r>
  </si>
  <si>
    <t xml:space="preserve">第一道工序已完成，第二工序待约跟进</t>
  </si>
  <si>
    <t xml:space="preserve">可以</t>
  </si>
  <si>
    <t xml:space="preserve">1602</t>
  </si>
  <si>
    <t xml:space="preserve">客厅冷凝水</t>
  </si>
  <si>
    <r>
      <rPr>
        <sz val="10"/>
        <color rgb="FF1F2933"/>
        <rFont val="Noto Sans CJK SC"/>
        <family val="2"/>
      </rPr>
      <t xml:space="preserve">优先</t>
    </r>
    <r>
      <rPr>
        <sz val="10"/>
        <color rgb="FF1F2933"/>
        <rFont val="等线"/>
        <family val="4"/>
        <charset val="134"/>
      </rPr>
      <t xml:space="preserve">3</t>
    </r>
  </si>
  <si>
    <t xml:space="preserve">先由第三方单位在楼下住户空调加装保温棉</t>
  </si>
  <si>
    <t xml:space="preserve">504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</si>
  <si>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17:00</t>
    </r>
    <r>
      <rPr>
        <sz val="10"/>
        <color rgb="FF1F2933"/>
        <rFont val="Noto Sans CJK SC"/>
        <family val="2"/>
      </rPr>
      <t xml:space="preserve">前</t>
    </r>
  </si>
  <si>
    <t xml:space="preserve">/</t>
  </si>
  <si>
    <t xml:space="preserve">304</t>
  </si>
  <si>
    <t xml:space="preserve">阳台上方开裂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</si>
  <si>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17:00</t>
    </r>
    <r>
      <rPr>
        <sz val="10"/>
        <color rgb="FF1F2933"/>
        <rFont val="Noto Sans CJK SC"/>
        <family val="2"/>
      </rPr>
      <t xml:space="preserve">后</t>
    </r>
  </si>
  <si>
    <r>
      <rPr>
        <sz val="10"/>
        <color rgb="FF1F2933"/>
        <rFont val="Noto Sans CJK SC"/>
        <family val="2"/>
      </rPr>
      <t xml:space="preserve">优先</t>
    </r>
    <r>
      <rPr>
        <sz val="10"/>
        <color rgb="FF1F2933"/>
        <rFont val="等线"/>
        <family val="4"/>
        <charset val="134"/>
      </rPr>
      <t xml:space="preserve">6</t>
    </r>
  </si>
  <si>
    <t xml:space="preserve">挺好的，支持</t>
  </si>
  <si>
    <r>
      <rPr>
        <sz val="10"/>
        <color rgb="FF1F2933"/>
        <rFont val="等线"/>
        <family val="4"/>
        <charset val="134"/>
      </rPr>
      <t xml:space="preserve">10</t>
    </r>
    <r>
      <rPr>
        <sz val="10"/>
        <color rgb="FF1F2933"/>
        <rFont val="Noto Sans CJK SC"/>
        <family val="2"/>
      </rPr>
      <t xml:space="preserve">栋</t>
    </r>
  </si>
  <si>
    <t xml:space="preserve">901</t>
  </si>
  <si>
    <t xml:space="preserve">入户门锁芯有问题</t>
  </si>
  <si>
    <r>
      <rPr>
        <sz val="10"/>
        <color rgb="FF1F2933"/>
        <rFont val="等线"/>
        <family val="4"/>
        <charset val="134"/>
      </rPr>
      <t xml:space="preserve">9</t>
    </r>
    <r>
      <rPr>
        <sz val="10"/>
        <color rgb="FF1F2933"/>
        <rFont val="Noto Sans CJK SC"/>
        <family val="2"/>
      </rPr>
      <t xml:space="preserve">栋</t>
    </r>
  </si>
  <si>
    <t xml:space="preserve">1204</t>
  </si>
  <si>
    <t xml:space="preserve">空调出风口松动</t>
  </si>
  <si>
    <t xml:space="preserve">不错，很满意</t>
  </si>
  <si>
    <r>
      <rPr>
        <sz val="10"/>
        <color rgb="FF1F2933"/>
        <rFont val="等线"/>
        <family val="4"/>
        <charset val="134"/>
      </rPr>
      <t xml:space="preserve">1</t>
    </r>
    <r>
      <rPr>
        <sz val="10"/>
        <color rgb="FF1F2933"/>
        <rFont val="Noto Sans CJK SC"/>
        <family val="2"/>
      </rPr>
      <t xml:space="preserve">栋</t>
    </r>
  </si>
  <si>
    <t xml:space="preserve">1203</t>
  </si>
  <si>
    <t xml:space="preserve">入户门电池问题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</si>
  <si>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16:51</t>
    </r>
  </si>
  <si>
    <t xml:space="preserve">3101</t>
  </si>
  <si>
    <t xml:space="preserve">看充电桩怎么走线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</si>
  <si>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20:30</t>
    </r>
  </si>
  <si>
    <t xml:space="preserve">1501</t>
  </si>
  <si>
    <t xml:space="preserve">客厅地板有水珠</t>
  </si>
  <si>
    <t xml:space="preserve">已更换楼下住户客厅空调出风口</t>
  </si>
  <si>
    <r>
      <rPr>
        <sz val="10"/>
        <color rgb="FF1F2933"/>
        <rFont val="等线"/>
        <family val="4"/>
        <charset val="134"/>
      </rPr>
      <t xml:space="preserve">11</t>
    </r>
    <r>
      <rPr>
        <sz val="10"/>
        <color rgb="FF1F2933"/>
        <rFont val="Noto Sans CJK SC"/>
        <family val="2"/>
      </rPr>
      <t xml:space="preserve">栋</t>
    </r>
  </si>
  <si>
    <t xml:space="preserve">1402</t>
  </si>
  <si>
    <t xml:space="preserve">主卧门锁及入户门变形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</si>
  <si>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19:00</t>
    </r>
  </si>
  <si>
    <r>
      <rPr>
        <sz val="10"/>
        <color rgb="FF1F2933"/>
        <rFont val="Noto Sans CJK SC"/>
        <family val="2"/>
      </rPr>
      <t xml:space="preserve">另约</t>
    </r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号上门</t>
    </r>
  </si>
  <si>
    <t xml:space="preserve">墙面渗水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</si>
  <si>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19:00</t>
    </r>
  </si>
  <si>
    <t xml:space="preserve">已查看，业主要求明天优先处理室内墙面，然后再检查渗水源并尽快修复</t>
  </si>
  <si>
    <t xml:space="preserve">2301</t>
  </si>
  <si>
    <t xml:space="preserve">燃气灶打不着</t>
  </si>
  <si>
    <t xml:space="preserve">陈师傅</t>
  </si>
  <si>
    <t xml:space="preserve">已由其他人员处理</t>
  </si>
  <si>
    <r>
      <rPr>
        <sz val="10"/>
        <color rgb="FF1F2933"/>
        <rFont val="等线"/>
        <family val="4"/>
        <charset val="134"/>
      </rPr>
      <t xml:space="preserve">2</t>
    </r>
    <r>
      <rPr>
        <sz val="10"/>
        <color rgb="FF1F2933"/>
        <rFont val="Noto Sans CJK SC"/>
        <family val="2"/>
      </rPr>
      <t xml:space="preserve">栋</t>
    </r>
  </si>
  <si>
    <t xml:space="preserve">1201</t>
  </si>
  <si>
    <t xml:space="preserve">厨房下水管漏水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</si>
  <si>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9:00</t>
    </r>
  </si>
  <si>
    <t xml:space="preserve">空调出风口发霉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</si>
  <si>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16:00</t>
    </r>
  </si>
  <si>
    <t xml:space="preserve">已处理</t>
  </si>
  <si>
    <t xml:space="preserve">201</t>
  </si>
  <si>
    <t xml:space="preserve">门把锁坏了</t>
  </si>
  <si>
    <t xml:space="preserve">2403</t>
  </si>
  <si>
    <t xml:space="preserve">需要抄水电表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</si>
  <si>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上午</t>
    </r>
  </si>
  <si>
    <t xml:space="preserve">2803</t>
  </si>
  <si>
    <t xml:space="preserve">厨房下水管堵塞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</si>
  <si>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21:30</t>
    </r>
  </si>
  <si>
    <t xml:space="preserve">业主反馈给予点赞、表扬</t>
  </si>
  <si>
    <t xml:space="preserve">1103</t>
  </si>
  <si>
    <t xml:space="preserve">多个门把手松动及卫浴室玻璃门松动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</si>
  <si>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21:50</t>
    </r>
  </si>
  <si>
    <t xml:space="preserve">3304</t>
  </si>
  <si>
    <t xml:space="preserve">空调噪音</t>
  </si>
  <si>
    <t xml:space="preserve">修不了，业主已联系空调售后检修</t>
  </si>
  <si>
    <t xml:space="preserve">2503</t>
  </si>
  <si>
    <t xml:space="preserve">安装吸顶灯</t>
  </si>
  <si>
    <t xml:space="preserve">1102</t>
  </si>
  <si>
    <t xml:space="preserve">客厅灯不亮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</si>
  <si>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15:31</t>
    </r>
  </si>
  <si>
    <t xml:space="preserve">很好，服务好</t>
  </si>
  <si>
    <t xml:space="preserve">主卧墙面渗水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</si>
  <si>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约</t>
    </r>
    <r>
      <rPr>
        <sz val="10"/>
        <color rgb="FF1F2933"/>
        <rFont val="等线"/>
        <family val="4"/>
        <charset val="134"/>
      </rPr>
      <t xml:space="preserve">17:00</t>
    </r>
  </si>
  <si>
    <t xml:space="preserve">已现场拍照留证，待后续协商处理（业主意向启用公共维修基金）</t>
  </si>
  <si>
    <t xml:space="preserve">502</t>
  </si>
  <si>
    <t xml:space="preserve">门框变形开裂，洗手盆木板腐蚀脱皮</t>
  </si>
  <si>
    <t xml:space="preserve">1004</t>
  </si>
  <si>
    <t xml:space="preserve">窗帘滑轨，门口灯带坏了，还有门把手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</si>
  <si>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17:00</t>
    </r>
  </si>
  <si>
    <r>
      <rPr>
        <sz val="10"/>
        <color rgb="FF1F2933"/>
        <rFont val="Noto Sans CJK SC"/>
        <family val="2"/>
      </rPr>
      <t xml:space="preserve">灯带的变压器</t>
    </r>
    <r>
      <rPr>
        <sz val="10"/>
        <color rgb="FF1F2933"/>
        <rFont val="等线"/>
        <family val="4"/>
        <charset val="134"/>
      </rPr>
      <t xml:space="preserve">12V/4A</t>
    </r>
    <r>
      <rPr>
        <sz val="10"/>
        <color rgb="FF1F2933"/>
        <rFont val="Noto Sans CJK SC"/>
        <family val="2"/>
      </rPr>
      <t xml:space="preserve">需业主购买再通知更换</t>
    </r>
  </si>
  <si>
    <t xml:space="preserve">1901</t>
  </si>
  <si>
    <t xml:space="preserve">门把手松动、入户门口感应灯能否加装控制开关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</si>
  <si>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20:40</t>
    </r>
  </si>
  <si>
    <t xml:space="preserve">征得业主同意，将门口感应灯的电源做断电处理</t>
  </si>
  <si>
    <t xml:space="preserve">多处门槛石材松动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</si>
  <si>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21:20</t>
    </r>
  </si>
  <si>
    <t xml:space="preserve">602</t>
  </si>
  <si>
    <t xml:space="preserve">浴室推拉门卡住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</si>
  <si>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1</t>
    </r>
    <r>
      <rPr>
        <sz val="10"/>
        <color rgb="FF1F2933"/>
        <rFont val="Noto Sans CJK SC"/>
        <family val="2"/>
      </rPr>
      <t xml:space="preserve">日 上午</t>
    </r>
  </si>
  <si>
    <t xml:space="preserve">1904</t>
  </si>
  <si>
    <t xml:space="preserve">卫生间门坏了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</si>
  <si>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1</t>
    </r>
    <r>
      <rPr>
        <sz val="10"/>
        <color rgb="FF1F2933"/>
        <rFont val="Noto Sans CJK SC"/>
        <family val="2"/>
      </rPr>
      <t xml:space="preserve">日</t>
    </r>
  </si>
  <si>
    <t xml:space="preserve">1304</t>
  </si>
  <si>
    <t xml:space="preserve">镜子柜分开，阳台渗水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</si>
  <si>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2</t>
    </r>
    <r>
      <rPr>
        <sz val="10"/>
        <color rgb="FF1F2933"/>
        <rFont val="Noto Sans CJK SC"/>
        <family val="2"/>
      </rPr>
      <t xml:space="preserve">日 上午</t>
    </r>
  </si>
  <si>
    <t xml:space="preserve">阳台漏水点待胶干后补漆，柜门门铰待配件到货后安装</t>
  </si>
  <si>
    <t xml:space="preserve">3002</t>
  </si>
  <si>
    <t xml:space="preserve">安装插座和固定门把手</t>
  </si>
  <si>
    <t xml:space="preserve">门把手已固定，插座业主后续约时间上门安装</t>
  </si>
  <si>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栋</t>
    </r>
  </si>
  <si>
    <t xml:space="preserve">1104</t>
  </si>
  <si>
    <t xml:space="preserve">橱柜板子总是脱落</t>
  </si>
  <si>
    <t xml:space="preserve">门把手松动</t>
  </si>
  <si>
    <t xml:space="preserve">很棒</t>
  </si>
  <si>
    <t xml:space="preserve">2304</t>
  </si>
  <si>
    <t xml:space="preserve">洗手台玻璃门关不上</t>
  </si>
  <si>
    <t xml:space="preserve">我家厨房这里门槛石松了</t>
  </si>
  <si>
    <t xml:space="preserve">王师傅</t>
  </si>
  <si>
    <t xml:space="preserve">1503</t>
  </si>
  <si>
    <t xml:space="preserve">入户门踢脚线脱落</t>
  </si>
  <si>
    <t xml:space="preserve">3301</t>
  </si>
  <si>
    <t xml:space="preserve">跳闸</t>
  </si>
  <si>
    <t xml:space="preserve">持续观察使用情况</t>
  </si>
  <si>
    <t xml:space="preserve">3204</t>
  </si>
  <si>
    <t xml:space="preserve">卫生间镜子灯不亮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</si>
  <si>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2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15:30</t>
    </r>
  </si>
  <si>
    <t xml:space="preserve">303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</si>
  <si>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2</t>
    </r>
    <r>
      <rPr>
        <sz val="10"/>
        <color rgb="FF1F2933"/>
        <rFont val="Noto Sans CJK SC"/>
        <family val="2"/>
      </rPr>
      <t xml:space="preserve">日</t>
    </r>
  </si>
  <si>
    <t xml:space="preserve">商铺</t>
  </si>
  <si>
    <t xml:space="preserve">124</t>
  </si>
  <si>
    <t xml:space="preserve">1</t>
  </si>
  <si>
    <t xml:space="preserve">推拉门卡住</t>
  </si>
  <si>
    <t xml:space="preserve">3303</t>
  </si>
  <si>
    <t xml:space="preserve">柜门门铰链坏了</t>
  </si>
  <si>
    <t xml:space="preserve">1704</t>
  </si>
  <si>
    <t xml:space="preserve">两个灯不亮和空调不制冷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</si>
  <si>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日</t>
    </r>
  </si>
  <si>
    <t xml:space="preserve">空调不制冷已解决</t>
  </si>
  <si>
    <t xml:space="preserve">402</t>
  </si>
  <si>
    <t xml:space="preserve">下水道反臭</t>
  </si>
  <si>
    <t xml:space="preserve">张师傅很有礼貌和耐心，仔细检查维修很好，真心点赞！</t>
  </si>
  <si>
    <t xml:space="preserve">3104</t>
  </si>
  <si>
    <t xml:space="preserve">下水道漏水</t>
  </si>
  <si>
    <t xml:space="preserve">1003</t>
  </si>
  <si>
    <t xml:space="preserve">换百叶</t>
  </si>
  <si>
    <t xml:space="preserve">2002</t>
  </si>
  <si>
    <t xml:space="preserve">家里大厅灯关不了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</si>
  <si>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日 约</t>
    </r>
    <r>
      <rPr>
        <sz val="10"/>
        <color rgb="FF1F2933"/>
        <rFont val="等线"/>
        <family val="4"/>
        <charset val="134"/>
      </rPr>
      <t xml:space="preserve">18:00</t>
    </r>
  </si>
  <si>
    <t xml:space="preserve">镜子配件到了，需要帮忙更换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</si>
  <si>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日 约</t>
    </r>
    <r>
      <rPr>
        <sz val="10"/>
        <color rgb="FF1F2933"/>
        <rFont val="等线"/>
        <family val="4"/>
        <charset val="134"/>
      </rPr>
      <t xml:space="preserve">18:30</t>
    </r>
  </si>
  <si>
    <t xml:space="preserve">3102</t>
  </si>
  <si>
    <t xml:space="preserve">厨房插座，厕所灯故障</t>
  </si>
  <si>
    <t xml:space="preserve">家里水压小，门口墙面漆破损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</si>
  <si>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日 约</t>
    </r>
    <r>
      <rPr>
        <sz val="10"/>
        <color rgb="FF1F2933"/>
        <rFont val="等线"/>
        <family val="4"/>
        <charset val="134"/>
      </rPr>
      <t xml:space="preserve">19:00</t>
    </r>
  </si>
  <si>
    <t xml:space="preserve">1101</t>
  </si>
  <si>
    <t xml:space="preserve">家里墙角需要粘一下</t>
  </si>
  <si>
    <t xml:space="preserve">需要明日上门再粘一下门框，已处理</t>
  </si>
  <si>
    <t xml:space="preserve">804</t>
  </si>
  <si>
    <t xml:space="preserve">取消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</si>
  <si>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日 约</t>
    </r>
    <r>
      <rPr>
        <sz val="10"/>
        <color rgb="FF1F2933"/>
        <rFont val="等线"/>
        <family val="4"/>
        <charset val="134"/>
      </rPr>
      <t xml:space="preserve">19:30</t>
    </r>
  </si>
  <si>
    <t xml:space="preserve">2601</t>
  </si>
  <si>
    <t xml:space="preserve">家里停电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</si>
  <si>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5</t>
    </r>
    <r>
      <rPr>
        <sz val="10"/>
        <color rgb="FF1F2933"/>
        <rFont val="Noto Sans CJK SC"/>
        <family val="2"/>
      </rPr>
      <t xml:space="preserve">日 上午</t>
    </r>
  </si>
  <si>
    <t xml:space="preserve">803</t>
  </si>
  <si>
    <t xml:space="preserve">厨房下水道堵塞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</si>
  <si>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日 上午</t>
    </r>
  </si>
  <si>
    <t xml:space="preserve">2101</t>
  </si>
  <si>
    <t xml:space="preserve">厨房下水道管需要更换，调整客厅空调出风口贴保温棉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</si>
  <si>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日 约</t>
    </r>
    <r>
      <rPr>
        <sz val="10"/>
        <color rgb="FF1F2933"/>
        <rFont val="等线"/>
        <family val="4"/>
        <charset val="134"/>
      </rPr>
      <t xml:space="preserve">17:00</t>
    </r>
  </si>
  <si>
    <t xml:space="preserve">2604</t>
  </si>
  <si>
    <t xml:space="preserve">房间墙角瓷砖掉了需要粘上去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</si>
  <si>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日 约</t>
    </r>
    <r>
      <rPr>
        <sz val="10"/>
        <color rgb="FF1F2933"/>
        <rFont val="等线"/>
        <family val="4"/>
        <charset val="134"/>
      </rPr>
      <t xml:space="preserve">14:00</t>
    </r>
  </si>
  <si>
    <t xml:space="preserve">家里需要换插座和修锁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</si>
  <si>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日 约</t>
    </r>
    <r>
      <rPr>
        <sz val="10"/>
        <color rgb="FF1F2933"/>
        <rFont val="等线"/>
        <family val="4"/>
        <charset val="134"/>
      </rPr>
      <t xml:space="preserve">15:00</t>
    </r>
  </si>
  <si>
    <t xml:space="preserve">702</t>
  </si>
  <si>
    <t xml:space="preserve">三点半后安排个人来看看厨房门 很重有点不好拉，还有厕所门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</si>
  <si>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日 约</t>
    </r>
    <r>
      <rPr>
        <sz val="10"/>
        <color rgb="FF1F2933"/>
        <rFont val="等线"/>
        <family val="4"/>
        <charset val="134"/>
      </rPr>
      <t xml:space="preserve">15:30</t>
    </r>
  </si>
  <si>
    <t xml:space="preserve">401</t>
  </si>
  <si>
    <t xml:space="preserve">家里房间把第一个厨房门换成儿童房门，这个可以换吗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</si>
  <si>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日 下午</t>
    </r>
  </si>
  <si>
    <t xml:space="preserve">3203</t>
  </si>
  <si>
    <t xml:space="preserve">楼上业主反映，帮忙去楼下看看，业主在家</t>
  </si>
  <si>
    <t xml:space="preserve">门框脱落</t>
  </si>
  <si>
    <t xml:space="preserve">燃气打不着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</si>
  <si>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日 上午</t>
    </r>
  </si>
  <si>
    <t xml:space="preserve">2702</t>
  </si>
  <si>
    <t xml:space="preserve">水压小</t>
  </si>
  <si>
    <t xml:space="preserve">已上门查看，业主家两个入户阀已开到最大，可能是用水高峰期造成水压小</t>
  </si>
  <si>
    <t xml:space="preserve">需要打孔</t>
  </si>
  <si>
    <t xml:space="preserve">浴室门脱轨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</si>
  <si>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日 下午</t>
    </r>
  </si>
  <si>
    <t xml:space="preserve">1701</t>
  </si>
  <si>
    <t xml:space="preserve">空调面板失灵</t>
  </si>
  <si>
    <r>
      <rPr>
        <sz val="10"/>
        <color rgb="FF1F2933"/>
        <rFont val="等线"/>
        <family val="4"/>
        <charset val="134"/>
      </rPr>
      <t xml:space="preserve">3</t>
    </r>
    <r>
      <rPr>
        <sz val="10"/>
        <color rgb="FF1F2933"/>
        <rFont val="Noto Sans CJK SC"/>
        <family val="2"/>
      </rPr>
      <t xml:space="preserve">栋</t>
    </r>
  </si>
  <si>
    <t xml:space="preserve">2901</t>
  </si>
  <si>
    <t xml:space="preserve">主卧空调出风口滴水</t>
  </si>
  <si>
    <t xml:space="preserve">卫生间门吸松动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</si>
  <si>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15:00</t>
    </r>
  </si>
  <si>
    <t xml:space="preserve">厨房水龙头出水小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</si>
  <si>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下午</t>
    </r>
  </si>
  <si>
    <t xml:space="preserve">已清洗起泡器</t>
  </si>
  <si>
    <t xml:space="preserve">501</t>
  </si>
  <si>
    <t xml:space="preserve">客厅踢脚线翘起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</si>
  <si>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18:00</t>
    </r>
  </si>
  <si>
    <t xml:space="preserve">师傅很细心，处理得很好</t>
  </si>
  <si>
    <t xml:space="preserve">802</t>
  </si>
  <si>
    <t xml:space="preserve">阳台推拉门滑轮卡顿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</si>
  <si>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19:30</t>
    </r>
  </si>
  <si>
    <t xml:space="preserve">2701</t>
  </si>
  <si>
    <t xml:space="preserve">次卧灯具开关失灵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</si>
  <si>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20:00</t>
    </r>
  </si>
  <si>
    <t xml:space="preserve">已更换开关面板</t>
  </si>
  <si>
    <t xml:space="preserve">洗手台下水返臭</t>
  </si>
  <si>
    <t xml:space="preserve">已加装存水弯</t>
  </si>
  <si>
    <t xml:space="preserve">3302</t>
  </si>
  <si>
    <t xml:space="preserve">入户门关闭不严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</si>
  <si>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10:30</t>
    </r>
  </si>
  <si>
    <t xml:space="preserve">主卫玻璃门胶条脱落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</si>
  <si>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下午</t>
    </r>
  </si>
  <si>
    <t xml:space="preserve">2704</t>
  </si>
  <si>
    <t xml:space="preserve">空调风口冷凝水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</si>
  <si>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15:00</t>
    </r>
  </si>
  <si>
    <t xml:space="preserve">已加贴保温棉</t>
  </si>
  <si>
    <t xml:space="preserve">厨房橱柜门铰松动</t>
  </si>
  <si>
    <t xml:space="preserve">1301</t>
  </si>
  <si>
    <t xml:space="preserve">卧室墙面轻微开裂</t>
  </si>
  <si>
    <t xml:space="preserve">已现场查看，待腻子干透后修补</t>
  </si>
  <si>
    <t xml:space="preserve">卫生间排风扇不转</t>
  </si>
  <si>
    <t xml:space="preserve">2402</t>
  </si>
  <si>
    <t xml:space="preserve">2203</t>
  </si>
  <si>
    <t xml:space="preserve">阳台地漏排水慢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</si>
  <si>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11:00</t>
    </r>
  </si>
  <si>
    <t xml:space="preserve">已疏通并清理杂物</t>
  </si>
  <si>
    <t xml:space="preserve">2903</t>
  </si>
  <si>
    <t xml:space="preserve">客厅插座无电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</si>
  <si>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1</t>
    </r>
    <r>
      <rPr>
        <sz val="10"/>
        <color rgb="FF1F2933"/>
        <rFont val="Noto Sans CJK SC"/>
        <family val="2"/>
      </rPr>
      <t xml:space="preserve">日 下午</t>
    </r>
  </si>
  <si>
    <t xml:space="preserve">漏保跳闸已复位</t>
  </si>
  <si>
    <t xml:space="preserve">处理及时，点赞</t>
  </si>
  <si>
    <t xml:space="preserve">次卧窗户密封条老化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</si>
  <si>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15:30</t>
    </r>
  </si>
  <si>
    <t xml:space="preserve">204</t>
  </si>
  <si>
    <t xml:space="preserve">厨房下水管接口渗水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</si>
  <si>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17:00</t>
    </r>
  </si>
  <si>
    <t xml:space="preserve">已重新打胶紧固</t>
  </si>
  <si>
    <t xml:space="preserve">主卧空调噪音大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</si>
  <si>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19:00</t>
    </r>
  </si>
  <si>
    <t xml:space="preserve">已紧固内机支架</t>
  </si>
  <si>
    <t xml:space="preserve">入户门锁电池更换</t>
  </si>
  <si>
    <t xml:space="preserve">2102</t>
  </si>
  <si>
    <t xml:space="preserve">卫生间镜前灯不亮</t>
  </si>
  <si>
    <t xml:space="preserve">已更换灯珠</t>
  </si>
  <si>
    <t xml:space="preserve">厨房吊柜门关不严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</si>
  <si>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2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14:00</t>
    </r>
  </si>
  <si>
    <t xml:space="preserve">1202</t>
  </si>
  <si>
    <t xml:space="preserve">主卫花洒漏水</t>
  </si>
  <si>
    <t xml:space="preserve">已更换软管密封圈</t>
  </si>
  <si>
    <t xml:space="preserve">客厅空调出风口发霉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</si>
  <si>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2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17:00</t>
    </r>
  </si>
  <si>
    <t xml:space="preserve">已清洗消毒</t>
  </si>
  <si>
    <t xml:space="preserve">2802</t>
  </si>
  <si>
    <t xml:space="preserve">阳台墙面渗水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</si>
  <si>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2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18:30</t>
    </r>
  </si>
  <si>
    <t xml:space="preserve">已拍照留证，待联系防水单位复查</t>
  </si>
  <si>
    <t xml:space="preserve">202</t>
  </si>
  <si>
    <t xml:space="preserve">厨房燃气灶点火困难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</si>
  <si>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日 上午</t>
    </r>
  </si>
  <si>
    <t xml:space="preserve">已清理点火针</t>
  </si>
  <si>
    <t xml:space="preserve">1502</t>
  </si>
  <si>
    <t xml:space="preserve">洗衣机位地漏堵塞</t>
  </si>
  <si>
    <t xml:space="preserve">次卧门吸脱落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</si>
  <si>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14:30</t>
    </r>
  </si>
  <si>
    <t xml:space="preserve">卫生间瓷砖空鼓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</si>
  <si>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16:00</t>
    </r>
  </si>
  <si>
    <t xml:space="preserve">待业主确认施工时间后返修</t>
  </si>
  <si>
    <t xml:space="preserve">1603</t>
  </si>
  <si>
    <t xml:space="preserve">客厅吊灯安装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</si>
  <si>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18:00</t>
    </r>
  </si>
  <si>
    <t xml:space="preserve">帮忙安装很到位，感谢</t>
  </si>
  <si>
    <t xml:space="preserve">主卧窗帘轨道松动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</si>
  <si>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19:30</t>
    </r>
  </si>
  <si>
    <t xml:space="preserve">厨房台面收口开裂</t>
  </si>
  <si>
    <t xml:space="preserve">已重新打胶</t>
  </si>
  <si>
    <t xml:space="preserve">卫生间门锁反锁失灵</t>
  </si>
  <si>
    <t xml:space="preserve">空调排水管脱落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</si>
  <si>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5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11:30</t>
    </r>
  </si>
  <si>
    <t xml:space="preserve">已重新接驳固定</t>
  </si>
  <si>
    <t xml:space="preserve">入户门猫眼松动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</si>
  <si>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5</t>
    </r>
    <r>
      <rPr>
        <sz val="10"/>
        <color rgb="FF1F2933"/>
        <rFont val="Noto Sans CJK SC"/>
        <family val="2"/>
      </rPr>
      <t xml:space="preserve">日 下午</t>
    </r>
  </si>
  <si>
    <t xml:space="preserve">203</t>
  </si>
  <si>
    <t xml:space="preserve">阳台晾衣架升降卡顿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</si>
  <si>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5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15:00</t>
    </r>
  </si>
  <si>
    <t xml:space="preserve">已调整钢丝绳</t>
  </si>
  <si>
    <t xml:space="preserve">次卫排水慢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</si>
  <si>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5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17:30</t>
    </r>
  </si>
  <si>
    <t xml:space="preserve">客厅地板局部起翘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</si>
  <si>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5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19:00</t>
    </r>
  </si>
  <si>
    <t xml:space="preserve">已压平处理，持续观察</t>
  </si>
  <si>
    <t xml:space="preserve">主卧空调不制冷</t>
  </si>
  <si>
    <t xml:space="preserve">已补充冷媒</t>
  </si>
  <si>
    <t xml:space="preserve">2404</t>
  </si>
  <si>
    <t xml:space="preserve">厨房排烟管接口漏烟</t>
  </si>
  <si>
    <t xml:space="preserve">卫生间地漏返味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</si>
  <si>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14:00</t>
    </r>
  </si>
  <si>
    <t xml:space="preserve">已更换防臭芯</t>
  </si>
  <si>
    <t xml:space="preserve">入户门合页异响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</si>
  <si>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15:30</t>
    </r>
  </si>
  <si>
    <t xml:space="preserve">603</t>
  </si>
  <si>
    <t xml:space="preserve">次卧插座面板松动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</si>
  <si>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17:00</t>
    </r>
  </si>
  <si>
    <t xml:space="preserve">1401</t>
  </si>
  <si>
    <t xml:space="preserve">客厅墙面轻微渗水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</si>
  <si>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18:30</t>
    </r>
  </si>
  <si>
    <t xml:space="preserve">已排查上层管道，待复测确认渗水源</t>
  </si>
  <si>
    <t xml:space="preserve">厨房水槽下水漏水</t>
  </si>
  <si>
    <t xml:space="preserve">已更换下水软管</t>
  </si>
  <si>
    <t xml:space="preserve">阳台照明灯不亮</t>
  </si>
  <si>
    <t xml:space="preserve">主卫玻璃门滑轮更换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</si>
  <si>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11:00</t>
    </r>
  </si>
  <si>
    <t xml:space="preserve">入户门门槛石松动</t>
  </si>
  <si>
    <t xml:space="preserve">已重新粘接</t>
  </si>
  <si>
    <t xml:space="preserve">空调面板显示异常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</si>
  <si>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16:00</t>
    </r>
  </si>
  <si>
    <t xml:space="preserve">已联系空调厂家售后协同处理</t>
  </si>
  <si>
    <t xml:space="preserve">2804</t>
  </si>
  <si>
    <t xml:space="preserve">卫生间浴霸不加热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</si>
  <si>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18:00</t>
    </r>
  </si>
  <si>
    <t xml:space="preserve">已更换加热管</t>
  </si>
  <si>
    <t xml:space="preserve">公区维修台账　｜　师傅调度看板（与入户维修共用同一批师傅）</t>
  </si>
  <si>
    <t xml:space="preserve">休息安排请到【入户维修】表右上角设置</t>
  </si>
  <si>
    <r>
      <rPr>
        <b val="true"/>
        <sz val="10"/>
        <color rgb="FFFFFFFF"/>
        <rFont val="Noto Sans CJK SC"/>
        <family val="2"/>
      </rPr>
      <t xml:space="preserve">区域</t>
    </r>
    <r>
      <rPr>
        <b val="true"/>
        <sz val="10"/>
        <color rgb="FFFFFFFF"/>
        <rFont val="等线"/>
        <family val="4"/>
        <charset val="134"/>
      </rPr>
      <t xml:space="preserve">/</t>
    </r>
    <r>
      <rPr>
        <b val="true"/>
        <sz val="10"/>
        <color rgb="FFFFFFFF"/>
        <rFont val="Noto Sans CJK SC"/>
        <family val="2"/>
      </rPr>
      <t xml:space="preserve">位置</t>
    </r>
  </si>
  <si>
    <t xml:space="preserve">维修结果</t>
  </si>
  <si>
    <t xml:space="preserve">乒乓球位置</t>
  </si>
  <si>
    <t xml:space="preserve">送电</t>
  </si>
  <si>
    <t xml:space="preserve">公共区域</t>
  </si>
  <si>
    <t xml:space="preserve">东大门</t>
  </si>
  <si>
    <t xml:space="preserve">二楼中空玻璃遮阳帘加固</t>
  </si>
  <si>
    <t xml:space="preserve">西门车库出口</t>
  </si>
  <si>
    <t xml:space="preserve">出口道闸不抬杆</t>
  </si>
  <si>
    <t xml:space="preserve">货梯</t>
  </si>
  <si>
    <t xml:space="preserve">空调不制冷</t>
  </si>
  <si>
    <t xml:space="preserve">肉菜市场</t>
  </si>
  <si>
    <t xml:space="preserve">墙面漏水</t>
  </si>
  <si>
    <t xml:space="preserve">待跟进</t>
  </si>
  <si>
    <r>
      <rPr>
        <sz val="10"/>
        <color rgb="FF1F2933"/>
        <rFont val="等线"/>
        <family val="4"/>
        <charset val="134"/>
      </rPr>
      <t xml:space="preserve">1</t>
    </r>
    <r>
      <rPr>
        <sz val="10"/>
        <color rgb="FF1F2933"/>
        <rFont val="Noto Sans CJK SC"/>
        <family val="2"/>
      </rPr>
      <t xml:space="preserve">层</t>
    </r>
  </si>
  <si>
    <t xml:space="preserve">大门刮地</t>
  </si>
  <si>
    <t xml:space="preserve">健身房旁</t>
  </si>
  <si>
    <t xml:space="preserve">有电流声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</si>
  <si>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11:10</t>
    </r>
  </si>
  <si>
    <t xml:space="preserve">未发现异响</t>
  </si>
  <si>
    <r>
      <rPr>
        <sz val="10"/>
        <color rgb="FF1F2933"/>
        <rFont val="等线"/>
        <family val="4"/>
        <charset val="134"/>
      </rPr>
      <t xml:space="preserve">1</t>
    </r>
    <r>
      <rPr>
        <sz val="10"/>
        <color rgb="FF1F2933"/>
        <rFont val="Noto Sans CJK SC"/>
        <family val="2"/>
      </rPr>
      <t xml:space="preserve">楼</t>
    </r>
  </si>
  <si>
    <t xml:space="preserve">门禁升级改造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</si>
  <si>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17:00</t>
    </r>
  </si>
  <si>
    <t xml:space="preserve">天花破损修缮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</si>
  <si>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</t>
    </r>
  </si>
  <si>
    <t xml:space="preserve">第一道工序已完成，第二工序待涂料干燥后打磨刷乳胶漆</t>
  </si>
  <si>
    <t xml:space="preserve">大堂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</si>
  <si>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栋大堂紫外线灯具故障</t>
    </r>
  </si>
  <si>
    <t xml:space="preserve">凉亭</t>
  </si>
  <si>
    <t xml:space="preserve">凉亭顶部积水</t>
  </si>
  <si>
    <t xml:space="preserve">排水管道彻底堵死，预计重新改管道</t>
  </si>
  <si>
    <r>
      <rPr>
        <sz val="10"/>
        <color rgb="FF1F2933"/>
        <rFont val="等线"/>
        <family val="4"/>
        <charset val="134"/>
      </rPr>
      <t xml:space="preserve">946</t>
    </r>
    <r>
      <rPr>
        <sz val="10"/>
        <color rgb="FF1F2933"/>
        <rFont val="Noto Sans CJK SC"/>
        <family val="2"/>
      </rPr>
      <t xml:space="preserve">车位</t>
    </r>
  </si>
  <si>
    <t xml:space="preserve">灯光闪烁</t>
  </si>
  <si>
    <t xml:space="preserve">负一</t>
  </si>
  <si>
    <t xml:space="preserve">门关不上</t>
  </si>
  <si>
    <t xml:space="preserve">风扇损坏</t>
  </si>
  <si>
    <t xml:space="preserve">已更换新风扇</t>
  </si>
  <si>
    <t xml:space="preserve">门禁一直重启</t>
  </si>
  <si>
    <r>
      <rPr>
        <sz val="10"/>
        <color rgb="FF1F2933"/>
        <rFont val="等线"/>
        <family val="4"/>
        <charset val="134"/>
      </rPr>
      <t xml:space="preserve">919</t>
    </r>
    <r>
      <rPr>
        <sz val="10"/>
        <color rgb="FF1F2933"/>
        <rFont val="Noto Sans CJK SC"/>
        <family val="2"/>
      </rPr>
      <t xml:space="preserve">车位</t>
    </r>
  </si>
  <si>
    <t xml:space="preserve">大门</t>
  </si>
  <si>
    <t xml:space="preserve">门关不上，刮底</t>
  </si>
  <si>
    <r>
      <rPr>
        <sz val="10"/>
        <color rgb="FF1F2933"/>
        <rFont val="等线"/>
        <family val="4"/>
        <charset val="134"/>
      </rPr>
      <t xml:space="preserve">254</t>
    </r>
    <r>
      <rPr>
        <sz val="10"/>
        <color rgb="FF1F2933"/>
        <rFont val="Noto Sans CJK SC"/>
        <family val="2"/>
      </rPr>
      <t xml:space="preserve">车位</t>
    </r>
  </si>
  <si>
    <t xml:space="preserve">漏水</t>
  </si>
  <si>
    <r>
      <rPr>
        <sz val="10"/>
        <color rgb="FF1F2933"/>
        <rFont val="等线"/>
        <family val="4"/>
        <charset val="134"/>
      </rPr>
      <t xml:space="preserve">557</t>
    </r>
    <r>
      <rPr>
        <sz val="10"/>
        <color rgb="FF1F2933"/>
        <rFont val="Noto Sans CJK SC"/>
        <family val="2"/>
      </rPr>
      <t xml:space="preserve">车位</t>
    </r>
  </si>
  <si>
    <t xml:space="preserve">充电桩跳闸</t>
  </si>
  <si>
    <t xml:space="preserve">五栋负一的门关不拢</t>
  </si>
  <si>
    <r>
      <rPr>
        <sz val="10"/>
        <color rgb="FF1F2933"/>
        <rFont val="等线"/>
        <family val="4"/>
        <charset val="134"/>
      </rPr>
      <t xml:space="preserve">3</t>
    </r>
    <r>
      <rPr>
        <sz val="10"/>
        <color rgb="FF1F2933"/>
        <rFont val="Noto Sans CJK SC"/>
        <family val="2"/>
      </rPr>
      <t xml:space="preserve">栋门禁里面开不了</t>
    </r>
  </si>
  <si>
    <r>
      <rPr>
        <sz val="10"/>
        <color rgb="FF1F2933"/>
        <rFont val="等线"/>
        <family val="4"/>
        <charset val="134"/>
      </rPr>
      <t xml:space="preserve">5</t>
    </r>
    <r>
      <rPr>
        <sz val="10"/>
        <color rgb="FF1F2933"/>
        <rFont val="Noto Sans CJK SC"/>
        <family val="2"/>
      </rPr>
      <t xml:space="preserve">栋货梯不制冷</t>
    </r>
  </si>
  <si>
    <t xml:space="preserve">工程维修数据仪表盘　｜　全项目（入户＋公区）</t>
  </si>
  <si>
    <r>
      <rPr>
        <sz val="9"/>
        <color rgb="FF6B7785"/>
        <rFont val="Noto Sans CJK SC"/>
        <family val="2"/>
      </rPr>
      <t xml:space="preserve">数据来源：【入户维修】【公区维修】台账，打开文件即自动刷新。　人次口径：一张工单有多位跟进人时，每位师傅各计 </t>
    </r>
    <r>
      <rPr>
        <sz val="9"/>
        <color rgb="FF6B7785"/>
        <rFont val="等线"/>
        <family val="4"/>
        <charset val="134"/>
      </rPr>
      <t xml:space="preserve">1 </t>
    </r>
    <r>
      <rPr>
        <sz val="9"/>
        <color rgb="FF6B7785"/>
        <rFont val="Noto Sans CJK SC"/>
        <family val="2"/>
      </rPr>
      <t xml:space="preserve">单；未填跟进人或报修日期的工单不进入排行榜。</t>
    </r>
  </si>
  <si>
    <t xml:space="preserve">统计基准日</t>
  </si>
  <si>
    <t xml:space="preserve">← 黄色格可改，默认今天。日榜＝当天｜周榜＝所在周（周一至周日）｜月榜＝所在自然月；改成任意日期即可回看历史。</t>
  </si>
  <si>
    <t xml:space="preserve">一、当日工单总览</t>
  </si>
  <si>
    <t xml:space="preserve">统计口径</t>
  </si>
  <si>
    <t xml:space="preserve">报修总量</t>
  </si>
  <si>
    <t xml:space="preserve">需另约时间</t>
  </si>
  <si>
    <t xml:space="preserve">完成率</t>
  </si>
  <si>
    <t xml:space="preserve">不满意</t>
  </si>
  <si>
    <t xml:space="preserve">评价总数</t>
  </si>
  <si>
    <t xml:space="preserve">好评率</t>
  </si>
  <si>
    <t xml:space="preserve">待评价</t>
  </si>
  <si>
    <t xml:space="preserve">未填状态</t>
  </si>
  <si>
    <t xml:space="preserve">当日全部工单</t>
  </si>
  <si>
    <t xml:space="preserve">各师傅当日明细　（人次口径；「待评价」＝当日已完成、业主尚未评价的单数）</t>
  </si>
  <si>
    <t xml:space="preserve">师傅</t>
  </si>
  <si>
    <t xml:space="preserve">今日接单</t>
  </si>
  <si>
    <t xml:space="preserve">当前状态</t>
  </si>
  <si>
    <t xml:space="preserve">合计（人次）</t>
  </si>
  <si>
    <r>
      <rPr>
        <b val="true"/>
        <sz val="12"/>
        <color rgb="FFFFFFFF"/>
        <rFont val="Noto Sans CJK SC"/>
        <family val="2"/>
      </rPr>
      <t xml:space="preserve">二、人员排行榜（日 </t>
    </r>
    <r>
      <rPr>
        <b val="true"/>
        <sz val="12"/>
        <color rgb="FFFFFFFF"/>
        <rFont val="等线"/>
        <family val="4"/>
        <charset val="134"/>
      </rPr>
      <t xml:space="preserve">/ </t>
    </r>
    <r>
      <rPr>
        <b val="true"/>
        <sz val="12"/>
        <color rgb="FFFFFFFF"/>
        <rFont val="Noto Sans CJK SC"/>
        <family val="2"/>
      </rPr>
      <t xml:space="preserve">周 </t>
    </r>
    <r>
      <rPr>
        <b val="true"/>
        <sz val="12"/>
        <color rgb="FFFFFFFF"/>
        <rFont val="等线"/>
        <family val="4"/>
        <charset val="134"/>
      </rPr>
      <t xml:space="preserve">/ </t>
    </r>
    <r>
      <rPr>
        <b val="true"/>
        <sz val="12"/>
        <color rgb="FFFFFFFF"/>
        <rFont val="Noto Sans CJK SC"/>
        <family val="2"/>
      </rPr>
      <t xml:space="preserve">月）</t>
    </r>
  </si>
  <si>
    <t xml:space="preserve">名次</t>
  </si>
  <si>
    <t xml:space="preserve">接单总量</t>
  </si>
  <si>
    <t xml:space="preserve">满意度得分</t>
  </si>
  <si>
    <t xml:space="preserve">三、累计总览</t>
  </si>
  <si>
    <t xml:space="preserve">全部工单</t>
  </si>
  <si>
    <t xml:space="preserve">四、按楼栋统计（累计）</t>
  </si>
  <si>
    <t xml:space="preserve">未填写楼栋</t>
  </si>
  <si>
    <t xml:space="preserve">合计</t>
  </si>
  <si>
    <r>
      <rPr>
        <b val="true"/>
        <sz val="12"/>
        <color rgb="FFFFFFFF"/>
        <rFont val="Noto Sans CJK SC"/>
        <family val="2"/>
      </rPr>
      <t xml:space="preserve">五、按师傅统计（累计 </t>
    </r>
    <r>
      <rPr>
        <b val="true"/>
        <sz val="12"/>
        <color rgb="FFFFFFFF"/>
        <rFont val="等线"/>
        <family val="4"/>
        <charset val="134"/>
      </rPr>
      <t xml:space="preserve">· </t>
    </r>
    <r>
      <rPr>
        <b val="true"/>
        <sz val="12"/>
        <color rgb="FFFFFFFF"/>
        <rFont val="Noto Sans CJK SC"/>
        <family val="2"/>
      </rPr>
      <t xml:space="preserve">人次口径）</t>
    </r>
  </si>
  <si>
    <r>
      <rPr>
        <b val="true"/>
        <sz val="12"/>
        <color rgb="FFFFFFFF"/>
        <rFont val="Noto Sans CJK SC"/>
        <family val="2"/>
      </rPr>
      <t xml:space="preserve">六、师傅 </t>
    </r>
    <r>
      <rPr>
        <b val="true"/>
        <sz val="12"/>
        <color rgb="FFFFFFFF"/>
        <rFont val="等线"/>
        <family val="4"/>
        <charset val="134"/>
      </rPr>
      <t xml:space="preserve">× </t>
    </r>
    <r>
      <rPr>
        <b val="true"/>
        <sz val="12"/>
        <color rgb="FFFFFFFF"/>
        <rFont val="Noto Sans CJK SC"/>
        <family val="2"/>
      </rPr>
      <t xml:space="preserve">楼栋明细（累计）</t>
    </r>
  </si>
  <si>
    <t xml:space="preserve">小计</t>
  </si>
  <si>
    <t xml:space="preserve">单元报修查询　｜　选楼栋、填房号，自动调出该单元全部维修记录</t>
  </si>
  <si>
    <t xml:space="preserve">查询范围</t>
  </si>
  <si>
    <t xml:space="preserve">入户维修</t>
  </si>
  <si>
    <r>
      <rPr>
        <b val="true"/>
        <sz val="11"/>
        <color rgb="FF1F2933"/>
        <rFont val="等线"/>
        <family val="4"/>
        <charset val="134"/>
      </rPr>
      <t xml:space="preserve">6</t>
    </r>
    <r>
      <rPr>
        <b val="true"/>
        <sz val="11"/>
        <color rgb="FF1F2933"/>
        <rFont val="Noto Sans CJK SC"/>
        <family val="2"/>
      </rPr>
      <t xml:space="preserve">栋</t>
    </r>
  </si>
  <si>
    <r>
      <rPr>
        <b val="true"/>
        <sz val="10"/>
        <color rgb="FF1F3A5F"/>
        <rFont val="Noto Sans CJK SC"/>
        <family val="2"/>
      </rPr>
      <t xml:space="preserve">房号 </t>
    </r>
    <r>
      <rPr>
        <b val="true"/>
        <sz val="10"/>
        <color rgb="FF1F3A5F"/>
        <rFont val="等线"/>
        <family val="4"/>
        <charset val="134"/>
      </rPr>
      <t xml:space="preserve">/ </t>
    </r>
    <r>
      <rPr>
        <b val="true"/>
        <sz val="10"/>
        <color rgb="FF1F3A5F"/>
        <rFont val="Noto Sans CJK SC"/>
        <family val="2"/>
      </rPr>
      <t xml:space="preserve">位置</t>
    </r>
  </si>
  <si>
    <t xml:space="preserve">累计报修</t>
  </si>
  <si>
    <t xml:space="preserve">单　← 黄色格可改，改完即刻重查；房号留空＝查整栋</t>
  </si>
  <si>
    <t xml:space="preserve">需另约</t>
  </si>
  <si>
    <t xml:space="preserve">最近报修</t>
  </si>
  <si>
    <t xml:space="preserve">首次报修</t>
  </si>
  <si>
    <t xml:space="preserve">第几单</t>
  </si>
  <si>
    <r>
      <rPr>
        <b val="true"/>
        <sz val="10"/>
        <color rgb="FFFFFFFF"/>
        <rFont val="Noto Sans CJK SC"/>
        <family val="2"/>
      </rPr>
      <t xml:space="preserve">房号</t>
    </r>
    <r>
      <rPr>
        <b val="true"/>
        <sz val="10"/>
        <color rgb="FFFFFFFF"/>
        <rFont val="等线"/>
        <family val="4"/>
        <charset val="134"/>
      </rPr>
      <t xml:space="preserve">/</t>
    </r>
    <r>
      <rPr>
        <b val="true"/>
        <sz val="10"/>
        <color rgb="FFFFFFFF"/>
        <rFont val="Noto Sans CJK SC"/>
        <family val="2"/>
      </rPr>
      <t xml:space="preserve">位置</t>
    </r>
  </si>
  <si>
    <t xml:space="preserve">跟进人</t>
  </si>
  <si>
    <t xml:space="preserve">使用说明</t>
  </si>
  <si>
    <r>
      <rPr>
        <sz val="9.5"/>
        <color rgb="FF6B7785"/>
        <rFont val="等线"/>
        <family val="4"/>
        <charset val="134"/>
      </rPr>
      <t xml:space="preserve">1. </t>
    </r>
    <r>
      <rPr>
        <sz val="9.5"/>
        <color rgb="FF6B7785"/>
        <rFont val="Noto Sans CJK SC"/>
        <family val="2"/>
      </rPr>
      <t xml:space="preserve">「查询范围」选入户维修或公区维修；「楼栋」下拉选择；「房号 </t>
    </r>
    <r>
      <rPr>
        <sz val="9.5"/>
        <color rgb="FF6B7785"/>
        <rFont val="等线"/>
        <family val="4"/>
        <charset val="134"/>
      </rPr>
      <t xml:space="preserve">/ </t>
    </r>
    <r>
      <rPr>
        <sz val="9.5"/>
        <color rgb="FF6B7785"/>
        <rFont val="Noto Sans CJK SC"/>
        <family val="2"/>
      </rPr>
      <t xml:space="preserve">位置」手工输入，写法须与台账完全一致（如 </t>
    </r>
    <r>
      <rPr>
        <sz val="9.5"/>
        <color rgb="FF6B7785"/>
        <rFont val="等线"/>
        <family val="4"/>
        <charset val="134"/>
      </rPr>
      <t xml:space="preserve">1101 / </t>
    </r>
    <r>
      <rPr>
        <sz val="9.5"/>
        <color rgb="FF6B7785"/>
        <rFont val="Noto Sans CJK SC"/>
        <family val="2"/>
      </rPr>
      <t xml:space="preserve">东大门）。</t>
    </r>
  </si>
  <si>
    <r>
      <rPr>
        <sz val="9.5"/>
        <color rgb="FF6B7785"/>
        <rFont val="等线"/>
        <family val="4"/>
        <charset val="134"/>
      </rPr>
      <t xml:space="preserve">2. </t>
    </r>
    <r>
      <rPr>
        <sz val="9.5"/>
        <color rgb="FF6B7785"/>
        <rFont val="Noto Sans CJK SC"/>
        <family val="2"/>
      </rPr>
      <t xml:space="preserve">房号留空 ＝ 查询该楼栋全部报修记录，适合月度盘点某栋的问题集中度。</t>
    </r>
  </si>
  <si>
    <r>
      <rPr>
        <sz val="9.5"/>
        <color rgb="FF6B7785"/>
        <rFont val="等线"/>
        <family val="4"/>
        <charset val="134"/>
      </rPr>
      <t xml:space="preserve">3. </t>
    </r>
    <r>
      <rPr>
        <sz val="9.5"/>
        <color rgb="FF6B7785"/>
        <rFont val="Noto Sans CJK SC"/>
        <family val="2"/>
      </rPr>
      <t xml:space="preserve">三个黄格任意改动，上方统计与下方明细即时刷新，无需点任何按钮。</t>
    </r>
  </si>
  <si>
    <r>
      <rPr>
        <sz val="9.5"/>
        <color rgb="FF6B7785"/>
        <rFont val="等线"/>
        <family val="4"/>
        <charset val="134"/>
      </rPr>
      <t xml:space="preserve">4. </t>
    </r>
    <r>
      <rPr>
        <sz val="9.5"/>
        <color rgb="FF6B7785"/>
        <rFont val="Noto Sans CJK SC"/>
        <family val="2"/>
      </rPr>
      <t xml:space="preserve">本表为只读查询，数据取自「入户维修」「公区维修」两张台账；在此处改动无效，请回台账更正。</t>
    </r>
  </si>
  <si>
    <r>
      <rPr>
        <sz val="9.5"/>
        <color rgb="FF6B7785"/>
        <rFont val="等线"/>
        <family val="4"/>
        <charset val="134"/>
      </rPr>
      <t xml:space="preserve">5. </t>
    </r>
    <r>
      <rPr>
        <sz val="9.5"/>
        <color rgb="FF6B7785"/>
        <rFont val="Noto Sans CJK SC"/>
        <family val="2"/>
      </rPr>
      <t xml:space="preserve">评价按四档分色：非常满意＝深绿、满意＝浅绿、一般＝黄、不满意＝红，出现红色请优先安排回访。</t>
    </r>
  </si>
  <si>
    <r>
      <rPr>
        <sz val="9.5"/>
        <color rgb="FF6B7785"/>
        <rFont val="等线"/>
        <family val="4"/>
        <charset val="134"/>
      </rPr>
      <t xml:space="preserve">6. </t>
    </r>
    <r>
      <rPr>
        <sz val="9.5"/>
        <color rgb="FF6B7785"/>
        <rFont val="Noto Sans CJK SC"/>
        <family val="2"/>
      </rPr>
      <t xml:space="preserve">入户台账比公区台账多一列「该户累计」，其余各列一一对应，两类记录的查询口径一致。</t>
    </r>
  </si>
  <si>
    <r>
      <rPr>
        <b val="true"/>
        <sz val="16"/>
        <color rgb="FF1F3A5F"/>
        <rFont val="Noto Sans CJK SC"/>
        <family val="2"/>
      </rPr>
      <t xml:space="preserve">建发央玺超一级物业服务 </t>
    </r>
    <r>
      <rPr>
        <b val="true"/>
        <sz val="16"/>
        <color rgb="FF1F3A5F"/>
        <rFont val="等线"/>
        <family val="4"/>
        <charset val="134"/>
      </rPr>
      <t xml:space="preserve">· </t>
    </r>
    <r>
      <rPr>
        <b val="true"/>
        <sz val="16"/>
        <color rgb="FF1F3A5F"/>
        <rFont val="Noto Sans CJK SC"/>
        <family val="2"/>
      </rPr>
      <t xml:space="preserve">入户维修评价表</t>
    </r>
  </si>
  <si>
    <r>
      <rPr>
        <sz val="10.5"/>
        <color rgb="FF1F2933"/>
        <rFont val="Noto Sans CJK SC"/>
        <family val="2"/>
      </rPr>
      <t xml:space="preserve">单据编号：</t>
    </r>
    <r>
      <rPr>
        <sz val="10.5"/>
        <color rgb="FF1F2933"/>
        <rFont val="等线"/>
        <family val="4"/>
        <charset val="134"/>
      </rPr>
      <t xml:space="preserve">______________________________</t>
    </r>
  </si>
  <si>
    <t xml:space="preserve">说明：本表用于记录建发央玺超一级物业服务的免费入户维修（耗材费用另计），请业主验收后签字。</t>
  </si>
  <si>
    <t xml:space="preserve">楼栋房号</t>
  </si>
  <si>
    <t xml:space="preserve">　　　　栋　　　　　　室</t>
  </si>
  <si>
    <t xml:space="preserve">业主姓名</t>
  </si>
  <si>
    <t xml:space="preserve">联系电话</t>
  </si>
  <si>
    <t xml:space="preserve">维修日期</t>
  </si>
  <si>
    <t xml:space="preserve">　　　年　　月　　日</t>
  </si>
  <si>
    <t xml:space="preserve">维修人员</t>
  </si>
  <si>
    <t xml:space="preserve">上门时间</t>
  </si>
  <si>
    <t xml:space="preserve">一、维修内容登记</t>
  </si>
  <si>
    <t xml:space="preserve">维修部位及问题描述：</t>
  </si>
  <si>
    <t xml:space="preserve">维修整改结果：</t>
  </si>
  <si>
    <t xml:space="preserve">□ 问题已完全修复　　□ 部分整改，需二次上门　　□ 暂无法处理</t>
  </si>
  <si>
    <t xml:space="preserve">二、业主满意度及验收评价</t>
  </si>
  <si>
    <t xml:space="preserve">本次入户维修整体评价：</t>
  </si>
  <si>
    <t xml:space="preserve">□ 非常满意　　□ 满意　　□ 一般　　□ 不满意</t>
  </si>
  <si>
    <t xml:space="preserve">业主意见与建议：</t>
  </si>
  <si>
    <t xml:space="preserve">三、签字确认</t>
  </si>
  <si>
    <r>
      <rPr>
        <sz val="10.5"/>
        <color rgb="FF1F2933"/>
        <rFont val="Noto Sans CJK SC"/>
        <family val="2"/>
      </rPr>
      <t xml:space="preserve">业主签字：</t>
    </r>
    <r>
      <rPr>
        <sz val="10.5"/>
        <color rgb="FF1F2933"/>
        <rFont val="等线"/>
        <family val="4"/>
        <charset val="134"/>
      </rPr>
      <t xml:space="preserve">__________________</t>
    </r>
  </si>
  <si>
    <r>
      <rPr>
        <sz val="10.5"/>
        <color rgb="FF1F2933"/>
        <rFont val="Noto Sans CJK SC"/>
        <family val="2"/>
      </rPr>
      <t xml:space="preserve">日期：</t>
    </r>
    <r>
      <rPr>
        <sz val="10.5"/>
        <color rgb="FF1F2933"/>
        <rFont val="等线"/>
        <family val="4"/>
        <charset val="134"/>
      </rPr>
      <t xml:space="preserve">______</t>
    </r>
    <r>
      <rPr>
        <sz val="10.5"/>
        <color rgb="FF1F2933"/>
        <rFont val="Noto Sans CJK SC"/>
        <family val="2"/>
      </rPr>
      <t xml:space="preserve">年</t>
    </r>
    <r>
      <rPr>
        <sz val="10.5"/>
        <color rgb="FF1F2933"/>
        <rFont val="等线"/>
        <family val="4"/>
        <charset val="134"/>
      </rPr>
      <t xml:space="preserve">______</t>
    </r>
    <r>
      <rPr>
        <sz val="10.5"/>
        <color rgb="FF1F2933"/>
        <rFont val="Noto Sans CJK SC"/>
        <family val="2"/>
      </rPr>
      <t xml:space="preserve">月</t>
    </r>
    <r>
      <rPr>
        <sz val="10.5"/>
        <color rgb="FF1F2933"/>
        <rFont val="等线"/>
        <family val="4"/>
        <charset val="134"/>
      </rPr>
      <t xml:space="preserve">______</t>
    </r>
    <r>
      <rPr>
        <sz val="10.5"/>
        <color rgb="FF1F2933"/>
        <rFont val="Noto Sans CJK SC"/>
        <family val="2"/>
      </rPr>
      <t xml:space="preserve">日</t>
    </r>
  </si>
  <si>
    <r>
      <rPr>
        <sz val="10.5"/>
        <color rgb="FF1F2933"/>
        <rFont val="Noto Sans CJK SC"/>
        <family val="2"/>
      </rPr>
      <t xml:space="preserve">维修人员签字：</t>
    </r>
    <r>
      <rPr>
        <sz val="10.5"/>
        <color rgb="FF1F2933"/>
        <rFont val="等线"/>
        <family val="4"/>
        <charset val="134"/>
      </rPr>
      <t xml:space="preserve">__________________</t>
    </r>
  </si>
  <si>
    <r>
      <rPr>
        <sz val="10.5"/>
        <color rgb="FF1F2933"/>
        <rFont val="Noto Sans CJK SC"/>
        <family val="2"/>
      </rPr>
      <t xml:space="preserve">物业经理：</t>
    </r>
    <r>
      <rPr>
        <sz val="10.5"/>
        <color rgb="FF1F2933"/>
        <rFont val="等线"/>
        <family val="4"/>
        <charset val="134"/>
      </rPr>
      <t xml:space="preserve">__________________</t>
    </r>
  </si>
  <si>
    <t xml:space="preserve">备注：业主签字确认即视为本次上门维修项目已现场验收完毕，本单据由物业工程部存档。</t>
  </si>
  <si>
    <t xml:space="preserve">休息中姓名串</t>
  </si>
  <si>
    <r>
      <rPr>
        <sz val="11"/>
        <color theme="1"/>
        <rFont val="Calibri"/>
        <family val="2"/>
        <charset val="1"/>
      </rPr>
      <t xml:space="preserve">↑ A1:A5</t>
    </r>
    <r>
      <rPr>
        <sz val="11"/>
        <color theme="1"/>
        <rFont val="Noto Sans CJK SC"/>
        <family val="2"/>
      </rPr>
      <t xml:space="preserve">＝师傅名单（顺序勿改）；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＝是否工作中，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＝工作中排序，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＝空闲排序</t>
    </r>
  </si>
  <si>
    <t xml:space="preserve">跟进人1可选名单</t>
  </si>
  <si>
    <t xml:space="preserve">休息中=1</t>
  </si>
  <si>
    <t xml:space="preserve">在岗施工</t>
  </si>
  <si>
    <t xml:space="preserve">可派单</t>
  </si>
  <si>
    <t xml:space="preserve">未休息序号</t>
  </si>
  <si>
    <t xml:space="preserve">入户跟进中单数</t>
  </si>
  <si>
    <t xml:space="preserve">公区跟进中单数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</si>
</sst>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yyyy\-mm\-dd"/>
    <numFmt numFmtId="167" formatCode="@"/>
    <numFmt numFmtId="168" formatCode="0\次"/>
    <numFmt numFmtId="169" formatCode="yyyy\年m\月d\日;@"/>
    <numFmt numFmtId="170" formatCode="#,##0;\-#,##0;\-"/>
    <numFmt numFmtId="171" formatCode="0.0%;;\-"/>
    <numFmt numFmtId="172" formatCode="0.0\分;;\-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2"/>
    </font>
    <font>
      <b val="true"/>
      <sz val="11"/>
      <color rgb="FF1F3A5F"/>
      <name val="Noto Sans CJK SC"/>
      <family val="2"/>
    </font>
    <font>
      <b val="true"/>
      <sz val="10"/>
      <color rgb="FF7A5C00"/>
      <name val="Noto Sans CJK SC"/>
      <family val="2"/>
    </font>
    <font>
      <b val="true"/>
      <sz val="10"/>
      <color rgb="FF1F3A5F"/>
      <name val="等线"/>
      <family val="4"/>
      <charset val="134"/>
    </font>
    <font>
      <sz val="9"/>
      <color rgb="FF6B7785"/>
      <name val="Noto Sans CJK SC"/>
      <family val="2"/>
    </font>
    <font>
      <b val="true"/>
      <sz val="10"/>
      <color rgb="FF2E6B34"/>
      <name val="Noto Sans CJK SC"/>
      <family val="2"/>
    </font>
    <font>
      <b val="true"/>
      <sz val="10"/>
      <color rgb="FF1F2933"/>
      <name val="Noto Sans CJK SC"/>
      <family val="2"/>
    </font>
    <font>
      <b val="true"/>
      <sz val="10"/>
      <color rgb="FFFFFFFF"/>
      <name val="Noto Sans CJK SC"/>
      <family val="2"/>
    </font>
    <font>
      <b val="true"/>
      <sz val="10"/>
      <color rgb="FFFFFFFF"/>
      <name val="等线"/>
      <family val="4"/>
      <charset val="134"/>
    </font>
    <font>
      <sz val="10"/>
      <color rgb="FF5B6B7F"/>
      <name val="等线"/>
      <family val="4"/>
      <charset val="134"/>
    </font>
    <font>
      <sz val="10"/>
      <color rgb="FF1F2933"/>
      <name val="等线"/>
      <family val="4"/>
      <charset val="134"/>
    </font>
    <font>
      <sz val="10"/>
      <color rgb="FF1F2933"/>
      <name val="Noto Sans CJK SC"/>
      <family val="2"/>
    </font>
    <font>
      <sz val="10"/>
      <name val="Noto Sans CJK SC"/>
      <family val="2"/>
    </font>
    <font>
      <sz val="10"/>
      <name val="Arial"/>
      <family val="2"/>
    </font>
    <font>
      <b val="true"/>
      <sz val="10"/>
      <color rgb="FF1F3A5F"/>
      <name val="Noto Sans CJK SC"/>
      <family val="2"/>
    </font>
    <font>
      <b val="true"/>
      <sz val="16"/>
      <color rgb="FFFFFFFF"/>
      <name val="Noto Sans CJK SC"/>
      <family val="2"/>
    </font>
    <font>
      <sz val="9"/>
      <color rgb="FF6B7785"/>
      <name val="等线"/>
      <family val="4"/>
      <charset val="134"/>
    </font>
    <font>
      <b val="true"/>
      <sz val="10"/>
      <color rgb="FF1F2933"/>
      <name val="等线"/>
      <family val="4"/>
      <charset val="134"/>
    </font>
    <font>
      <b val="true"/>
      <sz val="12"/>
      <color rgb="FFFFFFFF"/>
      <name val="Noto Sans CJK SC"/>
      <family val="2"/>
    </font>
    <font>
      <b val="true"/>
      <sz val="12"/>
      <color rgb="FFFFFFFF"/>
      <name val="等线"/>
      <family val="4"/>
      <charset val="134"/>
    </font>
    <font>
      <b val="true"/>
      <sz val="12"/>
      <color rgb="FF1F3A5F"/>
      <name val="等线"/>
      <family val="2"/>
    </font>
    <font>
      <sz val="9"/>
      <color rgb="FF4A5563"/>
      <name val="等线"/>
      <family val="2"/>
    </font>
    <font>
      <b val="true"/>
      <sz val="15"/>
      <color rgb="FFFFFFFF"/>
      <name val="Noto Sans CJK SC"/>
      <family val="2"/>
    </font>
    <font>
      <b val="true"/>
      <sz val="11"/>
      <color rgb="FF1F2933"/>
      <name val="Noto Sans CJK SC"/>
      <family val="2"/>
    </font>
    <font>
      <b val="true"/>
      <sz val="11"/>
      <color rgb="FF1F2933"/>
      <name val="等线"/>
      <family val="4"/>
      <charset val="134"/>
    </font>
    <font>
      <b val="true"/>
      <sz val="14"/>
      <color rgb="FF1F3A5F"/>
      <name val="等线"/>
      <family val="4"/>
      <charset val="134"/>
    </font>
    <font>
      <b val="true"/>
      <sz val="9"/>
      <color rgb="FF1F3A5F"/>
      <name val="Noto Sans CJK SC"/>
      <family val="2"/>
    </font>
    <font>
      <b val="true"/>
      <sz val="12"/>
      <color rgb="FF1F2933"/>
      <name val="等线"/>
      <family val="4"/>
      <charset val="134"/>
    </font>
    <font>
      <b val="true"/>
      <sz val="9"/>
      <color rgb="FFA61B1B"/>
      <name val="Noto Sans CJK SC"/>
      <family val="2"/>
    </font>
    <font>
      <b val="true"/>
      <sz val="11"/>
      <color rgb="FFFFFFFF"/>
      <name val="Noto Sans CJK SC"/>
      <family val="2"/>
    </font>
    <font>
      <sz val="9.5"/>
      <color rgb="FF6B7785"/>
      <name val="等线"/>
      <family val="4"/>
      <charset val="134"/>
    </font>
    <font>
      <sz val="9.5"/>
      <color rgb="FF6B7785"/>
      <name val="Noto Sans CJK SC"/>
      <family val="2"/>
    </font>
    <font>
      <b val="true"/>
      <sz val="16"/>
      <color rgb="FF1F3A5F"/>
      <name val="Noto Sans CJK SC"/>
      <family val="2"/>
    </font>
    <font>
      <b val="true"/>
      <sz val="16"/>
      <color rgb="FF1F3A5F"/>
      <name val="等线"/>
      <family val="4"/>
      <charset val="134"/>
    </font>
    <font>
      <sz val="10.5"/>
      <color rgb="FF1F2933"/>
      <name val="Noto Sans CJK SC"/>
      <family val="2"/>
    </font>
    <font>
      <sz val="10.5"/>
      <color rgb="FF1F2933"/>
      <name val="等线"/>
      <family val="4"/>
      <charset val="134"/>
    </font>
    <font>
      <b val="true"/>
      <sz val="10.5"/>
      <color rgb="FF1F3A5F"/>
      <name val="Noto Sans CJK SC"/>
      <family val="2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</fonts>
  <fills count="11">
    <fill>
      <patternFill patternType="none"/>
    </fill>
    <fill>
      <patternFill patternType="gray125"/>
    </fill>
    <fill>
      <patternFill patternType="solid">
        <fgColor rgb="FF1F3A5F"/>
        <bgColor rgb="FF1F2933"/>
      </patternFill>
    </fill>
    <fill>
      <patternFill patternType="solid">
        <fgColor rgb="FFE8EEF5"/>
        <bgColor rgb="FFECEFF3"/>
      </patternFill>
    </fill>
    <fill>
      <patternFill patternType="solid">
        <fgColor rgb="FFFFF2CC"/>
        <bgColor rgb="FFFFF3C4"/>
      </patternFill>
    </fill>
    <fill>
      <patternFill patternType="solid">
        <fgColor rgb="FFDCE4EE"/>
        <bgColor rgb="FFE3E8EF"/>
      </patternFill>
    </fill>
    <fill>
      <patternFill patternType="solid">
        <fgColor rgb="FFE3F1E1"/>
        <bgColor rgb="FFE8EEF5"/>
      </patternFill>
    </fill>
    <fill>
      <patternFill patternType="solid">
        <fgColor rgb="FFFFF3C4"/>
        <bgColor rgb="FFFFF2CC"/>
      </patternFill>
    </fill>
    <fill>
      <patternFill patternType="solid">
        <fgColor rgb="FF5B6B7F"/>
        <bgColor rgb="FF6B7785"/>
      </patternFill>
    </fill>
    <fill>
      <patternFill patternType="solid">
        <fgColor rgb="FF2F5378"/>
        <bgColor rgb="FF4A5563"/>
      </patternFill>
    </fill>
    <fill>
      <patternFill patternType="solid">
        <fgColor rgb="FFEDF2F7"/>
        <bgColor rgb="FFECEFF3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D5DCE4"/>
      </left>
      <right style="thin">
        <color rgb="FFD5DCE4"/>
      </right>
      <top style="thin">
        <color rgb="FFD5DCE4"/>
      </top>
      <bottom style="thin">
        <color rgb="FFD5DCE4"/>
      </bottom>
      <diagonal/>
    </border>
    <border diagonalUp="false" diagonalDown="false">
      <left style="thin">
        <color rgb="FFD9B44A"/>
      </left>
      <right style="thin">
        <color rgb="FFD9B44A"/>
      </right>
      <top style="thin">
        <color rgb="FFD9B44A"/>
      </top>
      <bottom style="thin">
        <color rgb="FFD9B44A"/>
      </bottom>
      <diagonal/>
    </border>
    <border diagonalUp="false" diagonalDown="false">
      <left style="thin">
        <color rgb="FFFFFFFF"/>
      </left>
      <right style="thin">
        <color rgb="FFFFFFFF"/>
      </right>
      <top/>
      <bottom style="medium">
        <color rgb="FF1F3A5F"/>
      </bottom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thin">
        <color rgb="FF9AA5B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2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1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3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9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8">
    <dxf>
      <fill>
        <patternFill patternType="solid">
          <fgColor rgb="FF5B6B7F"/>
          <bgColor rgb="FF000000"/>
        </patternFill>
      </fill>
    </dxf>
    <dxf>
      <fill>
        <patternFill patternType="solid">
          <fgColor rgb="FFF6F8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1F2933"/>
          <bgColor rgb="FF000000"/>
        </patternFill>
      </fill>
    </dxf>
    <dxf>
      <fill>
        <patternFill patternType="solid">
          <fgColor rgb="FF8A94A1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7A5C00"/>
          <bgColor rgb="FF000000"/>
        </patternFill>
      </fill>
    </dxf>
    <dxf>
      <fill>
        <patternFill patternType="solid">
          <fgColor rgb="FFC62828"/>
          <bgColor rgb="FF000000"/>
        </patternFill>
      </fill>
    </dxf>
    <dxf>
      <fill>
        <patternFill patternType="solid">
          <fgColor rgb="FFE57373"/>
          <bgColor rgb="FF000000"/>
        </patternFill>
      </fill>
    </dxf>
    <dxf>
      <fill>
        <patternFill patternType="solid">
          <fgColor rgb="FFF2B8B8"/>
          <bgColor rgb="FF000000"/>
        </patternFill>
      </fill>
    </dxf>
    <dxf>
      <fill>
        <patternFill patternType="solid">
          <fgColor rgb="FFFDF3F3"/>
          <bgColor rgb="FF000000"/>
        </patternFill>
      </fill>
    </dxf>
    <dxf>
      <fill>
        <patternFill patternType="solid">
          <fgColor rgb="FFA61B1B"/>
          <bgColor rgb="FF000000"/>
        </patternFill>
      </fill>
    </dxf>
    <dxf>
      <fill>
        <patternFill patternType="solid">
          <fgColor rgb="FFE3F1E1"/>
          <bgColor rgb="FF000000"/>
        </patternFill>
      </fill>
    </dxf>
    <dxf>
      <fill>
        <patternFill patternType="solid">
          <fgColor rgb="FF2E6B34"/>
          <bgColor rgb="FF000000"/>
        </patternFill>
      </fill>
    </dxf>
    <dxf>
      <fill>
        <patternFill patternType="solid">
          <fgColor rgb="FFF9DEDC"/>
          <bgColor rgb="FF000000"/>
        </patternFill>
      </fill>
    </dxf>
    <dxf>
      <fill>
        <patternFill patternType="solid">
          <fgColor rgb="FFC9E4C5"/>
          <bgColor rgb="FF000000"/>
        </patternFill>
      </fill>
    </dxf>
    <dxf>
      <fill>
        <patternFill patternType="solid">
          <fgColor rgb="FF1E5A25"/>
          <bgColor rgb="FF000000"/>
        </patternFill>
      </fill>
    </dxf>
    <dxf>
      <fill>
        <patternFill>
          <bgColor rgb="FFFFF2CC"/>
        </patternFill>
      </fill>
    </dxf>
    <dxf>
      <font>
        <color rgb="FF8A94A1"/>
      </font>
    </dxf>
    <dxf>
      <font>
        <b val="1"/>
        <color rgb="FFFFFFFF"/>
      </font>
      <fill>
        <patternFill>
          <bgColor rgb="FFC62828"/>
        </patternFill>
      </fill>
    </dxf>
    <dxf>
      <font>
        <color rgb="FF7A5C00"/>
      </font>
      <fill>
        <patternFill>
          <bgColor rgb="FFFFF2CC"/>
        </patternFill>
      </fill>
    </dxf>
    <dxf>
      <font>
        <color rgb="FFA61B1B"/>
      </font>
      <fill>
        <patternFill>
          <bgColor rgb="FFF9DEDC"/>
        </patternFill>
      </fill>
    </dxf>
    <dxf>
      <font>
        <b val="1"/>
        <color rgb="FFFFFFFF"/>
      </font>
      <fill>
        <patternFill>
          <bgColor rgb="FFE57373"/>
        </patternFill>
      </fill>
    </dxf>
    <dxf>
      <font>
        <b val="1"/>
        <color rgb="FFA61B1B"/>
      </font>
      <fill>
        <patternFill>
          <bgColor rgb="FFF2B8B8"/>
        </patternFill>
      </fill>
    </dxf>
    <dxf>
      <font>
        <color rgb="FFA61B1B"/>
      </font>
      <fill>
        <patternFill>
          <bgColor rgb="FFF7D4D4"/>
        </patternFill>
      </fill>
    </dxf>
    <dxf>
      <font>
        <color rgb="FFA61B1B"/>
      </font>
      <fill>
        <patternFill>
          <bgColor rgb="FFFBE6E6"/>
        </patternFill>
      </fill>
    </dxf>
    <dxf>
      <font>
        <color rgb="FFA61B1B"/>
      </font>
      <fill>
        <patternFill>
          <bgColor rgb="FFFDF3F3"/>
        </patternFill>
      </fill>
    </dxf>
    <dxf>
      <font>
        <b val="1"/>
        <color rgb="FF2E6B34"/>
      </font>
      <fill>
        <patternFill>
          <bgColor rgb="FFE3F1E1"/>
        </patternFill>
      </fill>
    </dxf>
    <dxf>
      <font>
        <b val="1"/>
        <color rgb="FF7A5C00"/>
      </font>
      <fill>
        <patternFill>
          <bgColor rgb="FFFFF2CC"/>
        </patternFill>
      </fill>
    </dxf>
    <dxf>
      <font>
        <b val="1"/>
        <color rgb="FFA61B1B"/>
      </font>
      <fill>
        <patternFill>
          <bgColor rgb="FFF9DEDC"/>
        </patternFill>
      </fill>
    </dxf>
    <dxf>
      <font>
        <b val="1"/>
        <color rgb="FF8A94A1"/>
      </font>
      <fill>
        <patternFill>
          <bgColor rgb="FFECEFF3"/>
        </patternFill>
      </fill>
    </dxf>
    <dxf>
      <font>
        <b val="1"/>
        <color rgb="FF7A5C00"/>
      </font>
    </dxf>
    <dxf>
      <font>
        <b val="1"/>
        <color rgb="FF1E5A25"/>
      </font>
      <fill>
        <patternFill>
          <bgColor rgb="FFC9E4C5"/>
        </patternFill>
      </fill>
    </dxf>
    <dxf>
      <font>
        <color rgb="FF2E6B34"/>
      </font>
      <fill>
        <patternFill>
          <bgColor rgb="FFE3F1E1"/>
        </patternFill>
      </fill>
    </dxf>
    <dxf>
      <fill>
        <patternFill>
          <bgColor rgb="FFF6F8FA"/>
        </patternFill>
      </fill>
    </dxf>
    <dxf>
      <font>
        <color rgb="FFA3ACB8"/>
      </font>
    </dxf>
  </dxfs>
  <colors>
    <indexedColors>
      <rgbColor rgb="FF000000"/>
      <rgbColor rgb="FFFFFFFF"/>
      <rgbColor rgb="FFFF0000"/>
      <rgbColor rgb="FFF6F8FA"/>
      <rgbColor rgb="FF0000FF"/>
      <rgbColor rgb="FFF9DEDC"/>
      <rgbColor rgb="FFFF00FF"/>
      <rgbColor rgb="FFE3E8EF"/>
      <rgbColor rgb="FF800000"/>
      <rgbColor rgb="FF2E6B34"/>
      <rgbColor rgb="FF000080"/>
      <rgbColor rgb="FF7A5C00"/>
      <rgbColor rgb="FF800080"/>
      <rgbColor rgb="FF4A5563"/>
      <rgbColor rgb="FFA3ACB8"/>
      <rgbColor rgb="FF6B7785"/>
      <rgbColor rgb="FF9AA5B4"/>
      <rgbColor rgb="FFC62828"/>
      <rgbColor rgb="FFFFF3C4"/>
      <rgbColor rgb="FFE8EEF5"/>
      <rgbColor rgb="FF660066"/>
      <rgbColor rgb="FFE57373"/>
      <rgbColor rgb="FF0066CC"/>
      <rgbColor rgb="FFC9D1DC"/>
      <rgbColor rgb="FF000080"/>
      <rgbColor rgb="FFFF00FF"/>
      <rgbColor rgb="FFFBE6E6"/>
      <rgbColor rgb="FFECEFF3"/>
      <rgbColor rgb="FF800080"/>
      <rgbColor rgb="FF800000"/>
      <rgbColor rgb="FF008080"/>
      <rgbColor rgb="FF0000FF"/>
      <rgbColor rgb="FFDCE4EE"/>
      <rgbColor rgb="FFEDF2F7"/>
      <rgbColor rgb="FFE3F1E1"/>
      <rgbColor rgb="FFFFF2CC"/>
      <rgbColor rgb="FF9CCB95"/>
      <rgbColor rgb="FFF7D4D4"/>
      <rgbColor rgb="FFD9D9D9"/>
      <rgbColor rgb="FFF2B8B8"/>
      <rgbColor rgb="FF4A7FB0"/>
      <rgbColor rgb="FFD5DCE4"/>
      <rgbColor rgb="FFC9E4C5"/>
      <rgbColor rgb="FFD9B44A"/>
      <rgbColor rgb="FFE0A93B"/>
      <rgbColor rgb="FFFDF3F3"/>
      <rgbColor rgb="FF5B6B7F"/>
      <rgbColor rgb="FF8A94A1"/>
      <rgbColor rgb="FF1F3A5F"/>
      <rgbColor rgb="FF4E8F5A"/>
      <rgbColor rgb="FF003300"/>
      <rgbColor rgb="FF1E5A25"/>
      <rgbColor rgb="FFA61B1B"/>
      <rgbColor rgb="FFC9534F"/>
      <rgbColor rgb="FF2F5378"/>
      <rgbColor rgb="FF1F29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1f3a5f"/>
                </a:solidFill>
                <a:latin typeface="等线"/>
                <a:ea typeface="等线"/>
              </a:defRPr>
            </a:pPr>
            <a:r>
              <a:rPr b="1" sz="1200" spc="-1" strike="noStrike">
                <a:solidFill>
                  <a:srgbClr val="1f3a5f"/>
                </a:solidFill>
                <a:latin typeface="等线"/>
                <a:ea typeface="等线"/>
              </a:rPr>
              <a:t>各楼栋工单状态（累计）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总仪表盘!$C$48</c:f>
              <c:strCache>
                <c:ptCount val="1"/>
                <c:pt idx="0">
                  <c:v>已完成</c:v>
                </c:pt>
              </c:strCache>
            </c:strRef>
          </c:tx>
          <c:spPr>
            <a:solidFill>
              <a:srgbClr val="4e8f5a"/>
            </a:solidFill>
            <a:ln w="0">
              <a:solidFill>
                <a:srgbClr val="4e8f5a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等线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总仪表盘!$A$49:$A$62</c:f>
              <c:strCache>
                <c:ptCount val="14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  <c:pt idx="13">
                  <c:v>未填写楼栋</c:v>
                </c:pt>
              </c:strCache>
            </c:strRef>
          </c:cat>
          <c:val>
            <c:numRef>
              <c:f>总仪表盘!$C$49:$C$62</c:f>
              <c:numCache>
                <c:formatCode>#,##0;\-#,##0;\-</c:formatCode>
                <c:ptCount val="14"/>
                <c:pt idx="0">
                  <c:v>8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14</c:v>
                </c:pt>
                <c:pt idx="5">
                  <c:v>13</c:v>
                </c:pt>
                <c:pt idx="6">
                  <c:v>11</c:v>
                </c:pt>
                <c:pt idx="7">
                  <c:v>14</c:v>
                </c:pt>
                <c:pt idx="8">
                  <c:v>13</c:v>
                </c:pt>
                <c:pt idx="9">
                  <c:v>14</c:v>
                </c:pt>
                <c:pt idx="10">
                  <c:v>11</c:v>
                </c:pt>
                <c:pt idx="11">
                  <c:v>1</c:v>
                </c:pt>
                <c:pt idx="12">
                  <c:v>6</c:v>
                </c:pt>
                <c:pt idx="13">
                  <c:v>0</c:v>
                </c:pt>
              </c:numCache>
            </c:numRef>
          </c:val>
        </c:ser>
        <c:ser>
          <c:idx val="1"/>
          <c:order val="1"/>
          <c:tx>
            <c:strRef>
              <c:f>总仪表盘!$D$48</c:f>
              <c:strCache>
                <c:ptCount val="1"/>
                <c:pt idx="0">
                  <c:v>跟进中</c:v>
                </c:pt>
              </c:strCache>
            </c:strRef>
          </c:tx>
          <c:spPr>
            <a:solidFill>
              <a:srgbClr val="e0a93b"/>
            </a:solidFill>
            <a:ln w="0">
              <a:solidFill>
                <a:srgbClr val="e0a93b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等线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总仪表盘!$A$49:$A$62</c:f>
              <c:strCache>
                <c:ptCount val="14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  <c:pt idx="13">
                  <c:v>未填写楼栋</c:v>
                </c:pt>
              </c:strCache>
            </c:strRef>
          </c:cat>
          <c:val>
            <c:numRef>
              <c:f>总仪表盘!$D$49:$D$62</c:f>
              <c:numCache>
                <c:formatCode>#,##0;\-#,##0;\-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</c:numCache>
            </c:numRef>
          </c:val>
        </c:ser>
        <c:ser>
          <c:idx val="2"/>
          <c:order val="2"/>
          <c:tx>
            <c:strRef>
              <c:f>总仪表盘!$E$48</c:f>
              <c:strCache>
                <c:ptCount val="1"/>
                <c:pt idx="0">
                  <c:v>需另约时间</c:v>
                </c:pt>
              </c:strCache>
            </c:strRef>
          </c:tx>
          <c:spPr>
            <a:solidFill>
              <a:srgbClr val="c9534f"/>
            </a:solidFill>
            <a:ln w="0">
              <a:solidFill>
                <a:srgbClr val="c9534f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等线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总仪表盘!$A$49:$A$62</c:f>
              <c:strCache>
                <c:ptCount val="14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  <c:pt idx="13">
                  <c:v>未填写楼栋</c:v>
                </c:pt>
              </c:strCache>
            </c:strRef>
          </c:cat>
          <c:val>
            <c:numRef>
              <c:f>总仪表盘!$E$49:$E$62</c:f>
              <c:numCache>
                <c:formatCode>#,##0;\-#,##0;\-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gapWidth val="55"/>
        <c:overlap val="100"/>
        <c:axId val="56794289"/>
        <c:axId val="5135331"/>
      </c:barChart>
      <c:catAx>
        <c:axId val="5679428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c9d1dc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563"/>
                </a:solidFill>
                <a:latin typeface="等线"/>
                <a:ea typeface="等线"/>
              </a:defRPr>
            </a:pPr>
          </a:p>
        </c:txPr>
        <c:crossAx val="5135331"/>
        <c:crosses val="autoZero"/>
        <c:auto val="1"/>
        <c:lblAlgn val="ctr"/>
        <c:lblOffset val="100"/>
        <c:noMultiLvlLbl val="0"/>
      </c:catAx>
      <c:valAx>
        <c:axId val="5135331"/>
        <c:scaling>
          <c:orientation val="minMax"/>
        </c:scaling>
        <c:delete val="0"/>
        <c:axPos val="l"/>
        <c:majorGridlines>
          <c:spPr>
            <a:ln w="6480">
              <a:solidFill>
                <a:srgbClr val="e3e8ef"/>
              </a:solidFill>
              <a:round/>
            </a:ln>
          </c:spPr>
        </c:majorGridlines>
        <c:numFmt formatCode="#,##0;\-#,##0;\-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4a5563"/>
                </a:solidFill>
                <a:latin typeface="等线"/>
                <a:ea typeface="等线"/>
              </a:defRPr>
            </a:pPr>
          </a:p>
        </c:txPr>
        <c:crossAx val="5679428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1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563"/>
              </a:solidFill>
              <a:latin typeface="等线"/>
              <a:ea typeface="等线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1f3a5f"/>
                </a:solidFill>
                <a:latin typeface="等线"/>
                <a:ea typeface="等线"/>
              </a:defRPr>
            </a:pPr>
            <a:r>
              <a:rPr b="1" sz="1200" spc="-1" strike="noStrike">
                <a:solidFill>
                  <a:srgbClr val="1f3a5f"/>
                </a:solidFill>
                <a:latin typeface="等线"/>
                <a:ea typeface="等线"/>
              </a:rPr>
              <a:t>各师傅工单量与评价（累计）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总仪表盘!$B$66</c:f>
              <c:strCache>
                <c:ptCount val="1"/>
                <c:pt idx="0">
                  <c:v>报修总量</c:v>
                </c:pt>
              </c:strCache>
            </c:strRef>
          </c:tx>
          <c:spPr>
            <a:solidFill>
              <a:srgbClr val="1f3a5f"/>
            </a:solidFill>
            <a:ln w="0">
              <a:solidFill>
                <a:srgbClr val="1f3a5f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等线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总仪表盘!$A$67:$A$71</c:f>
              <c:strCache>
                <c:ptCount val="5"/>
                <c:pt idx="0">
                  <c:v>张师傅</c:v>
                </c:pt>
                <c:pt idx="1">
                  <c:v>李师傅</c:v>
                </c:pt>
                <c:pt idx="2">
                  <c:v>王师傅</c:v>
                </c:pt>
                <c:pt idx="3">
                  <c:v>陈师傅</c:v>
                </c:pt>
                <c:pt idx="4">
                  <c:v>刘师傅</c:v>
                </c:pt>
              </c:strCache>
            </c:strRef>
          </c:cat>
          <c:val>
            <c:numRef>
              <c:f>总仪表盘!$B$67:$B$71</c:f>
              <c:numCache>
                <c:formatCode>#,##0;\-#,##0;\-</c:formatCode>
                <c:ptCount val="5"/>
                <c:pt idx="0">
                  <c:v>67</c:v>
                </c:pt>
                <c:pt idx="1">
                  <c:v>40</c:v>
                </c:pt>
                <c:pt idx="2">
                  <c:v>8</c:v>
                </c:pt>
                <c:pt idx="3">
                  <c:v>16</c:v>
                </c:pt>
                <c:pt idx="4">
                  <c:v>13</c:v>
                </c:pt>
              </c:numCache>
            </c:numRef>
          </c:val>
        </c:ser>
        <c:ser>
          <c:idx val="1"/>
          <c:order val="1"/>
          <c:tx>
            <c:strRef>
              <c:f>总仪表盘!$G$66</c:f>
              <c:strCache>
                <c:ptCount val="1"/>
                <c:pt idx="0">
                  <c:v>非常满意</c:v>
                </c:pt>
              </c:strCache>
            </c:strRef>
          </c:tx>
          <c:spPr>
            <a:solidFill>
              <a:srgbClr val="4e8f5a"/>
            </a:solidFill>
            <a:ln w="0">
              <a:solidFill>
                <a:srgbClr val="4e8f5a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等线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总仪表盘!$A$67:$A$71</c:f>
              <c:strCache>
                <c:ptCount val="5"/>
                <c:pt idx="0">
                  <c:v>张师傅</c:v>
                </c:pt>
                <c:pt idx="1">
                  <c:v>李师傅</c:v>
                </c:pt>
                <c:pt idx="2">
                  <c:v>王师傅</c:v>
                </c:pt>
                <c:pt idx="3">
                  <c:v>陈师傅</c:v>
                </c:pt>
                <c:pt idx="4">
                  <c:v>刘师傅</c:v>
                </c:pt>
              </c:strCache>
            </c:strRef>
          </c:cat>
          <c:val>
            <c:numRef>
              <c:f>总仪表盘!$G$67:$G$71</c:f>
              <c:numCache>
                <c:formatCode>#,##0;\-#,##0;\-</c:formatCode>
                <c:ptCount val="5"/>
                <c:pt idx="0">
                  <c:v>52</c:v>
                </c:pt>
                <c:pt idx="1">
                  <c:v>32</c:v>
                </c:pt>
                <c:pt idx="2">
                  <c:v>3</c:v>
                </c:pt>
                <c:pt idx="3">
                  <c:v>4</c:v>
                </c:pt>
                <c:pt idx="4">
                  <c:v>8</c:v>
                </c:pt>
              </c:numCache>
            </c:numRef>
          </c:val>
        </c:ser>
        <c:ser>
          <c:idx val="2"/>
          <c:order val="2"/>
          <c:tx>
            <c:strRef>
              <c:f>总仪表盘!$H$66</c:f>
              <c:strCache>
                <c:ptCount val="1"/>
                <c:pt idx="0">
                  <c:v>满意</c:v>
                </c:pt>
              </c:strCache>
            </c:strRef>
          </c:tx>
          <c:spPr>
            <a:solidFill>
              <a:srgbClr val="9ccb95"/>
            </a:solidFill>
            <a:ln w="0">
              <a:solidFill>
                <a:srgbClr val="9ccb95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等线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总仪表盘!$A$67:$A$71</c:f>
              <c:strCache>
                <c:ptCount val="5"/>
                <c:pt idx="0">
                  <c:v>张师傅</c:v>
                </c:pt>
                <c:pt idx="1">
                  <c:v>李师傅</c:v>
                </c:pt>
                <c:pt idx="2">
                  <c:v>王师傅</c:v>
                </c:pt>
                <c:pt idx="3">
                  <c:v>陈师傅</c:v>
                </c:pt>
                <c:pt idx="4">
                  <c:v>刘师傅</c:v>
                </c:pt>
              </c:strCache>
            </c:strRef>
          </c:cat>
          <c:val>
            <c:numRef>
              <c:f>总仪表盘!$H$67:$H$71</c:f>
              <c:numCache>
                <c:formatCode>#,##0;\-#,##0;\-</c:formatCode>
                <c:ptCount val="5"/>
                <c:pt idx="0">
                  <c:v>2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gapWidth val="55"/>
        <c:overlap val="0"/>
        <c:axId val="82857413"/>
        <c:axId val="79356372"/>
      </c:barChart>
      <c:catAx>
        <c:axId val="8285741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c9d1dc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563"/>
                </a:solidFill>
                <a:latin typeface="等线"/>
                <a:ea typeface="等线"/>
              </a:defRPr>
            </a:pPr>
          </a:p>
        </c:txPr>
        <c:crossAx val="79356372"/>
        <c:crosses val="autoZero"/>
        <c:auto val="1"/>
        <c:lblAlgn val="ctr"/>
        <c:lblOffset val="100"/>
        <c:noMultiLvlLbl val="0"/>
      </c:catAx>
      <c:valAx>
        <c:axId val="79356372"/>
        <c:scaling>
          <c:orientation val="minMax"/>
        </c:scaling>
        <c:delete val="0"/>
        <c:axPos val="l"/>
        <c:majorGridlines>
          <c:spPr>
            <a:ln w="6480">
              <a:solidFill>
                <a:srgbClr val="e3e8ef"/>
              </a:solidFill>
              <a:round/>
            </a:ln>
          </c:spPr>
        </c:majorGridlines>
        <c:numFmt formatCode="#,##0;\-#,##0;\-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4a5563"/>
                </a:solidFill>
                <a:latin typeface="等线"/>
                <a:ea typeface="等线"/>
              </a:defRPr>
            </a:pPr>
          </a:p>
        </c:txPr>
        <c:crossAx val="8285741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1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563"/>
              </a:solidFill>
              <a:latin typeface="等线"/>
              <a:ea typeface="等线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0</xdr:colOff>
      <xdr:row>4</xdr:row>
      <xdr:rowOff>0</xdr:rowOff>
    </xdr:from>
    <xdr:to>
      <xdr:col>27</xdr:col>
      <xdr:colOff>191160</xdr:colOff>
      <xdr:row>14</xdr:row>
      <xdr:rowOff>190440</xdr:rowOff>
    </xdr:to>
    <xdr:graphicFrame>
      <xdr:nvGraphicFramePr>
        <xdr:cNvPr id="0" name="Chart 1"/>
        <xdr:cNvGraphicFramePr/>
      </xdr:nvGraphicFramePr>
      <xdr:xfrm>
        <a:off x="12409920" y="1228680"/>
        <a:ext cx="629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0</xdr:colOff>
      <xdr:row>23</xdr:row>
      <xdr:rowOff>0</xdr:rowOff>
    </xdr:from>
    <xdr:to>
      <xdr:col>27</xdr:col>
      <xdr:colOff>191160</xdr:colOff>
      <xdr:row>35</xdr:row>
      <xdr:rowOff>180720</xdr:rowOff>
    </xdr:to>
    <xdr:graphicFrame>
      <xdr:nvGraphicFramePr>
        <xdr:cNvPr id="1" name="Chart 2"/>
        <xdr:cNvGraphicFramePr/>
      </xdr:nvGraphicFramePr>
      <xdr:xfrm>
        <a:off x="12409920" y="6534000"/>
        <a:ext cx="629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 pitchFamily="0" charset="1"/>
        <a:ea typeface=""/>
        <a:cs typeface=""/>
      </a:majorFont>
      <a:minorFont>
        <a:latin typeface="等线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P4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G126" activeCellId="0" sqref="G126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1.5"/>
    <col collapsed="false" customWidth="true" hidden="false" outlineLevel="0" max="3" min="3" style="1" width="7"/>
    <col collapsed="false" customWidth="true" hidden="false" outlineLevel="0" max="4" min="4" style="1" width="8"/>
    <col collapsed="false" customWidth="true" hidden="false" outlineLevel="0" max="5" min="5" style="1" width="34"/>
    <col collapsed="false" customWidth="true" hidden="false" outlineLevel="0" max="8" min="6" style="1" width="9"/>
    <col collapsed="false" customWidth="true" hidden="false" outlineLevel="0" max="9" min="9" style="1" width="15"/>
    <col collapsed="false" customWidth="true" hidden="false" outlineLevel="0" max="10" min="10" style="1" width="8.5"/>
    <col collapsed="false" customWidth="true" hidden="false" outlineLevel="0" max="11" min="11" style="1" width="10"/>
    <col collapsed="false" customWidth="true" hidden="false" outlineLevel="0" max="12" min="12" style="1" width="8.5"/>
    <col collapsed="false" customWidth="true" hidden="false" outlineLevel="0" max="13" min="13" style="1" width="16"/>
    <col collapsed="false" customWidth="true" hidden="false" outlineLevel="0" max="14" min="14" style="1" width="30"/>
    <col collapsed="false" customWidth="true" hidden="false" outlineLevel="0" max="15" min="15" style="1" width="10"/>
    <col collapsed="false" customWidth="true" hidden="false" outlineLevel="0" max="16" min="16" style="1" width="26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3" t="str">
        <f aca="false">"休息中　"&amp;SUM(辅助数据!$BN$1:$BN$5)&amp;" 人　（下方选「休息」全表联动）"</f>
        <v>休息中　1 人　（下方选「休息」全表联动）</v>
      </c>
      <c r="K1" s="3"/>
      <c r="L1" s="3"/>
      <c r="M1" s="3"/>
      <c r="N1" s="3"/>
      <c r="O1" s="3"/>
      <c r="P1" s="3"/>
    </row>
    <row r="2" customFormat="false" ht="24" hidden="false" customHeight="true" outlineLevel="0" collapsed="false">
      <c r="A2" s="4" t="str">
        <f aca="false">"工作中师傅（跟进中）　"&amp;SUM(辅助数据!$BO$1:$BO$5)&amp;" 人"</f>
        <v>工作中师傅（跟进中）　4 人</v>
      </c>
      <c r="B2" s="4"/>
      <c r="C2" s="4"/>
      <c r="D2" s="4"/>
      <c r="E2" s="5" t="str">
        <f aca="false">IFERROR(INDEX(辅助数据!$A$1:$A$5,MATCH(1,辅助数据!$C$1:$C$5,0)),"（全部空闲）")</f>
        <v>李师傅</v>
      </c>
      <c r="F2" s="5" t="str">
        <f aca="false">IFERROR(INDEX(辅助数据!$A$1:$A$5,MATCH(2,辅助数据!$C$1:$C$5,0)),"")</f>
        <v>王师傅</v>
      </c>
      <c r="G2" s="5" t="str">
        <f aca="false">IFERROR(INDEX(辅助数据!$A$1:$A$5,MATCH(3,辅助数据!$C$1:$C$5,0)),"")</f>
        <v>陈师傅</v>
      </c>
      <c r="H2" s="5" t="str">
        <f aca="false">IFERROR(INDEX(辅助数据!$A$1:$A$5,MATCH(4,辅助数据!$C$1:$C$5,0)),"")</f>
        <v>刘师傅</v>
      </c>
      <c r="I2" s="5" t="str">
        <f aca="false">IFERROR(INDEX(辅助数据!$A$1:$A$5,MATCH(5,辅助数据!$C$1:$C$5,0)),"")</f>
        <v/>
      </c>
      <c r="J2" s="6" t="str">
        <f aca="false">辅助数据!$A$1</f>
        <v>张师傅</v>
      </c>
      <c r="K2" s="6" t="str">
        <f aca="false">辅助数据!$A$2</f>
        <v>李师傅</v>
      </c>
      <c r="L2" s="6" t="str">
        <f aca="false">辅助数据!$A$3</f>
        <v>王师傅</v>
      </c>
      <c r="M2" s="6" t="str">
        <f aca="false">辅助数据!$A$4</f>
        <v>陈师傅</v>
      </c>
      <c r="N2" s="6" t="str">
        <f aca="false">辅助数据!$A$5</f>
        <v>刘师傅</v>
      </c>
      <c r="O2" s="7" t="s">
        <v>1</v>
      </c>
      <c r="P2" s="7"/>
    </row>
    <row r="3" customFormat="false" ht="24" hidden="false" customHeight="true" outlineLevel="0" collapsed="false">
      <c r="A3" s="8" t="str">
        <f aca="false">"空闲师傅（可派单）　"&amp;SUM(辅助数据!$BP$1:$BP$5)&amp;" 人"</f>
        <v>空闲师傅（可派单）　0 人</v>
      </c>
      <c r="B3" s="8"/>
      <c r="C3" s="8"/>
      <c r="D3" s="8"/>
      <c r="E3" s="9" t="str">
        <f aca="false">IFERROR(INDEX(辅助数据!$A$1:$A$5,MATCH(1,辅助数据!$D$1:$D$5,0)),"（全部在岗）")</f>
        <v>（全部在岗）</v>
      </c>
      <c r="F3" s="9" t="str">
        <f aca="false">IFERROR(INDEX(辅助数据!$A$1:$A$5,MATCH(2,辅助数据!$D$1:$D$5,0)),"")</f>
        <v/>
      </c>
      <c r="G3" s="9" t="str">
        <f aca="false">IFERROR(INDEX(辅助数据!$A$1:$A$5,MATCH(3,辅助数据!$D$1:$D$5,0)),"")</f>
        <v/>
      </c>
      <c r="H3" s="9" t="str">
        <f aca="false">IFERROR(INDEX(辅助数据!$A$1:$A$5,MATCH(4,辅助数据!$D$1:$D$5,0)),"")</f>
        <v/>
      </c>
      <c r="I3" s="9" t="str">
        <f aca="false">IFERROR(INDEX(辅助数据!$A$1:$A$5,MATCH(5,辅助数据!$D$1:$D$5,0)),"")</f>
        <v/>
      </c>
      <c r="J3" s="10" t="s">
        <v>2</v>
      </c>
      <c r="K3" s="10" t="s">
        <v>3</v>
      </c>
      <c r="L3" s="10" t="s">
        <v>3</v>
      </c>
      <c r="M3" s="10" t="s">
        <v>3</v>
      </c>
      <c r="N3" s="10" t="s">
        <v>3</v>
      </c>
      <c r="O3" s="7" t="s">
        <v>4</v>
      </c>
      <c r="P3" s="7"/>
    </row>
    <row r="4" customFormat="false" ht="31.5" hidden="false" customHeight="true" outlineLevel="0" collapsed="false">
      <c r="A4" s="11" t="s">
        <v>5</v>
      </c>
      <c r="B4" s="12" t="s">
        <v>6</v>
      </c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12</v>
      </c>
      <c r="I4" s="12" t="s">
        <v>13</v>
      </c>
      <c r="J4" s="12" t="s">
        <v>14</v>
      </c>
      <c r="K4" s="12" t="s">
        <v>15</v>
      </c>
      <c r="L4" s="11" t="s">
        <v>16</v>
      </c>
      <c r="M4" s="11" t="s">
        <v>17</v>
      </c>
      <c r="N4" s="12" t="s">
        <v>18</v>
      </c>
      <c r="O4" s="12" t="s">
        <v>19</v>
      </c>
      <c r="P4" s="12" t="s">
        <v>20</v>
      </c>
    </row>
    <row r="5" customFormat="false" ht="21.75" hidden="false" customHeight="true" outlineLevel="0" collapsed="false">
      <c r="A5" s="13" t="n">
        <f aca="false">IF($E5="","",COUNTA($E$5:$E5))</f>
        <v>1</v>
      </c>
      <c r="B5" s="14" t="n">
        <v>46233</v>
      </c>
      <c r="C5" s="15" t="s">
        <v>21</v>
      </c>
      <c r="D5" s="16" t="s">
        <v>22</v>
      </c>
      <c r="E5" s="17" t="s">
        <v>23</v>
      </c>
      <c r="F5" s="18" t="s">
        <v>24</v>
      </c>
      <c r="G5" s="18" t="s">
        <v>25</v>
      </c>
      <c r="H5" s="15"/>
      <c r="I5" s="15" t="s">
        <v>26</v>
      </c>
      <c r="J5" s="18" t="s">
        <v>27</v>
      </c>
      <c r="K5" s="18" t="s">
        <v>28</v>
      </c>
      <c r="L5" s="19" t="n">
        <f aca="false">IF($E5="","",IF(OR($C5="",$D5=""),"",COUNTIFS($C$5:$C$404,$C5,$D$5:$D$404,$D5)))</f>
        <v>1</v>
      </c>
      <c r="M5" s="20" t="str">
        <f aca="false">IF($E5="","",IF(OR($B5="",$C5="",$D5=""),"待补楼栋/房号/日期",SUBSTITUTE($C5,"栋","")&amp;"-"&amp;$D5&amp;"-"&amp;TEXT(MONTH($B5),"00")&amp;TEXT(DAY($B5),"00")&amp;IF(COUNTIFS($C$5:$C5,$C5,$D$5:$D5,$D5)&gt;1,"-"&amp;TEXT(COUNTIFS($C$5:$C5,$C5,$D$5:$D5,$D5),"00"),"")))</f>
        <v>8-403-0730</v>
      </c>
      <c r="N5" s="17" t="s">
        <v>29</v>
      </c>
      <c r="O5" s="18" t="s">
        <v>30</v>
      </c>
      <c r="P5" s="17"/>
    </row>
    <row r="6" customFormat="false" ht="21.75" hidden="false" customHeight="true" outlineLevel="0" collapsed="false">
      <c r="A6" s="13" t="n">
        <f aca="false">IF($E6="","",COUNTA($E$5:$E6))</f>
        <v>2</v>
      </c>
      <c r="B6" s="14" t="n">
        <v>46233</v>
      </c>
      <c r="C6" s="15" t="s">
        <v>31</v>
      </c>
      <c r="D6" s="16" t="s">
        <v>32</v>
      </c>
      <c r="E6" s="17" t="s">
        <v>33</v>
      </c>
      <c r="F6" s="18" t="s">
        <v>34</v>
      </c>
      <c r="G6" s="18" t="s">
        <v>24</v>
      </c>
      <c r="H6" s="15"/>
      <c r="I6" s="15" t="s">
        <v>35</v>
      </c>
      <c r="J6" s="18"/>
      <c r="K6" s="18" t="s">
        <v>36</v>
      </c>
      <c r="L6" s="19" t="n">
        <f aca="false">IF($E6="","",IF(OR($C6="",$D6=""),"",COUNTIFS($C$5:$C$404,$C6,$D$5:$D$404,$D6)))</f>
        <v>1</v>
      </c>
      <c r="M6" s="20" t="str">
        <f aca="false">IF($E6="","",IF(OR($B6="",$C6="",$D6=""),"待补楼栋/房号/日期",SUBSTITUTE($C6,"栋","")&amp;"-"&amp;$D6&amp;"-"&amp;TEXT(MONTH($B6),"00")&amp;TEXT(DAY($B6),"00")&amp;IF(COUNTIFS($C$5:$C6,$C6,$D$5:$D6,$D6)&gt;1,"-"&amp;TEXT(COUNTIFS($C$5:$C6,$C6,$D$5:$D6,$D6),"00"),"")))</f>
        <v>6-2504-0730</v>
      </c>
      <c r="N6" s="17" t="s">
        <v>37</v>
      </c>
      <c r="O6" s="18"/>
      <c r="P6" s="17"/>
    </row>
    <row r="7" customFormat="false" ht="21.75" hidden="false" customHeight="true" outlineLevel="0" collapsed="false">
      <c r="A7" s="13" t="n">
        <f aca="false">IF($E7="","",COUNTA($E$5:$E7))</f>
        <v>3</v>
      </c>
      <c r="B7" s="14" t="n">
        <v>46233</v>
      </c>
      <c r="C7" s="15" t="s">
        <v>38</v>
      </c>
      <c r="D7" s="16" t="s">
        <v>39</v>
      </c>
      <c r="E7" s="17" t="s">
        <v>40</v>
      </c>
      <c r="F7" s="18" t="s">
        <v>34</v>
      </c>
      <c r="G7" s="18"/>
      <c r="H7" s="15"/>
      <c r="I7" s="15" t="s">
        <v>41</v>
      </c>
      <c r="J7" s="18"/>
      <c r="K7" s="18" t="s">
        <v>28</v>
      </c>
      <c r="L7" s="19" t="n">
        <f aca="false">IF($E7="","",IF(OR($C7="",$D7=""),"",COUNTIFS($C$5:$C$404,$C7,$D$5:$D$404,$D7)))</f>
        <v>2</v>
      </c>
      <c r="M7" s="20" t="str">
        <f aca="false">IF($E7="","",IF(OR($B7="",$C7="",$D7=""),"待补楼栋/房号/日期",SUBSTITUTE($C7,"栋","")&amp;"-"&amp;$D7&amp;"-"&amp;TEXT(MONTH($B7),"00")&amp;TEXT(DAY($B7),"00")&amp;IF(COUNTIFS($C$5:$C7,$C7,$D$5:$D7,$D7)&gt;1,"-"&amp;TEXT(COUNTIFS($C$5:$C7,$C7,$D$5:$D7,$D7),"00"),"")))</f>
        <v>5-503-0730</v>
      </c>
      <c r="N7" s="17" t="s">
        <v>42</v>
      </c>
      <c r="O7" s="18" t="s">
        <v>30</v>
      </c>
      <c r="P7" s="17"/>
    </row>
    <row r="8" customFormat="false" ht="21.75" hidden="false" customHeight="true" outlineLevel="0" collapsed="false">
      <c r="A8" s="13" t="n">
        <f aca="false">IF($E8="","",COUNTA($E$5:$E8))</f>
        <v>4</v>
      </c>
      <c r="B8" s="14" t="n">
        <v>46233</v>
      </c>
      <c r="C8" s="15" t="s">
        <v>43</v>
      </c>
      <c r="D8" s="16" t="s">
        <v>44</v>
      </c>
      <c r="E8" s="17" t="s">
        <v>45</v>
      </c>
      <c r="F8" s="18" t="s">
        <v>24</v>
      </c>
      <c r="G8" s="18"/>
      <c r="H8" s="15"/>
      <c r="I8" s="15" t="s">
        <v>46</v>
      </c>
      <c r="J8" s="18"/>
      <c r="K8" s="18" t="s">
        <v>28</v>
      </c>
      <c r="L8" s="19" t="n">
        <f aca="false">IF($E8="","",IF(OR($C8="",$D8=""),"",COUNTIFS($C$5:$C$404,$C8,$D$5:$D$404,$D8)))</f>
        <v>1</v>
      </c>
      <c r="M8" s="20" t="str">
        <f aca="false">IF($E8="","",IF(OR($B8="",$C8="",$D8=""),"待补楼栋/房号/日期",SUBSTITUTE($C8,"栋","")&amp;"-"&amp;$D8&amp;"-"&amp;TEXT(MONTH($B8),"00")&amp;TEXT(DAY($B8),"00")&amp;IF(COUNTIFS($C$5:$C8,$C8,$D$5:$D8,$D8)&gt;1,"-"&amp;TEXT(COUNTIFS($C$5:$C8,$C8,$D$5:$D8,$D8),"00"),"")))</f>
        <v>7-2904-0730</v>
      </c>
      <c r="N8" s="17" t="s">
        <v>47</v>
      </c>
      <c r="O8" s="18" t="s">
        <v>48</v>
      </c>
      <c r="P8" s="17"/>
    </row>
    <row r="9" customFormat="false" ht="21.75" hidden="false" customHeight="true" outlineLevel="0" collapsed="false">
      <c r="A9" s="13" t="n">
        <f aca="false">IF($E9="","",COUNTA($E$5:$E9))</f>
        <v>5</v>
      </c>
      <c r="B9" s="14" t="n">
        <v>46233</v>
      </c>
      <c r="C9" s="15" t="s">
        <v>31</v>
      </c>
      <c r="D9" s="16" t="s">
        <v>49</v>
      </c>
      <c r="E9" s="17" t="s">
        <v>50</v>
      </c>
      <c r="F9" s="18" t="s">
        <v>24</v>
      </c>
      <c r="G9" s="18"/>
      <c r="H9" s="15"/>
      <c r="I9" s="15" t="s">
        <v>51</v>
      </c>
      <c r="J9" s="18"/>
      <c r="K9" s="18" t="s">
        <v>28</v>
      </c>
      <c r="L9" s="19" t="n">
        <f aca="false">IF($E9="","",IF(OR($C9="",$D9=""),"",COUNTIFS($C$5:$C$404,$C9,$D$5:$D$404,$D9)))</f>
        <v>1</v>
      </c>
      <c r="M9" s="20" t="str">
        <f aca="false">IF($E9="","",IF(OR($B9="",$C9="",$D9=""),"待补楼栋/房号/日期",SUBSTITUTE($C9,"栋","")&amp;"-"&amp;$D9&amp;"-"&amp;TEXT(MONTH($B9),"00")&amp;TEXT(DAY($B9),"00")&amp;IF(COUNTIFS($C$5:$C9,$C9,$D$5:$D9,$D9)&gt;1,"-"&amp;TEXT(COUNTIFS($C$5:$C9,$C9,$D$5:$D9,$D9),"00"),"")))</f>
        <v>6-2004-0730</v>
      </c>
      <c r="N9" s="17" t="s">
        <v>52</v>
      </c>
      <c r="O9" s="18" t="s">
        <v>53</v>
      </c>
      <c r="P9" s="17"/>
    </row>
    <row r="10" customFormat="false" ht="21.75" hidden="false" customHeight="true" outlineLevel="0" collapsed="false">
      <c r="A10" s="13" t="n">
        <f aca="false">IF($E10="","",COUNTA($E$5:$E10))</f>
        <v>6</v>
      </c>
      <c r="B10" s="14" t="n">
        <v>46233</v>
      </c>
      <c r="C10" s="15" t="s">
        <v>31</v>
      </c>
      <c r="D10" s="16" t="s">
        <v>54</v>
      </c>
      <c r="E10" s="17" t="s">
        <v>55</v>
      </c>
      <c r="F10" s="18" t="s">
        <v>24</v>
      </c>
      <c r="G10" s="18"/>
      <c r="H10" s="15"/>
      <c r="I10" s="15" t="s">
        <v>56</v>
      </c>
      <c r="J10" s="18"/>
      <c r="K10" s="18" t="s">
        <v>28</v>
      </c>
      <c r="L10" s="19" t="n">
        <f aca="false">IF($E10="","",IF(OR($C10="",$D10=""),"",COUNTIFS($C$5:$C$404,$C10,$D$5:$D$404,$D10)))</f>
        <v>1</v>
      </c>
      <c r="M10" s="20" t="str">
        <f aca="false">IF($E10="","",IF(OR($B10="",$C10="",$D10=""),"待补楼栋/房号/日期",SUBSTITUTE($C10,"栋","")&amp;"-"&amp;$D10&amp;"-"&amp;TEXT(MONTH($B10),"00")&amp;TEXT(DAY($B10),"00")&amp;IF(COUNTIFS($C$5:$C10,$C10,$D$5:$D10,$D10)&gt;1,"-"&amp;TEXT(COUNTIFS($C$5:$C10,$C10,$D$5:$D10,$D10),"00"),"")))</f>
        <v>6-2501-0730</v>
      </c>
      <c r="N10" s="17" t="s">
        <v>57</v>
      </c>
      <c r="O10" s="18" t="s">
        <v>30</v>
      </c>
      <c r="P10" s="17" t="s">
        <v>58</v>
      </c>
    </row>
    <row r="11" customFormat="false" ht="36" hidden="false" customHeight="true" outlineLevel="0" collapsed="false">
      <c r="A11" s="13" t="n">
        <f aca="false">IF($E11="","",COUNTA($E$5:$E11))</f>
        <v>7</v>
      </c>
      <c r="B11" s="14" t="n">
        <v>46233</v>
      </c>
      <c r="C11" s="15" t="s">
        <v>31</v>
      </c>
      <c r="D11" s="16" t="s">
        <v>59</v>
      </c>
      <c r="E11" s="17" t="s">
        <v>60</v>
      </c>
      <c r="F11" s="18" t="s">
        <v>25</v>
      </c>
      <c r="G11" s="18"/>
      <c r="H11" s="15"/>
      <c r="I11" s="15" t="s">
        <v>51</v>
      </c>
      <c r="J11" s="18" t="s">
        <v>61</v>
      </c>
      <c r="K11" s="18" t="s">
        <v>36</v>
      </c>
      <c r="L11" s="19" t="n">
        <f aca="false">IF($E11="","",IF(OR($C11="",$D11=""),"",COUNTIFS($C$5:$C$404,$C11,$D$5:$D$404,$D11)))</f>
        <v>1</v>
      </c>
      <c r="M11" s="20" t="str">
        <f aca="false">IF($E11="","",IF(OR($B11="",$C11="",$D11=""),"待补楼栋/房号/日期",SUBSTITUTE($C11,"栋","")&amp;"-"&amp;$D11&amp;"-"&amp;TEXT(MONTH($B11),"00")&amp;TEXT(DAY($B11),"00")&amp;IF(COUNTIFS($C$5:$C11,$C11,$D$5:$D11,$D11)&gt;1,"-"&amp;TEXT(COUNTIFS($C$5:$C11,$C11,$D$5:$D11,$D11),"00"),"")))</f>
        <v>6-701-0730</v>
      </c>
      <c r="N11" s="17" t="s">
        <v>62</v>
      </c>
      <c r="O11" s="18" t="s">
        <v>30</v>
      </c>
      <c r="P11" s="17" t="s">
        <v>63</v>
      </c>
    </row>
    <row r="12" customFormat="false" ht="36" hidden="false" customHeight="true" outlineLevel="0" collapsed="false">
      <c r="A12" s="13" t="n">
        <f aca="false">IF($E12="","",COUNTA($E$5:$E12))</f>
        <v>8</v>
      </c>
      <c r="B12" s="14" t="n">
        <v>46233</v>
      </c>
      <c r="C12" s="15" t="s">
        <v>21</v>
      </c>
      <c r="D12" s="16" t="s">
        <v>64</v>
      </c>
      <c r="E12" s="17" t="s">
        <v>65</v>
      </c>
      <c r="F12" s="18"/>
      <c r="G12" s="18"/>
      <c r="H12" s="15"/>
      <c r="I12" s="15" t="s">
        <v>51</v>
      </c>
      <c r="J12" s="18" t="s">
        <v>66</v>
      </c>
      <c r="K12" s="18" t="s">
        <v>36</v>
      </c>
      <c r="L12" s="19" t="n">
        <f aca="false">IF($E12="","",IF(OR($C12="",$D12=""),"",COUNTIFS($C$5:$C$404,$C12,$D$5:$D$404,$D12)))</f>
        <v>1</v>
      </c>
      <c r="M12" s="20" t="str">
        <f aca="false">IF($E12="","",IF(OR($B12="",$C12="",$D12=""),"待补楼栋/房号/日期",SUBSTITUTE($C12,"栋","")&amp;"-"&amp;$D12&amp;"-"&amp;TEXT(MONTH($B12),"00")&amp;TEXT(DAY($B12),"00")&amp;IF(COUNTIFS($C$5:$C12,$C12,$D$5:$D12,$D12)&gt;1,"-"&amp;TEXT(COUNTIFS($C$5:$C12,$C12,$D$5:$D12,$D12),"00"),"")))</f>
        <v>8-1602-0730</v>
      </c>
      <c r="N12" s="17" t="s">
        <v>67</v>
      </c>
      <c r="O12" s="18"/>
      <c r="P12" s="17"/>
    </row>
    <row r="13" customFormat="false" ht="21.75" hidden="false" customHeight="true" outlineLevel="0" collapsed="false">
      <c r="A13" s="13" t="n">
        <f aca="false">IF($E13="","",COUNTA($E$5:$E13))</f>
        <v>9</v>
      </c>
      <c r="B13" s="14" t="n">
        <v>46233</v>
      </c>
      <c r="C13" s="15" t="s">
        <v>38</v>
      </c>
      <c r="D13" s="16" t="s">
        <v>68</v>
      </c>
      <c r="E13" s="17" t="s">
        <v>55</v>
      </c>
      <c r="F13" s="18" t="s">
        <v>24</v>
      </c>
      <c r="G13" s="18"/>
      <c r="H13" s="15"/>
      <c r="I13" s="15" t="s">
        <v>69</v>
      </c>
      <c r="J13" s="18"/>
      <c r="K13" s="18" t="s">
        <v>28</v>
      </c>
      <c r="L13" s="19" t="n">
        <f aca="false">IF($E13="","",IF(OR($C13="",$D13=""),"",COUNTIFS($C$5:$C$404,$C13,$D$5:$D$404,$D13)))</f>
        <v>1</v>
      </c>
      <c r="M13" s="20" t="str">
        <f aca="false">IF($E13="","",IF(OR($B13="",$C13="",$D13=""),"待补楼栋/房号/日期",SUBSTITUTE($C13,"栋","")&amp;"-"&amp;$D13&amp;"-"&amp;TEXT(MONTH($B13),"00")&amp;TEXT(DAY($B13),"00")&amp;IF(COUNTIFS($C$5:$C13,$C13,$D$5:$D13,$D13)&gt;1,"-"&amp;TEXT(COUNTIFS($C$5:$C13,$C13,$D$5:$D13,$D13),"00"),"")))</f>
        <v>5-504-0730</v>
      </c>
      <c r="N13" s="21" t="s">
        <v>70</v>
      </c>
      <c r="O13" s="18" t="s">
        <v>30</v>
      </c>
      <c r="P13" s="21"/>
    </row>
    <row r="14" customFormat="false" ht="21.75" hidden="false" customHeight="true" outlineLevel="0" collapsed="false">
      <c r="A14" s="13" t="n">
        <f aca="false">IF($E14="","",COUNTA($E$5:$E14))</f>
        <v>10</v>
      </c>
      <c r="B14" s="14" t="n">
        <v>46233</v>
      </c>
      <c r="C14" s="15" t="s">
        <v>43</v>
      </c>
      <c r="D14" s="16" t="s">
        <v>71</v>
      </c>
      <c r="E14" s="17" t="s">
        <v>72</v>
      </c>
      <c r="F14" s="18" t="s">
        <v>25</v>
      </c>
      <c r="G14" s="18"/>
      <c r="H14" s="15"/>
      <c r="I14" s="15" t="s">
        <v>73</v>
      </c>
      <c r="J14" s="18" t="s">
        <v>74</v>
      </c>
      <c r="K14" s="18" t="s">
        <v>28</v>
      </c>
      <c r="L14" s="19" t="n">
        <f aca="false">IF($E14="","",IF(OR($C14="",$D14=""),"",COUNTIFS($C$5:$C$404,$C14,$D$5:$D$404,$D14)))</f>
        <v>1</v>
      </c>
      <c r="M14" s="20" t="str">
        <f aca="false">IF($E14="","",IF(OR($B14="",$C14="",$D14=""),"待补楼栋/房号/日期",SUBSTITUTE($C14,"栋","")&amp;"-"&amp;$D14&amp;"-"&amp;TEXT(MONTH($B14),"00")&amp;TEXT(DAY($B14),"00")&amp;IF(COUNTIFS($C$5:$C14,$C14,$D$5:$D14,$D14)&gt;1,"-"&amp;TEXT(COUNTIFS($C$5:$C14,$C14,$D$5:$D14,$D14),"00"),"")))</f>
        <v>7-304-0730</v>
      </c>
      <c r="N14" s="21"/>
      <c r="O14" s="18" t="s">
        <v>30</v>
      </c>
      <c r="P14" s="17" t="s">
        <v>75</v>
      </c>
    </row>
    <row r="15" customFormat="false" ht="21.75" hidden="false" customHeight="true" outlineLevel="0" collapsed="false">
      <c r="A15" s="13" t="n">
        <f aca="false">IF($E15="","",COUNTA($E$5:$E15))</f>
        <v>11</v>
      </c>
      <c r="B15" s="14" t="n">
        <v>46233</v>
      </c>
      <c r="C15" s="15" t="s">
        <v>76</v>
      </c>
      <c r="D15" s="16" t="s">
        <v>77</v>
      </c>
      <c r="E15" s="17" t="s">
        <v>78</v>
      </c>
      <c r="F15" s="18" t="s">
        <v>25</v>
      </c>
      <c r="G15" s="18"/>
      <c r="H15" s="15"/>
      <c r="I15" s="15" t="s">
        <v>69</v>
      </c>
      <c r="J15" s="18" t="s">
        <v>27</v>
      </c>
      <c r="K15" s="18" t="s">
        <v>28</v>
      </c>
      <c r="L15" s="19" t="n">
        <f aca="false">IF($E15="","",IF(OR($C15="",$D15=""),"",COUNTIFS($C$5:$C$404,$C15,$D$5:$D$404,$D15)))</f>
        <v>1</v>
      </c>
      <c r="M15" s="20" t="str">
        <f aca="false">IF($E15="","",IF(OR($B15="",$C15="",$D15=""),"待补楼栋/房号/日期",SUBSTITUTE($C15,"栋","")&amp;"-"&amp;$D15&amp;"-"&amp;TEXT(MONTH($B15),"00")&amp;TEXT(DAY($B15),"00")&amp;IF(COUNTIFS($C$5:$C15,$C15,$D$5:$D15,$D15)&gt;1,"-"&amp;TEXT(COUNTIFS($C$5:$C15,$C15,$D$5:$D15,$D15),"00"),"")))</f>
        <v>10-901-0730</v>
      </c>
      <c r="N15" s="21" t="s">
        <v>70</v>
      </c>
      <c r="O15" s="18" t="s">
        <v>30</v>
      </c>
      <c r="P15" s="21"/>
    </row>
    <row r="16" customFormat="false" ht="21.75" hidden="false" customHeight="true" outlineLevel="0" collapsed="false">
      <c r="A16" s="13" t="n">
        <f aca="false">IF($E16="","",COUNTA($E$5:$E16))</f>
        <v>12</v>
      </c>
      <c r="B16" s="14" t="n">
        <v>46233</v>
      </c>
      <c r="C16" s="15" t="s">
        <v>79</v>
      </c>
      <c r="D16" s="16" t="s">
        <v>80</v>
      </c>
      <c r="E16" s="17" t="s">
        <v>81</v>
      </c>
      <c r="F16" s="18" t="s">
        <v>25</v>
      </c>
      <c r="G16" s="18"/>
      <c r="H16" s="15"/>
      <c r="I16" s="15" t="s">
        <v>69</v>
      </c>
      <c r="J16" s="18" t="s">
        <v>27</v>
      </c>
      <c r="K16" s="18" t="s">
        <v>28</v>
      </c>
      <c r="L16" s="19" t="n">
        <f aca="false">IF($E16="","",IF(OR($C16="",$D16=""),"",COUNTIFS($C$5:$C$404,$C16,$D$5:$D$404,$D16)))</f>
        <v>1</v>
      </c>
      <c r="M16" s="20" t="str">
        <f aca="false">IF($E16="","",IF(OR($B16="",$C16="",$D16=""),"待补楼栋/房号/日期",SUBSTITUTE($C16,"栋","")&amp;"-"&amp;$D16&amp;"-"&amp;TEXT(MONTH($B16),"00")&amp;TEXT(DAY($B16),"00")&amp;IF(COUNTIFS($C$5:$C16,$C16,$D$5:$D16,$D16)&gt;1,"-"&amp;TEXT(COUNTIFS($C$5:$C16,$C16,$D$5:$D16,$D16),"00"),"")))</f>
        <v>9-1204-0730</v>
      </c>
      <c r="N16" s="21" t="s">
        <v>70</v>
      </c>
      <c r="O16" s="18" t="s">
        <v>30</v>
      </c>
      <c r="P16" s="17" t="s">
        <v>82</v>
      </c>
    </row>
    <row r="17" customFormat="false" ht="21.75" hidden="false" customHeight="true" outlineLevel="0" collapsed="false">
      <c r="A17" s="13" t="n">
        <f aca="false">IF($E17="","",COUNTA($E$5:$E17))</f>
        <v>13</v>
      </c>
      <c r="B17" s="14" t="n">
        <v>46233</v>
      </c>
      <c r="C17" s="15" t="s">
        <v>83</v>
      </c>
      <c r="D17" s="16" t="s">
        <v>84</v>
      </c>
      <c r="E17" s="17" t="s">
        <v>85</v>
      </c>
      <c r="F17" s="18" t="s">
        <v>34</v>
      </c>
      <c r="G17" s="18"/>
      <c r="H17" s="15"/>
      <c r="I17" s="15" t="s">
        <v>86</v>
      </c>
      <c r="J17" s="18" t="s">
        <v>61</v>
      </c>
      <c r="K17" s="18" t="s">
        <v>28</v>
      </c>
      <c r="L17" s="19" t="n">
        <f aca="false">IF($E17="","",IF(OR($C17="",$D17=""),"",COUNTIFS($C$5:$C$404,$C17,$D$5:$D$404,$D17)))</f>
        <v>1</v>
      </c>
      <c r="M17" s="20" t="str">
        <f aca="false">IF($E17="","",IF(OR($B17="",$C17="",$D17=""),"待补楼栋/房号/日期",SUBSTITUTE($C17,"栋","")&amp;"-"&amp;$D17&amp;"-"&amp;TEXT(MONTH($B17),"00")&amp;TEXT(DAY($B17),"00")&amp;IF(COUNTIFS($C$5:$C17,$C17,$D$5:$D17,$D17)&gt;1,"-"&amp;TEXT(COUNTIFS($C$5:$C17,$C17,$D$5:$D17,$D17),"00"),"")))</f>
        <v>1-1203-0730</v>
      </c>
      <c r="N17" s="21" t="s">
        <v>70</v>
      </c>
      <c r="O17" s="18" t="s">
        <v>30</v>
      </c>
      <c r="P17" s="21"/>
    </row>
    <row r="18" customFormat="false" ht="21.75" hidden="false" customHeight="true" outlineLevel="0" collapsed="false">
      <c r="A18" s="13" t="n">
        <f aca="false">IF($E18="","",COUNTA($E$5:$E18))</f>
        <v>14</v>
      </c>
      <c r="B18" s="14" t="n">
        <v>46233</v>
      </c>
      <c r="C18" s="15" t="s">
        <v>21</v>
      </c>
      <c r="D18" s="16" t="s">
        <v>87</v>
      </c>
      <c r="E18" s="17" t="s">
        <v>88</v>
      </c>
      <c r="F18" s="18" t="s">
        <v>25</v>
      </c>
      <c r="G18" s="18"/>
      <c r="H18" s="15"/>
      <c r="I18" s="15" t="s">
        <v>89</v>
      </c>
      <c r="J18" s="18"/>
      <c r="K18" s="18" t="s">
        <v>28</v>
      </c>
      <c r="L18" s="19" t="n">
        <f aca="false">IF($E18="","",IF(OR($C18="",$D18=""),"",COUNTIFS($C$5:$C$404,$C18,$D$5:$D$404,$D18)))</f>
        <v>1</v>
      </c>
      <c r="M18" s="20" t="str">
        <f aca="false">IF($E18="","",IF(OR($B18="",$C18="",$D18=""),"待补楼栋/房号/日期",SUBSTITUTE($C18,"栋","")&amp;"-"&amp;$D18&amp;"-"&amp;TEXT(MONTH($B18),"00")&amp;TEXT(DAY($B18),"00")&amp;IF(COUNTIFS($C$5:$C18,$C18,$D$5:$D18,$D18)&gt;1,"-"&amp;TEXT(COUNTIFS($C$5:$C18,$C18,$D$5:$D18,$D18),"00"),"")))</f>
        <v>8-3101-0730</v>
      </c>
      <c r="N18" s="21"/>
      <c r="O18" s="18" t="s">
        <v>30</v>
      </c>
      <c r="P18" s="21"/>
    </row>
    <row r="19" customFormat="false" ht="21.75" hidden="false" customHeight="true" outlineLevel="0" collapsed="false">
      <c r="A19" s="13" t="n">
        <f aca="false">IF($E19="","",COUNTA($E$5:$E19))</f>
        <v>15</v>
      </c>
      <c r="B19" s="14" t="n">
        <v>46233</v>
      </c>
      <c r="C19" s="15" t="s">
        <v>21</v>
      </c>
      <c r="D19" s="16" t="s">
        <v>90</v>
      </c>
      <c r="E19" s="17" t="s">
        <v>91</v>
      </c>
      <c r="F19" s="18" t="s">
        <v>25</v>
      </c>
      <c r="G19" s="18"/>
      <c r="H19" s="15"/>
      <c r="I19" s="15" t="s">
        <v>26</v>
      </c>
      <c r="J19" s="18"/>
      <c r="K19" s="18" t="s">
        <v>28</v>
      </c>
      <c r="L19" s="19" t="n">
        <f aca="false">IF($E19="","",IF(OR($C19="",$D19=""),"",COUNTIFS($C$5:$C$404,$C19,$D$5:$D$404,$D19)))</f>
        <v>3</v>
      </c>
      <c r="M19" s="20" t="str">
        <f aca="false">IF($E19="","",IF(OR($B19="",$C19="",$D19=""),"待补楼栋/房号/日期",SUBSTITUTE($C19,"栋","")&amp;"-"&amp;$D19&amp;"-"&amp;TEXT(MONTH($B19),"00")&amp;TEXT(DAY($B19),"00")&amp;IF(COUNTIFS($C$5:$C19,$C19,$D$5:$D19,$D19)&gt;1,"-"&amp;TEXT(COUNTIFS($C$5:$C19,$C19,$D$5:$D19,$D19),"00"),"")))</f>
        <v>8-1501-0730</v>
      </c>
      <c r="N19" s="17" t="s">
        <v>92</v>
      </c>
      <c r="O19" s="18" t="s">
        <v>48</v>
      </c>
      <c r="P19" s="21"/>
    </row>
    <row r="20" customFormat="false" ht="21.75" hidden="false" customHeight="true" outlineLevel="0" collapsed="false">
      <c r="A20" s="13" t="n">
        <f aca="false">IF($E20="","",COUNTA($E$5:$E20))</f>
        <v>16</v>
      </c>
      <c r="B20" s="14" t="n">
        <v>46233</v>
      </c>
      <c r="C20" s="15" t="s">
        <v>93</v>
      </c>
      <c r="D20" s="16" t="s">
        <v>94</v>
      </c>
      <c r="E20" s="17" t="s">
        <v>95</v>
      </c>
      <c r="F20" s="18" t="s">
        <v>25</v>
      </c>
      <c r="G20" s="18"/>
      <c r="H20" s="15"/>
      <c r="I20" s="15" t="s">
        <v>96</v>
      </c>
      <c r="J20" s="18" t="s">
        <v>61</v>
      </c>
      <c r="K20" s="18" t="s">
        <v>28</v>
      </c>
      <c r="L20" s="19" t="n">
        <f aca="false">IF($E20="","",IF(OR($C20="",$D20=""),"",COUNTIFS($C$5:$C$404,$C20,$D$5:$D$404,$D20)))</f>
        <v>1</v>
      </c>
      <c r="M20" s="20" t="str">
        <f aca="false">IF($E20="","",IF(OR($B20="",$C20="",$D20=""),"待补楼栋/房号/日期",SUBSTITUTE($C20,"栋","")&amp;"-"&amp;$D20&amp;"-"&amp;TEXT(MONTH($B20),"00")&amp;TEXT(DAY($B20),"00")&amp;IF(COUNTIFS($C$5:$C20,$C20,$D$5:$D20,$D20)&gt;1,"-"&amp;TEXT(COUNTIFS($C$5:$C20,$C20,$D$5:$D20,$D20),"00"),"")))</f>
        <v>11-1402-0730</v>
      </c>
      <c r="N20" s="17" t="s">
        <v>97</v>
      </c>
      <c r="O20" s="18" t="s">
        <v>30</v>
      </c>
      <c r="P20" s="21"/>
    </row>
    <row r="21" customFormat="false" ht="49.5" hidden="false" customHeight="true" outlineLevel="0" collapsed="false">
      <c r="A21" s="13" t="n">
        <f aca="false">IF($E21="","",COUNTA($E$5:$E21))</f>
        <v>17</v>
      </c>
      <c r="B21" s="14" t="n">
        <v>46234</v>
      </c>
      <c r="C21" s="15" t="s">
        <v>38</v>
      </c>
      <c r="D21" s="16" t="s">
        <v>64</v>
      </c>
      <c r="E21" s="17" t="s">
        <v>98</v>
      </c>
      <c r="F21" s="18" t="s">
        <v>25</v>
      </c>
      <c r="G21" s="18"/>
      <c r="H21" s="15"/>
      <c r="I21" s="15" t="s">
        <v>99</v>
      </c>
      <c r="J21" s="18"/>
      <c r="K21" s="18" t="s">
        <v>36</v>
      </c>
      <c r="L21" s="19" t="n">
        <f aca="false">IF($E21="","",IF(OR($C21="",$D21=""),"",COUNTIFS($C$5:$C$404,$C21,$D$5:$D$404,$D21)))</f>
        <v>1</v>
      </c>
      <c r="M21" s="20" t="str">
        <f aca="false">IF($E21="","",IF(OR($B21="",$C21="",$D21=""),"待补楼栋/房号/日期",SUBSTITUTE($C21,"栋","")&amp;"-"&amp;$D21&amp;"-"&amp;TEXT(MONTH($B21),"00")&amp;TEXT(DAY($B21),"00")&amp;IF(COUNTIFS($C$5:$C21,$C21,$D$5:$D21,$D21)&gt;1,"-"&amp;TEXT(COUNTIFS($C$5:$C21,$C21,$D$5:$D21,$D21),"00"),"")))</f>
        <v>5-1602-0731</v>
      </c>
      <c r="N21" s="17" t="s">
        <v>100</v>
      </c>
      <c r="O21" s="18" t="s">
        <v>30</v>
      </c>
      <c r="P21" s="21"/>
    </row>
    <row r="22" customFormat="false" ht="21.75" hidden="false" customHeight="true" outlineLevel="0" collapsed="false">
      <c r="A22" s="13" t="n">
        <f aca="false">IF($E22="","",COUNTA($E$5:$E22))</f>
        <v>18</v>
      </c>
      <c r="B22" s="14" t="n">
        <v>46234</v>
      </c>
      <c r="C22" s="15" t="s">
        <v>93</v>
      </c>
      <c r="D22" s="16" t="s">
        <v>101</v>
      </c>
      <c r="E22" s="17" t="s">
        <v>102</v>
      </c>
      <c r="F22" s="18" t="s">
        <v>103</v>
      </c>
      <c r="G22" s="18"/>
      <c r="H22" s="15"/>
      <c r="I22" s="15" t="s">
        <v>41</v>
      </c>
      <c r="J22" s="18"/>
      <c r="K22" s="18" t="s">
        <v>28</v>
      </c>
      <c r="L22" s="19" t="n">
        <f aca="false">IF($E22="","",IF(OR($C22="",$D22=""),"",COUNTIFS($C$5:$C$404,$C22,$D$5:$D$404,$D22)))</f>
        <v>1</v>
      </c>
      <c r="M22" s="20" t="str">
        <f aca="false">IF($E22="","",IF(OR($B22="",$C22="",$D22=""),"待补楼栋/房号/日期",SUBSTITUTE($C22,"栋","")&amp;"-"&amp;$D22&amp;"-"&amp;TEXT(MONTH($B22),"00")&amp;TEXT(DAY($B22),"00")&amp;IF(COUNTIFS($C$5:$C22,$C22,$D$5:$D22,$D22)&gt;1,"-"&amp;TEXT(COUNTIFS($C$5:$C22,$C22,$D$5:$D22,$D22),"00"),"")))</f>
        <v>11-2301-0731</v>
      </c>
      <c r="N22" s="17" t="s">
        <v>104</v>
      </c>
      <c r="O22" s="18" t="s">
        <v>30</v>
      </c>
      <c r="P22" s="21"/>
    </row>
    <row r="23" customFormat="false" ht="21.75" hidden="false" customHeight="true" outlineLevel="0" collapsed="false">
      <c r="A23" s="13" t="n">
        <f aca="false">IF($E23="","",COUNTA($E$5:$E23))</f>
        <v>19</v>
      </c>
      <c r="B23" s="14" t="n">
        <v>46234</v>
      </c>
      <c r="C23" s="15" t="s">
        <v>105</v>
      </c>
      <c r="D23" s="16" t="s">
        <v>106</v>
      </c>
      <c r="E23" s="17" t="s">
        <v>107</v>
      </c>
      <c r="F23" s="18" t="s">
        <v>24</v>
      </c>
      <c r="G23" s="18"/>
      <c r="H23" s="15"/>
      <c r="I23" s="15" t="s">
        <v>108</v>
      </c>
      <c r="J23" s="18"/>
      <c r="K23" s="18" t="s">
        <v>28</v>
      </c>
      <c r="L23" s="19" t="n">
        <f aca="false">IF($E23="","",IF(OR($C23="",$D23=""),"",COUNTIFS($C$5:$C$404,$C23,$D$5:$D$404,$D23)))</f>
        <v>1</v>
      </c>
      <c r="M23" s="20" t="str">
        <f aca="false">IF($E23="","",IF(OR($B23="",$C23="",$D23=""),"待补楼栋/房号/日期",SUBSTITUTE($C23,"栋","")&amp;"-"&amp;$D23&amp;"-"&amp;TEXT(MONTH($B23),"00")&amp;TEXT(DAY($B23),"00")&amp;IF(COUNTIFS($C$5:$C23,$C23,$D$5:$D23,$D23)&gt;1,"-"&amp;TEXT(COUNTIFS($C$5:$C23,$C23,$D$5:$D23,$D23),"00"),"")))</f>
        <v>2-1201-0731</v>
      </c>
      <c r="N23" s="21"/>
      <c r="O23" s="18" t="s">
        <v>30</v>
      </c>
      <c r="P23" s="21"/>
    </row>
    <row r="24" customFormat="false" ht="21.75" hidden="false" customHeight="true" outlineLevel="0" collapsed="false">
      <c r="A24" s="13" t="n">
        <f aca="false">IF($E24="","",COUNTA($E$5:$E24))</f>
        <v>20</v>
      </c>
      <c r="B24" s="14" t="n">
        <v>46234</v>
      </c>
      <c r="C24" s="15" t="s">
        <v>79</v>
      </c>
      <c r="D24" s="16" t="s">
        <v>71</v>
      </c>
      <c r="E24" s="17" t="s">
        <v>109</v>
      </c>
      <c r="F24" s="18" t="s">
        <v>25</v>
      </c>
      <c r="G24" s="18"/>
      <c r="H24" s="15"/>
      <c r="I24" s="15" t="s">
        <v>110</v>
      </c>
      <c r="J24" s="18" t="s">
        <v>27</v>
      </c>
      <c r="K24" s="18" t="s">
        <v>28</v>
      </c>
      <c r="L24" s="19" t="n">
        <f aca="false">IF($E24="","",IF(OR($C24="",$D24=""),"",COUNTIFS($C$5:$C$404,$C24,$D$5:$D$404,$D24)))</f>
        <v>1</v>
      </c>
      <c r="M24" s="20" t="str">
        <f aca="false">IF($E24="","",IF(OR($B24="",$C24="",$D24=""),"待补楼栋/房号/日期",SUBSTITUTE($C24,"栋","")&amp;"-"&amp;$D24&amp;"-"&amp;TEXT(MONTH($B24),"00")&amp;TEXT(DAY($B24),"00")&amp;IF(COUNTIFS($C$5:$C24,$C24,$D$5:$D24,$D24)&gt;1,"-"&amp;TEXT(COUNTIFS($C$5:$C24,$C24,$D$5:$D24,$D24),"00"),"")))</f>
        <v>9-304-0731</v>
      </c>
      <c r="N24" s="17" t="s">
        <v>111</v>
      </c>
      <c r="O24" s="18" t="s">
        <v>30</v>
      </c>
      <c r="P24" s="21"/>
    </row>
    <row r="25" customFormat="false" ht="21.75" hidden="false" customHeight="true" outlineLevel="0" collapsed="false">
      <c r="A25" s="13" t="n">
        <f aca="false">IF($E25="","",COUNTA($E$5:$E25))</f>
        <v>21</v>
      </c>
      <c r="B25" s="14" t="n">
        <v>46234</v>
      </c>
      <c r="C25" s="15" t="s">
        <v>31</v>
      </c>
      <c r="D25" s="16" t="s">
        <v>112</v>
      </c>
      <c r="E25" s="17" t="s">
        <v>113</v>
      </c>
      <c r="F25" s="18" t="s">
        <v>24</v>
      </c>
      <c r="G25" s="18"/>
      <c r="H25" s="15"/>
      <c r="I25" s="15" t="s">
        <v>41</v>
      </c>
      <c r="J25" s="18"/>
      <c r="K25" s="18" t="s">
        <v>28</v>
      </c>
      <c r="L25" s="19" t="n">
        <f aca="false">IF($E25="","",IF(OR($C25="",$D25=""),"",COUNTIFS($C$5:$C$404,$C25,$D$5:$D$404,$D25)))</f>
        <v>1</v>
      </c>
      <c r="M25" s="20" t="str">
        <f aca="false">IF($E25="","",IF(OR($B25="",$C25="",$D25=""),"待补楼栋/房号/日期",SUBSTITUTE($C25,"栋","")&amp;"-"&amp;$D25&amp;"-"&amp;TEXT(MONTH($B25),"00")&amp;TEXT(DAY($B25),"00")&amp;IF(COUNTIFS($C$5:$C25,$C25,$D$5:$D25,$D25)&gt;1,"-"&amp;TEXT(COUNTIFS($C$5:$C25,$C25,$D$5:$D25,$D25),"00"),"")))</f>
        <v>6-201-0731</v>
      </c>
      <c r="N25" s="21"/>
      <c r="O25" s="18" t="s">
        <v>30</v>
      </c>
      <c r="P25" s="21"/>
    </row>
    <row r="26" customFormat="false" ht="21.75" hidden="false" customHeight="true" outlineLevel="0" collapsed="false">
      <c r="A26" s="13" t="n">
        <f aca="false">IF($E26="","",COUNTA($E$5:$E26))</f>
        <v>22</v>
      </c>
      <c r="B26" s="14" t="n">
        <v>46234</v>
      </c>
      <c r="C26" s="15" t="s">
        <v>76</v>
      </c>
      <c r="D26" s="16" t="s">
        <v>114</v>
      </c>
      <c r="E26" s="17" t="s">
        <v>115</v>
      </c>
      <c r="F26" s="18" t="s">
        <v>24</v>
      </c>
      <c r="G26" s="18"/>
      <c r="H26" s="15"/>
      <c r="I26" s="15" t="s">
        <v>116</v>
      </c>
      <c r="J26" s="18"/>
      <c r="K26" s="18" t="s">
        <v>28</v>
      </c>
      <c r="L26" s="19" t="n">
        <f aca="false">IF($E26="","",IF(OR($C26="",$D26=""),"",COUNTIFS($C$5:$C$404,$C26,$D$5:$D$404,$D26)))</f>
        <v>1</v>
      </c>
      <c r="M26" s="20" t="str">
        <f aca="false">IF($E26="","",IF(OR($B26="",$C26="",$D26=""),"待补楼栋/房号/日期",SUBSTITUTE($C26,"栋","")&amp;"-"&amp;$D26&amp;"-"&amp;TEXT(MONTH($B26),"00")&amp;TEXT(DAY($B26),"00")&amp;IF(COUNTIFS($C$5:$C26,$C26,$D$5:$D26,$D26)&gt;1,"-"&amp;TEXT(COUNTIFS($C$5:$C26,$C26,$D$5:$D26,$D26),"00"),"")))</f>
        <v>10-2403-0731</v>
      </c>
      <c r="N26" s="21"/>
      <c r="O26" s="18" t="s">
        <v>30</v>
      </c>
      <c r="P26" s="21"/>
    </row>
    <row r="27" customFormat="false" ht="21.75" hidden="false" customHeight="true" outlineLevel="0" collapsed="false">
      <c r="A27" s="13" t="n">
        <f aca="false">IF($E27="","",COUNTA($E$5:$E27))</f>
        <v>23</v>
      </c>
      <c r="B27" s="14" t="n">
        <v>46233</v>
      </c>
      <c r="C27" s="15" t="s">
        <v>38</v>
      </c>
      <c r="D27" s="16" t="s">
        <v>117</v>
      </c>
      <c r="E27" s="17" t="s">
        <v>118</v>
      </c>
      <c r="F27" s="18" t="s">
        <v>25</v>
      </c>
      <c r="G27" s="18"/>
      <c r="H27" s="15"/>
      <c r="I27" s="15" t="s">
        <v>119</v>
      </c>
      <c r="J27" s="18"/>
      <c r="K27" s="18" t="s">
        <v>28</v>
      </c>
      <c r="L27" s="19" t="n">
        <f aca="false">IF($E27="","",IF(OR($C27="",$D27=""),"",COUNTIFS($C$5:$C$404,$C27,$D$5:$D$404,$D27)))</f>
        <v>1</v>
      </c>
      <c r="M27" s="20" t="str">
        <f aca="false">IF($E27="","",IF(OR($B27="",$C27="",$D27=""),"待补楼栋/房号/日期",SUBSTITUTE($C27,"栋","")&amp;"-"&amp;$D27&amp;"-"&amp;TEXT(MONTH($B27),"00")&amp;TEXT(DAY($B27),"00")&amp;IF(COUNTIFS($C$5:$C27,$C27,$D$5:$D27,$D27)&gt;1,"-"&amp;TEXT(COUNTIFS($C$5:$C27,$C27,$D$5:$D27,$D27),"00"),"")))</f>
        <v>5-2803-0730</v>
      </c>
      <c r="N27" s="21"/>
      <c r="O27" s="18" t="s">
        <v>30</v>
      </c>
      <c r="P27" s="17" t="s">
        <v>120</v>
      </c>
    </row>
    <row r="28" customFormat="false" ht="21.75" hidden="false" customHeight="true" outlineLevel="0" collapsed="false">
      <c r="A28" s="13" t="n">
        <f aca="false">IF($E28="","",COUNTA($E$5:$E28))</f>
        <v>24</v>
      </c>
      <c r="B28" s="14" t="n">
        <v>46233</v>
      </c>
      <c r="C28" s="15" t="s">
        <v>76</v>
      </c>
      <c r="D28" s="16" t="s">
        <v>121</v>
      </c>
      <c r="E28" s="17" t="s">
        <v>122</v>
      </c>
      <c r="F28" s="18" t="s">
        <v>25</v>
      </c>
      <c r="G28" s="18"/>
      <c r="H28" s="15"/>
      <c r="I28" s="15" t="s">
        <v>123</v>
      </c>
      <c r="J28" s="18"/>
      <c r="K28" s="18" t="s">
        <v>28</v>
      </c>
      <c r="L28" s="19" t="n">
        <f aca="false">IF($E28="","",IF(OR($C28="",$D28=""),"",COUNTIFS($C$5:$C$404,$C28,$D$5:$D$404,$D28)))</f>
        <v>1</v>
      </c>
      <c r="M28" s="20" t="str">
        <f aca="false">IF($E28="","",IF(OR($B28="",$C28="",$D28=""),"待补楼栋/房号/日期",SUBSTITUTE($C28,"栋","")&amp;"-"&amp;$D28&amp;"-"&amp;TEXT(MONTH($B28),"00")&amp;TEXT(DAY($B28),"00")&amp;IF(COUNTIFS($C$5:$C28,$C28,$D$5:$D28,$D28)&gt;1,"-"&amp;TEXT(COUNTIFS($C$5:$C28,$C28,$D$5:$D28,$D28),"00"),"")))</f>
        <v>10-1103-0730</v>
      </c>
      <c r="N28" s="21"/>
      <c r="O28" s="18" t="s">
        <v>30</v>
      </c>
      <c r="P28" s="21"/>
    </row>
    <row r="29" customFormat="false" ht="21.75" hidden="false" customHeight="true" outlineLevel="0" collapsed="false">
      <c r="A29" s="13" t="n">
        <f aca="false">IF($E29="","",COUNTA($E$5:$E29))</f>
        <v>25</v>
      </c>
      <c r="B29" s="14" t="n">
        <v>46234</v>
      </c>
      <c r="C29" s="15" t="s">
        <v>31</v>
      </c>
      <c r="D29" s="16" t="s">
        <v>124</v>
      </c>
      <c r="E29" s="17" t="s">
        <v>125</v>
      </c>
      <c r="F29" s="18" t="s">
        <v>25</v>
      </c>
      <c r="G29" s="18"/>
      <c r="H29" s="15"/>
      <c r="I29" s="15" t="s">
        <v>41</v>
      </c>
      <c r="J29" s="18" t="s">
        <v>61</v>
      </c>
      <c r="K29" s="18" t="s">
        <v>36</v>
      </c>
      <c r="L29" s="19" t="n">
        <f aca="false">IF($E29="","",IF(OR($C29="",$D29=""),"",COUNTIFS($C$5:$C$404,$C29,$D$5:$D$404,$D29)))</f>
        <v>1</v>
      </c>
      <c r="M29" s="20" t="str">
        <f aca="false">IF($E29="","",IF(OR($B29="",$C29="",$D29=""),"待补楼栋/房号/日期",SUBSTITUTE($C29,"栋","")&amp;"-"&amp;$D29&amp;"-"&amp;TEXT(MONTH($B29),"00")&amp;TEXT(DAY($B29),"00")&amp;IF(COUNTIFS($C$5:$C29,$C29,$D$5:$D29,$D29)&gt;1,"-"&amp;TEXT(COUNTIFS($C$5:$C29,$C29,$D$5:$D29,$D29),"00"),"")))</f>
        <v>6-3304-0731</v>
      </c>
      <c r="N29" s="17" t="s">
        <v>126</v>
      </c>
      <c r="O29" s="18" t="s">
        <v>30</v>
      </c>
      <c r="P29" s="21"/>
    </row>
    <row r="30" customFormat="false" ht="21.75" hidden="false" customHeight="true" outlineLevel="0" collapsed="false">
      <c r="A30" s="13" t="n">
        <f aca="false">IF($E30="","",COUNTA($E$5:$E30))</f>
        <v>26</v>
      </c>
      <c r="B30" s="14" t="n">
        <v>46234</v>
      </c>
      <c r="C30" s="15" t="s">
        <v>43</v>
      </c>
      <c r="D30" s="16" t="s">
        <v>127</v>
      </c>
      <c r="E30" s="17" t="s">
        <v>128</v>
      </c>
      <c r="F30" s="18" t="s">
        <v>24</v>
      </c>
      <c r="G30" s="18"/>
      <c r="H30" s="15"/>
      <c r="I30" s="15" t="s">
        <v>110</v>
      </c>
      <c r="J30" s="18" t="s">
        <v>27</v>
      </c>
      <c r="K30" s="18" t="s">
        <v>28</v>
      </c>
      <c r="L30" s="19" t="n">
        <f aca="false">IF($E30="","",IF(OR($C30="",$D30=""),"",COUNTIFS($C$5:$C$404,$C30,$D$5:$D$404,$D30)))</f>
        <v>1</v>
      </c>
      <c r="M30" s="20" t="str">
        <f aca="false">IF($E30="","",IF(OR($B30="",$C30="",$D30=""),"待补楼栋/房号/日期",SUBSTITUTE($C30,"栋","")&amp;"-"&amp;$D30&amp;"-"&amp;TEXT(MONTH($B30),"00")&amp;TEXT(DAY($B30),"00")&amp;IF(COUNTIFS($C$5:$C30,$C30,$D$5:$D30,$D30)&gt;1,"-"&amp;TEXT(COUNTIFS($C$5:$C30,$C30,$D$5:$D30,$D30),"00"),"")))</f>
        <v>7-2503-0731</v>
      </c>
      <c r="N30" s="21"/>
      <c r="O30" s="18" t="s">
        <v>30</v>
      </c>
      <c r="P30" s="21"/>
    </row>
    <row r="31" customFormat="false" ht="21.75" hidden="false" customHeight="true" outlineLevel="0" collapsed="false">
      <c r="A31" s="13" t="n">
        <f aca="false">IF($E31="","",COUNTA($E$5:$E31))</f>
        <v>27</v>
      </c>
      <c r="B31" s="14" t="n">
        <v>46234</v>
      </c>
      <c r="C31" s="15" t="s">
        <v>79</v>
      </c>
      <c r="D31" s="16" t="s">
        <v>129</v>
      </c>
      <c r="E31" s="17" t="s">
        <v>130</v>
      </c>
      <c r="F31" s="18" t="s">
        <v>25</v>
      </c>
      <c r="G31" s="18"/>
      <c r="H31" s="15"/>
      <c r="I31" s="15" t="s">
        <v>131</v>
      </c>
      <c r="J31" s="18" t="s">
        <v>27</v>
      </c>
      <c r="K31" s="18" t="s">
        <v>28</v>
      </c>
      <c r="L31" s="19" t="n">
        <f aca="false">IF($E31="","",IF(OR($C31="",$D31=""),"",COUNTIFS($C$5:$C$404,$C31,$D$5:$D$404,$D31)))</f>
        <v>1</v>
      </c>
      <c r="M31" s="20" t="str">
        <f aca="false">IF($E31="","",IF(OR($B31="",$C31="",$D31=""),"待补楼栋/房号/日期",SUBSTITUTE($C31,"栋","")&amp;"-"&amp;$D31&amp;"-"&amp;TEXT(MONTH($B31),"00")&amp;TEXT(DAY($B31),"00")&amp;IF(COUNTIFS($C$5:$C31,$C31,$D$5:$D31,$D31)&gt;1,"-"&amp;TEXT(COUNTIFS($C$5:$C31,$C31,$D$5:$D31,$D31),"00"),"")))</f>
        <v>9-1102-0731</v>
      </c>
      <c r="N31" s="21"/>
      <c r="O31" s="18" t="s">
        <v>30</v>
      </c>
      <c r="P31" s="17" t="s">
        <v>132</v>
      </c>
    </row>
    <row r="32" customFormat="false" ht="36" hidden="false" customHeight="true" outlineLevel="0" collapsed="false">
      <c r="A32" s="13" t="n">
        <f aca="false">IF($E32="","",COUNTA($E$5:$E32))</f>
        <v>28</v>
      </c>
      <c r="B32" s="14" t="n">
        <v>46234</v>
      </c>
      <c r="C32" s="15" t="s">
        <v>38</v>
      </c>
      <c r="D32" s="16" t="s">
        <v>90</v>
      </c>
      <c r="E32" s="17" t="s">
        <v>133</v>
      </c>
      <c r="F32" s="18" t="s">
        <v>103</v>
      </c>
      <c r="G32" s="18"/>
      <c r="H32" s="15"/>
      <c r="I32" s="15" t="s">
        <v>134</v>
      </c>
      <c r="J32" s="18" t="s">
        <v>61</v>
      </c>
      <c r="K32" s="18" t="s">
        <v>36</v>
      </c>
      <c r="L32" s="19" t="n">
        <f aca="false">IF($E32="","",IF(OR($C32="",$D32=""),"",COUNTIFS($C$5:$C$404,$C32,$D$5:$D$404,$D32)))</f>
        <v>1</v>
      </c>
      <c r="M32" s="20" t="str">
        <f aca="false">IF($E32="","",IF(OR($B32="",$C32="",$D32=""),"待补楼栋/房号/日期",SUBSTITUTE($C32,"栋","")&amp;"-"&amp;$D32&amp;"-"&amp;TEXT(MONTH($B32),"00")&amp;TEXT(DAY($B32),"00")&amp;IF(COUNTIFS($C$5:$C32,$C32,$D$5:$D32,$D32)&gt;1,"-"&amp;TEXT(COUNTIFS($C$5:$C32,$C32,$D$5:$D32,$D32),"00"),"")))</f>
        <v>5-1501-0731</v>
      </c>
      <c r="N32" s="17" t="s">
        <v>135</v>
      </c>
      <c r="O32" s="18" t="s">
        <v>30</v>
      </c>
      <c r="P32" s="21"/>
    </row>
    <row r="33" customFormat="false" ht="21.75" hidden="false" customHeight="true" outlineLevel="0" collapsed="false">
      <c r="A33" s="13" t="n">
        <f aca="false">IF($E33="","",COUNTA($E$5:$E33))</f>
        <v>29</v>
      </c>
      <c r="B33" s="14" t="n">
        <v>46234</v>
      </c>
      <c r="C33" s="15" t="s">
        <v>76</v>
      </c>
      <c r="D33" s="16" t="s">
        <v>136</v>
      </c>
      <c r="E33" s="17" t="s">
        <v>137</v>
      </c>
      <c r="F33" s="18" t="s">
        <v>103</v>
      </c>
      <c r="G33" s="18"/>
      <c r="H33" s="15"/>
      <c r="I33" s="15" t="s">
        <v>41</v>
      </c>
      <c r="J33" s="18" t="s">
        <v>61</v>
      </c>
      <c r="K33" s="18" t="s">
        <v>28</v>
      </c>
      <c r="L33" s="19" t="n">
        <f aca="false">IF($E33="","",IF(OR($C33="",$D33=""),"",COUNTIFS($C$5:$C$404,$C33,$D$5:$D$404,$D33)))</f>
        <v>1</v>
      </c>
      <c r="M33" s="20" t="str">
        <f aca="false">IF($E33="","",IF(OR($B33="",$C33="",$D33=""),"待补楼栋/房号/日期",SUBSTITUTE($C33,"栋","")&amp;"-"&amp;$D33&amp;"-"&amp;TEXT(MONTH($B33),"00")&amp;TEXT(DAY($B33),"00")&amp;IF(COUNTIFS($C$5:$C33,$C33,$D$5:$D33,$D33)&gt;1,"-"&amp;TEXT(COUNTIFS($C$5:$C33,$C33,$D$5:$D33,$D33),"00"),"")))</f>
        <v>10-502-0731</v>
      </c>
      <c r="N33" s="21"/>
      <c r="O33" s="18" t="s">
        <v>30</v>
      </c>
      <c r="P33" s="21"/>
    </row>
    <row r="34" customFormat="false" ht="36" hidden="false" customHeight="true" outlineLevel="0" collapsed="false">
      <c r="A34" s="13" t="n">
        <f aca="false">IF($E34="","",COUNTA($E$5:$E34))</f>
        <v>30</v>
      </c>
      <c r="B34" s="14" t="n">
        <v>46234</v>
      </c>
      <c r="C34" s="15" t="s">
        <v>43</v>
      </c>
      <c r="D34" s="16" t="s">
        <v>138</v>
      </c>
      <c r="E34" s="17" t="s">
        <v>139</v>
      </c>
      <c r="F34" s="18" t="s">
        <v>25</v>
      </c>
      <c r="G34" s="18"/>
      <c r="H34" s="15"/>
      <c r="I34" s="15" t="s">
        <v>140</v>
      </c>
      <c r="J34" s="18" t="s">
        <v>27</v>
      </c>
      <c r="K34" s="18" t="s">
        <v>28</v>
      </c>
      <c r="L34" s="19" t="n">
        <f aca="false">IF($E34="","",IF(OR($C34="",$D34=""),"",COUNTIFS($C$5:$C$404,$C34,$D$5:$D$404,$D34)))</f>
        <v>1</v>
      </c>
      <c r="M34" s="20" t="str">
        <f aca="false">IF($E34="","",IF(OR($B34="",$C34="",$D34=""),"待补楼栋/房号/日期",SUBSTITUTE($C34,"栋","")&amp;"-"&amp;$D34&amp;"-"&amp;TEXT(MONTH($B34),"00")&amp;TEXT(DAY($B34),"00")&amp;IF(COUNTIFS($C$5:$C34,$C34,$D$5:$D34,$D34)&gt;1,"-"&amp;TEXT(COUNTIFS($C$5:$C34,$C34,$D$5:$D34,$D34),"00"),"")))</f>
        <v>7-1004-0731</v>
      </c>
      <c r="N34" s="17" t="s">
        <v>141</v>
      </c>
      <c r="O34" s="18" t="s">
        <v>30</v>
      </c>
      <c r="P34" s="21"/>
    </row>
    <row r="35" customFormat="false" ht="36" hidden="false" customHeight="true" outlineLevel="0" collapsed="false">
      <c r="A35" s="13" t="n">
        <f aca="false">IF($E35="","",COUNTA($E$5:$E35))</f>
        <v>31</v>
      </c>
      <c r="B35" s="14" t="n">
        <v>46234</v>
      </c>
      <c r="C35" s="15" t="s">
        <v>76</v>
      </c>
      <c r="D35" s="16" t="s">
        <v>142</v>
      </c>
      <c r="E35" s="17" t="s">
        <v>143</v>
      </c>
      <c r="F35" s="18" t="s">
        <v>25</v>
      </c>
      <c r="G35" s="18"/>
      <c r="H35" s="15"/>
      <c r="I35" s="15" t="s">
        <v>144</v>
      </c>
      <c r="J35" s="18"/>
      <c r="K35" s="18" t="s">
        <v>28</v>
      </c>
      <c r="L35" s="19" t="n">
        <f aca="false">IF($E35="","",IF(OR($C35="",$D35=""),"",COUNTIFS($C$5:$C$404,$C35,$D$5:$D$404,$D35)))</f>
        <v>1</v>
      </c>
      <c r="M35" s="20" t="str">
        <f aca="false">IF($E35="","",IF(OR($B35="",$C35="",$D35=""),"待补楼栋/房号/日期",SUBSTITUTE($C35,"栋","")&amp;"-"&amp;$D35&amp;"-"&amp;TEXT(MONTH($B35),"00")&amp;TEXT(DAY($B35),"00")&amp;IF(COUNTIFS($C$5:$C35,$C35,$D$5:$D35,$D35)&gt;1,"-"&amp;TEXT(COUNTIFS($C$5:$C35,$C35,$D$5:$D35,$D35),"00"),"")))</f>
        <v>10-1901-0731</v>
      </c>
      <c r="N35" s="17" t="s">
        <v>145</v>
      </c>
      <c r="O35" s="18" t="s">
        <v>30</v>
      </c>
      <c r="P35" s="21"/>
    </row>
    <row r="36" customFormat="false" ht="21.75" hidden="false" customHeight="true" outlineLevel="0" collapsed="false">
      <c r="A36" s="13" t="n">
        <f aca="false">IF($E36="","",COUNTA($E$5:$E36))</f>
        <v>32</v>
      </c>
      <c r="B36" s="14" t="n">
        <v>46234</v>
      </c>
      <c r="C36" s="15" t="s">
        <v>38</v>
      </c>
      <c r="D36" s="16" t="s">
        <v>39</v>
      </c>
      <c r="E36" s="17" t="s">
        <v>146</v>
      </c>
      <c r="F36" s="18" t="s">
        <v>25</v>
      </c>
      <c r="G36" s="18"/>
      <c r="H36" s="15"/>
      <c r="I36" s="15" t="s">
        <v>147</v>
      </c>
      <c r="J36" s="18"/>
      <c r="K36" s="18" t="s">
        <v>28</v>
      </c>
      <c r="L36" s="19" t="n">
        <f aca="false">IF($E36="","",IF(OR($C36="",$D36=""),"",COUNTIFS($C$5:$C$404,$C36,$D$5:$D$404,$D36)))</f>
        <v>2</v>
      </c>
      <c r="M36" s="20" t="str">
        <f aca="false">IF($E36="","",IF(OR($B36="",$C36="",$D36=""),"待补楼栋/房号/日期",SUBSTITUTE($C36,"栋","")&amp;"-"&amp;$D36&amp;"-"&amp;TEXT(MONTH($B36),"00")&amp;TEXT(DAY($B36),"00")&amp;IF(COUNTIFS($C$5:$C36,$C36,$D$5:$D36,$D36)&gt;1,"-"&amp;TEXT(COUNTIFS($C$5:$C36,$C36,$D$5:$D36,$D36),"00"),"")))</f>
        <v>5-503-0731-02</v>
      </c>
      <c r="N36" s="21"/>
      <c r="O36" s="18" t="s">
        <v>30</v>
      </c>
      <c r="P36" s="21"/>
    </row>
    <row r="37" customFormat="false" ht="21.75" hidden="false" customHeight="true" outlineLevel="0" collapsed="false">
      <c r="A37" s="13" t="n">
        <f aca="false">IF($E37="","",COUNTA($E$5:$E37))</f>
        <v>33</v>
      </c>
      <c r="B37" s="14" t="n">
        <v>46235</v>
      </c>
      <c r="C37" s="15" t="s">
        <v>93</v>
      </c>
      <c r="D37" s="16" t="s">
        <v>148</v>
      </c>
      <c r="E37" s="17" t="s">
        <v>149</v>
      </c>
      <c r="F37" s="18" t="s">
        <v>24</v>
      </c>
      <c r="G37" s="18"/>
      <c r="H37" s="15"/>
      <c r="I37" s="15" t="s">
        <v>150</v>
      </c>
      <c r="J37" s="18"/>
      <c r="K37" s="18" t="s">
        <v>28</v>
      </c>
      <c r="L37" s="19" t="n">
        <f aca="false">IF($E37="","",IF(OR($C37="",$D37=""),"",COUNTIFS($C$5:$C$404,$C37,$D$5:$D$404,$D37)))</f>
        <v>1</v>
      </c>
      <c r="M37" s="20" t="str">
        <f aca="false">IF($E37="","",IF(OR($B37="",$C37="",$D37=""),"待补楼栋/房号/日期",SUBSTITUTE($C37,"栋","")&amp;"-"&amp;$D37&amp;"-"&amp;TEXT(MONTH($B37),"00")&amp;TEXT(DAY($B37),"00")&amp;IF(COUNTIFS($C$5:$C37,$C37,$D$5:$D37,$D37)&gt;1,"-"&amp;TEXT(COUNTIFS($C$5:$C37,$C37,$D$5:$D37,$D37),"00"),"")))</f>
        <v>11-602-0801</v>
      </c>
      <c r="N37" s="21"/>
      <c r="O37" s="18" t="s">
        <v>30</v>
      </c>
      <c r="P37" s="21"/>
    </row>
    <row r="38" customFormat="false" ht="21.75" hidden="false" customHeight="true" outlineLevel="0" collapsed="false">
      <c r="A38" s="13" t="n">
        <f aca="false">IF($E38="","",COUNTA($E$5:$E38))</f>
        <v>34</v>
      </c>
      <c r="B38" s="14" t="n">
        <v>46235</v>
      </c>
      <c r="C38" s="15" t="s">
        <v>31</v>
      </c>
      <c r="D38" s="16" t="s">
        <v>151</v>
      </c>
      <c r="E38" s="17" t="s">
        <v>152</v>
      </c>
      <c r="F38" s="18" t="s">
        <v>25</v>
      </c>
      <c r="G38" s="18"/>
      <c r="H38" s="15"/>
      <c r="I38" s="15" t="s">
        <v>153</v>
      </c>
      <c r="J38" s="18"/>
      <c r="K38" s="18" t="s">
        <v>28</v>
      </c>
      <c r="L38" s="19" t="n">
        <f aca="false">IF($E38="","",IF(OR($C38="",$D38=""),"",COUNTIFS($C$5:$C$404,$C38,$D$5:$D$404,$D38)))</f>
        <v>1</v>
      </c>
      <c r="M38" s="20" t="str">
        <f aca="false">IF($E38="","",IF(OR($B38="",$C38="",$D38=""),"待补楼栋/房号/日期",SUBSTITUTE($C38,"栋","")&amp;"-"&amp;$D38&amp;"-"&amp;TEXT(MONTH($B38),"00")&amp;TEXT(DAY($B38),"00")&amp;IF(COUNTIFS($C$5:$C38,$C38,$D$5:$D38,$D38)&gt;1,"-"&amp;TEXT(COUNTIFS($C$5:$C38,$C38,$D$5:$D38,$D38),"00"),"")))</f>
        <v>6-1904-0801</v>
      </c>
      <c r="N38" s="21"/>
      <c r="O38" s="18" t="s">
        <v>30</v>
      </c>
      <c r="P38" s="17" t="s">
        <v>120</v>
      </c>
    </row>
    <row r="39" customFormat="false" ht="36" hidden="false" customHeight="true" outlineLevel="0" collapsed="false">
      <c r="A39" s="13" t="n">
        <f aca="false">IF($E39="","",COUNTA($E$5:$E39))</f>
        <v>35</v>
      </c>
      <c r="B39" s="14" t="n">
        <v>46236</v>
      </c>
      <c r="C39" s="15" t="s">
        <v>43</v>
      </c>
      <c r="D39" s="16" t="s">
        <v>154</v>
      </c>
      <c r="E39" s="17" t="s">
        <v>155</v>
      </c>
      <c r="F39" s="18" t="s">
        <v>24</v>
      </c>
      <c r="G39" s="18"/>
      <c r="H39" s="15"/>
      <c r="I39" s="15" t="s">
        <v>156</v>
      </c>
      <c r="J39" s="18"/>
      <c r="K39" s="18" t="s">
        <v>28</v>
      </c>
      <c r="L39" s="19" t="n">
        <f aca="false">IF($E39="","",IF(OR($C39="",$D39=""),"",COUNTIFS($C$5:$C$404,$C39,$D$5:$D$404,$D39)))</f>
        <v>2</v>
      </c>
      <c r="M39" s="20" t="str">
        <f aca="false">IF($E39="","",IF(OR($B39="",$C39="",$D39=""),"待补楼栋/房号/日期",SUBSTITUTE($C39,"栋","")&amp;"-"&amp;$D39&amp;"-"&amp;TEXT(MONTH($B39),"00")&amp;TEXT(DAY($B39),"00")&amp;IF(COUNTIFS($C$5:$C39,$C39,$D$5:$D39,$D39)&gt;1,"-"&amp;TEXT(COUNTIFS($C$5:$C39,$C39,$D$5:$D39,$D39),"00"),"")))</f>
        <v>7-1304-0802</v>
      </c>
      <c r="N39" s="17" t="s">
        <v>157</v>
      </c>
      <c r="O39" s="18" t="s">
        <v>30</v>
      </c>
      <c r="P39" s="21"/>
    </row>
    <row r="40" customFormat="false" ht="36" hidden="false" customHeight="true" outlineLevel="0" collapsed="false">
      <c r="A40" s="13" t="n">
        <f aca="false">IF($E40="","",COUNTA($E$5:$E40))</f>
        <v>36</v>
      </c>
      <c r="B40" s="14" t="n">
        <v>46236</v>
      </c>
      <c r="C40" s="15" t="s">
        <v>43</v>
      </c>
      <c r="D40" s="16" t="s">
        <v>158</v>
      </c>
      <c r="E40" s="17" t="s">
        <v>159</v>
      </c>
      <c r="F40" s="18" t="s">
        <v>24</v>
      </c>
      <c r="G40" s="18"/>
      <c r="H40" s="15"/>
      <c r="I40" s="15" t="s">
        <v>156</v>
      </c>
      <c r="J40" s="18"/>
      <c r="K40" s="18" t="s">
        <v>36</v>
      </c>
      <c r="L40" s="19" t="n">
        <f aca="false">IF($E40="","",IF(OR($C40="",$D40=""),"",COUNTIFS($C$5:$C$404,$C40,$D$5:$D$404,$D40)))</f>
        <v>1</v>
      </c>
      <c r="M40" s="20" t="str">
        <f aca="false">IF($E40="","",IF(OR($B40="",$C40="",$D40=""),"待补楼栋/房号/日期",SUBSTITUTE($C40,"栋","")&amp;"-"&amp;$D40&amp;"-"&amp;TEXT(MONTH($B40),"00")&amp;TEXT(DAY($B40),"00")&amp;IF(COUNTIFS($C$5:$C40,$C40,$D$5:$D40,$D40)&gt;1,"-"&amp;TEXT(COUNTIFS($C$5:$C40,$C40,$D$5:$D40,$D40),"00"),"")))</f>
        <v>7-3002-0802</v>
      </c>
      <c r="N40" s="17" t="s">
        <v>160</v>
      </c>
      <c r="O40" s="18" t="s">
        <v>30</v>
      </c>
      <c r="P40" s="21"/>
    </row>
    <row r="41" customFormat="false" ht="21.75" hidden="false" customHeight="true" outlineLevel="0" collapsed="false">
      <c r="A41" s="13" t="n">
        <f aca="false">IF($E41="","",COUNTA($E$5:$E41))</f>
        <v>37</v>
      </c>
      <c r="B41" s="14" t="n">
        <v>46236</v>
      </c>
      <c r="C41" s="15" t="s">
        <v>161</v>
      </c>
      <c r="D41" s="16" t="s">
        <v>162</v>
      </c>
      <c r="E41" s="17" t="s">
        <v>163</v>
      </c>
      <c r="F41" s="18" t="s">
        <v>25</v>
      </c>
      <c r="G41" s="18"/>
      <c r="H41" s="15"/>
      <c r="I41" s="15" t="s">
        <v>156</v>
      </c>
      <c r="J41" s="18" t="s">
        <v>27</v>
      </c>
      <c r="K41" s="18" t="s">
        <v>28</v>
      </c>
      <c r="L41" s="19" t="n">
        <f aca="false">IF($E41="","",IF(OR($C41="",$D41=""),"",COUNTIFS($C$5:$C$404,$C41,$D$5:$D$404,$D41)))</f>
        <v>1</v>
      </c>
      <c r="M41" s="20" t="str">
        <f aca="false">IF($E41="","",IF(OR($B41="",$C41="",$D41=""),"待补楼栋/房号/日期",SUBSTITUTE($C41,"栋","")&amp;"-"&amp;$D41&amp;"-"&amp;TEXT(MONTH($B41),"00")&amp;TEXT(DAY($B41),"00")&amp;IF(COUNTIFS($C$5:$C41,$C41,$D$5:$D41,$D41)&gt;1,"-"&amp;TEXT(COUNTIFS($C$5:$C41,$C41,$D$5:$D41,$D41),"00"),"")))</f>
        <v>4-1104-0802</v>
      </c>
      <c r="N41" s="21"/>
      <c r="O41" s="18" t="s">
        <v>30</v>
      </c>
      <c r="P41" s="21"/>
    </row>
    <row r="42" customFormat="false" ht="21.75" hidden="false" customHeight="true" outlineLevel="0" collapsed="false">
      <c r="A42" s="13" t="n">
        <f aca="false">IF($E42="","",COUNTA($E$5:$E42))</f>
        <v>38</v>
      </c>
      <c r="B42" s="14" t="n">
        <v>46236</v>
      </c>
      <c r="C42" s="15" t="s">
        <v>31</v>
      </c>
      <c r="D42" s="16" t="s">
        <v>68</v>
      </c>
      <c r="E42" s="17" t="s">
        <v>164</v>
      </c>
      <c r="F42" s="18" t="s">
        <v>34</v>
      </c>
      <c r="G42" s="18"/>
      <c r="H42" s="15"/>
      <c r="I42" s="15" t="s">
        <v>156</v>
      </c>
      <c r="J42" s="18"/>
      <c r="K42" s="18" t="s">
        <v>28</v>
      </c>
      <c r="L42" s="19" t="n">
        <f aca="false">IF($E42="","",IF(OR($C42="",$D42=""),"",COUNTIFS($C$5:$C$404,$C42,$D$5:$D$404,$D42)))</f>
        <v>2</v>
      </c>
      <c r="M42" s="20" t="str">
        <f aca="false">IF($E42="","",IF(OR($B42="",$C42="",$D42=""),"待补楼栋/房号/日期",SUBSTITUTE($C42,"栋","")&amp;"-"&amp;$D42&amp;"-"&amp;TEXT(MONTH($B42),"00")&amp;TEXT(DAY($B42),"00")&amp;IF(COUNTIFS($C$5:$C42,$C42,$D$5:$D42,$D42)&gt;1,"-"&amp;TEXT(COUNTIFS($C$5:$C42,$C42,$D$5:$D42,$D42),"00"),"")))</f>
        <v>6-504-0802</v>
      </c>
      <c r="N42" s="21"/>
      <c r="O42" s="18" t="s">
        <v>30</v>
      </c>
      <c r="P42" s="17" t="s">
        <v>165</v>
      </c>
    </row>
    <row r="43" customFormat="false" ht="21.75" hidden="false" customHeight="true" outlineLevel="0" collapsed="false">
      <c r="A43" s="13" t="n">
        <f aca="false">IF($E43="","",COUNTA($E$5:$E43))</f>
        <v>39</v>
      </c>
      <c r="B43" s="14" t="n">
        <v>46236</v>
      </c>
      <c r="C43" s="15" t="s">
        <v>43</v>
      </c>
      <c r="D43" s="16" t="s">
        <v>166</v>
      </c>
      <c r="E43" s="17" t="s">
        <v>167</v>
      </c>
      <c r="F43" s="18" t="s">
        <v>25</v>
      </c>
      <c r="G43" s="18"/>
      <c r="H43" s="15"/>
      <c r="I43" s="15" t="s">
        <v>156</v>
      </c>
      <c r="J43" s="18" t="s">
        <v>61</v>
      </c>
      <c r="K43" s="18" t="s">
        <v>28</v>
      </c>
      <c r="L43" s="19" t="n">
        <f aca="false">IF($E43="","",IF(OR($C43="",$D43=""),"",COUNTIFS($C$5:$C$404,$C43,$D$5:$D$404,$D43)))</f>
        <v>1</v>
      </c>
      <c r="M43" s="20" t="str">
        <f aca="false">IF($E43="","",IF(OR($B43="",$C43="",$D43=""),"待补楼栋/房号/日期",SUBSTITUTE($C43,"栋","")&amp;"-"&amp;$D43&amp;"-"&amp;TEXT(MONTH($B43),"00")&amp;TEXT(DAY($B43),"00")&amp;IF(COUNTIFS($C$5:$C43,$C43,$D$5:$D43,$D43)&gt;1,"-"&amp;TEXT(COUNTIFS($C$5:$C43,$C43,$D$5:$D43,$D43),"00"),"")))</f>
        <v>7-2304-0802</v>
      </c>
      <c r="N43" s="21"/>
      <c r="O43" s="18" t="s">
        <v>30</v>
      </c>
      <c r="P43" s="21"/>
    </row>
    <row r="44" customFormat="false" ht="21.75" hidden="false" customHeight="true" outlineLevel="0" collapsed="false">
      <c r="A44" s="13" t="n">
        <f aca="false">IF($E44="","",COUNTA($E$5:$E44))</f>
        <v>40</v>
      </c>
      <c r="B44" s="14" t="n">
        <v>46236</v>
      </c>
      <c r="C44" s="15" t="s">
        <v>31</v>
      </c>
      <c r="D44" s="16" t="s">
        <v>129</v>
      </c>
      <c r="E44" s="17" t="s">
        <v>168</v>
      </c>
      <c r="F44" s="18" t="s">
        <v>169</v>
      </c>
      <c r="G44" s="18"/>
      <c r="H44" s="15"/>
      <c r="I44" s="15" t="s">
        <v>156</v>
      </c>
      <c r="J44" s="18"/>
      <c r="K44" s="18" t="s">
        <v>28</v>
      </c>
      <c r="L44" s="19" t="n">
        <f aca="false">IF($E44="","",IF(OR($C44="",$D44=""),"",COUNTIFS($C$5:$C$404,$C44,$D$5:$D$404,$D44)))</f>
        <v>1</v>
      </c>
      <c r="M44" s="20" t="str">
        <f aca="false">IF($E44="","",IF(OR($B44="",$C44="",$D44=""),"待补楼栋/房号/日期",SUBSTITUTE($C44,"栋","")&amp;"-"&amp;$D44&amp;"-"&amp;TEXT(MONTH($B44),"00")&amp;TEXT(DAY($B44),"00")&amp;IF(COUNTIFS($C$5:$C44,$C44,$D$5:$D44,$D44)&gt;1,"-"&amp;TEXT(COUNTIFS($C$5:$C44,$C44,$D$5:$D44,$D44),"00"),"")))</f>
        <v>6-1102-0802</v>
      </c>
      <c r="N44" s="21"/>
      <c r="O44" s="18" t="s">
        <v>30</v>
      </c>
      <c r="P44" s="21"/>
    </row>
    <row r="45" customFormat="false" ht="21.75" hidden="false" customHeight="true" outlineLevel="0" collapsed="false">
      <c r="A45" s="13" t="n">
        <f aca="false">IF($E45="","",COUNTA($E$5:$E45))</f>
        <v>41</v>
      </c>
      <c r="B45" s="14" t="n">
        <v>46236</v>
      </c>
      <c r="C45" s="15" t="s">
        <v>31</v>
      </c>
      <c r="D45" s="16" t="s">
        <v>170</v>
      </c>
      <c r="E45" s="17" t="s">
        <v>171</v>
      </c>
      <c r="F45" s="18" t="s">
        <v>24</v>
      </c>
      <c r="G45" s="18"/>
      <c r="H45" s="15"/>
      <c r="I45" s="15" t="s">
        <v>156</v>
      </c>
      <c r="J45" s="18"/>
      <c r="K45" s="18" t="s">
        <v>28</v>
      </c>
      <c r="L45" s="19" t="n">
        <f aca="false">IF($E45="","",IF(OR($C45="",$D45=""),"",COUNTIFS($C$5:$C$404,$C45,$D$5:$D$404,$D45)))</f>
        <v>1</v>
      </c>
      <c r="M45" s="20" t="str">
        <f aca="false">IF($E45="","",IF(OR($B45="",$C45="",$D45=""),"待补楼栋/房号/日期",SUBSTITUTE($C45,"栋","")&amp;"-"&amp;$D45&amp;"-"&amp;TEXT(MONTH($B45),"00")&amp;TEXT(DAY($B45),"00")&amp;IF(COUNTIFS($C$5:$C45,$C45,$D$5:$D45,$D45)&gt;1,"-"&amp;TEXT(COUNTIFS($C$5:$C45,$C45,$D$5:$D45,$D45),"00"),"")))</f>
        <v>6-1503-0802</v>
      </c>
      <c r="N45" s="21"/>
      <c r="O45" s="18" t="s">
        <v>30</v>
      </c>
      <c r="P45" s="21"/>
    </row>
    <row r="46" customFormat="false" ht="21.75" hidden="false" customHeight="true" outlineLevel="0" collapsed="false">
      <c r="A46" s="13" t="n">
        <f aca="false">IF($E46="","",COUNTA($E$5:$E46))</f>
        <v>42</v>
      </c>
      <c r="B46" s="14" t="n">
        <v>46236</v>
      </c>
      <c r="C46" s="15" t="s">
        <v>79</v>
      </c>
      <c r="D46" s="16" t="s">
        <v>172</v>
      </c>
      <c r="E46" s="17" t="s">
        <v>173</v>
      </c>
      <c r="F46" s="18" t="s">
        <v>34</v>
      </c>
      <c r="G46" s="18"/>
      <c r="H46" s="15"/>
      <c r="I46" s="15" t="s">
        <v>156</v>
      </c>
      <c r="J46" s="18"/>
      <c r="K46" s="18" t="s">
        <v>28</v>
      </c>
      <c r="L46" s="19" t="n">
        <f aca="false">IF($E46="","",IF(OR($C46="",$D46=""),"",COUNTIFS($C$5:$C$404,$C46,$D$5:$D$404,$D46)))</f>
        <v>1</v>
      </c>
      <c r="M46" s="20" t="str">
        <f aca="false">IF($E46="","",IF(OR($B46="",$C46="",$D46=""),"待补楼栋/房号/日期",SUBSTITUTE($C46,"栋","")&amp;"-"&amp;$D46&amp;"-"&amp;TEXT(MONTH($B46),"00")&amp;TEXT(DAY($B46),"00")&amp;IF(COUNTIFS($C$5:$C46,$C46,$D$5:$D46,$D46)&gt;1,"-"&amp;TEXT(COUNTIFS($C$5:$C46,$C46,$D$5:$D46,$D46),"00"),"")))</f>
        <v>9-3301-0802</v>
      </c>
      <c r="N46" s="17" t="s">
        <v>174</v>
      </c>
      <c r="O46" s="18" t="s">
        <v>30</v>
      </c>
      <c r="P46" s="21"/>
    </row>
    <row r="47" customFormat="false" ht="21.75" hidden="false" customHeight="true" outlineLevel="0" collapsed="false">
      <c r="A47" s="13" t="n">
        <f aca="false">IF($E47="","",COUNTA($E$5:$E47))</f>
        <v>43</v>
      </c>
      <c r="B47" s="14" t="n">
        <v>46236</v>
      </c>
      <c r="C47" s="15" t="s">
        <v>79</v>
      </c>
      <c r="D47" s="16" t="s">
        <v>175</v>
      </c>
      <c r="E47" s="17" t="s">
        <v>176</v>
      </c>
      <c r="F47" s="18" t="s">
        <v>25</v>
      </c>
      <c r="G47" s="18"/>
      <c r="H47" s="15"/>
      <c r="I47" s="15" t="s">
        <v>177</v>
      </c>
      <c r="J47" s="18"/>
      <c r="K47" s="18" t="s">
        <v>28</v>
      </c>
      <c r="L47" s="19" t="n">
        <f aca="false">IF($E47="","",IF(OR($C47="",$D47=""),"",COUNTIFS($C$5:$C$404,$C47,$D$5:$D$404,$D47)))</f>
        <v>1</v>
      </c>
      <c r="M47" s="20" t="str">
        <f aca="false">IF($E47="","",IF(OR($B47="",$C47="",$D47=""),"待补楼栋/房号/日期",SUBSTITUTE($C47,"栋","")&amp;"-"&amp;$D47&amp;"-"&amp;TEXT(MONTH($B47),"00")&amp;TEXT(DAY($B47),"00")&amp;IF(COUNTIFS($C$5:$C47,$C47,$D$5:$D47,$D47)&gt;1,"-"&amp;TEXT(COUNTIFS($C$5:$C47,$C47,$D$5:$D47,$D47),"00"),"")))</f>
        <v>9-3204-0802</v>
      </c>
      <c r="N47" s="21"/>
      <c r="O47" s="18" t="s">
        <v>30</v>
      </c>
      <c r="P47" s="17" t="s">
        <v>120</v>
      </c>
    </row>
    <row r="48" customFormat="false" ht="21.75" hidden="false" customHeight="true" outlineLevel="0" collapsed="false">
      <c r="A48" s="13" t="n">
        <f aca="false">IF($E48="","",COUNTA($E$5:$E48))</f>
        <v>44</v>
      </c>
      <c r="B48" s="14" t="n">
        <v>46236</v>
      </c>
      <c r="C48" s="15" t="s">
        <v>79</v>
      </c>
      <c r="D48" s="16" t="s">
        <v>178</v>
      </c>
      <c r="E48" s="17" t="s">
        <v>173</v>
      </c>
      <c r="F48" s="18" t="s">
        <v>24</v>
      </c>
      <c r="G48" s="18"/>
      <c r="H48" s="15"/>
      <c r="I48" s="15" t="s">
        <v>179</v>
      </c>
      <c r="J48" s="18"/>
      <c r="K48" s="18" t="s">
        <v>28</v>
      </c>
      <c r="L48" s="19" t="n">
        <f aca="false">IF($E48="","",IF(OR($C48="",$D48=""),"",COUNTIFS($C$5:$C$404,$C48,$D$5:$D$404,$D48)))</f>
        <v>1</v>
      </c>
      <c r="M48" s="20" t="str">
        <f aca="false">IF($E48="","",IF(OR($B48="",$C48="",$D48=""),"待补楼栋/房号/日期",IF($C48="商铺","S",SUBSTITUTE($C48,"栋",""))&amp;"-"&amp;$D48&amp;"-"&amp;TEXT(MONTH($B48),"00")&amp;TEXT(DAY($B48),"00")&amp;IF(COUNTIFS($C$5:$C48,$C48,$D$5:$D48,$D48)&gt;1,"-"&amp;TEXT(COUNTIFS($C$5:$C48,$C48,$D$5:$D48,$D48),"00"),"")))</f>
        <v>9-303-0802</v>
      </c>
      <c r="N48" s="21"/>
      <c r="O48" s="18" t="s">
        <v>30</v>
      </c>
      <c r="P48" s="21"/>
    </row>
    <row r="49" customFormat="false" ht="21.75" hidden="false" customHeight="true" outlineLevel="0" collapsed="false">
      <c r="A49" s="13" t="n">
        <f aca="false">IF($E49="","",COUNTA($E$5:$E49))</f>
        <v>45</v>
      </c>
      <c r="B49" s="14" t="n">
        <v>46236</v>
      </c>
      <c r="C49" s="18" t="s">
        <v>180</v>
      </c>
      <c r="D49" s="16" t="s">
        <v>181</v>
      </c>
      <c r="E49" s="21" t="s">
        <v>182</v>
      </c>
      <c r="F49" s="18" t="s">
        <v>169</v>
      </c>
      <c r="G49" s="18"/>
      <c r="H49" s="15"/>
      <c r="I49" s="15" t="s">
        <v>179</v>
      </c>
      <c r="J49" s="18"/>
      <c r="K49" s="18" t="s">
        <v>28</v>
      </c>
      <c r="L49" s="19" t="n">
        <f aca="false">IF($E49="","",IF(OR($C49="",$D49=""),"",COUNTIFS($C$5:$C$404,$C49,$D$5:$D$404,$D49)))</f>
        <v>1</v>
      </c>
      <c r="M49" s="20" t="str">
        <f aca="false">IF($E49="","",IF(OR($B49="",$C49="",$D49=""),"待补楼栋/房号/日期",SUBSTITUTE($C49,"栋","")&amp;"-"&amp;$D49&amp;"-"&amp;TEXT(MONTH($B49),"00")&amp;TEXT(DAY($B49),"00")&amp;IF(COUNTIFS($C$5:$C49,$C49,$D$5:$D49,$D49)&gt;1,"-"&amp;TEXT(COUNTIFS($C$5:$C49,$C49,$D$5:$D49,$D49),"00"),"")))</f>
        <v>商铺-124-0802</v>
      </c>
      <c r="N49" s="21"/>
      <c r="O49" s="18" t="s">
        <v>30</v>
      </c>
      <c r="P49" s="21"/>
    </row>
    <row r="50" customFormat="false" ht="21.75" hidden="false" customHeight="true" outlineLevel="0" collapsed="false">
      <c r="A50" s="13" t="n">
        <f aca="false">IF($E50="","",COUNTA($E$5:$E50))</f>
        <v>46</v>
      </c>
      <c r="B50" s="14" t="n">
        <v>46236</v>
      </c>
      <c r="C50" s="15" t="s">
        <v>43</v>
      </c>
      <c r="D50" s="16" t="s">
        <v>94</v>
      </c>
      <c r="E50" s="17" t="s">
        <v>183</v>
      </c>
      <c r="F50" s="18" t="s">
        <v>24</v>
      </c>
      <c r="G50" s="18"/>
      <c r="H50" s="15"/>
      <c r="I50" s="15" t="s">
        <v>179</v>
      </c>
      <c r="J50" s="18"/>
      <c r="K50" s="18" t="s">
        <v>28</v>
      </c>
      <c r="L50" s="19" t="n">
        <f aca="false">IF($E50="","",IF(OR($C50="",$D50=""),"",COUNTIFS($C$5:$C$404,$C50,$D$5:$D$404,$D50)))</f>
        <v>1</v>
      </c>
      <c r="M50" s="20" t="str">
        <f aca="false">IF($E50="","",IF(OR($B50="",$C50="",$D50=""),"待补楼栋/房号/日期",SUBSTITUTE($C50,"栋","")&amp;"-"&amp;$D50&amp;"-"&amp;TEXT(MONTH($B50),"00")&amp;TEXT(DAY($B50),"00")&amp;IF(COUNTIFS($C$5:$C50,$C50,$D$5:$D50,$D50)&gt;1,"-"&amp;TEXT(COUNTIFS($C$5:$C50,$C50,$D$5:$D50,$D50),"00"),"")))</f>
        <v>7-1402-0802</v>
      </c>
      <c r="N50" s="21"/>
      <c r="O50" s="18" t="s">
        <v>30</v>
      </c>
      <c r="P50" s="21"/>
    </row>
    <row r="51" customFormat="false" ht="21.75" hidden="false" customHeight="true" outlineLevel="0" collapsed="false">
      <c r="A51" s="13" t="n">
        <f aca="false">IF($E51="","",COUNTA($E$5:$E51))</f>
        <v>47</v>
      </c>
      <c r="B51" s="14" t="n">
        <v>46236</v>
      </c>
      <c r="C51" s="15" t="s">
        <v>21</v>
      </c>
      <c r="D51" s="16" t="s">
        <v>184</v>
      </c>
      <c r="E51" s="17" t="s">
        <v>185</v>
      </c>
      <c r="F51" s="18" t="s">
        <v>25</v>
      </c>
      <c r="G51" s="18"/>
      <c r="H51" s="15"/>
      <c r="I51" s="15" t="s">
        <v>179</v>
      </c>
      <c r="J51" s="18"/>
      <c r="K51" s="18" t="s">
        <v>28</v>
      </c>
      <c r="L51" s="19" t="n">
        <f aca="false">IF($E51="","",IF(OR($C51="",$D51=""),"",COUNTIFS($C$5:$C$404,$C51,$D$5:$D$404,$D51)))</f>
        <v>1</v>
      </c>
      <c r="M51" s="20" t="str">
        <f aca="false">IF($E51="","",IF(OR($B51="",$C51="",$D51=""),"待补楼栋/房号/日期",SUBSTITUTE($C51,"栋","")&amp;"-"&amp;$D51&amp;"-"&amp;TEXT(MONTH($B51),"00")&amp;TEXT(DAY($B51),"00")&amp;IF(COUNTIFS($C$5:$C51,$C51,$D$5:$D51,$D51)&gt;1,"-"&amp;TEXT(COUNTIFS($C$5:$C51,$C51,$D$5:$D51,$D51),"00"),"")))</f>
        <v>8-3303-0802</v>
      </c>
      <c r="N51" s="21"/>
      <c r="O51" s="18" t="s">
        <v>30</v>
      </c>
      <c r="P51" s="21"/>
    </row>
    <row r="52" customFormat="false" ht="21.75" hidden="false" customHeight="true" outlineLevel="0" collapsed="false">
      <c r="A52" s="13" t="n">
        <f aca="false">IF($E52="","",COUNTA($E$5:$E52))</f>
        <v>48</v>
      </c>
      <c r="B52" s="14" t="n">
        <v>46238</v>
      </c>
      <c r="C52" s="15" t="s">
        <v>21</v>
      </c>
      <c r="D52" s="16" t="s">
        <v>186</v>
      </c>
      <c r="E52" s="17" t="s">
        <v>187</v>
      </c>
      <c r="F52" s="18" t="s">
        <v>24</v>
      </c>
      <c r="G52" s="18"/>
      <c r="H52" s="15"/>
      <c r="I52" s="15" t="s">
        <v>188</v>
      </c>
      <c r="J52" s="18"/>
      <c r="K52" s="18" t="s">
        <v>36</v>
      </c>
      <c r="L52" s="19" t="n">
        <f aca="false">IF($E52="","",IF(OR($C52="",$D52=""),"",COUNTIFS($C$5:$C$404,$C52,$D$5:$D$404,$D52)))</f>
        <v>1</v>
      </c>
      <c r="M52" s="20" t="n">
        <f aca="false">IF($E52="","",IF(OR($C52="",$D52=""),"",COUNTIFS($C$5:$C$404,$C52,$D$5:$D$404,$D52)))</f>
        <v>1</v>
      </c>
      <c r="N52" s="17" t="s">
        <v>189</v>
      </c>
      <c r="O52" s="18"/>
      <c r="P52" s="21"/>
    </row>
    <row r="53" customFormat="false" ht="36" hidden="false" customHeight="true" outlineLevel="0" collapsed="false">
      <c r="A53" s="13" t="n">
        <f aca="false">IF($E53="","",COUNTA($E$5:$E53))</f>
        <v>49</v>
      </c>
      <c r="B53" s="14" t="n">
        <v>46238</v>
      </c>
      <c r="C53" s="15" t="s">
        <v>31</v>
      </c>
      <c r="D53" s="16" t="s">
        <v>190</v>
      </c>
      <c r="E53" s="17" t="s">
        <v>191</v>
      </c>
      <c r="F53" s="18" t="s">
        <v>24</v>
      </c>
      <c r="G53" s="18"/>
      <c r="H53" s="15"/>
      <c r="I53" s="15" t="s">
        <v>188</v>
      </c>
      <c r="J53" s="18"/>
      <c r="K53" s="18" t="s">
        <v>28</v>
      </c>
      <c r="L53" s="19" t="n">
        <f aca="false">IF($E53="","",IF(OR($C53="",$D53=""),"",COUNTIFS($C$5:$C$404,$C53,$D$5:$D$404,$D53)))</f>
        <v>1</v>
      </c>
      <c r="M53" s="20" t="str">
        <f aca="false">IF($E53="","",IF(OR($B53="",$C53="",$D53=""),"待补楼栋/房号/日期",SUBSTITUTE($C53,"栋","")&amp;"-"&amp;$D53&amp;"-"&amp;TEXT(MONTH($B53),"00")&amp;TEXT(DAY($B53),"00")&amp;IF(COUNTIFS($C$5:$C53,$C53,$D$5:$D53,$D53)&gt;1,"-"&amp;TEXT(COUNTIFS($C$5:$C53,$C53,$D$5:$D53,$D53),"00"),"")))</f>
        <v>6-402-0804</v>
      </c>
      <c r="N53" s="21"/>
      <c r="O53" s="18" t="s">
        <v>30</v>
      </c>
      <c r="P53" s="17" t="s">
        <v>192</v>
      </c>
    </row>
    <row r="54" customFormat="false" ht="21.75" hidden="false" customHeight="true" outlineLevel="0" collapsed="false">
      <c r="A54" s="13" t="n">
        <f aca="false">IF($E54="","",COUNTA($E$5:$E54))</f>
        <v>50</v>
      </c>
      <c r="B54" s="14" t="n">
        <v>46238</v>
      </c>
      <c r="C54" s="15" t="s">
        <v>21</v>
      </c>
      <c r="D54" s="16" t="s">
        <v>193</v>
      </c>
      <c r="E54" s="17" t="s">
        <v>194</v>
      </c>
      <c r="F54" s="18" t="s">
        <v>24</v>
      </c>
      <c r="G54" s="18"/>
      <c r="H54" s="15"/>
      <c r="I54" s="15" t="s">
        <v>188</v>
      </c>
      <c r="J54" s="18"/>
      <c r="K54" s="18" t="s">
        <v>28</v>
      </c>
      <c r="L54" s="19" t="n">
        <f aca="false">IF($E54="","",IF(OR($C54="",$D54=""),"",COUNTIFS($C$5:$C$404,$C54,$D$5:$D$404,$D54)))</f>
        <v>1</v>
      </c>
      <c r="M54" s="20" t="str">
        <f aca="false">IF($E54="","",IF(OR($B54="",$C54="",$D54=""),"待补楼栋/房号/日期",SUBSTITUTE($C54,"栋","")&amp;"-"&amp;$D54&amp;"-"&amp;TEXT(MONTH($B54),"00")&amp;TEXT(DAY($B54),"00")&amp;IF(COUNTIFS($C$5:$C54,$C54,$D$5:$D54,$D54)&gt;1,"-"&amp;TEXT(COUNTIFS($C$5:$C54,$C54,$D$5:$D54,$D54),"00"),"")))</f>
        <v>8-3104-0804</v>
      </c>
      <c r="N54" s="21"/>
      <c r="O54" s="18" t="s">
        <v>30</v>
      </c>
      <c r="P54" s="21"/>
    </row>
    <row r="55" customFormat="false" ht="21.75" hidden="false" customHeight="true" outlineLevel="0" collapsed="false">
      <c r="A55" s="13" t="n">
        <f aca="false">IF($E55="","",COUNTA($E$5:$E55))</f>
        <v>51</v>
      </c>
      <c r="B55" s="14" t="n">
        <v>46238</v>
      </c>
      <c r="C55" s="15" t="s">
        <v>21</v>
      </c>
      <c r="D55" s="16" t="s">
        <v>195</v>
      </c>
      <c r="E55" s="17" t="s">
        <v>196</v>
      </c>
      <c r="F55" s="18" t="s">
        <v>24</v>
      </c>
      <c r="G55" s="18"/>
      <c r="H55" s="15"/>
      <c r="I55" s="15" t="s">
        <v>188</v>
      </c>
      <c r="J55" s="18"/>
      <c r="K55" s="18" t="s">
        <v>28</v>
      </c>
      <c r="L55" s="19" t="n">
        <f aca="false">IF($E55="","",IF(OR($C55="",$D55=""),"",COUNTIFS($C$5:$C$404,$C55,$D$5:$D$404,$D55)))</f>
        <v>1</v>
      </c>
      <c r="M55" s="20" t="str">
        <f aca="false">IF($E55="","",IF(OR($B55="",$C55="",$D55=""),"待补楼栋/房号/日期",SUBSTITUTE($C55,"栋","")&amp;"-"&amp;$D55&amp;"-"&amp;TEXT(MONTH($B55),"00")&amp;TEXT(DAY($B55),"00")&amp;IF(COUNTIFS($C$5:$C55,$C55,$D$5:$D55,$D55)&gt;1,"-"&amp;TEXT(COUNTIFS($C$5:$C55,$C55,$D$5:$D55,$D55),"00"),"")))</f>
        <v>8-1003-0804</v>
      </c>
      <c r="N55" s="21"/>
      <c r="O55" s="18" t="s">
        <v>30</v>
      </c>
      <c r="P55" s="21"/>
    </row>
    <row r="56" customFormat="false" ht="21.75" hidden="false" customHeight="true" outlineLevel="0" collapsed="false">
      <c r="A56" s="13" t="n">
        <v>52</v>
      </c>
      <c r="B56" s="14" t="n">
        <v>46238</v>
      </c>
      <c r="C56" s="15" t="s">
        <v>83</v>
      </c>
      <c r="D56" s="16" t="s">
        <v>197</v>
      </c>
      <c r="E56" s="17" t="s">
        <v>198</v>
      </c>
      <c r="F56" s="18" t="s">
        <v>24</v>
      </c>
      <c r="G56" s="18"/>
      <c r="H56" s="15"/>
      <c r="I56" s="15" t="s">
        <v>199</v>
      </c>
      <c r="J56" s="18"/>
      <c r="K56" s="18" t="s">
        <v>28</v>
      </c>
      <c r="L56" s="19" t="n">
        <f aca="false">IF($E56="","",IF(OR($C56="",$D56=""),"",COUNTIFS($C$5:$C$404,$C56,$D$5:$D$404,$D56)))</f>
        <v>1</v>
      </c>
      <c r="M56" s="20" t="str">
        <f aca="false">IF($E56="","",IF(OR($B56="",$C56="",$D56=""),"待补楼栋/房号/日期",SUBSTITUTE($C56,"栋","")&amp;"-"&amp;$D56&amp;"-"&amp;TEXT(MONTH($B56),"00")&amp;TEXT(DAY($B56),"00")&amp;IF(COUNTIFS($C$5:$C56,$C56,$D$5:$D56,$D56)&gt;1,"-"&amp;TEXT(COUNTIFS($C$5:$C56,$C56,$D$5:$D56,$D56),"00"),"")))</f>
        <v>1-2002-0804</v>
      </c>
      <c r="N56" s="21"/>
      <c r="O56" s="18" t="s">
        <v>30</v>
      </c>
      <c r="P56" s="21"/>
    </row>
    <row r="57" customFormat="false" ht="21.75" hidden="false" customHeight="true" outlineLevel="0" collapsed="false">
      <c r="A57" s="13" t="n">
        <v>53</v>
      </c>
      <c r="B57" s="14" t="n">
        <v>46238</v>
      </c>
      <c r="C57" s="15" t="s">
        <v>43</v>
      </c>
      <c r="D57" s="16" t="s">
        <v>154</v>
      </c>
      <c r="E57" s="17" t="s">
        <v>200</v>
      </c>
      <c r="F57" s="18" t="s">
        <v>24</v>
      </c>
      <c r="G57" s="18"/>
      <c r="H57" s="15"/>
      <c r="I57" s="15" t="s">
        <v>201</v>
      </c>
      <c r="J57" s="18"/>
      <c r="K57" s="18" t="s">
        <v>28</v>
      </c>
      <c r="L57" s="19" t="n">
        <f aca="false">IF($E57="","",IF(OR($C57="",$D57=""),"",COUNTIFS($C$5:$C$404,$C57,$D$5:$D$404,$D57)))</f>
        <v>2</v>
      </c>
      <c r="M57" s="20" t="str">
        <f aca="false">IF($E57="","",IF(OR($B57="",$C57="",$D57=""),"待补楼栋/房号/日期",SUBSTITUTE($C57,"栋","")&amp;"-"&amp;$D57&amp;"-"&amp;TEXT(MONTH($B57),"00")&amp;TEXT(DAY($B57),"00")&amp;IF(COUNTIFS($C$5:$C57,$C57,$D$5:$D57,$D57)&gt;1,"-"&amp;TEXT(COUNTIFS($C$5:$C57,$C57,$D$5:$D57,$D57),"00"),"")))</f>
        <v>7-1304-0804-02</v>
      </c>
      <c r="N57" s="21"/>
      <c r="O57" s="18" t="s">
        <v>30</v>
      </c>
      <c r="P57" s="21"/>
    </row>
    <row r="58" customFormat="false" ht="21.75" hidden="false" customHeight="true" outlineLevel="0" collapsed="false">
      <c r="A58" s="13" t="n">
        <f aca="false">IF($E58="","",COUNTA($E$5:$E58))</f>
        <v>54</v>
      </c>
      <c r="B58" s="14" t="n">
        <v>46238</v>
      </c>
      <c r="C58" s="15" t="s">
        <v>76</v>
      </c>
      <c r="D58" s="16" t="s">
        <v>202</v>
      </c>
      <c r="E58" s="17" t="s">
        <v>203</v>
      </c>
      <c r="F58" s="18" t="s">
        <v>25</v>
      </c>
      <c r="G58" s="18"/>
      <c r="H58" s="15"/>
      <c r="I58" s="15" t="s">
        <v>201</v>
      </c>
      <c r="J58" s="18"/>
      <c r="K58" s="18" t="s">
        <v>36</v>
      </c>
      <c r="L58" s="19" t="n">
        <f aca="false">IF($E58="","",IF(OR($C58="",$D58=""),"",COUNTIFS($C$5:$C$404,$C58,$D$5:$D$404,$D58)))</f>
        <v>1</v>
      </c>
      <c r="M58" s="20" t="str">
        <f aca="false">IF($E58="","",IF(OR($B58="",$C58="",$D58=""),"待补楼栋/房号/日期",SUBSTITUTE($C58,"栋","")&amp;"-"&amp;$D58&amp;"-"&amp;TEXT(MONTH($B58),"00")&amp;TEXT(DAY($B58),"00")&amp;IF(COUNTIFS($C$5:$C58,$C58,$D$5:$D58,$D58)&gt;1,"-"&amp;TEXT(COUNTIFS($C$5:$C58,$C58,$D$5:$D58,$D58),"00"),"")))</f>
        <v>10-3102-0804</v>
      </c>
      <c r="N58" s="21"/>
      <c r="O58" s="18"/>
      <c r="P58" s="21"/>
    </row>
    <row r="59" customFormat="false" ht="21.75" hidden="false" customHeight="true" outlineLevel="0" collapsed="false">
      <c r="A59" s="13" t="n">
        <f aca="false">IF($E59="","",COUNTA($E$5:$E59))</f>
        <v>55</v>
      </c>
      <c r="B59" s="14" t="n">
        <v>46238</v>
      </c>
      <c r="C59" s="15" t="s">
        <v>79</v>
      </c>
      <c r="D59" s="16" t="s">
        <v>32</v>
      </c>
      <c r="E59" s="17" t="s">
        <v>204</v>
      </c>
      <c r="F59" s="18" t="s">
        <v>24</v>
      </c>
      <c r="G59" s="18"/>
      <c r="H59" s="15"/>
      <c r="I59" s="15" t="s">
        <v>205</v>
      </c>
      <c r="J59" s="18"/>
      <c r="K59" s="18" t="s">
        <v>28</v>
      </c>
      <c r="L59" s="19" t="n">
        <f aca="false">IF($E59="","",IF(OR($C59="",$D59=""),"",COUNTIFS($C$5:$C$404,$C59,$D$5:$D$404,$D59)))</f>
        <v>1</v>
      </c>
      <c r="M59" s="20" t="str">
        <f aca="false">IF($E59="","",IF(OR($B59="",$C59="",$D59=""),"待补楼栋/房号/日期",SUBSTITUTE($C59,"栋","")&amp;"-"&amp;$D59&amp;"-"&amp;TEXT(MONTH($B59),"00")&amp;TEXT(DAY($B59),"00")&amp;IF(COUNTIFS($C$5:$C59,$C59,$D$5:$D59,$D59)&gt;1,"-"&amp;TEXT(COUNTIFS($C$5:$C59,$C59,$D$5:$D59,$D59),"00"),"")))</f>
        <v>9-2504-0804</v>
      </c>
      <c r="N59" s="21"/>
      <c r="O59" s="18" t="s">
        <v>30</v>
      </c>
      <c r="P59" s="21"/>
    </row>
    <row r="60" customFormat="false" ht="36" hidden="false" customHeight="true" outlineLevel="0" collapsed="false">
      <c r="A60" s="13" t="n">
        <f aca="false">IF($E60="","",COUNTA($E$5:$E60))</f>
        <v>56</v>
      </c>
      <c r="B60" s="14" t="n">
        <v>46238</v>
      </c>
      <c r="C60" s="15" t="s">
        <v>76</v>
      </c>
      <c r="D60" s="16" t="s">
        <v>206</v>
      </c>
      <c r="E60" s="17" t="s">
        <v>207</v>
      </c>
      <c r="F60" s="18" t="s">
        <v>24</v>
      </c>
      <c r="G60" s="18"/>
      <c r="H60" s="15"/>
      <c r="I60" s="15" t="s">
        <v>201</v>
      </c>
      <c r="J60" s="18"/>
      <c r="K60" s="18" t="s">
        <v>28</v>
      </c>
      <c r="L60" s="19" t="n">
        <f aca="false">IF($E60="","",IF(OR($C60="",$D60=""),"",COUNTIFS($C$5:$C$404,$C60,$D$5:$D$404,$D60)))</f>
        <v>1</v>
      </c>
      <c r="M60" s="20" t="str">
        <f aca="false">IF($E60="","",IF(OR($B60="",$C60="",$D60=""),"待补楼栋/房号/日期",SUBSTITUTE($C60,"栋","")&amp;"-"&amp;$D60&amp;"-"&amp;TEXT(MONTH($B60),"00")&amp;TEXT(DAY($B60),"00")&amp;IF(COUNTIFS($C$5:$C60,$C60,$D$5:$D60,$D60)&gt;1,"-"&amp;TEXT(COUNTIFS($C$5:$C60,$C60,$D$5:$D60,$D60),"00"),"")))</f>
        <v>10-1101-0804</v>
      </c>
      <c r="N60" s="17" t="s">
        <v>208</v>
      </c>
      <c r="O60" s="18" t="s">
        <v>30</v>
      </c>
      <c r="P60" s="21"/>
    </row>
    <row r="61" customFormat="false" ht="21.75" hidden="false" customHeight="true" outlineLevel="0" collapsed="false">
      <c r="A61" s="13" t="n">
        <v>57</v>
      </c>
      <c r="B61" s="14" t="n">
        <v>46238</v>
      </c>
      <c r="C61" s="15" t="s">
        <v>83</v>
      </c>
      <c r="D61" s="16" t="s">
        <v>209</v>
      </c>
      <c r="E61" s="17" t="s">
        <v>207</v>
      </c>
      <c r="F61" s="18" t="s">
        <v>210</v>
      </c>
      <c r="G61" s="18"/>
      <c r="H61" s="15"/>
      <c r="I61" s="15" t="s">
        <v>211</v>
      </c>
      <c r="J61" s="18"/>
      <c r="K61" s="18" t="s">
        <v>28</v>
      </c>
      <c r="L61" s="19" t="n">
        <f aca="false">IF($E61="","",IF(OR($C61="",$D61=""),"",COUNTIFS($C$5:$C$404,$C61,$D$5:$D$404,$D61)))</f>
        <v>1</v>
      </c>
      <c r="M61" s="20" t="str">
        <f aca="false">IF($E61="","",IF(OR($B61="",$C61="",$D61=""),"待补楼栋/房号/日期",SUBSTITUTE($C61,"栋","")&amp;"-"&amp;$D61&amp;"-"&amp;TEXT(MONTH($B61),"00")&amp;TEXT(DAY($B61),"00")&amp;IF(COUNTIFS($C$5:$C61,$C61,$D$5:$D61,$D61)&gt;1,"-"&amp;TEXT(COUNTIFS($C$5:$C61,$C61,$D$5:$D61,$D61),"00"),"")))</f>
        <v>1-804-0804</v>
      </c>
      <c r="N61" s="21"/>
      <c r="O61" s="18" t="s">
        <v>30</v>
      </c>
      <c r="P61" s="21"/>
    </row>
    <row r="62" customFormat="false" ht="21.75" hidden="false" customHeight="true" outlineLevel="0" collapsed="false">
      <c r="A62" s="13" t="n">
        <f aca="false">IF($E62="","",COUNTA($E$5:$E62))</f>
        <v>58</v>
      </c>
      <c r="B62" s="14" t="n">
        <v>46239</v>
      </c>
      <c r="C62" s="15" t="s">
        <v>38</v>
      </c>
      <c r="D62" s="16" t="s">
        <v>212</v>
      </c>
      <c r="E62" s="17" t="s">
        <v>213</v>
      </c>
      <c r="F62" s="18" t="s">
        <v>24</v>
      </c>
      <c r="G62" s="18"/>
      <c r="H62" s="15"/>
      <c r="I62" s="15" t="s">
        <v>214</v>
      </c>
      <c r="J62" s="18"/>
      <c r="K62" s="18" t="s">
        <v>28</v>
      </c>
      <c r="L62" s="19" t="n">
        <f aca="false">IF($E62="","",IF(OR($C62="",$D62=""),"",COUNTIFS($C$5:$C$404,$C62,$D$5:$D$404,$D62)))</f>
        <v>1</v>
      </c>
      <c r="M62" s="20" t="str">
        <f aca="false">IF($E62="","",IF(OR($B62="",$C62="",$D62=""),"待补楼栋/房号/日期",SUBSTITUTE($C62,"栋","")&amp;"-"&amp;$D62&amp;"-"&amp;TEXT(MONTH($B62),"00")&amp;TEXT(DAY($B62),"00")&amp;IF(COUNTIFS($C$5:$C62,$C62,$D$5:$D62,$D62)&gt;1,"-"&amp;TEXT(COUNTIFS($C$5:$C62,$C62,$D$5:$D62,$D62),"00"),"")))</f>
        <v>5-2601-0805</v>
      </c>
      <c r="N62" s="21"/>
      <c r="O62" s="18" t="s">
        <v>30</v>
      </c>
      <c r="P62" s="21"/>
    </row>
    <row r="63" customFormat="false" ht="21.75" hidden="false" customHeight="true" outlineLevel="0" collapsed="false">
      <c r="A63" s="13" t="n">
        <f aca="false">IF($E63="","",COUNTA($E$5:$E63))</f>
        <v>59</v>
      </c>
      <c r="B63" s="14" t="n">
        <v>46240</v>
      </c>
      <c r="C63" s="15" t="s">
        <v>93</v>
      </c>
      <c r="D63" s="16" t="s">
        <v>215</v>
      </c>
      <c r="E63" s="17" t="s">
        <v>216</v>
      </c>
      <c r="F63" s="18" t="s">
        <v>24</v>
      </c>
      <c r="G63" s="18"/>
      <c r="H63" s="15"/>
      <c r="I63" s="15" t="s">
        <v>217</v>
      </c>
      <c r="J63" s="18"/>
      <c r="K63" s="18" t="s">
        <v>28</v>
      </c>
      <c r="L63" s="19" t="n">
        <f aca="false">IF($E63="","",IF(OR($C63="",$D63=""),"",COUNTIFS($C$5:$C$404,$C63,$D$5:$D$404,$D63)))</f>
        <v>1</v>
      </c>
      <c r="M63" s="20" t="str">
        <f aca="false">IF($E63="","",IF(OR($B63="",$C63="",$D63=""),"待补楼栋/房号/日期",SUBSTITUTE($C63,"栋","")&amp;"-"&amp;$D63&amp;"-"&amp;TEXT(MONTH($B63),"00")&amp;TEXT(DAY($B63),"00")&amp;IF(COUNTIFS($C$5:$C63,$C63,$D$5:$D63,$D63)&gt;1,"-"&amp;TEXT(COUNTIFS($C$5:$C63,$C63,$D$5:$D63,$D63),"00"),"")))</f>
        <v>11-803-0806</v>
      </c>
      <c r="N63" s="21"/>
      <c r="O63" s="18" t="s">
        <v>30</v>
      </c>
      <c r="P63" s="21"/>
    </row>
    <row r="64" customFormat="false" ht="36" hidden="false" customHeight="true" outlineLevel="0" collapsed="false">
      <c r="A64" s="13" t="n">
        <f aca="false">IF($E64="","",COUNTA($E$5:$E64))</f>
        <v>60</v>
      </c>
      <c r="B64" s="14" t="n">
        <v>46240</v>
      </c>
      <c r="C64" s="15" t="s">
        <v>83</v>
      </c>
      <c r="D64" s="16" t="s">
        <v>218</v>
      </c>
      <c r="E64" s="17" t="s">
        <v>219</v>
      </c>
      <c r="F64" s="18" t="s">
        <v>210</v>
      </c>
      <c r="G64" s="18"/>
      <c r="H64" s="15"/>
      <c r="I64" s="15" t="s">
        <v>220</v>
      </c>
      <c r="J64" s="18"/>
      <c r="K64" s="18" t="s">
        <v>28</v>
      </c>
      <c r="L64" s="19" t="n">
        <f aca="false">IF($E64="","",IF(OR($C64="",$D64=""),"",COUNTIFS($C$5:$C$404,$C64,$D$5:$D$404,$D64)))</f>
        <v>1</v>
      </c>
      <c r="M64" s="20" t="str">
        <f aca="false">IF($E64="","",IF(OR($B64="",$C64="",$D64=""),"待补楼栋/房号/日期",SUBSTITUTE($C64,"栋","")&amp;"-"&amp;$D64&amp;"-"&amp;TEXT(MONTH($B64),"00")&amp;TEXT(DAY($B64),"00")&amp;IF(COUNTIFS($C$5:$C64,$C64,$D$5:$D64,$D64)&gt;1,"-"&amp;TEXT(COUNTIFS($C$5:$C64,$C64,$D$5:$D64,$D64),"00"),"")))</f>
        <v>1-2101-0806</v>
      </c>
      <c r="N64" s="21"/>
      <c r="O64" s="18" t="s">
        <v>48</v>
      </c>
      <c r="P64" s="21"/>
    </row>
    <row r="65" customFormat="false" ht="21.75" hidden="false" customHeight="true" outlineLevel="0" collapsed="false">
      <c r="A65" s="13" t="n">
        <f aca="false">IF($E65="","",COUNTA($E$5:$E65))</f>
        <v>61</v>
      </c>
      <c r="B65" s="14" t="n">
        <v>46240</v>
      </c>
      <c r="C65" s="15" t="s">
        <v>161</v>
      </c>
      <c r="D65" s="16" t="s">
        <v>221</v>
      </c>
      <c r="E65" s="17" t="s">
        <v>222</v>
      </c>
      <c r="F65" s="18" t="s">
        <v>24</v>
      </c>
      <c r="G65" s="18"/>
      <c r="H65" s="15"/>
      <c r="I65" s="15" t="s">
        <v>223</v>
      </c>
      <c r="J65" s="18"/>
      <c r="K65" s="18" t="s">
        <v>28</v>
      </c>
      <c r="L65" s="19" t="n">
        <f aca="false">IF($E65="","",IF(OR($C65="",$D65=""),"",COUNTIFS($C$5:$C$404,$C65,$D$5:$D$404,$D65)))</f>
        <v>1</v>
      </c>
      <c r="M65" s="20" t="str">
        <f aca="false">IF($E65="","",IF(OR($B65="",$C65="",$D65=""),"待补楼栋/房号/日期",SUBSTITUTE($C65,"栋","")&amp;"-"&amp;$D65&amp;"-"&amp;TEXT(MONTH($B65),"00")&amp;TEXT(DAY($B65),"00")&amp;IF(COUNTIFS($C$5:$C65,$C65,$D$5:$D65,$D65)&gt;1,"-"&amp;TEXT(COUNTIFS($C$5:$C65,$C65,$D$5:$D65,$D65),"00"),"")))</f>
        <v>4-2604-0806</v>
      </c>
      <c r="N65" s="21"/>
      <c r="O65" s="18" t="s">
        <v>30</v>
      </c>
      <c r="P65" s="21"/>
    </row>
    <row r="66" customFormat="false" ht="21.75" hidden="false" customHeight="true" outlineLevel="0" collapsed="false">
      <c r="A66" s="13" t="n">
        <f aca="false">IF($E66="","",COUNTA($E$5:$E66))</f>
        <v>62</v>
      </c>
      <c r="B66" s="14" t="n">
        <v>46240</v>
      </c>
      <c r="C66" s="15" t="s">
        <v>83</v>
      </c>
      <c r="D66" s="16" t="s">
        <v>221</v>
      </c>
      <c r="E66" s="17" t="s">
        <v>224</v>
      </c>
      <c r="F66" s="18" t="s">
        <v>210</v>
      </c>
      <c r="G66" s="18"/>
      <c r="H66" s="15"/>
      <c r="I66" s="15" t="s">
        <v>225</v>
      </c>
      <c r="J66" s="18"/>
      <c r="K66" s="18" t="s">
        <v>28</v>
      </c>
      <c r="L66" s="19" t="n">
        <f aca="false">IF($E66="","",IF(OR($C66="",$D66=""),"",COUNTIFS($C$5:$C$404,$C66,$D$5:$D$404,$D66)))</f>
        <v>1</v>
      </c>
      <c r="M66" s="20" t="str">
        <f aca="false">IF($E66="","",IF(OR($B66="",$C66="",$D66=""),"待补楼栋/房号/日期",SUBSTITUTE($C66,"栋","")&amp;"-"&amp;$D66&amp;"-"&amp;TEXT(MONTH($B66),"00")&amp;TEXT(DAY($B66),"00")&amp;IF(COUNTIFS($C$5:$C66,$C66,$D$5:$D66,$D66)&gt;1,"-"&amp;TEXT(COUNTIFS($C$5:$C66,$C66,$D$5:$D66,$D66),"00"),"")))</f>
        <v>1-2604-0806</v>
      </c>
      <c r="N66" s="21"/>
      <c r="O66" s="18" t="s">
        <v>30</v>
      </c>
      <c r="P66" s="21"/>
    </row>
    <row r="67" customFormat="false" ht="36" hidden="false" customHeight="true" outlineLevel="0" collapsed="false">
      <c r="A67" s="13" t="n">
        <f aca="false">IF($E67="","",COUNTA($E$5:$E67))</f>
        <v>63</v>
      </c>
      <c r="B67" s="14" t="n">
        <v>46240</v>
      </c>
      <c r="C67" s="15" t="s">
        <v>38</v>
      </c>
      <c r="D67" s="16" t="s">
        <v>226</v>
      </c>
      <c r="E67" s="17" t="s">
        <v>227</v>
      </c>
      <c r="F67" s="18" t="s">
        <v>24</v>
      </c>
      <c r="G67" s="18"/>
      <c r="H67" s="15"/>
      <c r="I67" s="15" t="s">
        <v>228</v>
      </c>
      <c r="J67" s="18"/>
      <c r="K67" s="18" t="s">
        <v>28</v>
      </c>
      <c r="L67" s="19" t="n">
        <f aca="false">IF($E67="","",IF(OR($C67="",$D67=""),"",COUNTIFS($C$5:$C$404,$C67,$D$5:$D$404,$D67)))</f>
        <v>1</v>
      </c>
      <c r="M67" s="20" t="str">
        <f aca="false">IF($E67="","",IF(OR($B67="",$C67="",$D67=""),"待补楼栋/房号/日期",SUBSTITUTE($C67,"栋","")&amp;"-"&amp;$D67&amp;"-"&amp;TEXT(MONTH($B67),"00")&amp;TEXT(DAY($B67),"00")&amp;IF(COUNTIFS($C$5:$C67,$C67,$D$5:$D67,$D67)&gt;1,"-"&amp;TEXT(COUNTIFS($C$5:$C67,$C67,$D$5:$D67,$D67),"00"),"")))</f>
        <v>5-702-0806</v>
      </c>
      <c r="N67" s="21"/>
      <c r="O67" s="18" t="s">
        <v>30</v>
      </c>
      <c r="P67" s="21"/>
    </row>
    <row r="68" customFormat="false" ht="36" hidden="false" customHeight="true" outlineLevel="0" collapsed="false">
      <c r="A68" s="13" t="n">
        <f aca="false">IF($E68="","",COUNTA($E$5:$E68))</f>
        <v>64</v>
      </c>
      <c r="B68" s="14" t="n">
        <v>46240</v>
      </c>
      <c r="C68" s="15" t="s">
        <v>93</v>
      </c>
      <c r="D68" s="16" t="s">
        <v>229</v>
      </c>
      <c r="E68" s="17" t="s">
        <v>230</v>
      </c>
      <c r="F68" s="18" t="s">
        <v>24</v>
      </c>
      <c r="G68" s="18"/>
      <c r="H68" s="15"/>
      <c r="I68" s="15" t="s">
        <v>231</v>
      </c>
      <c r="J68" s="18"/>
      <c r="K68" s="18" t="s">
        <v>28</v>
      </c>
      <c r="L68" s="19" t="n">
        <f aca="false">IF($E68="","",IF(OR($C68="",$D68=""),"",COUNTIFS($C$5:$C$404,$C68,$D$5:$D$404,$D68)))</f>
        <v>1</v>
      </c>
      <c r="M68" s="20" t="str">
        <f aca="false">IF($E68="","",IF(OR($B68="",$C68="",$D68=""),"待补楼栋/房号/日期",SUBSTITUTE($C68,"栋","")&amp;"-"&amp;$D68&amp;"-"&amp;TEXT(MONTH($B68),"00")&amp;TEXT(DAY($B68),"00")&amp;IF(COUNTIFS($C$5:$C68,$C68,$D$5:$D68,$D68)&gt;1,"-"&amp;TEXT(COUNTIFS($C$5:$C68,$C68,$D$5:$D68,$D68),"00"),"")))</f>
        <v>11-401-0806</v>
      </c>
      <c r="N68" s="21"/>
      <c r="O68" s="18" t="s">
        <v>30</v>
      </c>
      <c r="P68" s="21"/>
    </row>
    <row r="69" customFormat="false" ht="36" hidden="false" customHeight="true" outlineLevel="0" collapsed="false">
      <c r="A69" s="13" t="n">
        <f aca="false">IF($E69="","",COUNTA($E$5:$E69))</f>
        <v>65</v>
      </c>
      <c r="B69" s="14" t="n">
        <v>46240</v>
      </c>
      <c r="C69" s="15" t="s">
        <v>38</v>
      </c>
      <c r="D69" s="16" t="s">
        <v>232</v>
      </c>
      <c r="E69" s="17" t="s">
        <v>233</v>
      </c>
      <c r="F69" s="18"/>
      <c r="G69" s="18"/>
      <c r="H69" s="15"/>
      <c r="I69" s="15" t="s">
        <v>231</v>
      </c>
      <c r="J69" s="18"/>
      <c r="K69" s="18" t="s">
        <v>28</v>
      </c>
      <c r="L69" s="19" t="n">
        <f aca="false">IF($E69="","",IF(OR($C69="",$D69=""),"",COUNTIFS($C$5:$C$404,$C69,$D$5:$D$404,$D69)))</f>
        <v>1</v>
      </c>
      <c r="M69" s="20" t="str">
        <f aca="false">IF($E69="","",IF(OR($B69="",$C69="",$D69=""),"待补楼栋/房号/日期",SUBSTITUTE($C69,"栋","")&amp;"-"&amp;$D69&amp;"-"&amp;TEXT(MONTH($B69),"00")&amp;TEXT(DAY($B69),"00")&amp;IF(COUNTIFS($C$5:$C69,$C69,$D$5:$D69,$D69)&gt;1,"-"&amp;TEXT(COUNTIFS($C$5:$C69,$C69,$D$5:$D69,$D69),"00"),"")))</f>
        <v>5-3203-0806</v>
      </c>
      <c r="N69" s="21"/>
      <c r="O69" s="18" t="s">
        <v>48</v>
      </c>
      <c r="P69" s="21"/>
    </row>
    <row r="70" customFormat="false" ht="21.75" hidden="false" customHeight="true" outlineLevel="0" collapsed="false">
      <c r="A70" s="13" t="n">
        <f aca="false">IF($E70="","",COUNTA($E$5:$E70))</f>
        <v>66</v>
      </c>
      <c r="B70" s="14" t="n">
        <v>46240</v>
      </c>
      <c r="C70" s="15" t="s">
        <v>21</v>
      </c>
      <c r="D70" s="16" t="s">
        <v>90</v>
      </c>
      <c r="E70" s="17" t="s">
        <v>234</v>
      </c>
      <c r="F70" s="18" t="s">
        <v>24</v>
      </c>
      <c r="G70" s="18"/>
      <c r="H70" s="15"/>
      <c r="I70" s="15" t="s">
        <v>231</v>
      </c>
      <c r="J70" s="18"/>
      <c r="K70" s="18" t="s">
        <v>28</v>
      </c>
      <c r="L70" s="19" t="n">
        <f aca="false">IF($E70="","",IF(OR($C70="",$D70=""),"",COUNTIFS($C$5:$C$404,$C70,$D$5:$D$404,$D70)))</f>
        <v>3</v>
      </c>
      <c r="M70" s="20" t="str">
        <f aca="false">IF($E70="","",IF(OR($B70="",$C70="",$D70=""),"待补楼栋/房号/日期",SUBSTITUTE($C70,"栋","")&amp;"-"&amp;$D70&amp;"-"&amp;TEXT(MONTH($B70),"00")&amp;TEXT(DAY($B70),"00")&amp;IF(COUNTIFS($C$5:$C70,$C70,$D$5:$D70,$D70)&gt;1,"-"&amp;TEXT(COUNTIFS($C$5:$C70,$C70,$D$5:$D70,$D70),"00"),"")))</f>
        <v>8-1501-0806-02</v>
      </c>
      <c r="N70" s="21"/>
      <c r="O70" s="18" t="s">
        <v>30</v>
      </c>
      <c r="P70" s="21"/>
    </row>
    <row r="71" customFormat="false" ht="21.75" hidden="false" customHeight="true" outlineLevel="0" collapsed="false">
      <c r="A71" s="13" t="n">
        <f aca="false">IF($E71="","",COUNTA($E$5:$E71))</f>
        <v>67</v>
      </c>
      <c r="B71" s="14" t="n">
        <v>46241</v>
      </c>
      <c r="C71" s="15" t="s">
        <v>31</v>
      </c>
      <c r="D71" s="16" t="s">
        <v>68</v>
      </c>
      <c r="E71" s="17" t="s">
        <v>235</v>
      </c>
      <c r="F71" s="18" t="s">
        <v>24</v>
      </c>
      <c r="G71" s="18"/>
      <c r="H71" s="15"/>
      <c r="I71" s="15" t="s">
        <v>236</v>
      </c>
      <c r="J71" s="18"/>
      <c r="K71" s="18" t="s">
        <v>28</v>
      </c>
      <c r="L71" s="19" t="n">
        <f aca="false">IF($E71="","",IF(OR($C71="",$D71=""),"",COUNTIFS($C$5:$C$404,$C71,$D$5:$D$404,$D71)))</f>
        <v>2</v>
      </c>
      <c r="M71" s="20" t="str">
        <f aca="false">IF($E71="","",IF(OR($B71="",$C71="",$D71=""),"待补楼栋/房号/日期",SUBSTITUTE($C71,"栋","")&amp;"-"&amp;$D71&amp;"-"&amp;TEXT(MONTH($B71),"00")&amp;TEXT(DAY($B71),"00")&amp;IF(COUNTIFS($C$5:$C71,$C71,$D$5:$D71,$D71)&gt;1,"-"&amp;TEXT(COUNTIFS($C$5:$C71,$C71,$D$5:$D71,$D71),"00"),"")))</f>
        <v>6-504-0807-02</v>
      </c>
      <c r="N71" s="21"/>
      <c r="O71" s="18" t="s">
        <v>30</v>
      </c>
      <c r="P71" s="21"/>
    </row>
    <row r="72" customFormat="false" ht="49.5" hidden="false" customHeight="true" outlineLevel="0" collapsed="false">
      <c r="A72" s="13" t="n">
        <f aca="false">IF($E72="","",COUNTA($E$5:$E72))</f>
        <v>68</v>
      </c>
      <c r="B72" s="14" t="n">
        <v>46241</v>
      </c>
      <c r="C72" s="15" t="s">
        <v>76</v>
      </c>
      <c r="D72" s="16" t="s">
        <v>237</v>
      </c>
      <c r="E72" s="17" t="s">
        <v>238</v>
      </c>
      <c r="F72" s="18" t="s">
        <v>24</v>
      </c>
      <c r="G72" s="18"/>
      <c r="H72" s="15"/>
      <c r="I72" s="15" t="s">
        <v>236</v>
      </c>
      <c r="J72" s="18"/>
      <c r="K72" s="18" t="s">
        <v>28</v>
      </c>
      <c r="L72" s="19" t="n">
        <f aca="false">IF($E72="","",IF(OR($C72="",$D72=""),"",COUNTIFS($C$5:$C$404,$C72,$D$5:$D$404,$D72)))</f>
        <v>1</v>
      </c>
      <c r="M72" s="20" t="str">
        <f aca="false">IF($E72="","",IF(OR($B72="",$C72="",$D72=""),"待补楼栋/房号/日期",SUBSTITUTE($C72,"栋","")&amp;"-"&amp;$D72&amp;"-"&amp;TEXT(MONTH($B72),"00")&amp;TEXT(DAY($B72),"00")&amp;IF(COUNTIFS($C$5:$C72,$C72,$D$5:$D72,$D72)&gt;1,"-"&amp;TEXT(COUNTIFS($C$5:$C72,$C72,$D$5:$D72,$D72),"00"),"")))</f>
        <v>10-2702-0807</v>
      </c>
      <c r="N72" s="17" t="s">
        <v>239</v>
      </c>
      <c r="O72" s="18" t="s">
        <v>30</v>
      </c>
      <c r="P72" s="21"/>
    </row>
    <row r="73" customFormat="false" ht="21.75" hidden="false" customHeight="true" outlineLevel="0" collapsed="false">
      <c r="A73" s="13" t="n">
        <f aca="false">IF($E73="","",COUNTA($E$5:$E73))</f>
        <v>69</v>
      </c>
      <c r="B73" s="14" t="n">
        <v>46241</v>
      </c>
      <c r="C73" s="15" t="s">
        <v>21</v>
      </c>
      <c r="D73" s="16" t="s">
        <v>90</v>
      </c>
      <c r="E73" s="17" t="s">
        <v>240</v>
      </c>
      <c r="F73" s="18" t="s">
        <v>24</v>
      </c>
      <c r="G73" s="18"/>
      <c r="H73" s="15"/>
      <c r="I73" s="15" t="s">
        <v>236</v>
      </c>
      <c r="J73" s="18"/>
      <c r="K73" s="18" t="s">
        <v>28</v>
      </c>
      <c r="L73" s="19" t="n">
        <f aca="false">IF($E73="","",IF(OR($C73="",$D73=""),"",COUNTIFS($C$5:$C$404,$C73,$D$5:$D$404,$D73)))</f>
        <v>3</v>
      </c>
      <c r="M73" s="20" t="str">
        <f aca="false">IF($E73="","",IF(OR($B73="",$C73="",$D73=""),"待补楼栋/房号/日期",SUBSTITUTE($C73,"栋","")&amp;"-"&amp;$D73&amp;"-"&amp;TEXT(MONTH($B73),"00")&amp;TEXT(DAY($B73),"00")&amp;IF(COUNTIFS($C$5:$C73,$C73,$D$5:$D73,$D73)&gt;1,"-"&amp;TEXT(COUNTIFS($C$5:$C73,$C73,$D$5:$D73,$D73),"00"),"")))</f>
        <v>8-1501-0807-03</v>
      </c>
      <c r="N73" s="21"/>
      <c r="O73" s="18" t="s">
        <v>30</v>
      </c>
      <c r="P73" s="21"/>
    </row>
    <row r="74" customFormat="false" ht="21.75" hidden="false" customHeight="true" outlineLevel="0" collapsed="false">
      <c r="A74" s="13" t="n">
        <f aca="false">IF($E74="","",COUNTA($E$5:$E74))</f>
        <v>70</v>
      </c>
      <c r="B74" s="14" t="n">
        <v>46241</v>
      </c>
      <c r="C74" s="15" t="s">
        <v>21</v>
      </c>
      <c r="D74" s="16" t="s">
        <v>129</v>
      </c>
      <c r="E74" s="17" t="s">
        <v>241</v>
      </c>
      <c r="F74" s="18" t="s">
        <v>24</v>
      </c>
      <c r="G74" s="18"/>
      <c r="H74" s="15"/>
      <c r="I74" s="15" t="s">
        <v>242</v>
      </c>
      <c r="J74" s="18"/>
      <c r="K74" s="18" t="s">
        <v>28</v>
      </c>
      <c r="L74" s="19" t="n">
        <f aca="false">IF($E74="","",IF(OR($C74="",$D74=""),"",COUNTIFS($C$5:$C$404,$C74,$D$5:$D$404,$D74)))</f>
        <v>1</v>
      </c>
      <c r="M74" s="20" t="str">
        <f aca="false">IF($E74="","",IF(OR($B74="",$C74="",$D74=""),"待补楼栋/房号/日期",SUBSTITUTE($C74,"栋","")&amp;"-"&amp;$D74&amp;"-"&amp;TEXT(MONTH($B74),"00")&amp;TEXT(DAY($B74),"00")&amp;IF(COUNTIFS($C$5:$C74,$C74,$D$5:$D74,$D74)&gt;1,"-"&amp;TEXT(COUNTIFS($C$5:$C74,$C74,$D$5:$D74,$D74),"00"),"")))</f>
        <v>8-1102-0807</v>
      </c>
      <c r="N74" s="21"/>
      <c r="O74" s="18" t="s">
        <v>30</v>
      </c>
      <c r="P74" s="21"/>
    </row>
    <row r="75" customFormat="false" ht="21.75" hidden="false" customHeight="true" outlineLevel="0" collapsed="false">
      <c r="A75" s="13" t="n">
        <f aca="false">IF($E75="","",COUNTA($E$5:$E75))</f>
        <v>71</v>
      </c>
      <c r="B75" s="14" t="n">
        <v>46241</v>
      </c>
      <c r="C75" s="15" t="s">
        <v>38</v>
      </c>
      <c r="D75" s="16" t="s">
        <v>243</v>
      </c>
      <c r="E75" s="17" t="s">
        <v>244</v>
      </c>
      <c r="F75" s="18" t="s">
        <v>24</v>
      </c>
      <c r="G75" s="18"/>
      <c r="H75" s="15"/>
      <c r="I75" s="15" t="s">
        <v>242</v>
      </c>
      <c r="J75" s="18"/>
      <c r="K75" s="18" t="s">
        <v>28</v>
      </c>
      <c r="L75" s="19" t="n">
        <f aca="false">IF($E75="","",IF(OR($C75="",$D75=""),"",COUNTIFS($C$5:$C$404,$C75,$D$5:$D$404,$D75)))</f>
        <v>1</v>
      </c>
      <c r="M75" s="20" t="str">
        <f aca="false">IF($E75="","",IF(OR($B75="",$C75="",$D75=""),"待补楼栋/房号/日期",SUBSTITUTE($C75,"栋","")&amp;"-"&amp;$D75&amp;"-"&amp;TEXT(MONTH($B75),"00")&amp;TEXT(DAY($B75),"00")&amp;IF(COUNTIFS($C$5:$C75,$C75,$D$5:$D75,$D75)&gt;1,"-"&amp;TEXT(COUNTIFS($C$5:$C75,$C75,$D$5:$D75,$D75),"00"),"")))</f>
        <v>5-1701-0807</v>
      </c>
      <c r="N75" s="21"/>
      <c r="O75" s="18" t="s">
        <v>30</v>
      </c>
      <c r="P75" s="21"/>
    </row>
    <row r="76" customFormat="false" ht="21.75" hidden="false" customHeight="true" outlineLevel="0" collapsed="false">
      <c r="A76" s="13" t="n">
        <f aca="false">IF($E76="","",COUNTA($E$5:$E76))</f>
        <v>72</v>
      </c>
      <c r="B76" s="14" t="n">
        <v>46233</v>
      </c>
      <c r="C76" s="15" t="s">
        <v>245</v>
      </c>
      <c r="D76" s="16" t="s">
        <v>246</v>
      </c>
      <c r="E76" s="17" t="s">
        <v>247</v>
      </c>
      <c r="F76" s="18" t="s">
        <v>24</v>
      </c>
      <c r="G76" s="18"/>
      <c r="H76" s="15"/>
      <c r="I76" s="15" t="s">
        <v>46</v>
      </c>
      <c r="J76" s="18"/>
      <c r="K76" s="18" t="s">
        <v>28</v>
      </c>
      <c r="L76" s="19" t="n">
        <f aca="false">IF($E76="","",IF(OR($C76="",$D76=""),"",COUNTIFS($C$5:$C$404,$C76,$D$5:$D$404,$D76)))</f>
        <v>1</v>
      </c>
      <c r="M76" s="20" t="str">
        <f aca="false">IF($E76="","",IF(OR($B76="",$C76="",$D76=""),"待补楼栋/房号/日期",SUBSTITUTE($C76,"栋","")&amp;"-"&amp;$D76&amp;"-"&amp;TEXT(MONTH($B76),"00")&amp;TEXT(DAY($B76),"00")&amp;IF(COUNTIFS($C$5:$C76,$C76,$D$5:$D76,$D76)&gt;1,"-"&amp;TEXT(COUNTIFS($C$5:$C76,$C76,$D$5:$D76,$D76),"00"),"")))</f>
        <v>3-2901-0730</v>
      </c>
      <c r="N76" s="21"/>
      <c r="O76" s="18" t="s">
        <v>30</v>
      </c>
      <c r="P76" s="21"/>
    </row>
    <row r="77" customFormat="false" ht="21.75" hidden="false" customHeight="true" outlineLevel="0" collapsed="false">
      <c r="A77" s="13" t="n">
        <f aca="false">IF($E77="","",COUNTA($E$5:$E77))</f>
        <v>73</v>
      </c>
      <c r="B77" s="14" t="n">
        <v>46233</v>
      </c>
      <c r="C77" s="15" t="s">
        <v>105</v>
      </c>
      <c r="D77" s="16" t="s">
        <v>221</v>
      </c>
      <c r="E77" s="17" t="s">
        <v>248</v>
      </c>
      <c r="F77" s="18" t="s">
        <v>25</v>
      </c>
      <c r="G77" s="18"/>
      <c r="H77" s="15"/>
      <c r="I77" s="15" t="s">
        <v>249</v>
      </c>
      <c r="J77" s="18" t="s">
        <v>27</v>
      </c>
      <c r="K77" s="18" t="s">
        <v>28</v>
      </c>
      <c r="L77" s="19" t="n">
        <f aca="false">IF($E77="","",IF(OR($C77="",$D77=""),"",COUNTIFS($C$5:$C$404,$C77,$D$5:$D$404,$D77)))</f>
        <v>1</v>
      </c>
      <c r="M77" s="20" t="str">
        <f aca="false">IF($E77="","",IF(OR($B77="",$C77="",$D77=""),"待补楼栋/房号/日期",SUBSTITUTE($C77,"栋","")&amp;"-"&amp;$D77&amp;"-"&amp;TEXT(MONTH($B77),"00")&amp;TEXT(DAY($B77),"00")&amp;IF(COUNTIFS($C$5:$C77,$C77,$D$5:$D77,$D77)&gt;1,"-"&amp;TEXT(COUNTIFS($C$5:$C77,$C77,$D$5:$D77,$D77),"00"),"")))</f>
        <v>2-2604-0730</v>
      </c>
      <c r="N77" s="21"/>
      <c r="O77" s="18" t="s">
        <v>30</v>
      </c>
      <c r="P77" s="21"/>
    </row>
    <row r="78" customFormat="false" ht="21.75" hidden="false" customHeight="true" outlineLevel="0" collapsed="false">
      <c r="A78" s="13" t="n">
        <f aca="false">IF($E78="","",COUNTA($E$5:$E78))</f>
        <v>74</v>
      </c>
      <c r="B78" s="14" t="n">
        <v>46233</v>
      </c>
      <c r="C78" s="15" t="s">
        <v>161</v>
      </c>
      <c r="D78" s="16" t="s">
        <v>193</v>
      </c>
      <c r="E78" s="17" t="s">
        <v>250</v>
      </c>
      <c r="F78" s="18" t="s">
        <v>34</v>
      </c>
      <c r="G78" s="18"/>
      <c r="H78" s="15"/>
      <c r="I78" s="15" t="s">
        <v>251</v>
      </c>
      <c r="J78" s="18"/>
      <c r="K78" s="18" t="s">
        <v>28</v>
      </c>
      <c r="L78" s="19" t="n">
        <f aca="false">IF($E78="","",IF(OR($C78="",$D78=""),"",COUNTIFS($C$5:$C$404,$C78,$D$5:$D$404,$D78)))</f>
        <v>1</v>
      </c>
      <c r="M78" s="20" t="str">
        <f aca="false">IF($E78="","",IF(OR($B78="",$C78="",$D78=""),"待补楼栋/房号/日期",SUBSTITUTE($C78,"栋","")&amp;"-"&amp;$D78&amp;"-"&amp;TEXT(MONTH($B78),"00")&amp;TEXT(DAY($B78),"00")&amp;IF(COUNTIFS($C$5:$C78,$C78,$D$5:$D78,$D78)&gt;1,"-"&amp;TEXT(COUNTIFS($C$5:$C78,$C78,$D$5:$D78,$D78),"00"),"")))</f>
        <v>4-3104-0730</v>
      </c>
      <c r="N78" s="17" t="s">
        <v>252</v>
      </c>
      <c r="O78" s="18" t="s">
        <v>48</v>
      </c>
      <c r="P78" s="21"/>
    </row>
    <row r="79" customFormat="false" ht="21.75" hidden="false" customHeight="true" outlineLevel="0" collapsed="false">
      <c r="A79" s="13" t="n">
        <f aca="false">IF($E79="","",COUNTA($E$5:$E79))</f>
        <v>75</v>
      </c>
      <c r="B79" s="14" t="n">
        <v>46233</v>
      </c>
      <c r="C79" s="15" t="s">
        <v>79</v>
      </c>
      <c r="D79" s="16" t="s">
        <v>253</v>
      </c>
      <c r="E79" s="17" t="s">
        <v>254</v>
      </c>
      <c r="F79" s="18" t="s">
        <v>24</v>
      </c>
      <c r="G79" s="18"/>
      <c r="H79" s="15"/>
      <c r="I79" s="15" t="s">
        <v>255</v>
      </c>
      <c r="J79" s="18"/>
      <c r="K79" s="18" t="s">
        <v>28</v>
      </c>
      <c r="L79" s="19" t="n">
        <f aca="false">IF($E79="","",IF(OR($C79="",$D79=""),"",COUNTIFS($C$5:$C$404,$C79,$D$5:$D$404,$D79)))</f>
        <v>1</v>
      </c>
      <c r="M79" s="20" t="str">
        <f aca="false">IF($E79="","",IF(OR($B79="",$C79="",$D79=""),"待补楼栋/房号/日期",SUBSTITUTE($C79,"栋","")&amp;"-"&amp;$D79&amp;"-"&amp;TEXT(MONTH($B79),"00")&amp;TEXT(DAY($B79),"00")&amp;IF(COUNTIFS($C$5:$C79,$C79,$D$5:$D79,$D79)&gt;1,"-"&amp;TEXT(COUNTIFS($C$5:$C79,$C79,$D$5:$D79,$D79),"00"),"")))</f>
        <v>9-501-0730</v>
      </c>
      <c r="N79" s="21"/>
      <c r="O79" s="18" t="s">
        <v>30</v>
      </c>
      <c r="P79" s="17" t="s">
        <v>256</v>
      </c>
    </row>
    <row r="80" customFormat="false" ht="21.75" hidden="false" customHeight="true" outlineLevel="0" collapsed="false">
      <c r="A80" s="13" t="n">
        <f aca="false">IF($E80="","",COUNTA($E$5:$E80))</f>
        <v>76</v>
      </c>
      <c r="B80" s="14" t="n">
        <v>46233</v>
      </c>
      <c r="C80" s="15" t="s">
        <v>93</v>
      </c>
      <c r="D80" s="16" t="s">
        <v>257</v>
      </c>
      <c r="E80" s="17" t="s">
        <v>258</v>
      </c>
      <c r="F80" s="18" t="s">
        <v>25</v>
      </c>
      <c r="G80" s="18"/>
      <c r="H80" s="15"/>
      <c r="I80" s="15" t="s">
        <v>259</v>
      </c>
      <c r="J80" s="18" t="s">
        <v>66</v>
      </c>
      <c r="K80" s="18" t="s">
        <v>28</v>
      </c>
      <c r="L80" s="19" t="n">
        <f aca="false">IF($E80="","",IF(OR($C80="",$D80=""),"",COUNTIFS($C$5:$C$404,$C80,$D$5:$D$404,$D80)))</f>
        <v>1</v>
      </c>
      <c r="M80" s="20" t="str">
        <f aca="false">IF($E80="","",IF(OR($B80="",$C80="",$D80=""),"待补楼栋/房号/日期",SUBSTITUTE($C80,"栋","")&amp;"-"&amp;$D80&amp;"-"&amp;TEXT(MONTH($B80),"00")&amp;TEXT(DAY($B80),"00")&amp;IF(COUNTIFS($C$5:$C80,$C80,$D$5:$D80,$D80)&gt;1,"-"&amp;TEXT(COUNTIFS($C$5:$C80,$C80,$D$5:$D80,$D80),"00"),"")))</f>
        <v>11-802-0730</v>
      </c>
      <c r="N80" s="21"/>
      <c r="O80" s="18" t="s">
        <v>30</v>
      </c>
      <c r="P80" s="21"/>
    </row>
    <row r="81" customFormat="false" ht="21.75" hidden="false" customHeight="true" outlineLevel="0" collapsed="false">
      <c r="A81" s="13" t="n">
        <f aca="false">IF($E81="","",COUNTA($E$5:$E81))</f>
        <v>77</v>
      </c>
      <c r="B81" s="14" t="n">
        <v>46233</v>
      </c>
      <c r="C81" s="15" t="s">
        <v>31</v>
      </c>
      <c r="D81" s="16" t="s">
        <v>260</v>
      </c>
      <c r="E81" s="17" t="s">
        <v>261</v>
      </c>
      <c r="F81" s="18" t="s">
        <v>24</v>
      </c>
      <c r="G81" s="18"/>
      <c r="H81" s="15"/>
      <c r="I81" s="15" t="s">
        <v>262</v>
      </c>
      <c r="J81" s="18"/>
      <c r="K81" s="18" t="s">
        <v>28</v>
      </c>
      <c r="L81" s="19" t="n">
        <f aca="false">IF($E81="","",IF(OR($C81="",$D81=""),"",COUNTIFS($C$5:$C$404,$C81,$D$5:$D$404,$D81)))</f>
        <v>1</v>
      </c>
      <c r="M81" s="20" t="str">
        <f aca="false">IF($E81="","",IF(OR($B81="",$C81="",$D81=""),"待补楼栋/房号/日期",SUBSTITUTE($C81,"栋","")&amp;"-"&amp;$D81&amp;"-"&amp;TEXT(MONTH($B81),"00")&amp;TEXT(DAY($B81),"00")&amp;IF(COUNTIFS($C$5:$C81,$C81,$D$5:$D81,$D81)&gt;1,"-"&amp;TEXT(COUNTIFS($C$5:$C81,$C81,$D$5:$D81,$D81),"00"),"")))</f>
        <v>6-2701-0730</v>
      </c>
      <c r="N81" s="17" t="s">
        <v>263</v>
      </c>
      <c r="O81" s="18" t="s">
        <v>30</v>
      </c>
      <c r="P81" s="21"/>
    </row>
    <row r="82" customFormat="false" ht="21.75" hidden="false" customHeight="true" outlineLevel="0" collapsed="false">
      <c r="A82" s="13" t="n">
        <f aca="false">IF($E82="","",COUNTA($E$5:$E82))</f>
        <v>78</v>
      </c>
      <c r="B82" s="14" t="n">
        <v>46234</v>
      </c>
      <c r="C82" s="15" t="s">
        <v>38</v>
      </c>
      <c r="D82" s="16" t="s">
        <v>218</v>
      </c>
      <c r="E82" s="17" t="s">
        <v>264</v>
      </c>
      <c r="F82" s="18" t="s">
        <v>24</v>
      </c>
      <c r="G82" s="18"/>
      <c r="H82" s="15"/>
      <c r="I82" s="15" t="s">
        <v>116</v>
      </c>
      <c r="J82" s="18"/>
      <c r="K82" s="18" t="s">
        <v>28</v>
      </c>
      <c r="L82" s="19" t="n">
        <f aca="false">IF($E82="","",IF(OR($C82="",$D82=""),"",COUNTIFS($C$5:$C$404,$C82,$D$5:$D$404,$D82)))</f>
        <v>1</v>
      </c>
      <c r="M82" s="20" t="str">
        <f aca="false">IF($E82="","",IF(OR($B82="",$C82="",$D82=""),"待补楼栋/房号/日期",SUBSTITUTE($C82,"栋","")&amp;"-"&amp;$D82&amp;"-"&amp;TEXT(MONTH($B82),"00")&amp;TEXT(DAY($B82),"00")&amp;IF(COUNTIFS($C$5:$C82,$C82,$D$5:$D82,$D82)&gt;1,"-"&amp;TEXT(COUNTIFS($C$5:$C82,$C82,$D$5:$D82,$D82),"00"),"")))</f>
        <v>5-2101-0731</v>
      </c>
      <c r="N82" s="17" t="s">
        <v>265</v>
      </c>
      <c r="O82" s="18" t="s">
        <v>30</v>
      </c>
      <c r="P82" s="21"/>
    </row>
    <row r="83" customFormat="false" ht="21.75" hidden="false" customHeight="true" outlineLevel="0" collapsed="false">
      <c r="A83" s="13" t="n">
        <f aca="false">IF($E83="","",COUNTA($E$5:$E83))</f>
        <v>79</v>
      </c>
      <c r="B83" s="14" t="n">
        <v>46234</v>
      </c>
      <c r="C83" s="15" t="s">
        <v>76</v>
      </c>
      <c r="D83" s="16" t="s">
        <v>266</v>
      </c>
      <c r="E83" s="17" t="s">
        <v>267</v>
      </c>
      <c r="F83" s="18" t="s">
        <v>25</v>
      </c>
      <c r="G83" s="18"/>
      <c r="H83" s="15"/>
      <c r="I83" s="15" t="s">
        <v>268</v>
      </c>
      <c r="J83" s="18" t="s">
        <v>61</v>
      </c>
      <c r="K83" s="18" t="s">
        <v>28</v>
      </c>
      <c r="L83" s="19" t="n">
        <f aca="false">IF($E83="","",IF(OR($C83="",$D83=""),"",COUNTIFS($C$5:$C$404,$C83,$D$5:$D$404,$D83)))</f>
        <v>1</v>
      </c>
      <c r="M83" s="20" t="str">
        <f aca="false">IF($E83="","",IF(OR($B83="",$C83="",$D83=""),"待补楼栋/房号/日期",SUBSTITUTE($C83,"栋","")&amp;"-"&amp;$D83&amp;"-"&amp;TEXT(MONTH($B83),"00")&amp;TEXT(DAY($B83),"00")&amp;IF(COUNTIFS($C$5:$C83,$C83,$D$5:$D83,$D83)&gt;1,"-"&amp;TEXT(COUNTIFS($C$5:$C83,$C83,$D$5:$D83,$D83),"00"),"")))</f>
        <v>10-3302-0731</v>
      </c>
      <c r="N83" s="21"/>
      <c r="O83" s="18" t="s">
        <v>30</v>
      </c>
      <c r="P83" s="21"/>
    </row>
    <row r="84" customFormat="false" ht="21.75" hidden="false" customHeight="true" outlineLevel="0" collapsed="false">
      <c r="A84" s="13" t="n">
        <f aca="false">IF($E84="","",COUNTA($E$5:$E84))</f>
        <v>80</v>
      </c>
      <c r="B84" s="14" t="n">
        <v>46234</v>
      </c>
      <c r="C84" s="15" t="s">
        <v>245</v>
      </c>
      <c r="D84" s="16" t="s">
        <v>44</v>
      </c>
      <c r="E84" s="17" t="s">
        <v>269</v>
      </c>
      <c r="F84" s="18" t="s">
        <v>103</v>
      </c>
      <c r="G84" s="18"/>
      <c r="H84" s="15"/>
      <c r="I84" s="15" t="s">
        <v>270</v>
      </c>
      <c r="J84" s="18"/>
      <c r="K84" s="18" t="s">
        <v>28</v>
      </c>
      <c r="L84" s="19" t="n">
        <f aca="false">IF($E84="","",IF(OR($C84="",$D84=""),"",COUNTIFS($C$5:$C$404,$C84,$D$5:$D$404,$D84)))</f>
        <v>1</v>
      </c>
      <c r="M84" s="20" t="str">
        <f aca="false">IF($E84="","",IF(OR($B84="",$C84="",$D84=""),"待补楼栋/房号/日期",SUBSTITUTE($C84,"栋","")&amp;"-"&amp;$D84&amp;"-"&amp;TEXT(MONTH($B84),"00")&amp;TEXT(DAY($B84),"00")&amp;IF(COUNTIFS($C$5:$C84,$C84,$D$5:$D84,$D84)&gt;1,"-"&amp;TEXT(COUNTIFS($C$5:$C84,$C84,$D$5:$D84,$D84),"00"),"")))</f>
        <v>3-2904-0731</v>
      </c>
      <c r="N84" s="21"/>
      <c r="O84" s="18" t="s">
        <v>48</v>
      </c>
      <c r="P84" s="21"/>
    </row>
    <row r="85" customFormat="false" ht="21.75" hidden="false" customHeight="true" outlineLevel="0" collapsed="false">
      <c r="A85" s="13" t="n">
        <f aca="false">IF($E85="","",COUNTA($E$5:$E85))</f>
        <v>81</v>
      </c>
      <c r="B85" s="14" t="n">
        <v>46234</v>
      </c>
      <c r="C85" s="15" t="s">
        <v>21</v>
      </c>
      <c r="D85" s="16" t="s">
        <v>271</v>
      </c>
      <c r="E85" s="17" t="s">
        <v>272</v>
      </c>
      <c r="F85" s="18" t="s">
        <v>24</v>
      </c>
      <c r="G85" s="18" t="s">
        <v>25</v>
      </c>
      <c r="H85" s="15"/>
      <c r="I85" s="15" t="s">
        <v>273</v>
      </c>
      <c r="J85" s="18"/>
      <c r="K85" s="18" t="s">
        <v>28</v>
      </c>
      <c r="L85" s="19" t="n">
        <f aca="false">IF($E85="","",IF(OR($C85="",$D85=""),"",COUNTIFS($C$5:$C$404,$C85,$D$5:$D$404,$D85)))</f>
        <v>1</v>
      </c>
      <c r="M85" s="20" t="str">
        <f aca="false">IF($E85="","",IF(OR($B85="",$C85="",$D85=""),"待补楼栋/房号/日期",SUBSTITUTE($C85,"栋","")&amp;"-"&amp;$D85&amp;"-"&amp;TEXT(MONTH($B85),"00")&amp;TEXT(DAY($B85),"00")&amp;IF(COUNTIFS($C$5:$C85,$C85,$D$5:$D85,$D85)&gt;1,"-"&amp;TEXT(COUNTIFS($C$5:$C85,$C85,$D$5:$D85,$D85),"00"),"")))</f>
        <v>8-2704-0731</v>
      </c>
      <c r="N85" s="17" t="s">
        <v>274</v>
      </c>
      <c r="O85" s="18" t="s">
        <v>30</v>
      </c>
      <c r="P85" s="21"/>
    </row>
    <row r="86" customFormat="false" ht="21.75" hidden="false" customHeight="true" outlineLevel="0" collapsed="false">
      <c r="A86" s="13" t="n">
        <f aca="false">IF($E86="","",COUNTA($E$5:$E86))</f>
        <v>82</v>
      </c>
      <c r="B86" s="14" t="n">
        <v>46234</v>
      </c>
      <c r="C86" s="15" t="s">
        <v>105</v>
      </c>
      <c r="D86" s="16" t="s">
        <v>226</v>
      </c>
      <c r="E86" s="17" t="s">
        <v>275</v>
      </c>
      <c r="F86" s="18" t="s">
        <v>34</v>
      </c>
      <c r="G86" s="18"/>
      <c r="H86" s="15"/>
      <c r="I86" s="15" t="s">
        <v>140</v>
      </c>
      <c r="J86" s="18"/>
      <c r="K86" s="18" t="s">
        <v>28</v>
      </c>
      <c r="L86" s="19" t="n">
        <f aca="false">IF($E86="","",IF(OR($C86="",$D86=""),"",COUNTIFS($C$5:$C$404,$C86,$D$5:$D$404,$D86)))</f>
        <v>1</v>
      </c>
      <c r="M86" s="20" t="str">
        <f aca="false">IF($E86="","",IF(OR($B86="",$C86="",$D86=""),"待补楼栋/房号/日期",SUBSTITUTE($C86,"栋","")&amp;"-"&amp;$D86&amp;"-"&amp;TEXT(MONTH($B86),"00")&amp;TEXT(DAY($B86),"00")&amp;IF(COUNTIFS($C$5:$C86,$C86,$D$5:$D86,$D86)&gt;1,"-"&amp;TEXT(COUNTIFS($C$5:$C86,$C86,$D$5:$D86,$D86),"00"),"")))</f>
        <v>2-702-0731</v>
      </c>
      <c r="N86" s="21"/>
      <c r="O86" s="18" t="s">
        <v>30</v>
      </c>
      <c r="P86" s="21"/>
    </row>
    <row r="87" customFormat="false" ht="21.75" hidden="false" customHeight="true" outlineLevel="0" collapsed="false">
      <c r="A87" s="13" t="n">
        <f aca="false">IF($E87="","",COUNTA($E$5:$E87))</f>
        <v>83</v>
      </c>
      <c r="B87" s="14" t="n">
        <v>46234</v>
      </c>
      <c r="C87" s="15" t="s">
        <v>43</v>
      </c>
      <c r="D87" s="16" t="s">
        <v>276</v>
      </c>
      <c r="E87" s="17" t="s">
        <v>277</v>
      </c>
      <c r="F87" s="18" t="s">
        <v>25</v>
      </c>
      <c r="G87" s="18"/>
      <c r="H87" s="15"/>
      <c r="I87" s="15" t="s">
        <v>99</v>
      </c>
      <c r="J87" s="18" t="s">
        <v>27</v>
      </c>
      <c r="K87" s="18" t="s">
        <v>36</v>
      </c>
      <c r="L87" s="19" t="n">
        <f aca="false">IF($E87="","",IF(OR($C87="",$D87=""),"",COUNTIFS($C$5:$C$404,$C87,$D$5:$D$404,$D87)))</f>
        <v>1</v>
      </c>
      <c r="M87" s="20" t="str">
        <f aca="false">IF($E87="","",IF(OR($B87="",$C87="",$D87=""),"待补楼栋/房号/日期",SUBSTITUTE($C87,"栋","")&amp;"-"&amp;$D87&amp;"-"&amp;TEXT(MONTH($B87),"00")&amp;TEXT(DAY($B87),"00")&amp;IF(COUNTIFS($C$5:$C87,$C87,$D$5:$D87,$D87)&gt;1,"-"&amp;TEXT(COUNTIFS($C$5:$C87,$C87,$D$5:$D87,$D87),"00"),"")))</f>
        <v>7-1301-0731</v>
      </c>
      <c r="N87" s="17" t="s">
        <v>278</v>
      </c>
      <c r="O87" s="18"/>
      <c r="P87" s="21"/>
    </row>
    <row r="88" customFormat="false" ht="21.75" hidden="false" customHeight="true" outlineLevel="0" collapsed="false">
      <c r="A88" s="13" t="n">
        <f aca="false">IF($E88="","",COUNTA($E$5:$E88))</f>
        <v>84</v>
      </c>
      <c r="B88" s="14" t="n">
        <v>46235</v>
      </c>
      <c r="C88" s="15" t="s">
        <v>83</v>
      </c>
      <c r="D88" s="16" t="s">
        <v>276</v>
      </c>
      <c r="E88" s="17" t="s">
        <v>279</v>
      </c>
      <c r="F88" s="18" t="s">
        <v>24</v>
      </c>
      <c r="G88" s="18"/>
      <c r="H88" s="15"/>
      <c r="I88" s="15" t="s">
        <v>150</v>
      </c>
      <c r="J88" s="18"/>
      <c r="K88" s="18" t="s">
        <v>28</v>
      </c>
      <c r="L88" s="19" t="n">
        <f aca="false">IF($E88="","",IF(OR($C88="",$D88=""),"",COUNTIFS($C$5:$C$404,$C88,$D$5:$D$404,$D88)))</f>
        <v>1</v>
      </c>
      <c r="M88" s="20" t="str">
        <f aca="false">IF($E88="","",IF(OR($B88="",$C88="",$D88=""),"待补楼栋/房号/日期",SUBSTITUTE($C88,"栋","")&amp;"-"&amp;$D88&amp;"-"&amp;TEXT(MONTH($B88),"00")&amp;TEXT(DAY($B88),"00")&amp;IF(COUNTIFS($C$5:$C88,$C88,$D$5:$D88,$D88)&gt;1,"-"&amp;TEXT(COUNTIFS($C$5:$C88,$C88,$D$5:$D88,$D88),"00"),"")))</f>
        <v>1-1301-0801</v>
      </c>
      <c r="N88" s="21"/>
      <c r="O88" s="18" t="s">
        <v>30</v>
      </c>
      <c r="P88" s="21"/>
    </row>
    <row r="89" customFormat="false" ht="21.75" hidden="false" customHeight="true" outlineLevel="0" collapsed="false">
      <c r="A89" s="13" t="n">
        <f aca="false">IF($E89="","",COUNTA($E$5:$E89))</f>
        <v>85</v>
      </c>
      <c r="B89" s="14" t="n">
        <v>46235</v>
      </c>
      <c r="C89" s="15" t="s">
        <v>31</v>
      </c>
      <c r="D89" s="16" t="s">
        <v>280</v>
      </c>
      <c r="E89" s="17" t="s">
        <v>164</v>
      </c>
      <c r="F89" s="18" t="s">
        <v>24</v>
      </c>
      <c r="G89" s="18"/>
      <c r="H89" s="15"/>
      <c r="I89" s="15" t="s">
        <v>150</v>
      </c>
      <c r="J89" s="18"/>
      <c r="K89" s="18" t="s">
        <v>28</v>
      </c>
      <c r="L89" s="19" t="n">
        <f aca="false">IF($E89="","",IF(OR($C89="",$D89=""),"",COUNTIFS($C$5:$C$404,$C89,$D$5:$D$404,$D89)))</f>
        <v>1</v>
      </c>
      <c r="M89" s="20" t="str">
        <f aca="false">IF($E89="","",IF(OR($B89="",$C89="",$D89=""),"待补楼栋/房号/日期",SUBSTITUTE($C89,"栋","")&amp;"-"&amp;$D89&amp;"-"&amp;TEXT(MONTH($B89),"00")&amp;TEXT(DAY($B89),"00")&amp;IF(COUNTIFS($C$5:$C89,$C89,$D$5:$D89,$D89)&gt;1,"-"&amp;TEXT(COUNTIFS($C$5:$C89,$C89,$D$5:$D89,$D89),"00"),"")))</f>
        <v>6-2402-0801</v>
      </c>
      <c r="N89" s="21"/>
      <c r="O89" s="18" t="s">
        <v>30</v>
      </c>
      <c r="P89" s="21"/>
    </row>
    <row r="90" customFormat="false" ht="21.75" hidden="false" customHeight="true" outlineLevel="0" collapsed="false">
      <c r="A90" s="13" t="n">
        <f aca="false">IF($E90="","",COUNTA($E$5:$E90))</f>
        <v>86</v>
      </c>
      <c r="B90" s="14" t="n">
        <v>46235</v>
      </c>
      <c r="C90" s="15" t="s">
        <v>79</v>
      </c>
      <c r="D90" s="16" t="s">
        <v>281</v>
      </c>
      <c r="E90" s="17" t="s">
        <v>282</v>
      </c>
      <c r="F90" s="18" t="s">
        <v>25</v>
      </c>
      <c r="G90" s="18"/>
      <c r="H90" s="15"/>
      <c r="I90" s="15" t="s">
        <v>283</v>
      </c>
      <c r="J90" s="18"/>
      <c r="K90" s="18" t="s">
        <v>28</v>
      </c>
      <c r="L90" s="19" t="n">
        <f aca="false">IF($E90="","",IF(OR($C90="",$D90=""),"",COUNTIFS($C$5:$C$404,$C90,$D$5:$D$404,$D90)))</f>
        <v>1</v>
      </c>
      <c r="M90" s="20" t="str">
        <f aca="false">IF($E90="","",IF(OR($B90="",$C90="",$D90=""),"待补楼栋/房号/日期",SUBSTITUTE($C90,"栋","")&amp;"-"&amp;$D90&amp;"-"&amp;TEXT(MONTH($B90),"00")&amp;TEXT(DAY($B90),"00")&amp;IF(COUNTIFS($C$5:$C90,$C90,$D$5:$D90,$D90)&gt;1,"-"&amp;TEXT(COUNTIFS($C$5:$C90,$C90,$D$5:$D90,$D90),"00"),"")))</f>
        <v>9-2203-0801</v>
      </c>
      <c r="N90" s="17" t="s">
        <v>284</v>
      </c>
      <c r="O90" s="18" t="s">
        <v>30</v>
      </c>
      <c r="P90" s="21"/>
    </row>
    <row r="91" customFormat="false" ht="21.75" hidden="false" customHeight="true" outlineLevel="0" collapsed="false">
      <c r="A91" s="13" t="n">
        <f aca="false">IF($E91="","",COUNTA($E$5:$E91))</f>
        <v>87</v>
      </c>
      <c r="B91" s="14" t="n">
        <v>46235</v>
      </c>
      <c r="C91" s="15" t="s">
        <v>161</v>
      </c>
      <c r="D91" s="16" t="s">
        <v>285</v>
      </c>
      <c r="E91" s="17" t="s">
        <v>286</v>
      </c>
      <c r="F91" s="18" t="s">
        <v>34</v>
      </c>
      <c r="G91" s="18"/>
      <c r="H91" s="15"/>
      <c r="I91" s="15" t="s">
        <v>287</v>
      </c>
      <c r="J91" s="18" t="s">
        <v>61</v>
      </c>
      <c r="K91" s="18" t="s">
        <v>28</v>
      </c>
      <c r="L91" s="19" t="n">
        <f aca="false">IF($E91="","",IF(OR($C91="",$D91=""),"",COUNTIFS($C$5:$C$404,$C91,$D$5:$D$404,$D91)))</f>
        <v>1</v>
      </c>
      <c r="M91" s="20" t="str">
        <f aca="false">IF($E91="","",IF(OR($B91="",$C91="",$D91=""),"待补楼栋/房号/日期",SUBSTITUTE($C91,"栋","")&amp;"-"&amp;$D91&amp;"-"&amp;TEXT(MONTH($B91),"00")&amp;TEXT(DAY($B91),"00")&amp;IF(COUNTIFS($C$5:$C91,$C91,$D$5:$D91,$D91)&gt;1,"-"&amp;TEXT(COUNTIFS($C$5:$C91,$C91,$D$5:$D91,$D91),"00"),"")))</f>
        <v>4-2903-0801</v>
      </c>
      <c r="N91" s="17" t="s">
        <v>288</v>
      </c>
      <c r="O91" s="18" t="s">
        <v>30</v>
      </c>
      <c r="P91" s="17" t="s">
        <v>289</v>
      </c>
    </row>
    <row r="92" customFormat="false" ht="21.75" hidden="false" customHeight="true" outlineLevel="0" collapsed="false">
      <c r="A92" s="13" t="n">
        <f aca="false">IF($E92="","",COUNTA($E$5:$E92))</f>
        <v>88</v>
      </c>
      <c r="B92" s="14" t="n">
        <v>46235</v>
      </c>
      <c r="C92" s="15" t="s">
        <v>76</v>
      </c>
      <c r="D92" s="16" t="s">
        <v>90</v>
      </c>
      <c r="E92" s="17" t="s">
        <v>290</v>
      </c>
      <c r="F92" s="18" t="s">
        <v>25</v>
      </c>
      <c r="G92" s="18"/>
      <c r="H92" s="15"/>
      <c r="I92" s="15" t="s">
        <v>291</v>
      </c>
      <c r="J92" s="18"/>
      <c r="K92" s="18" t="s">
        <v>28</v>
      </c>
      <c r="L92" s="19" t="n">
        <f aca="false">IF($E92="","",IF(OR($C92="",$D92=""),"",COUNTIFS($C$5:$C$404,$C92,$D$5:$D$404,$D92)))</f>
        <v>1</v>
      </c>
      <c r="M92" s="20" t="str">
        <f aca="false">IF($E92="","",IF(OR($B92="",$C92="",$D92=""),"待补楼栋/房号/日期",SUBSTITUTE($C92,"栋","")&amp;"-"&amp;$D92&amp;"-"&amp;TEXT(MONTH($B92),"00")&amp;TEXT(DAY($B92),"00")&amp;IF(COUNTIFS($C$5:$C92,$C92,$D$5:$D92,$D92)&gt;1,"-"&amp;TEXT(COUNTIFS($C$5:$C92,$C92,$D$5:$D92,$D92),"00"),"")))</f>
        <v>10-1501-0801</v>
      </c>
      <c r="N92" s="21"/>
      <c r="O92" s="18" t="s">
        <v>48</v>
      </c>
      <c r="P92" s="21"/>
    </row>
    <row r="93" customFormat="false" ht="21.75" hidden="false" customHeight="true" outlineLevel="0" collapsed="false">
      <c r="A93" s="13" t="n">
        <f aca="false">IF($E93="","",COUNTA($E$5:$E93))</f>
        <v>89</v>
      </c>
      <c r="B93" s="14" t="n">
        <v>46235</v>
      </c>
      <c r="C93" s="15" t="s">
        <v>38</v>
      </c>
      <c r="D93" s="16" t="s">
        <v>292</v>
      </c>
      <c r="E93" s="17" t="s">
        <v>293</v>
      </c>
      <c r="F93" s="18" t="s">
        <v>24</v>
      </c>
      <c r="G93" s="18"/>
      <c r="H93" s="15"/>
      <c r="I93" s="15" t="s">
        <v>294</v>
      </c>
      <c r="J93" s="18" t="s">
        <v>27</v>
      </c>
      <c r="K93" s="18" t="s">
        <v>28</v>
      </c>
      <c r="L93" s="19" t="n">
        <f aca="false">IF($E93="","",IF(OR($C93="",$D93=""),"",COUNTIFS($C$5:$C$404,$C93,$D$5:$D$404,$D93)))</f>
        <v>1</v>
      </c>
      <c r="M93" s="20" t="str">
        <f aca="false">IF($E93="","",IF(OR($B93="",$C93="",$D93=""),"待补楼栋/房号/日期",SUBSTITUTE($C93,"栋","")&amp;"-"&amp;$D93&amp;"-"&amp;TEXT(MONTH($B93),"00")&amp;TEXT(DAY($B93),"00")&amp;IF(COUNTIFS($C$5:$C93,$C93,$D$5:$D93,$D93)&gt;1,"-"&amp;TEXT(COUNTIFS($C$5:$C93,$C93,$D$5:$D93,$D93),"00"),"")))</f>
        <v>5-204-0801</v>
      </c>
      <c r="N93" s="17" t="s">
        <v>295</v>
      </c>
      <c r="O93" s="18" t="s">
        <v>30</v>
      </c>
      <c r="P93" s="21"/>
    </row>
    <row r="94" customFormat="false" ht="21.75" hidden="false" customHeight="true" outlineLevel="0" collapsed="false">
      <c r="A94" s="13" t="n">
        <f aca="false">IF($E94="","",COUNTA($E$5:$E94))</f>
        <v>90</v>
      </c>
      <c r="B94" s="14" t="n">
        <v>46235</v>
      </c>
      <c r="C94" s="15" t="s">
        <v>93</v>
      </c>
      <c r="D94" s="16" t="s">
        <v>32</v>
      </c>
      <c r="E94" s="17" t="s">
        <v>296</v>
      </c>
      <c r="F94" s="18" t="s">
        <v>103</v>
      </c>
      <c r="G94" s="18"/>
      <c r="H94" s="15"/>
      <c r="I94" s="15" t="s">
        <v>297</v>
      </c>
      <c r="J94" s="18"/>
      <c r="K94" s="18" t="s">
        <v>28</v>
      </c>
      <c r="L94" s="19" t="n">
        <f aca="false">IF($E94="","",IF(OR($C94="",$D94=""),"",COUNTIFS($C$5:$C$404,$C94,$D$5:$D$404,$D94)))</f>
        <v>1</v>
      </c>
      <c r="M94" s="20" t="str">
        <f aca="false">IF($E94="","",IF(OR($B94="",$C94="",$D94=""),"待补楼栋/房号/日期",SUBSTITUTE($C94,"栋","")&amp;"-"&amp;$D94&amp;"-"&amp;TEXT(MONTH($B94),"00")&amp;TEXT(DAY($B94),"00")&amp;IF(COUNTIFS($C$5:$C94,$C94,$D$5:$D94,$D94)&gt;1,"-"&amp;TEXT(COUNTIFS($C$5:$C94,$C94,$D$5:$D94,$D94),"00"),"")))</f>
        <v>11-2504-0801</v>
      </c>
      <c r="N94" s="17" t="s">
        <v>298</v>
      </c>
      <c r="O94" s="18" t="s">
        <v>30</v>
      </c>
      <c r="P94" s="21"/>
    </row>
    <row r="95" customFormat="false" ht="21.75" hidden="false" customHeight="true" outlineLevel="0" collapsed="false">
      <c r="A95" s="13" t="n">
        <f aca="false">IF($E95="","",COUNTA($E$5:$E95))</f>
        <v>91</v>
      </c>
      <c r="B95" s="14" t="n">
        <v>46236</v>
      </c>
      <c r="C95" s="15" t="s">
        <v>43</v>
      </c>
      <c r="D95" s="16" t="s">
        <v>68</v>
      </c>
      <c r="E95" s="17" t="s">
        <v>299</v>
      </c>
      <c r="F95" s="18" t="s">
        <v>24</v>
      </c>
      <c r="G95" s="18"/>
      <c r="H95" s="15"/>
      <c r="I95" s="15" t="s">
        <v>156</v>
      </c>
      <c r="J95" s="18"/>
      <c r="K95" s="18" t="s">
        <v>28</v>
      </c>
      <c r="L95" s="19" t="n">
        <f aca="false">IF($E95="","",IF(OR($C95="",$D95=""),"",COUNTIFS($C$5:$C$404,$C95,$D$5:$D$404,$D95)))</f>
        <v>1</v>
      </c>
      <c r="M95" s="20" t="str">
        <f aca="false">IF($E95="","",IF(OR($B95="",$C95="",$D95=""),"待补楼栋/房号/日期",SUBSTITUTE($C95,"栋","")&amp;"-"&amp;$D95&amp;"-"&amp;TEXT(MONTH($B95),"00")&amp;TEXT(DAY($B95),"00")&amp;IF(COUNTIFS($C$5:$C95,$C95,$D$5:$D95,$D95)&gt;1,"-"&amp;TEXT(COUNTIFS($C$5:$C95,$C95,$D$5:$D95,$D95),"00"),"")))</f>
        <v>7-504-0802</v>
      </c>
      <c r="N95" s="21"/>
      <c r="O95" s="18" t="s">
        <v>30</v>
      </c>
      <c r="P95" s="21"/>
    </row>
    <row r="96" customFormat="false" ht="21.75" hidden="false" customHeight="true" outlineLevel="0" collapsed="false">
      <c r="A96" s="13" t="n">
        <f aca="false">IF($E96="","",COUNTA($E$5:$E96))</f>
        <v>92</v>
      </c>
      <c r="B96" s="14" t="n">
        <v>46236</v>
      </c>
      <c r="C96" s="15" t="s">
        <v>245</v>
      </c>
      <c r="D96" s="16" t="s">
        <v>300</v>
      </c>
      <c r="E96" s="17" t="s">
        <v>301</v>
      </c>
      <c r="F96" s="18" t="s">
        <v>25</v>
      </c>
      <c r="G96" s="18"/>
      <c r="H96" s="15"/>
      <c r="I96" s="15" t="s">
        <v>156</v>
      </c>
      <c r="J96" s="18"/>
      <c r="K96" s="18" t="s">
        <v>28</v>
      </c>
      <c r="L96" s="19" t="n">
        <f aca="false">IF($E96="","",IF(OR($C96="",$D96=""),"",COUNTIFS($C$5:$C$404,$C96,$D$5:$D$404,$D96)))</f>
        <v>1</v>
      </c>
      <c r="M96" s="20" t="str">
        <f aca="false">IF($E96="","",IF(OR($B96="",$C96="",$D96=""),"待补楼栋/房号/日期",SUBSTITUTE($C96,"栋","")&amp;"-"&amp;$D96&amp;"-"&amp;TEXT(MONTH($B96),"00")&amp;TEXT(DAY($B96),"00")&amp;IF(COUNTIFS($C$5:$C96,$C96,$D$5:$D96,$D96)&gt;1,"-"&amp;TEXT(COUNTIFS($C$5:$C96,$C96,$D$5:$D96,$D96),"00"),"")))</f>
        <v>3-2102-0802</v>
      </c>
      <c r="N96" s="17" t="s">
        <v>302</v>
      </c>
      <c r="O96" s="18" t="s">
        <v>30</v>
      </c>
      <c r="P96" s="21"/>
    </row>
    <row r="97" customFormat="false" ht="21.75" hidden="false" customHeight="true" outlineLevel="0" collapsed="false">
      <c r="A97" s="13" t="n">
        <f aca="false">IF($E97="","",COUNTA($E$5:$E97))</f>
        <v>93</v>
      </c>
      <c r="B97" s="14" t="n">
        <v>46236</v>
      </c>
      <c r="C97" s="15" t="s">
        <v>21</v>
      </c>
      <c r="D97" s="16" t="s">
        <v>281</v>
      </c>
      <c r="E97" s="17" t="s">
        <v>303</v>
      </c>
      <c r="F97" s="18" t="s">
        <v>169</v>
      </c>
      <c r="G97" s="18"/>
      <c r="H97" s="15"/>
      <c r="I97" s="15" t="s">
        <v>304</v>
      </c>
      <c r="J97" s="18"/>
      <c r="K97" s="18" t="s">
        <v>28</v>
      </c>
      <c r="L97" s="19" t="n">
        <f aca="false">IF($E97="","",IF(OR($C97="",$D97=""),"",COUNTIFS($C$5:$C$404,$C97,$D$5:$D$404,$D97)))</f>
        <v>1</v>
      </c>
      <c r="M97" s="20" t="str">
        <f aca="false">IF($E97="","",IF(OR($B97="",$C97="",$D97=""),"待补楼栋/房号/日期",SUBSTITUTE($C97,"栋","")&amp;"-"&amp;$D97&amp;"-"&amp;TEXT(MONTH($B97),"00")&amp;TEXT(DAY($B97),"00")&amp;IF(COUNTIFS($C$5:$C97,$C97,$D$5:$D97,$D97)&gt;1,"-"&amp;TEXT(COUNTIFS($C$5:$C97,$C97,$D$5:$D97,$D97),"00"),"")))</f>
        <v>8-2203-0802</v>
      </c>
      <c r="N97" s="21"/>
      <c r="O97" s="18" t="s">
        <v>30</v>
      </c>
      <c r="P97" s="21"/>
    </row>
    <row r="98" customFormat="false" ht="21.75" hidden="false" customHeight="true" outlineLevel="0" collapsed="false">
      <c r="A98" s="13" t="n">
        <f aca="false">IF($E98="","",COUNTA($E$5:$E98))</f>
        <v>94</v>
      </c>
      <c r="B98" s="14" t="n">
        <v>46236</v>
      </c>
      <c r="C98" s="15" t="s">
        <v>105</v>
      </c>
      <c r="D98" s="16" t="s">
        <v>305</v>
      </c>
      <c r="E98" s="17" t="s">
        <v>306</v>
      </c>
      <c r="F98" s="18" t="s">
        <v>24</v>
      </c>
      <c r="G98" s="18"/>
      <c r="H98" s="15"/>
      <c r="I98" s="15" t="s">
        <v>177</v>
      </c>
      <c r="J98" s="18" t="s">
        <v>27</v>
      </c>
      <c r="K98" s="18" t="s">
        <v>28</v>
      </c>
      <c r="L98" s="19" t="n">
        <f aca="false">IF($E98="","",IF(OR($C98="",$D98=""),"",COUNTIFS($C$5:$C$404,$C98,$D$5:$D$404,$D98)))</f>
        <v>1</v>
      </c>
      <c r="M98" s="20" t="str">
        <f aca="false">IF($E98="","",IF(OR($B98="",$C98="",$D98=""),"待补楼栋/房号/日期",SUBSTITUTE($C98,"栋","")&amp;"-"&amp;$D98&amp;"-"&amp;TEXT(MONTH($B98),"00")&amp;TEXT(DAY($B98),"00")&amp;IF(COUNTIFS($C$5:$C98,$C98,$D$5:$D98,$D98)&gt;1,"-"&amp;TEXT(COUNTIFS($C$5:$C98,$C98,$D$5:$D98,$D98),"00"),"")))</f>
        <v>2-1202-0802</v>
      </c>
      <c r="N98" s="17" t="s">
        <v>307</v>
      </c>
      <c r="O98" s="18" t="s">
        <v>30</v>
      </c>
      <c r="P98" s="21"/>
    </row>
    <row r="99" customFormat="false" ht="21.75" hidden="false" customHeight="true" outlineLevel="0" collapsed="false">
      <c r="A99" s="13" t="n">
        <f aca="false">IF($E99="","",COUNTA($E$5:$E99))</f>
        <v>95</v>
      </c>
      <c r="B99" s="14" t="n">
        <v>46236</v>
      </c>
      <c r="C99" s="15" t="s">
        <v>76</v>
      </c>
      <c r="D99" s="16" t="s">
        <v>195</v>
      </c>
      <c r="E99" s="17" t="s">
        <v>308</v>
      </c>
      <c r="F99" s="18" t="s">
        <v>25</v>
      </c>
      <c r="G99" s="18"/>
      <c r="H99" s="15"/>
      <c r="I99" s="15" t="s">
        <v>309</v>
      </c>
      <c r="J99" s="18"/>
      <c r="K99" s="18" t="s">
        <v>28</v>
      </c>
      <c r="L99" s="19" t="n">
        <f aca="false">IF($E99="","",IF(OR($C99="",$D99=""),"",COUNTIFS($C$5:$C$404,$C99,$D$5:$D$404,$D99)))</f>
        <v>1</v>
      </c>
      <c r="M99" s="20" t="str">
        <f aca="false">IF($E99="","",IF(OR($B99="",$C99="",$D99=""),"待补楼栋/房号/日期",SUBSTITUTE($C99,"栋","")&amp;"-"&amp;$D99&amp;"-"&amp;TEXT(MONTH($B99),"00")&amp;TEXT(DAY($B99),"00")&amp;IF(COUNTIFS($C$5:$C99,$C99,$D$5:$D99,$D99)&gt;1,"-"&amp;TEXT(COUNTIFS($C$5:$C99,$C99,$D$5:$D99,$D99),"00"),"")))</f>
        <v>10-1003-0802</v>
      </c>
      <c r="N99" s="17" t="s">
        <v>310</v>
      </c>
      <c r="O99" s="18" t="s">
        <v>48</v>
      </c>
      <c r="P99" s="21"/>
    </row>
    <row r="100" customFormat="false" ht="21.75" hidden="false" customHeight="true" outlineLevel="0" collapsed="false">
      <c r="A100" s="13" t="n">
        <f aca="false">IF($E100="","",COUNTA($E$5:$E100))</f>
        <v>96</v>
      </c>
      <c r="B100" s="14" t="n">
        <v>46236</v>
      </c>
      <c r="C100" s="15" t="s">
        <v>31</v>
      </c>
      <c r="D100" s="16" t="s">
        <v>311</v>
      </c>
      <c r="E100" s="17" t="s">
        <v>312</v>
      </c>
      <c r="F100" s="18" t="s">
        <v>103</v>
      </c>
      <c r="G100" s="18"/>
      <c r="H100" s="15"/>
      <c r="I100" s="15" t="s">
        <v>313</v>
      </c>
      <c r="J100" s="18" t="s">
        <v>61</v>
      </c>
      <c r="K100" s="18" t="s">
        <v>36</v>
      </c>
      <c r="L100" s="19" t="n">
        <f aca="false">IF($E100="","",IF(OR($C100="",$D100=""),"",COUNTIFS($C$5:$C$404,$C100,$D$5:$D$404,$D100)))</f>
        <v>1</v>
      </c>
      <c r="M100" s="20" t="str">
        <f aca="false">IF($E100="","",IF(OR($B100="",$C100="",$D100=""),"待补楼栋/房号/日期",SUBSTITUTE($C100,"栋","")&amp;"-"&amp;$D100&amp;"-"&amp;TEXT(MONTH($B100),"00")&amp;TEXT(DAY($B100),"00")&amp;IF(COUNTIFS($C$5:$C100,$C100,$D$5:$D100,$D100)&gt;1,"-"&amp;TEXT(COUNTIFS($C$5:$C100,$C100,$D$5:$D100,$D100),"00"),"")))</f>
        <v>6-2802-0802</v>
      </c>
      <c r="N100" s="17" t="s">
        <v>314</v>
      </c>
      <c r="O100" s="18"/>
      <c r="P100" s="21"/>
    </row>
    <row r="101" customFormat="false" ht="21.75" hidden="false" customHeight="true" outlineLevel="0" collapsed="false">
      <c r="A101" s="13" t="n">
        <f aca="false">IF($E101="","",COUNTA($E$5:$E101))</f>
        <v>97</v>
      </c>
      <c r="B101" s="14" t="n">
        <v>46238</v>
      </c>
      <c r="C101" s="15" t="s">
        <v>83</v>
      </c>
      <c r="D101" s="16" t="s">
        <v>315</v>
      </c>
      <c r="E101" s="17" t="s">
        <v>316</v>
      </c>
      <c r="F101" s="18" t="s">
        <v>24</v>
      </c>
      <c r="G101" s="18"/>
      <c r="H101" s="15"/>
      <c r="I101" s="15" t="s">
        <v>317</v>
      </c>
      <c r="J101" s="18"/>
      <c r="K101" s="18" t="s">
        <v>28</v>
      </c>
      <c r="L101" s="19" t="n">
        <f aca="false">IF($E101="","",IF(OR($C101="",$D101=""),"",COUNTIFS($C$5:$C$404,$C101,$D$5:$D$404,$D101)))</f>
        <v>1</v>
      </c>
      <c r="M101" s="20" t="str">
        <f aca="false">IF($E101="","",IF(OR($B101="",$C101="",$D101=""),"待补楼栋/房号/日期",SUBSTITUTE($C101,"栋","")&amp;"-"&amp;$D101&amp;"-"&amp;TEXT(MONTH($B101),"00")&amp;TEXT(DAY($B101),"00")&amp;IF(COUNTIFS($C$5:$C101,$C101,$D$5:$D101,$D101)&gt;1,"-"&amp;TEXT(COUNTIFS($C$5:$C101,$C101,$D$5:$D101,$D101),"00"),"")))</f>
        <v>1-202-0804</v>
      </c>
      <c r="N101" s="17" t="s">
        <v>318</v>
      </c>
      <c r="O101" s="18" t="s">
        <v>30</v>
      </c>
      <c r="P101" s="21"/>
    </row>
    <row r="102" customFormat="false" ht="21.75" hidden="false" customHeight="true" outlineLevel="0" collapsed="false">
      <c r="A102" s="13" t="n">
        <f aca="false">IF($E102="","",COUNTA($E$5:$E102))</f>
        <v>98</v>
      </c>
      <c r="B102" s="14" t="n">
        <v>46238</v>
      </c>
      <c r="C102" s="15" t="s">
        <v>79</v>
      </c>
      <c r="D102" s="16" t="s">
        <v>319</v>
      </c>
      <c r="E102" s="17" t="s">
        <v>320</v>
      </c>
      <c r="F102" s="18" t="s">
        <v>24</v>
      </c>
      <c r="G102" s="18"/>
      <c r="H102" s="15"/>
      <c r="I102" s="15" t="s">
        <v>317</v>
      </c>
      <c r="J102" s="18"/>
      <c r="K102" s="18" t="s">
        <v>28</v>
      </c>
      <c r="L102" s="19" t="n">
        <f aca="false">IF($E102="","",IF(OR($C102="",$D102=""),"",COUNTIFS($C$5:$C$404,$C102,$D$5:$D$404,$D102)))</f>
        <v>1</v>
      </c>
      <c r="M102" s="20" t="str">
        <f aca="false">IF($E102="","",IF(OR($B102="",$C102="",$D102=""),"待补楼栋/房号/日期",SUBSTITUTE($C102,"栋","")&amp;"-"&amp;$D102&amp;"-"&amp;TEXT(MONTH($B102),"00")&amp;TEXT(DAY($B102),"00")&amp;IF(COUNTIFS($C$5:$C102,$C102,$D$5:$D102,$D102)&gt;1,"-"&amp;TEXT(COUNTIFS($C$5:$C102,$C102,$D$5:$D102,$D102),"00"),"")))</f>
        <v>9-1502-0804</v>
      </c>
      <c r="N102" s="21"/>
      <c r="O102" s="18" t="s">
        <v>30</v>
      </c>
      <c r="P102" s="21"/>
    </row>
    <row r="103" customFormat="false" ht="21.75" hidden="false" customHeight="true" outlineLevel="0" collapsed="false">
      <c r="A103" s="13" t="n">
        <f aca="false">IF($E103="","",COUNTA($E$5:$E103))</f>
        <v>99</v>
      </c>
      <c r="B103" s="14" t="n">
        <v>46238</v>
      </c>
      <c r="C103" s="15" t="s">
        <v>38</v>
      </c>
      <c r="D103" s="16" t="s">
        <v>162</v>
      </c>
      <c r="E103" s="17" t="s">
        <v>321</v>
      </c>
      <c r="F103" s="18" t="s">
        <v>25</v>
      </c>
      <c r="G103" s="18"/>
      <c r="H103" s="15"/>
      <c r="I103" s="15" t="s">
        <v>322</v>
      </c>
      <c r="J103" s="18"/>
      <c r="K103" s="18" t="s">
        <v>28</v>
      </c>
      <c r="L103" s="19" t="n">
        <f aca="false">IF($E103="","",IF(OR($C103="",$D103=""),"",COUNTIFS($C$5:$C$404,$C103,$D$5:$D$404,$D103)))</f>
        <v>1</v>
      </c>
      <c r="M103" s="20" t="str">
        <f aca="false">IF($E103="","",IF(OR($B103="",$C103="",$D103=""),"待补楼栋/房号/日期",SUBSTITUTE($C103,"栋","")&amp;"-"&amp;$D103&amp;"-"&amp;TEXT(MONTH($B103),"00")&amp;TEXT(DAY($B103),"00")&amp;IF(COUNTIFS($C$5:$C103,$C103,$D$5:$D103,$D103)&gt;1,"-"&amp;TEXT(COUNTIFS($C$5:$C103,$C103,$D$5:$D103,$D103),"00"),"")))</f>
        <v>5-1104-0804</v>
      </c>
      <c r="N103" s="21"/>
      <c r="O103" s="18" t="s">
        <v>30</v>
      </c>
      <c r="P103" s="21"/>
    </row>
    <row r="104" customFormat="false" ht="21.75" hidden="false" customHeight="true" outlineLevel="0" collapsed="false">
      <c r="A104" s="13" t="n">
        <f aca="false">IF($E104="","",COUNTA($E$5:$E104))</f>
        <v>100</v>
      </c>
      <c r="B104" s="14" t="n">
        <v>46238</v>
      </c>
      <c r="C104" s="15" t="s">
        <v>93</v>
      </c>
      <c r="D104" s="16" t="s">
        <v>44</v>
      </c>
      <c r="E104" s="17" t="s">
        <v>323</v>
      </c>
      <c r="F104" s="18" t="s">
        <v>25</v>
      </c>
      <c r="G104" s="18"/>
      <c r="H104" s="15"/>
      <c r="I104" s="15" t="s">
        <v>324</v>
      </c>
      <c r="J104" s="18" t="s">
        <v>66</v>
      </c>
      <c r="K104" s="18" t="s">
        <v>36</v>
      </c>
      <c r="L104" s="19" t="n">
        <f aca="false">IF($E104="","",IF(OR($C104="",$D104=""),"",COUNTIFS($C$5:$C$404,$C104,$D$5:$D$404,$D104)))</f>
        <v>1</v>
      </c>
      <c r="M104" s="20" t="str">
        <f aca="false">IF($E104="","",IF(OR($B104="",$C104="",$D104=""),"待补楼栋/房号/日期",SUBSTITUTE($C104,"栋","")&amp;"-"&amp;$D104&amp;"-"&amp;TEXT(MONTH($B104),"00")&amp;TEXT(DAY($B104),"00")&amp;IF(COUNTIFS($C$5:$C104,$C104,$D$5:$D104,$D104)&gt;1,"-"&amp;TEXT(COUNTIFS($C$5:$C104,$C104,$D$5:$D104,$D104),"00"),"")))</f>
        <v>11-2904-0804</v>
      </c>
      <c r="N104" s="17" t="s">
        <v>325</v>
      </c>
      <c r="O104" s="18"/>
      <c r="P104" s="21"/>
    </row>
    <row r="105" customFormat="false" ht="21.75" hidden="false" customHeight="true" outlineLevel="0" collapsed="false">
      <c r="A105" s="13" t="n">
        <f aca="false">IF($E105="","",COUNTA($E$5:$E105))</f>
        <v>101</v>
      </c>
      <c r="B105" s="14" t="n">
        <v>46238</v>
      </c>
      <c r="C105" s="15" t="s">
        <v>161</v>
      </c>
      <c r="D105" s="16" t="s">
        <v>326</v>
      </c>
      <c r="E105" s="17" t="s">
        <v>327</v>
      </c>
      <c r="F105" s="18" t="s">
        <v>34</v>
      </c>
      <c r="G105" s="18"/>
      <c r="H105" s="15"/>
      <c r="I105" s="15" t="s">
        <v>328</v>
      </c>
      <c r="J105" s="18"/>
      <c r="K105" s="18" t="s">
        <v>28</v>
      </c>
      <c r="L105" s="19" t="n">
        <f aca="false">IF($E105="","",IF(OR($C105="",$D105=""),"",COUNTIFS($C$5:$C$404,$C105,$D$5:$D$404,$D105)))</f>
        <v>1</v>
      </c>
      <c r="M105" s="20" t="str">
        <f aca="false">IF($E105="","",IF(OR($B105="",$C105="",$D105=""),"待补楼栋/房号/日期",SUBSTITUTE($C105,"栋","")&amp;"-"&amp;$D105&amp;"-"&amp;TEXT(MONTH($B105),"00")&amp;TEXT(DAY($B105),"00")&amp;IF(COUNTIFS($C$5:$C105,$C105,$D$5:$D105,$D105)&gt;1,"-"&amp;TEXT(COUNTIFS($C$5:$C105,$C105,$D$5:$D105,$D105),"00"),"")))</f>
        <v>4-1603-0804</v>
      </c>
      <c r="N105" s="21"/>
      <c r="O105" s="18" t="s">
        <v>30</v>
      </c>
      <c r="P105" s="17" t="s">
        <v>329</v>
      </c>
    </row>
    <row r="106" customFormat="false" ht="21.75" hidden="false" customHeight="true" outlineLevel="0" collapsed="false">
      <c r="A106" s="13" t="n">
        <f aca="false">IF($E106="","",COUNTA($E$5:$E106))</f>
        <v>102</v>
      </c>
      <c r="B106" s="14" t="n">
        <v>46238</v>
      </c>
      <c r="C106" s="15" t="s">
        <v>43</v>
      </c>
      <c r="D106" s="16" t="s">
        <v>39</v>
      </c>
      <c r="E106" s="17" t="s">
        <v>330</v>
      </c>
      <c r="F106" s="18" t="s">
        <v>24</v>
      </c>
      <c r="G106" s="18"/>
      <c r="H106" s="15"/>
      <c r="I106" s="15" t="s">
        <v>331</v>
      </c>
      <c r="J106" s="18"/>
      <c r="K106" s="18" t="s">
        <v>28</v>
      </c>
      <c r="L106" s="19" t="n">
        <f aca="false">IF($E106="","",IF(OR($C106="",$D106=""),"",COUNTIFS($C$5:$C$404,$C106,$D$5:$D$404,$D106)))</f>
        <v>1</v>
      </c>
      <c r="M106" s="20" t="str">
        <f aca="false">IF($E106="","",IF(OR($B106="",$C106="",$D106=""),"待补楼栋/房号/日期",SUBSTITUTE($C106,"栋","")&amp;"-"&amp;$D106&amp;"-"&amp;TEXT(MONTH($B106),"00")&amp;TEXT(DAY($B106),"00")&amp;IF(COUNTIFS($C$5:$C106,$C106,$D$5:$D106,$D106)&gt;1,"-"&amp;TEXT(COUNTIFS($C$5:$C106,$C106,$D$5:$D106,$D106),"00"),"")))</f>
        <v>7-503-0804</v>
      </c>
      <c r="N106" s="21"/>
      <c r="O106" s="18" t="s">
        <v>30</v>
      </c>
      <c r="P106" s="21"/>
    </row>
    <row r="107" customFormat="false" ht="21.75" hidden="false" customHeight="true" outlineLevel="0" collapsed="false">
      <c r="A107" s="13" t="n">
        <f aca="false">IF($E107="","",COUNTA($E$5:$E107))</f>
        <v>103</v>
      </c>
      <c r="B107" s="14" t="n">
        <v>46239</v>
      </c>
      <c r="C107" s="15" t="s">
        <v>21</v>
      </c>
      <c r="D107" s="16" t="s">
        <v>326</v>
      </c>
      <c r="E107" s="17" t="s">
        <v>332</v>
      </c>
      <c r="F107" s="18" t="s">
        <v>25</v>
      </c>
      <c r="G107" s="18"/>
      <c r="H107" s="15"/>
      <c r="I107" s="15" t="s">
        <v>214</v>
      </c>
      <c r="J107" s="18"/>
      <c r="K107" s="18" t="s">
        <v>28</v>
      </c>
      <c r="L107" s="19" t="n">
        <f aca="false">IF($E107="","",IF(OR($C107="",$D107=""),"",COUNTIFS($C$5:$C$404,$C107,$D$5:$D$404,$D107)))</f>
        <v>1</v>
      </c>
      <c r="M107" s="20" t="str">
        <f aca="false">IF($E107="","",IF(OR($B107="",$C107="",$D107=""),"待补楼栋/房号/日期",SUBSTITUTE($C107,"栋","")&amp;"-"&amp;$D107&amp;"-"&amp;TEXT(MONTH($B107),"00")&amp;TEXT(DAY($B107),"00")&amp;IF(COUNTIFS($C$5:$C107,$C107,$D$5:$D107,$D107)&gt;1,"-"&amp;TEXT(COUNTIFS($C$5:$C107,$C107,$D$5:$D107,$D107),"00"),"")))</f>
        <v>8-1603-0805</v>
      </c>
      <c r="N107" s="17" t="s">
        <v>333</v>
      </c>
      <c r="O107" s="18" t="s">
        <v>30</v>
      </c>
      <c r="P107" s="21"/>
    </row>
    <row r="108" customFormat="false" ht="21.75" hidden="false" customHeight="true" outlineLevel="0" collapsed="false">
      <c r="A108" s="13" t="n">
        <f aca="false">IF($E108="","",COUNTA($E$5:$E108))</f>
        <v>104</v>
      </c>
      <c r="B108" s="14" t="n">
        <v>46239</v>
      </c>
      <c r="C108" s="15" t="s">
        <v>105</v>
      </c>
      <c r="D108" s="16" t="s">
        <v>218</v>
      </c>
      <c r="E108" s="17" t="s">
        <v>334</v>
      </c>
      <c r="F108" s="18" t="s">
        <v>24</v>
      </c>
      <c r="G108" s="18"/>
      <c r="H108" s="15"/>
      <c r="I108" s="15" t="s">
        <v>214</v>
      </c>
      <c r="J108" s="18" t="s">
        <v>61</v>
      </c>
      <c r="K108" s="18" t="s">
        <v>28</v>
      </c>
      <c r="L108" s="19" t="n">
        <f aca="false">IF($E108="","",IF(OR($C108="",$D108=""),"",COUNTIFS($C$5:$C$404,$C108,$D$5:$D$404,$D108)))</f>
        <v>1</v>
      </c>
      <c r="M108" s="20" t="str">
        <f aca="false">IF($E108="","",IF(OR($B108="",$C108="",$D108=""),"待补楼栋/房号/日期",SUBSTITUTE($C108,"栋","")&amp;"-"&amp;$D108&amp;"-"&amp;TEXT(MONTH($B108),"00")&amp;TEXT(DAY($B108),"00")&amp;IF(COUNTIFS($C$5:$C108,$C108,$D$5:$D108,$D108)&gt;1,"-"&amp;TEXT(COUNTIFS($C$5:$C108,$C108,$D$5:$D108,$D108),"00"),"")))</f>
        <v>2-2101-0805</v>
      </c>
      <c r="N108" s="21"/>
      <c r="O108" s="18" t="s">
        <v>30</v>
      </c>
      <c r="P108" s="21"/>
    </row>
    <row r="109" customFormat="false" ht="21.75" hidden="false" customHeight="true" outlineLevel="0" collapsed="false">
      <c r="A109" s="13" t="n">
        <f aca="false">IF($E109="","",COUNTA($E$5:$E109))</f>
        <v>105</v>
      </c>
      <c r="B109" s="14" t="n">
        <v>46239</v>
      </c>
      <c r="C109" s="15" t="s">
        <v>76</v>
      </c>
      <c r="D109" s="16" t="s">
        <v>311</v>
      </c>
      <c r="E109" s="17" t="s">
        <v>335</v>
      </c>
      <c r="F109" s="18" t="s">
        <v>24</v>
      </c>
      <c r="G109" s="18"/>
      <c r="H109" s="15"/>
      <c r="I109" s="15" t="s">
        <v>336</v>
      </c>
      <c r="J109" s="18"/>
      <c r="K109" s="18" t="s">
        <v>28</v>
      </c>
      <c r="L109" s="19" t="n">
        <f aca="false">IF($E109="","",IF(OR($C109="",$D109=""),"",COUNTIFS($C$5:$C$404,$C109,$D$5:$D$404,$D109)))</f>
        <v>1</v>
      </c>
      <c r="M109" s="20" t="str">
        <f aca="false">IF($E109="","",IF(OR($B109="",$C109="",$D109=""),"待补楼栋/房号/日期",SUBSTITUTE($C109,"栋","")&amp;"-"&amp;$D109&amp;"-"&amp;TEXT(MONTH($B109),"00")&amp;TEXT(DAY($B109),"00")&amp;IF(COUNTIFS($C$5:$C109,$C109,$D$5:$D109,$D109)&gt;1,"-"&amp;TEXT(COUNTIFS($C$5:$C109,$C109,$D$5:$D109,$D109),"00"),"")))</f>
        <v>10-2802-0805</v>
      </c>
      <c r="N109" s="17" t="s">
        <v>337</v>
      </c>
      <c r="O109" s="18" t="s">
        <v>30</v>
      </c>
      <c r="P109" s="21"/>
    </row>
    <row r="110" customFormat="false" ht="21.75" hidden="false" customHeight="true" outlineLevel="0" collapsed="false">
      <c r="A110" s="13" t="n">
        <f aca="false">IF($E110="","",COUNTA($E$5:$E110))</f>
        <v>106</v>
      </c>
      <c r="B110" s="14" t="n">
        <v>46239</v>
      </c>
      <c r="C110" s="15" t="s">
        <v>31</v>
      </c>
      <c r="D110" s="16" t="s">
        <v>22</v>
      </c>
      <c r="E110" s="17" t="s">
        <v>338</v>
      </c>
      <c r="F110" s="18" t="s">
        <v>169</v>
      </c>
      <c r="G110" s="18"/>
      <c r="H110" s="15"/>
      <c r="I110" s="15" t="s">
        <v>339</v>
      </c>
      <c r="J110" s="18"/>
      <c r="K110" s="18" t="s">
        <v>28</v>
      </c>
      <c r="L110" s="19" t="n">
        <f aca="false">IF($E110="","",IF(OR($C110="",$D110=""),"",COUNTIFS($C$5:$C$404,$C110,$D$5:$D$404,$D110)))</f>
        <v>1</v>
      </c>
      <c r="M110" s="20" t="str">
        <f aca="false">IF($E110="","",IF(OR($B110="",$C110="",$D110=""),"待补楼栋/房号/日期",SUBSTITUTE($C110,"栋","")&amp;"-"&amp;$D110&amp;"-"&amp;TEXT(MONTH($B110),"00")&amp;TEXT(DAY($B110),"00")&amp;IF(COUNTIFS($C$5:$C110,$C110,$D$5:$D110,$D110)&gt;1,"-"&amp;TEXT(COUNTIFS($C$5:$C110,$C110,$D$5:$D110,$D110),"00"),"")))</f>
        <v>6-403-0805</v>
      </c>
      <c r="N110" s="21"/>
      <c r="O110" s="18" t="s">
        <v>48</v>
      </c>
      <c r="P110" s="21"/>
    </row>
    <row r="111" customFormat="false" ht="21.75" hidden="false" customHeight="true" outlineLevel="0" collapsed="false">
      <c r="A111" s="13" t="n">
        <f aca="false">IF($E111="","",COUNTA($E$5:$E111))</f>
        <v>107</v>
      </c>
      <c r="B111" s="14" t="n">
        <v>46239</v>
      </c>
      <c r="C111" s="15" t="s">
        <v>245</v>
      </c>
      <c r="D111" s="16" t="s">
        <v>340</v>
      </c>
      <c r="E111" s="17" t="s">
        <v>341</v>
      </c>
      <c r="F111" s="18" t="s">
        <v>25</v>
      </c>
      <c r="G111" s="18"/>
      <c r="H111" s="15"/>
      <c r="I111" s="15" t="s">
        <v>342</v>
      </c>
      <c r="J111" s="18"/>
      <c r="K111" s="18" t="s">
        <v>28</v>
      </c>
      <c r="L111" s="19" t="n">
        <f aca="false">IF($E111="","",IF(OR($C111="",$D111=""),"",COUNTIFS($C$5:$C$404,$C111,$D$5:$D$404,$D111)))</f>
        <v>1</v>
      </c>
      <c r="M111" s="20" t="str">
        <f aca="false">IF($E111="","",IF(OR($B111="",$C111="",$D111=""),"待补楼栋/房号/日期",SUBSTITUTE($C111,"栋","")&amp;"-"&amp;$D111&amp;"-"&amp;TEXT(MONTH($B111),"00")&amp;TEXT(DAY($B111),"00")&amp;IF(COUNTIFS($C$5:$C111,$C111,$D$5:$D111,$D111)&gt;1,"-"&amp;TEXT(COUNTIFS($C$5:$C111,$C111,$D$5:$D111,$D111),"00"),"")))</f>
        <v>3-203-0805</v>
      </c>
      <c r="N111" s="17" t="s">
        <v>343</v>
      </c>
      <c r="O111" s="18" t="s">
        <v>30</v>
      </c>
      <c r="P111" s="21"/>
    </row>
    <row r="112" customFormat="false" ht="21.75" hidden="false" customHeight="true" outlineLevel="0" collapsed="false">
      <c r="A112" s="13" t="n">
        <f aca="false">IF($E112="","",COUNTA($E$5:$E112))</f>
        <v>108</v>
      </c>
      <c r="B112" s="14" t="n">
        <v>46239</v>
      </c>
      <c r="C112" s="15" t="s">
        <v>79</v>
      </c>
      <c r="D112" s="16" t="s">
        <v>326</v>
      </c>
      <c r="E112" s="17" t="s">
        <v>344</v>
      </c>
      <c r="F112" s="18" t="s">
        <v>24</v>
      </c>
      <c r="G112" s="18"/>
      <c r="H112" s="15"/>
      <c r="I112" s="15" t="s">
        <v>345</v>
      </c>
      <c r="J112" s="18"/>
      <c r="K112" s="18" t="s">
        <v>28</v>
      </c>
      <c r="L112" s="19" t="n">
        <f aca="false">IF($E112="","",IF(OR($C112="",$D112=""),"",COUNTIFS($C$5:$C$404,$C112,$D$5:$D$404,$D112)))</f>
        <v>1</v>
      </c>
      <c r="M112" s="20" t="str">
        <f aca="false">IF($E112="","",IF(OR($B112="",$C112="",$D112=""),"待补楼栋/房号/日期",SUBSTITUTE($C112,"栋","")&amp;"-"&amp;$D112&amp;"-"&amp;TEXT(MONTH($B112),"00")&amp;TEXT(DAY($B112),"00")&amp;IF(COUNTIFS($C$5:$C112,$C112,$D$5:$D112,$D112)&gt;1,"-"&amp;TEXT(COUNTIFS($C$5:$C112,$C112,$D$5:$D112,$D112),"00"),"")))</f>
        <v>9-1603-0805</v>
      </c>
      <c r="N112" s="21"/>
      <c r="O112" s="18" t="s">
        <v>30</v>
      </c>
      <c r="P112" s="21"/>
    </row>
    <row r="113" customFormat="false" ht="21.75" hidden="false" customHeight="true" outlineLevel="0" collapsed="false">
      <c r="A113" s="13" t="n">
        <f aca="false">IF($E113="","",COUNTA($E$5:$E113))</f>
        <v>109</v>
      </c>
      <c r="B113" s="14" t="n">
        <v>46239</v>
      </c>
      <c r="C113" s="15" t="s">
        <v>38</v>
      </c>
      <c r="D113" s="16" t="s">
        <v>311</v>
      </c>
      <c r="E113" s="17" t="s">
        <v>346</v>
      </c>
      <c r="F113" s="18" t="s">
        <v>103</v>
      </c>
      <c r="G113" s="18"/>
      <c r="H113" s="15"/>
      <c r="I113" s="15" t="s">
        <v>347</v>
      </c>
      <c r="J113" s="18" t="s">
        <v>27</v>
      </c>
      <c r="K113" s="18" t="s">
        <v>28</v>
      </c>
      <c r="L113" s="19" t="n">
        <f aca="false">IF($E113="","",IF(OR($C113="",$D113=""),"",COUNTIFS($C$5:$C$404,$C113,$D$5:$D$404,$D113)))</f>
        <v>1</v>
      </c>
      <c r="M113" s="20" t="str">
        <f aca="false">IF($E113="","",IF(OR($B113="",$C113="",$D113=""),"待补楼栋/房号/日期",SUBSTITUTE($C113,"栋","")&amp;"-"&amp;$D113&amp;"-"&amp;TEXT(MONTH($B113),"00")&amp;TEXT(DAY($B113),"00")&amp;IF(COUNTIFS($C$5:$C113,$C113,$D$5:$D113,$D113)&gt;1,"-"&amp;TEXT(COUNTIFS($C$5:$C113,$C113,$D$5:$D113,$D113),"00"),"")))</f>
        <v>5-2802-0805</v>
      </c>
      <c r="N113" s="17" t="s">
        <v>348</v>
      </c>
      <c r="O113" s="18"/>
      <c r="P113" s="21"/>
    </row>
    <row r="114" customFormat="false" ht="21.75" hidden="false" customHeight="true" outlineLevel="0" collapsed="false">
      <c r="A114" s="13" t="n">
        <f aca="false">IF($E114="","",COUNTA($E$5:$E114))</f>
        <v>110</v>
      </c>
      <c r="B114" s="14" t="n">
        <v>46240</v>
      </c>
      <c r="C114" s="15" t="s">
        <v>93</v>
      </c>
      <c r="D114" s="16" t="s">
        <v>237</v>
      </c>
      <c r="E114" s="17" t="s">
        <v>349</v>
      </c>
      <c r="F114" s="18" t="s">
        <v>24</v>
      </c>
      <c r="G114" s="18"/>
      <c r="H114" s="15"/>
      <c r="I114" s="15" t="s">
        <v>217</v>
      </c>
      <c r="J114" s="18" t="s">
        <v>61</v>
      </c>
      <c r="K114" s="18" t="s">
        <v>28</v>
      </c>
      <c r="L114" s="19" t="n">
        <f aca="false">IF($E114="","",IF(OR($C114="",$D114=""),"",COUNTIFS($C$5:$C$404,$C114,$D$5:$D$404,$D114)))</f>
        <v>1</v>
      </c>
      <c r="M114" s="20" t="str">
        <f aca="false">IF($E114="","",IF(OR($B114="",$C114="",$D114=""),"待补楼栋/房号/日期",SUBSTITUTE($C114,"栋","")&amp;"-"&amp;$D114&amp;"-"&amp;TEXT(MONTH($B114),"00")&amp;TEXT(DAY($B114),"00")&amp;IF(COUNTIFS($C$5:$C114,$C114,$D$5:$D114,$D114)&gt;1,"-"&amp;TEXT(COUNTIFS($C$5:$C114,$C114,$D$5:$D114,$D114),"00"),"")))</f>
        <v>11-2702-0806</v>
      </c>
      <c r="N114" s="17" t="s">
        <v>350</v>
      </c>
      <c r="O114" s="18" t="s">
        <v>30</v>
      </c>
      <c r="P114" s="21"/>
    </row>
    <row r="115" customFormat="false" ht="21.75" hidden="false" customHeight="true" outlineLevel="0" collapsed="false">
      <c r="A115" s="13" t="n">
        <f aca="false">IF($E115="","",COUNTA($E$5:$E115))</f>
        <v>111</v>
      </c>
      <c r="B115" s="14" t="n">
        <v>46240</v>
      </c>
      <c r="C115" s="15" t="s">
        <v>83</v>
      </c>
      <c r="D115" s="16" t="s">
        <v>351</v>
      </c>
      <c r="E115" s="17" t="s">
        <v>352</v>
      </c>
      <c r="F115" s="18" t="s">
        <v>24</v>
      </c>
      <c r="G115" s="18"/>
      <c r="H115" s="15"/>
      <c r="I115" s="15" t="s">
        <v>217</v>
      </c>
      <c r="J115" s="18"/>
      <c r="K115" s="18" t="s">
        <v>28</v>
      </c>
      <c r="L115" s="19" t="n">
        <f aca="false">IF($E115="","",IF(OR($C115="",$D115=""),"",COUNTIFS($C$5:$C$404,$C115,$D$5:$D$404,$D115)))</f>
        <v>1</v>
      </c>
      <c r="M115" s="20" t="str">
        <f aca="false">IF($E115="","",IF(OR($B115="",$C115="",$D115=""),"待补楼栋/房号/日期",SUBSTITUTE($C115,"栋","")&amp;"-"&amp;$D115&amp;"-"&amp;TEXT(MONTH($B115),"00")&amp;TEXT(DAY($B115),"00")&amp;IF(COUNTIFS($C$5:$C115,$C115,$D$5:$D115,$D115)&gt;1,"-"&amp;TEXT(COUNTIFS($C$5:$C115,$C115,$D$5:$D115,$D115),"00"),"")))</f>
        <v>1-2404-0806</v>
      </c>
      <c r="N115" s="21"/>
      <c r="O115" s="18" t="s">
        <v>30</v>
      </c>
      <c r="P115" s="21"/>
    </row>
    <row r="116" customFormat="false" ht="21.75" hidden="false" customHeight="true" outlineLevel="0" collapsed="false">
      <c r="A116" s="13" t="n">
        <f aca="false">IF($E116="","",COUNTA($E$5:$E116))</f>
        <v>112</v>
      </c>
      <c r="B116" s="14" t="n">
        <v>46240</v>
      </c>
      <c r="C116" s="15" t="s">
        <v>43</v>
      </c>
      <c r="D116" s="16" t="s">
        <v>326</v>
      </c>
      <c r="E116" s="17" t="s">
        <v>353</v>
      </c>
      <c r="F116" s="18" t="s">
        <v>25</v>
      </c>
      <c r="G116" s="18"/>
      <c r="H116" s="15"/>
      <c r="I116" s="15" t="s">
        <v>354</v>
      </c>
      <c r="J116" s="18"/>
      <c r="K116" s="18" t="s">
        <v>28</v>
      </c>
      <c r="L116" s="19" t="n">
        <f aca="false">IF($E116="","",IF(OR($C116="",$D116=""),"",COUNTIFS($C$5:$C$404,$C116,$D$5:$D$404,$D116)))</f>
        <v>1</v>
      </c>
      <c r="M116" s="20" t="str">
        <f aca="false">IF($E116="","",IF(OR($B116="",$C116="",$D116=""),"待补楼栋/房号/日期",SUBSTITUTE($C116,"栋","")&amp;"-"&amp;$D116&amp;"-"&amp;TEXT(MONTH($B116),"00")&amp;TEXT(DAY($B116),"00")&amp;IF(COUNTIFS($C$5:$C116,$C116,$D$5:$D116,$D116)&gt;1,"-"&amp;TEXT(COUNTIFS($C$5:$C116,$C116,$D$5:$D116,$D116),"00"),"")))</f>
        <v>7-1603-0806</v>
      </c>
      <c r="N116" s="17" t="s">
        <v>355</v>
      </c>
      <c r="O116" s="18" t="s">
        <v>30</v>
      </c>
      <c r="P116" s="21"/>
    </row>
    <row r="117" customFormat="false" ht="21.75" hidden="false" customHeight="true" outlineLevel="0" collapsed="false">
      <c r="A117" s="13" t="n">
        <f aca="false">IF($E117="","",COUNTA($E$5:$E117))</f>
        <v>113</v>
      </c>
      <c r="B117" s="14" t="n">
        <v>46240</v>
      </c>
      <c r="C117" s="15" t="s">
        <v>161</v>
      </c>
      <c r="D117" s="16" t="s">
        <v>271</v>
      </c>
      <c r="E117" s="17" t="s">
        <v>356</v>
      </c>
      <c r="F117" s="18" t="s">
        <v>34</v>
      </c>
      <c r="G117" s="18"/>
      <c r="H117" s="15"/>
      <c r="I117" s="15" t="s">
        <v>357</v>
      </c>
      <c r="J117" s="18"/>
      <c r="K117" s="18" t="s">
        <v>28</v>
      </c>
      <c r="L117" s="19" t="n">
        <f aca="false">IF($E117="","",IF(OR($C117="",$D117=""),"",COUNTIFS($C$5:$C$404,$C117,$D$5:$D$404,$D117)))</f>
        <v>1</v>
      </c>
      <c r="M117" s="20" t="str">
        <f aca="false">IF($E117="","",IF(OR($B117="",$C117="",$D117=""),"待补楼栋/房号/日期",SUBSTITUTE($C117,"栋","")&amp;"-"&amp;$D117&amp;"-"&amp;TEXT(MONTH($B117),"00")&amp;TEXT(DAY($B117),"00")&amp;IF(COUNTIFS($C$5:$C117,$C117,$D$5:$D117,$D117)&gt;1,"-"&amp;TEXT(COUNTIFS($C$5:$C117,$C117,$D$5:$D117,$D117),"00"),"")))</f>
        <v>4-2704-0806</v>
      </c>
      <c r="N117" s="21"/>
      <c r="O117" s="18" t="s">
        <v>30</v>
      </c>
      <c r="P117" s="21"/>
    </row>
    <row r="118" customFormat="false" ht="21.75" hidden="false" customHeight="true" outlineLevel="0" collapsed="false">
      <c r="A118" s="13" t="n">
        <f aca="false">IF($E118="","",COUNTA($E$5:$E118))</f>
        <v>114</v>
      </c>
      <c r="B118" s="14" t="n">
        <v>46240</v>
      </c>
      <c r="C118" s="15" t="s">
        <v>21</v>
      </c>
      <c r="D118" s="16" t="s">
        <v>358</v>
      </c>
      <c r="E118" s="17" t="s">
        <v>359</v>
      </c>
      <c r="F118" s="18" t="s">
        <v>24</v>
      </c>
      <c r="G118" s="18"/>
      <c r="H118" s="15"/>
      <c r="I118" s="15" t="s">
        <v>360</v>
      </c>
      <c r="J118" s="18"/>
      <c r="K118" s="18" t="s">
        <v>28</v>
      </c>
      <c r="L118" s="19" t="n">
        <f aca="false">IF($E118="","",IF(OR($C118="",$D118=""),"",COUNTIFS($C$5:$C$404,$C118,$D$5:$D$404,$D118)))</f>
        <v>1</v>
      </c>
      <c r="M118" s="20" t="str">
        <f aca="false">IF($E118="","",IF(OR($B118="",$C118="",$D118=""),"待补楼栋/房号/日期",SUBSTITUTE($C118,"栋","")&amp;"-"&amp;$D118&amp;"-"&amp;TEXT(MONTH($B118),"00")&amp;TEXT(DAY($B118),"00")&amp;IF(COUNTIFS($C$5:$C118,$C118,$D$5:$D118,$D118)&gt;1,"-"&amp;TEXT(COUNTIFS($C$5:$C118,$C118,$D$5:$D118,$D118),"00"),"")))</f>
        <v>8-603-0806</v>
      </c>
      <c r="N118" s="21"/>
      <c r="O118" s="18" t="s">
        <v>48</v>
      </c>
      <c r="P118" s="21"/>
    </row>
    <row r="119" customFormat="false" ht="36" hidden="false" customHeight="true" outlineLevel="0" collapsed="false">
      <c r="A119" s="13" t="n">
        <f aca="false">IF($E119="","",COUNTA($E$5:$E119))</f>
        <v>115</v>
      </c>
      <c r="B119" s="14" t="n">
        <v>46240</v>
      </c>
      <c r="C119" s="15" t="s">
        <v>76</v>
      </c>
      <c r="D119" s="16" t="s">
        <v>361</v>
      </c>
      <c r="E119" s="17" t="s">
        <v>362</v>
      </c>
      <c r="F119" s="18" t="s">
        <v>25</v>
      </c>
      <c r="G119" s="18"/>
      <c r="H119" s="15"/>
      <c r="I119" s="15" t="s">
        <v>363</v>
      </c>
      <c r="J119" s="18" t="s">
        <v>27</v>
      </c>
      <c r="K119" s="18" t="s">
        <v>36</v>
      </c>
      <c r="L119" s="19" t="n">
        <f aca="false">IF($E119="","",IF(OR($C119="",$D119=""),"",COUNTIFS($C$5:$C$404,$C119,$D$5:$D$404,$D119)))</f>
        <v>1</v>
      </c>
      <c r="M119" s="20" t="str">
        <f aca="false">IF($E119="","",IF(OR($B119="",$C119="",$D119=""),"待补楼栋/房号/日期",SUBSTITUTE($C119,"栋","")&amp;"-"&amp;$D119&amp;"-"&amp;TEXT(MONTH($B119),"00")&amp;TEXT(DAY($B119),"00")&amp;IF(COUNTIFS($C$5:$C119,$C119,$D$5:$D119,$D119)&gt;1,"-"&amp;TEXT(COUNTIFS($C$5:$C119,$C119,$D$5:$D119,$D119),"00"),"")))</f>
        <v>10-1401-0806</v>
      </c>
      <c r="N119" s="17" t="s">
        <v>364</v>
      </c>
      <c r="O119" s="18"/>
      <c r="P119" s="21"/>
    </row>
    <row r="120" customFormat="false" ht="21.75" hidden="false" customHeight="true" outlineLevel="0" collapsed="false">
      <c r="A120" s="13" t="n">
        <f aca="false">IF($E120="","",COUNTA($E$5:$E120))</f>
        <v>116</v>
      </c>
      <c r="B120" s="14" t="n">
        <v>46241</v>
      </c>
      <c r="C120" s="15" t="s">
        <v>31</v>
      </c>
      <c r="D120" s="16" t="s">
        <v>206</v>
      </c>
      <c r="E120" s="17" t="s">
        <v>365</v>
      </c>
      <c r="F120" s="18" t="s">
        <v>24</v>
      </c>
      <c r="G120" s="18"/>
      <c r="H120" s="15"/>
      <c r="I120" s="15" t="s">
        <v>236</v>
      </c>
      <c r="J120" s="18"/>
      <c r="K120" s="18" t="s">
        <v>28</v>
      </c>
      <c r="L120" s="19" t="n">
        <f aca="false">IF($E120="","",IF(OR($C120="",$D120=""),"",COUNTIFS($C$5:$C$404,$C120,$D$5:$D$404,$D120)))</f>
        <v>1</v>
      </c>
      <c r="M120" s="20" t="str">
        <f aca="false">IF($E120="","",IF(OR($B120="",$C120="",$D120=""),"待补楼栋/房号/日期",SUBSTITUTE($C120,"栋","")&amp;"-"&amp;$D120&amp;"-"&amp;TEXT(MONTH($B120),"00")&amp;TEXT(DAY($B120),"00")&amp;IF(COUNTIFS($C$5:$C120,$C120,$D$5:$D120,$D120)&gt;1,"-"&amp;TEXT(COUNTIFS($C$5:$C120,$C120,$D$5:$D120,$D120),"00"),"")))</f>
        <v>6-1101-0807</v>
      </c>
      <c r="N120" s="17" t="s">
        <v>366</v>
      </c>
      <c r="O120" s="18" t="s">
        <v>30</v>
      </c>
      <c r="P120" s="21"/>
    </row>
    <row r="121" customFormat="false" ht="21.75" hidden="false" customHeight="true" outlineLevel="0" collapsed="false">
      <c r="A121" s="13" t="n">
        <f aca="false">IF($E121="","",COUNTA($E$5:$E121))</f>
        <v>117</v>
      </c>
      <c r="B121" s="14" t="n">
        <v>46241</v>
      </c>
      <c r="C121" s="15" t="s">
        <v>105</v>
      </c>
      <c r="D121" s="16" t="s">
        <v>197</v>
      </c>
      <c r="E121" s="17" t="s">
        <v>367</v>
      </c>
      <c r="F121" s="18" t="s">
        <v>24</v>
      </c>
      <c r="G121" s="18"/>
      <c r="H121" s="15"/>
      <c r="I121" s="15" t="s">
        <v>236</v>
      </c>
      <c r="J121" s="18"/>
      <c r="K121" s="18" t="s">
        <v>28</v>
      </c>
      <c r="L121" s="19" t="n">
        <f aca="false">IF($E121="","",IF(OR($C121="",$D121=""),"",COUNTIFS($C$5:$C$404,$C121,$D$5:$D$404,$D121)))</f>
        <v>1</v>
      </c>
      <c r="M121" s="20" t="str">
        <f aca="false">IF($E121="","",IF(OR($B121="",$C121="",$D121=""),"待补楼栋/房号/日期",SUBSTITUTE($C121,"栋","")&amp;"-"&amp;$D121&amp;"-"&amp;TEXT(MONTH($B121),"00")&amp;TEXT(DAY($B121),"00")&amp;IF(COUNTIFS($C$5:$C121,$C121,$D$5:$D121,$D121)&gt;1,"-"&amp;TEXT(COUNTIFS($C$5:$C121,$C121,$D$5:$D121,$D121),"00"),"")))</f>
        <v>2-2002-0807</v>
      </c>
      <c r="N121" s="21"/>
      <c r="O121" s="18" t="s">
        <v>30</v>
      </c>
      <c r="P121" s="21"/>
    </row>
    <row r="122" customFormat="false" ht="21.75" hidden="false" customHeight="true" outlineLevel="0" collapsed="false">
      <c r="A122" s="13" t="n">
        <f aca="false">IF($E122="","",COUNTA($E$5:$E122))</f>
        <v>118</v>
      </c>
      <c r="B122" s="14" t="n">
        <v>46241</v>
      </c>
      <c r="C122" s="15" t="s">
        <v>79</v>
      </c>
      <c r="D122" s="16" t="s">
        <v>221</v>
      </c>
      <c r="E122" s="17" t="s">
        <v>368</v>
      </c>
      <c r="F122" s="18" t="s">
        <v>25</v>
      </c>
      <c r="G122" s="18"/>
      <c r="H122" s="15"/>
      <c r="I122" s="15" t="s">
        <v>369</v>
      </c>
      <c r="J122" s="18"/>
      <c r="K122" s="18" t="s">
        <v>28</v>
      </c>
      <c r="L122" s="19" t="n">
        <f aca="false">IF($E122="","",IF(OR($C122="",$D122=""),"",COUNTIFS($C$5:$C$404,$C122,$D$5:$D$404,$D122)))</f>
        <v>1</v>
      </c>
      <c r="M122" s="20" t="str">
        <f aca="false">IF($E122="","",IF(OR($B122="",$C122="",$D122=""),"待补楼栋/房号/日期",SUBSTITUTE($C122,"栋","")&amp;"-"&amp;$D122&amp;"-"&amp;TEXT(MONTH($B122),"00")&amp;TEXT(DAY($B122),"00")&amp;IF(COUNTIFS($C$5:$C122,$C122,$D$5:$D122,$D122)&gt;1,"-"&amp;TEXT(COUNTIFS($C$5:$C122,$C122,$D$5:$D122,$D122),"00"),"")))</f>
        <v>9-2604-0807</v>
      </c>
      <c r="N122" s="21"/>
      <c r="O122" s="18" t="s">
        <v>30</v>
      </c>
      <c r="P122" s="17" t="s">
        <v>120</v>
      </c>
    </row>
    <row r="123" customFormat="false" ht="21.75" hidden="false" customHeight="true" outlineLevel="0" collapsed="false">
      <c r="A123" s="13" t="n">
        <f aca="false">IF($E123="","",COUNTA($E$5:$E123))</f>
        <v>119</v>
      </c>
      <c r="B123" s="14" t="n">
        <v>46241</v>
      </c>
      <c r="C123" s="15" t="s">
        <v>38</v>
      </c>
      <c r="D123" s="16" t="s">
        <v>206</v>
      </c>
      <c r="E123" s="17" t="s">
        <v>370</v>
      </c>
      <c r="F123" s="18" t="s">
        <v>25</v>
      </c>
      <c r="G123" s="18"/>
      <c r="H123" s="15"/>
      <c r="I123" s="15" t="s">
        <v>242</v>
      </c>
      <c r="J123" s="18"/>
      <c r="K123" s="18" t="s">
        <v>28</v>
      </c>
      <c r="L123" s="19" t="n">
        <f aca="false">IF($E123="","",IF(OR($C123="",$D123=""),"",COUNTIFS($C$5:$C$404,$C123,$D$5:$D$404,$D123)))</f>
        <v>1</v>
      </c>
      <c r="M123" s="20" t="str">
        <f aca="false">IF($E123="","",IF(OR($B123="",$C123="",$D123=""),"待补楼栋/房号/日期",SUBSTITUTE($C123,"栋","")&amp;"-"&amp;$D123&amp;"-"&amp;TEXT(MONTH($B123),"00")&amp;TEXT(DAY($B123),"00")&amp;IF(COUNTIFS($C$5:$C123,$C123,$D$5:$D123,$D123)&gt;1,"-"&amp;TEXT(COUNTIFS($C$5:$C123,$C123,$D$5:$D123,$D123),"00"),"")))</f>
        <v>5-1101-0807</v>
      </c>
      <c r="N123" s="17" t="s">
        <v>371</v>
      </c>
      <c r="O123" s="18" t="s">
        <v>48</v>
      </c>
      <c r="P123" s="21"/>
    </row>
    <row r="124" customFormat="false" ht="21.75" hidden="false" customHeight="true" outlineLevel="0" collapsed="false">
      <c r="A124" s="13" t="n">
        <f aca="false">IF($E124="","",COUNTA($E$5:$E124))</f>
        <v>120</v>
      </c>
      <c r="B124" s="14" t="n">
        <v>46241</v>
      </c>
      <c r="C124" s="15" t="s">
        <v>245</v>
      </c>
      <c r="D124" s="16" t="s">
        <v>190</v>
      </c>
      <c r="E124" s="17" t="s">
        <v>372</v>
      </c>
      <c r="F124" s="18" t="s">
        <v>103</v>
      </c>
      <c r="G124" s="18"/>
      <c r="H124" s="15"/>
      <c r="I124" s="15" t="s">
        <v>373</v>
      </c>
      <c r="J124" s="18" t="s">
        <v>27</v>
      </c>
      <c r="K124" s="18" t="s">
        <v>36</v>
      </c>
      <c r="L124" s="19" t="n">
        <f aca="false">IF($E124="","",IF(OR($C124="",$D124=""),"",COUNTIFS($C$5:$C$404,$C124,$D$5:$D$404,$D124)))</f>
        <v>1</v>
      </c>
      <c r="M124" s="20" t="str">
        <f aca="false">IF($E124="","",IF(OR($B124="",$C124="",$D124=""),"待补楼栋/房号/日期",SUBSTITUTE($C124,"栋","")&amp;"-"&amp;$D124&amp;"-"&amp;TEXT(MONTH($B124),"00")&amp;TEXT(DAY($B124),"00")&amp;IF(COUNTIFS($C$5:$C124,$C124,$D$5:$D124,$D124)&gt;1,"-"&amp;TEXT(COUNTIFS($C$5:$C124,$C124,$D$5:$D124,$D124),"00"),"")))</f>
        <v>3-402-0807</v>
      </c>
      <c r="N124" s="17" t="s">
        <v>374</v>
      </c>
      <c r="O124" s="18"/>
      <c r="P124" s="21"/>
    </row>
    <row r="125" customFormat="false" ht="21.75" hidden="false" customHeight="true" outlineLevel="0" collapsed="false">
      <c r="A125" s="13" t="n">
        <f aca="false">IF($E125="","",COUNTA($E$5:$E125))</f>
        <v>121</v>
      </c>
      <c r="B125" s="14" t="n">
        <v>46241</v>
      </c>
      <c r="C125" s="15" t="s">
        <v>93</v>
      </c>
      <c r="D125" s="16" t="s">
        <v>375</v>
      </c>
      <c r="E125" s="17" t="s">
        <v>376</v>
      </c>
      <c r="F125" s="18" t="s">
        <v>24</v>
      </c>
      <c r="G125" s="18"/>
      <c r="H125" s="15"/>
      <c r="I125" s="15" t="s">
        <v>377</v>
      </c>
      <c r="J125" s="18"/>
      <c r="K125" s="18" t="s">
        <v>28</v>
      </c>
      <c r="L125" s="19" t="n">
        <f aca="false">IF($E125="","",IF(OR($C125="",$D125=""),"",COUNTIFS($C$5:$C$404,$C125,$D$5:$D$404,$D125)))</f>
        <v>1</v>
      </c>
      <c r="M125" s="20" t="str">
        <f aca="false">IF($E125="","",IF(OR($B125="",$C125="",$D125=""),"待补楼栋/房号/日期",SUBSTITUTE($C125,"栋","")&amp;"-"&amp;$D125&amp;"-"&amp;TEXT(MONTH($B125),"00")&amp;TEXT(DAY($B125),"00")&amp;IF(COUNTIFS($C$5:$C125,$C125,$D$5:$D125,$D125)&gt;1,"-"&amp;TEXT(COUNTIFS($C$5:$C125,$C125,$D$5:$D125,$D125),"00"),"")))</f>
        <v>11-2804-0807</v>
      </c>
      <c r="N125" s="17" t="s">
        <v>378</v>
      </c>
      <c r="O125" s="18" t="s">
        <v>30</v>
      </c>
      <c r="P125" s="21"/>
    </row>
    <row r="126" customFormat="false" ht="21.75" hidden="false" customHeight="true" outlineLevel="0" collapsed="false">
      <c r="A126" s="13" t="str">
        <f aca="false">IF($E126="","",COUNTA($E$5:$E126))</f>
        <v/>
      </c>
      <c r="B126" s="14"/>
      <c r="C126" s="15"/>
      <c r="D126" s="16"/>
      <c r="E126" s="21"/>
      <c r="F126" s="18"/>
      <c r="G126" s="18"/>
      <c r="H126" s="15"/>
      <c r="I126" s="15"/>
      <c r="J126" s="18"/>
      <c r="K126" s="18"/>
      <c r="L126" s="19" t="str">
        <f aca="false">IF($E126="","",IF(OR($C126="",$D126=""),"",COUNTIFS($C$5:$C$404,$C126,$D$5:$D$404,$D126)))</f>
        <v/>
      </c>
      <c r="M126" s="20" t="str">
        <f aca="false">IF($E126="","",IF(OR($B126="",$C126="",$D126=""),"待补楼栋/房号/日期",SUBSTITUTE($C126,"栋","")&amp;"-"&amp;$D126&amp;"-"&amp;TEXT(MONTH($B126),"00")&amp;TEXT(DAY($B126),"00")&amp;IF(COUNTIFS($C$5:$C126,$C126,$D$5:$D126,$D126)&gt;1,"-"&amp;TEXT(COUNTIFS($C$5:$C126,$C126,$D$5:$D126,$D126),"00"),"")))</f>
        <v/>
      </c>
      <c r="N126" s="21"/>
      <c r="O126" s="18"/>
      <c r="P126" s="21"/>
    </row>
    <row r="127" customFormat="false" ht="21.75" hidden="false" customHeight="true" outlineLevel="0" collapsed="false">
      <c r="A127" s="13" t="str">
        <f aca="false">IF($E127="","",COUNTA($E$5:$E127))</f>
        <v/>
      </c>
      <c r="B127" s="14"/>
      <c r="C127" s="15"/>
      <c r="D127" s="16"/>
      <c r="E127" s="21"/>
      <c r="F127" s="18"/>
      <c r="G127" s="18"/>
      <c r="H127" s="15"/>
      <c r="I127" s="15"/>
      <c r="J127" s="18"/>
      <c r="K127" s="18"/>
      <c r="L127" s="19" t="str">
        <f aca="false">IF($E127="","",IF(OR($C127="",$D127=""),"",COUNTIFS($C$5:$C$404,$C127,$D$5:$D$404,$D127)))</f>
        <v/>
      </c>
      <c r="M127" s="20" t="str">
        <f aca="false">IF($E127="","",IF(OR($B127="",$C127="",$D127=""),"待补楼栋/房号/日期",SUBSTITUTE($C127,"栋","")&amp;"-"&amp;$D127&amp;"-"&amp;TEXT(MONTH($B127),"00")&amp;TEXT(DAY($B127),"00")&amp;IF(COUNTIFS($C$5:$C127,$C127,$D$5:$D127,$D127)&gt;1,"-"&amp;TEXT(COUNTIFS($C$5:$C127,$C127,$D$5:$D127,$D127),"00"),"")))</f>
        <v/>
      </c>
      <c r="N127" s="21"/>
      <c r="O127" s="18"/>
      <c r="P127" s="21"/>
    </row>
    <row r="128" customFormat="false" ht="21.75" hidden="false" customHeight="true" outlineLevel="0" collapsed="false">
      <c r="A128" s="13" t="str">
        <f aca="false">IF($E128="","",COUNTA($E$5:$E128))</f>
        <v/>
      </c>
      <c r="B128" s="14"/>
      <c r="C128" s="15"/>
      <c r="D128" s="16"/>
      <c r="E128" s="21"/>
      <c r="F128" s="18"/>
      <c r="G128" s="18"/>
      <c r="H128" s="15"/>
      <c r="I128" s="15"/>
      <c r="J128" s="18"/>
      <c r="K128" s="18"/>
      <c r="L128" s="19" t="str">
        <f aca="false">IF($E128="","",IF(OR($C128="",$D128=""),"",COUNTIFS($C$5:$C$404,$C128,$D$5:$D$404,$D128)))</f>
        <v/>
      </c>
      <c r="M128" s="20" t="str">
        <f aca="false">IF($E128="","",IF(OR($B128="",$C128="",$D128=""),"待补楼栋/房号/日期",SUBSTITUTE($C128,"栋","")&amp;"-"&amp;$D128&amp;"-"&amp;TEXT(MONTH($B128),"00")&amp;TEXT(DAY($B128),"00")&amp;IF(COUNTIFS($C$5:$C128,$C128,$D$5:$D128,$D128)&gt;1,"-"&amp;TEXT(COUNTIFS($C$5:$C128,$C128,$D$5:$D128,$D128),"00"),"")))</f>
        <v/>
      </c>
      <c r="N128" s="21"/>
      <c r="O128" s="18"/>
      <c r="P128" s="21"/>
    </row>
    <row r="129" customFormat="false" ht="21.75" hidden="false" customHeight="true" outlineLevel="0" collapsed="false">
      <c r="A129" s="13" t="str">
        <f aca="false">IF($E129="","",COUNTA($E$5:$E129))</f>
        <v/>
      </c>
      <c r="B129" s="14"/>
      <c r="C129" s="15"/>
      <c r="D129" s="16"/>
      <c r="E129" s="21"/>
      <c r="F129" s="18"/>
      <c r="G129" s="18"/>
      <c r="H129" s="15"/>
      <c r="I129" s="15"/>
      <c r="J129" s="18"/>
      <c r="K129" s="18"/>
      <c r="L129" s="19" t="str">
        <f aca="false">IF($E129="","",IF(OR($C129="",$D129=""),"",COUNTIFS($C$5:$C$404,$C129,$D$5:$D$404,$D129)))</f>
        <v/>
      </c>
      <c r="M129" s="20" t="str">
        <f aca="false">IF($E129="","",IF(OR($B129="",$C129="",$D129=""),"待补楼栋/房号/日期",SUBSTITUTE($C129,"栋","")&amp;"-"&amp;$D129&amp;"-"&amp;TEXT(MONTH($B129),"00")&amp;TEXT(DAY($B129),"00")&amp;IF(COUNTIFS($C$5:$C129,$C129,$D$5:$D129,$D129)&gt;1,"-"&amp;TEXT(COUNTIFS($C$5:$C129,$C129,$D$5:$D129,$D129),"00"),"")))</f>
        <v/>
      </c>
      <c r="N129" s="21"/>
      <c r="O129" s="18"/>
      <c r="P129" s="21"/>
    </row>
    <row r="130" customFormat="false" ht="21.75" hidden="false" customHeight="true" outlineLevel="0" collapsed="false">
      <c r="A130" s="13" t="str">
        <f aca="false">IF($E130="","",COUNTA($E$5:$E130))</f>
        <v/>
      </c>
      <c r="B130" s="14"/>
      <c r="C130" s="15"/>
      <c r="D130" s="16"/>
      <c r="E130" s="21"/>
      <c r="F130" s="18"/>
      <c r="G130" s="18"/>
      <c r="H130" s="15"/>
      <c r="I130" s="15"/>
      <c r="J130" s="18"/>
      <c r="K130" s="18"/>
      <c r="L130" s="19" t="str">
        <f aca="false">IF($E130="","",IF(OR($C130="",$D130=""),"",COUNTIFS($C$5:$C$404,$C130,$D$5:$D$404,$D130)))</f>
        <v/>
      </c>
      <c r="M130" s="20" t="str">
        <f aca="false">IF($E130="","",IF(OR($B130="",$C130="",$D130=""),"待补楼栋/房号/日期",SUBSTITUTE($C130,"栋","")&amp;"-"&amp;$D130&amp;"-"&amp;TEXT(MONTH($B130),"00")&amp;TEXT(DAY($B130),"00")&amp;IF(COUNTIFS($C$5:$C130,$C130,$D$5:$D130,$D130)&gt;1,"-"&amp;TEXT(COUNTIFS($C$5:$C130,$C130,$D$5:$D130,$D130),"00"),"")))</f>
        <v/>
      </c>
      <c r="N130" s="21"/>
      <c r="O130" s="18"/>
      <c r="P130" s="21"/>
    </row>
    <row r="131" customFormat="false" ht="21.75" hidden="false" customHeight="true" outlineLevel="0" collapsed="false">
      <c r="A131" s="13" t="str">
        <f aca="false">IF($E131="","",COUNTA($E$5:$E131))</f>
        <v/>
      </c>
      <c r="B131" s="14"/>
      <c r="C131" s="15"/>
      <c r="D131" s="16"/>
      <c r="E131" s="21"/>
      <c r="F131" s="18"/>
      <c r="G131" s="18"/>
      <c r="H131" s="15"/>
      <c r="I131" s="15"/>
      <c r="J131" s="18"/>
      <c r="K131" s="18"/>
      <c r="L131" s="19" t="str">
        <f aca="false">IF($E131="","",IF(OR($C131="",$D131=""),"",COUNTIFS($C$5:$C$404,$C131,$D$5:$D$404,$D131)))</f>
        <v/>
      </c>
      <c r="M131" s="20" t="str">
        <f aca="false">IF($E131="","",IF(OR($B131="",$C131="",$D131=""),"待补楼栋/房号/日期",SUBSTITUTE($C131,"栋","")&amp;"-"&amp;$D131&amp;"-"&amp;TEXT(MONTH($B131),"00")&amp;TEXT(DAY($B131),"00")&amp;IF(COUNTIFS($C$5:$C131,$C131,$D$5:$D131,$D131)&gt;1,"-"&amp;TEXT(COUNTIFS($C$5:$C131,$C131,$D$5:$D131,$D131),"00"),"")))</f>
        <v/>
      </c>
      <c r="N131" s="21"/>
      <c r="O131" s="18"/>
      <c r="P131" s="21"/>
    </row>
    <row r="132" customFormat="false" ht="21.75" hidden="false" customHeight="true" outlineLevel="0" collapsed="false">
      <c r="A132" s="13" t="str">
        <f aca="false">IF($E132="","",COUNTA($E$5:$E132))</f>
        <v/>
      </c>
      <c r="B132" s="14"/>
      <c r="C132" s="15"/>
      <c r="D132" s="16"/>
      <c r="E132" s="21"/>
      <c r="F132" s="18"/>
      <c r="G132" s="18"/>
      <c r="H132" s="15"/>
      <c r="I132" s="15"/>
      <c r="J132" s="18"/>
      <c r="K132" s="18"/>
      <c r="L132" s="19" t="str">
        <f aca="false">IF($E132="","",IF(OR($C132="",$D132=""),"",COUNTIFS($C$5:$C$404,$C132,$D$5:$D$404,$D132)))</f>
        <v/>
      </c>
      <c r="M132" s="20" t="str">
        <f aca="false">IF($E132="","",IF(OR($B132="",$C132="",$D132=""),"待补楼栋/房号/日期",SUBSTITUTE($C132,"栋","")&amp;"-"&amp;$D132&amp;"-"&amp;TEXT(MONTH($B132),"00")&amp;TEXT(DAY($B132),"00")&amp;IF(COUNTIFS($C$5:$C132,$C132,$D$5:$D132,$D132)&gt;1,"-"&amp;TEXT(COUNTIFS($C$5:$C132,$C132,$D$5:$D132,$D132),"00"),"")))</f>
        <v/>
      </c>
      <c r="N132" s="21"/>
      <c r="O132" s="18"/>
      <c r="P132" s="21"/>
    </row>
    <row r="133" customFormat="false" ht="21.75" hidden="false" customHeight="true" outlineLevel="0" collapsed="false">
      <c r="A133" s="13" t="str">
        <f aca="false">IF($E133="","",COUNTA($E$5:$E133))</f>
        <v/>
      </c>
      <c r="B133" s="14"/>
      <c r="C133" s="15"/>
      <c r="D133" s="16"/>
      <c r="E133" s="21"/>
      <c r="F133" s="18"/>
      <c r="G133" s="18"/>
      <c r="H133" s="15"/>
      <c r="I133" s="15"/>
      <c r="J133" s="18"/>
      <c r="K133" s="18"/>
      <c r="L133" s="19" t="str">
        <f aca="false">IF($E133="","",IF(OR($C133="",$D133=""),"",COUNTIFS($C$5:$C$404,$C133,$D$5:$D$404,$D133)))</f>
        <v/>
      </c>
      <c r="M133" s="20" t="str">
        <f aca="false">IF($E133="","",IF(OR($B133="",$C133="",$D133=""),"待补楼栋/房号/日期",SUBSTITUTE($C133,"栋","")&amp;"-"&amp;$D133&amp;"-"&amp;TEXT(MONTH($B133),"00")&amp;TEXT(DAY($B133),"00")&amp;IF(COUNTIFS($C$5:$C133,$C133,$D$5:$D133,$D133)&gt;1,"-"&amp;TEXT(COUNTIFS($C$5:$C133,$C133,$D$5:$D133,$D133),"00"),"")))</f>
        <v/>
      </c>
      <c r="N133" s="21"/>
      <c r="O133" s="18"/>
      <c r="P133" s="21"/>
    </row>
    <row r="134" customFormat="false" ht="21.75" hidden="false" customHeight="true" outlineLevel="0" collapsed="false">
      <c r="A134" s="13" t="str">
        <f aca="false">IF($E134="","",COUNTA($E$5:$E134))</f>
        <v/>
      </c>
      <c r="B134" s="14"/>
      <c r="C134" s="15"/>
      <c r="D134" s="16"/>
      <c r="E134" s="21"/>
      <c r="F134" s="18"/>
      <c r="G134" s="18"/>
      <c r="H134" s="15"/>
      <c r="I134" s="15"/>
      <c r="J134" s="18"/>
      <c r="K134" s="18"/>
      <c r="L134" s="19" t="str">
        <f aca="false">IF($E134="","",IF(OR($C134="",$D134=""),"",COUNTIFS($C$5:$C$404,$C134,$D$5:$D$404,$D134)))</f>
        <v/>
      </c>
      <c r="M134" s="20" t="str">
        <f aca="false">IF($E134="","",IF(OR($B134="",$C134="",$D134=""),"待补楼栋/房号/日期",SUBSTITUTE($C134,"栋","")&amp;"-"&amp;$D134&amp;"-"&amp;TEXT(MONTH($B134),"00")&amp;TEXT(DAY($B134),"00")&amp;IF(COUNTIFS($C$5:$C134,$C134,$D$5:$D134,$D134)&gt;1,"-"&amp;TEXT(COUNTIFS($C$5:$C134,$C134,$D$5:$D134,$D134),"00"),"")))</f>
        <v/>
      </c>
      <c r="N134" s="21"/>
      <c r="O134" s="18"/>
      <c r="P134" s="21"/>
    </row>
    <row r="135" customFormat="false" ht="21.75" hidden="false" customHeight="true" outlineLevel="0" collapsed="false">
      <c r="A135" s="13" t="str">
        <f aca="false">IF($E135="","",COUNTA($E$5:$E135))</f>
        <v/>
      </c>
      <c r="B135" s="14"/>
      <c r="C135" s="15"/>
      <c r="D135" s="16"/>
      <c r="E135" s="21"/>
      <c r="F135" s="18"/>
      <c r="G135" s="18"/>
      <c r="H135" s="15"/>
      <c r="I135" s="15"/>
      <c r="J135" s="18"/>
      <c r="K135" s="18"/>
      <c r="L135" s="19" t="str">
        <f aca="false">IF($E135="","",IF(OR($C135="",$D135=""),"",COUNTIFS($C$5:$C$404,$C135,$D$5:$D$404,$D135)))</f>
        <v/>
      </c>
      <c r="M135" s="20" t="str">
        <f aca="false">IF($E135="","",IF(OR($B135="",$C135="",$D135=""),"待补楼栋/房号/日期",SUBSTITUTE($C135,"栋","")&amp;"-"&amp;$D135&amp;"-"&amp;TEXT(MONTH($B135),"00")&amp;TEXT(DAY($B135),"00")&amp;IF(COUNTIFS($C$5:$C135,$C135,$D$5:$D135,$D135)&gt;1,"-"&amp;TEXT(COUNTIFS($C$5:$C135,$C135,$D$5:$D135,$D135),"00"),"")))</f>
        <v/>
      </c>
      <c r="N135" s="21"/>
      <c r="O135" s="18"/>
      <c r="P135" s="21"/>
    </row>
    <row r="136" customFormat="false" ht="21.75" hidden="false" customHeight="true" outlineLevel="0" collapsed="false">
      <c r="A136" s="13" t="str">
        <f aca="false">IF($E136="","",COUNTA($E$5:$E136))</f>
        <v/>
      </c>
      <c r="B136" s="14"/>
      <c r="C136" s="15"/>
      <c r="D136" s="16"/>
      <c r="E136" s="21"/>
      <c r="F136" s="18"/>
      <c r="G136" s="18"/>
      <c r="H136" s="15"/>
      <c r="I136" s="15"/>
      <c r="J136" s="18"/>
      <c r="K136" s="18"/>
      <c r="L136" s="19" t="str">
        <f aca="false">IF($E136="","",IF(OR($C136="",$D136=""),"",COUNTIFS($C$5:$C$404,$C136,$D$5:$D$404,$D136)))</f>
        <v/>
      </c>
      <c r="M136" s="20" t="str">
        <f aca="false">IF($E136="","",IF(OR($B136="",$C136="",$D136=""),"待补楼栋/房号/日期",SUBSTITUTE($C136,"栋","")&amp;"-"&amp;$D136&amp;"-"&amp;TEXT(MONTH($B136),"00")&amp;TEXT(DAY($B136),"00")&amp;IF(COUNTIFS($C$5:$C136,$C136,$D$5:$D136,$D136)&gt;1,"-"&amp;TEXT(COUNTIFS($C$5:$C136,$C136,$D$5:$D136,$D136),"00"),"")))</f>
        <v/>
      </c>
      <c r="N136" s="21"/>
      <c r="O136" s="18"/>
      <c r="P136" s="21"/>
    </row>
    <row r="137" customFormat="false" ht="21.75" hidden="false" customHeight="true" outlineLevel="0" collapsed="false">
      <c r="A137" s="13" t="str">
        <f aca="false">IF($E137="","",COUNTA($E$5:$E137))</f>
        <v/>
      </c>
      <c r="B137" s="14"/>
      <c r="C137" s="15"/>
      <c r="D137" s="16"/>
      <c r="E137" s="21"/>
      <c r="F137" s="18"/>
      <c r="G137" s="18"/>
      <c r="H137" s="15"/>
      <c r="I137" s="15"/>
      <c r="J137" s="18"/>
      <c r="K137" s="18"/>
      <c r="L137" s="19" t="str">
        <f aca="false">IF($E137="","",IF(OR($C137="",$D137=""),"",COUNTIFS($C$5:$C$404,$C137,$D$5:$D$404,$D137)))</f>
        <v/>
      </c>
      <c r="M137" s="20" t="str">
        <f aca="false">IF($E137="","",IF(OR($B137="",$C137="",$D137=""),"待补楼栋/房号/日期",SUBSTITUTE($C137,"栋","")&amp;"-"&amp;$D137&amp;"-"&amp;TEXT(MONTH($B137),"00")&amp;TEXT(DAY($B137),"00")&amp;IF(COUNTIFS($C$5:$C137,$C137,$D$5:$D137,$D137)&gt;1,"-"&amp;TEXT(COUNTIFS($C$5:$C137,$C137,$D$5:$D137,$D137),"00"),"")))</f>
        <v/>
      </c>
      <c r="N137" s="21"/>
      <c r="O137" s="18"/>
      <c r="P137" s="21"/>
    </row>
    <row r="138" customFormat="false" ht="21.75" hidden="false" customHeight="true" outlineLevel="0" collapsed="false">
      <c r="A138" s="13" t="str">
        <f aca="false">IF($E138="","",COUNTA($E$5:$E138))</f>
        <v/>
      </c>
      <c r="B138" s="14"/>
      <c r="C138" s="15"/>
      <c r="D138" s="16"/>
      <c r="E138" s="21"/>
      <c r="F138" s="18"/>
      <c r="G138" s="18"/>
      <c r="H138" s="15"/>
      <c r="I138" s="15"/>
      <c r="J138" s="18"/>
      <c r="K138" s="18"/>
      <c r="L138" s="19" t="str">
        <f aca="false">IF($E138="","",IF(OR($C138="",$D138=""),"",COUNTIFS($C$5:$C$404,$C138,$D$5:$D$404,$D138)))</f>
        <v/>
      </c>
      <c r="M138" s="20" t="str">
        <f aca="false">IF($E138="","",IF(OR($B138="",$C138="",$D138=""),"待补楼栋/房号/日期",SUBSTITUTE($C138,"栋","")&amp;"-"&amp;$D138&amp;"-"&amp;TEXT(MONTH($B138),"00")&amp;TEXT(DAY($B138),"00")&amp;IF(COUNTIFS($C$5:$C138,$C138,$D$5:$D138,$D138)&gt;1,"-"&amp;TEXT(COUNTIFS($C$5:$C138,$C138,$D$5:$D138,$D138),"00"),"")))</f>
        <v/>
      </c>
      <c r="N138" s="21"/>
      <c r="O138" s="18"/>
      <c r="P138" s="21"/>
    </row>
    <row r="139" customFormat="false" ht="21.75" hidden="false" customHeight="true" outlineLevel="0" collapsed="false">
      <c r="A139" s="13" t="str">
        <f aca="false">IF($E139="","",COUNTA($E$5:$E139))</f>
        <v/>
      </c>
      <c r="B139" s="14"/>
      <c r="C139" s="15"/>
      <c r="D139" s="16"/>
      <c r="E139" s="21"/>
      <c r="F139" s="18"/>
      <c r="G139" s="18"/>
      <c r="H139" s="15"/>
      <c r="I139" s="15"/>
      <c r="J139" s="18"/>
      <c r="K139" s="18"/>
      <c r="L139" s="19" t="str">
        <f aca="false">IF($E139="","",IF(OR($C139="",$D139=""),"",COUNTIFS($C$5:$C$404,$C139,$D$5:$D$404,$D139)))</f>
        <v/>
      </c>
      <c r="M139" s="20" t="str">
        <f aca="false">IF($E139="","",IF(OR($B139="",$C139="",$D139=""),"待补楼栋/房号/日期",SUBSTITUTE($C139,"栋","")&amp;"-"&amp;$D139&amp;"-"&amp;TEXT(MONTH($B139),"00")&amp;TEXT(DAY($B139),"00")&amp;IF(COUNTIFS($C$5:$C139,$C139,$D$5:$D139,$D139)&gt;1,"-"&amp;TEXT(COUNTIFS($C$5:$C139,$C139,$D$5:$D139,$D139),"00"),"")))</f>
        <v/>
      </c>
      <c r="N139" s="21"/>
      <c r="O139" s="18"/>
      <c r="P139" s="21"/>
    </row>
    <row r="140" customFormat="false" ht="21.75" hidden="false" customHeight="true" outlineLevel="0" collapsed="false">
      <c r="A140" s="13" t="str">
        <f aca="false">IF($E140="","",COUNTA($E$5:$E140))</f>
        <v/>
      </c>
      <c r="B140" s="14"/>
      <c r="C140" s="15"/>
      <c r="D140" s="16"/>
      <c r="E140" s="21"/>
      <c r="F140" s="18"/>
      <c r="G140" s="18"/>
      <c r="H140" s="15"/>
      <c r="I140" s="15"/>
      <c r="J140" s="18"/>
      <c r="K140" s="18"/>
      <c r="L140" s="19" t="str">
        <f aca="false">IF($E140="","",IF(OR($C140="",$D140=""),"",COUNTIFS($C$5:$C$404,$C140,$D$5:$D$404,$D140)))</f>
        <v/>
      </c>
      <c r="M140" s="20" t="str">
        <f aca="false">IF($E140="","",IF(OR($B140="",$C140="",$D140=""),"待补楼栋/房号/日期",SUBSTITUTE($C140,"栋","")&amp;"-"&amp;$D140&amp;"-"&amp;TEXT(MONTH($B140),"00")&amp;TEXT(DAY($B140),"00")&amp;IF(COUNTIFS($C$5:$C140,$C140,$D$5:$D140,$D140)&gt;1,"-"&amp;TEXT(COUNTIFS($C$5:$C140,$C140,$D$5:$D140,$D140),"00"),"")))</f>
        <v/>
      </c>
      <c r="N140" s="21"/>
      <c r="O140" s="18"/>
      <c r="P140" s="21"/>
    </row>
    <row r="141" customFormat="false" ht="21.75" hidden="false" customHeight="true" outlineLevel="0" collapsed="false">
      <c r="A141" s="13" t="str">
        <f aca="false">IF($E141="","",COUNTA($E$5:$E141))</f>
        <v/>
      </c>
      <c r="B141" s="14"/>
      <c r="C141" s="15"/>
      <c r="D141" s="16"/>
      <c r="E141" s="21"/>
      <c r="F141" s="18"/>
      <c r="G141" s="18"/>
      <c r="H141" s="15"/>
      <c r="I141" s="15"/>
      <c r="J141" s="18"/>
      <c r="K141" s="18"/>
      <c r="L141" s="19" t="str">
        <f aca="false">IF($E141="","",IF(OR($C141="",$D141=""),"",COUNTIFS($C$5:$C$404,$C141,$D$5:$D$404,$D141)))</f>
        <v/>
      </c>
      <c r="M141" s="20" t="str">
        <f aca="false">IF($E141="","",IF(OR($B141="",$C141="",$D141=""),"待补楼栋/房号/日期",SUBSTITUTE($C141,"栋","")&amp;"-"&amp;$D141&amp;"-"&amp;TEXT(MONTH($B141),"00")&amp;TEXT(DAY($B141),"00")&amp;IF(COUNTIFS($C$5:$C141,$C141,$D$5:$D141,$D141)&gt;1,"-"&amp;TEXT(COUNTIFS($C$5:$C141,$C141,$D$5:$D141,$D141),"00"),"")))</f>
        <v/>
      </c>
      <c r="N141" s="21"/>
      <c r="O141" s="18"/>
      <c r="P141" s="21"/>
    </row>
    <row r="142" customFormat="false" ht="21.75" hidden="false" customHeight="true" outlineLevel="0" collapsed="false">
      <c r="A142" s="13" t="str">
        <f aca="false">IF($E142="","",COUNTA($E$5:$E142))</f>
        <v/>
      </c>
      <c r="B142" s="14"/>
      <c r="C142" s="15"/>
      <c r="D142" s="16"/>
      <c r="E142" s="21"/>
      <c r="F142" s="18"/>
      <c r="G142" s="18"/>
      <c r="H142" s="15"/>
      <c r="I142" s="15"/>
      <c r="J142" s="18"/>
      <c r="K142" s="18"/>
      <c r="L142" s="19" t="str">
        <f aca="false">IF($E142="","",IF(OR($C142="",$D142=""),"",COUNTIFS($C$5:$C$404,$C142,$D$5:$D$404,$D142)))</f>
        <v/>
      </c>
      <c r="M142" s="20" t="str">
        <f aca="false">IF($E142="","",IF(OR($B142="",$C142="",$D142=""),"待补楼栋/房号/日期",SUBSTITUTE($C142,"栋","")&amp;"-"&amp;$D142&amp;"-"&amp;TEXT(MONTH($B142),"00")&amp;TEXT(DAY($B142),"00")&amp;IF(COUNTIFS($C$5:$C142,$C142,$D$5:$D142,$D142)&gt;1,"-"&amp;TEXT(COUNTIFS($C$5:$C142,$C142,$D$5:$D142,$D142),"00"),"")))</f>
        <v/>
      </c>
      <c r="N142" s="21"/>
      <c r="O142" s="18"/>
      <c r="P142" s="21"/>
    </row>
    <row r="143" customFormat="false" ht="21.75" hidden="false" customHeight="true" outlineLevel="0" collapsed="false">
      <c r="A143" s="13" t="str">
        <f aca="false">IF($E143="","",COUNTA($E$5:$E143))</f>
        <v/>
      </c>
      <c r="B143" s="14"/>
      <c r="C143" s="15"/>
      <c r="D143" s="16"/>
      <c r="E143" s="21"/>
      <c r="F143" s="18"/>
      <c r="G143" s="18"/>
      <c r="H143" s="15"/>
      <c r="I143" s="15"/>
      <c r="J143" s="18"/>
      <c r="K143" s="18"/>
      <c r="L143" s="19" t="str">
        <f aca="false">IF($E143="","",IF(OR($C143="",$D143=""),"",COUNTIFS($C$5:$C$404,$C143,$D$5:$D$404,$D143)))</f>
        <v/>
      </c>
      <c r="M143" s="20" t="str">
        <f aca="false">IF($E143="","",IF(OR($B143="",$C143="",$D143=""),"待补楼栋/房号/日期",SUBSTITUTE($C143,"栋","")&amp;"-"&amp;$D143&amp;"-"&amp;TEXT(MONTH($B143),"00")&amp;TEXT(DAY($B143),"00")&amp;IF(COUNTIFS($C$5:$C143,$C143,$D$5:$D143,$D143)&gt;1,"-"&amp;TEXT(COUNTIFS($C$5:$C143,$C143,$D$5:$D143,$D143),"00"),"")))</f>
        <v/>
      </c>
      <c r="N143" s="21"/>
      <c r="O143" s="18"/>
      <c r="P143" s="21"/>
    </row>
    <row r="144" customFormat="false" ht="21.75" hidden="false" customHeight="true" outlineLevel="0" collapsed="false">
      <c r="A144" s="13" t="str">
        <f aca="false">IF($E144="","",COUNTA($E$5:$E144))</f>
        <v/>
      </c>
      <c r="B144" s="14"/>
      <c r="C144" s="15"/>
      <c r="D144" s="16"/>
      <c r="E144" s="21"/>
      <c r="F144" s="18"/>
      <c r="G144" s="18"/>
      <c r="H144" s="15"/>
      <c r="I144" s="15"/>
      <c r="J144" s="18"/>
      <c r="K144" s="18"/>
      <c r="L144" s="19" t="str">
        <f aca="false">IF($E144="","",IF(OR($C144="",$D144=""),"",COUNTIFS($C$5:$C$404,$C144,$D$5:$D$404,$D144)))</f>
        <v/>
      </c>
      <c r="M144" s="20" t="str">
        <f aca="false">IF($E144="","",IF(OR($B144="",$C144="",$D144=""),"待补楼栋/房号/日期",SUBSTITUTE($C144,"栋","")&amp;"-"&amp;$D144&amp;"-"&amp;TEXT(MONTH($B144),"00")&amp;TEXT(DAY($B144),"00")&amp;IF(COUNTIFS($C$5:$C144,$C144,$D$5:$D144,$D144)&gt;1,"-"&amp;TEXT(COUNTIFS($C$5:$C144,$C144,$D$5:$D144,$D144),"00"),"")))</f>
        <v/>
      </c>
      <c r="N144" s="21"/>
      <c r="O144" s="18"/>
      <c r="P144" s="21"/>
    </row>
    <row r="145" customFormat="false" ht="21.75" hidden="false" customHeight="true" outlineLevel="0" collapsed="false">
      <c r="A145" s="13" t="str">
        <f aca="false">IF($E145="","",COUNTA($E$5:$E145))</f>
        <v/>
      </c>
      <c r="B145" s="14"/>
      <c r="C145" s="15"/>
      <c r="D145" s="16"/>
      <c r="E145" s="21"/>
      <c r="F145" s="18"/>
      <c r="G145" s="18"/>
      <c r="H145" s="15"/>
      <c r="I145" s="15"/>
      <c r="J145" s="18"/>
      <c r="K145" s="18"/>
      <c r="L145" s="19" t="str">
        <f aca="false">IF($E145="","",IF(OR($C145="",$D145=""),"",COUNTIFS($C$5:$C$404,$C145,$D$5:$D$404,$D145)))</f>
        <v/>
      </c>
      <c r="M145" s="20" t="str">
        <f aca="false">IF($E145="","",IF(OR($B145="",$C145="",$D145=""),"待补楼栋/房号/日期",SUBSTITUTE($C145,"栋","")&amp;"-"&amp;$D145&amp;"-"&amp;TEXT(MONTH($B145),"00")&amp;TEXT(DAY($B145),"00")&amp;IF(COUNTIFS($C$5:$C145,$C145,$D$5:$D145,$D145)&gt;1,"-"&amp;TEXT(COUNTIFS($C$5:$C145,$C145,$D$5:$D145,$D145),"00"),"")))</f>
        <v/>
      </c>
      <c r="N145" s="21"/>
      <c r="O145" s="18"/>
      <c r="P145" s="21"/>
    </row>
    <row r="146" customFormat="false" ht="21.75" hidden="false" customHeight="true" outlineLevel="0" collapsed="false">
      <c r="A146" s="13" t="str">
        <f aca="false">IF($E146="","",COUNTA($E$5:$E146))</f>
        <v/>
      </c>
      <c r="B146" s="14"/>
      <c r="C146" s="15"/>
      <c r="D146" s="16"/>
      <c r="E146" s="21"/>
      <c r="F146" s="18"/>
      <c r="G146" s="18"/>
      <c r="H146" s="15"/>
      <c r="I146" s="15"/>
      <c r="J146" s="18"/>
      <c r="K146" s="18"/>
      <c r="L146" s="19" t="str">
        <f aca="false">IF($E146="","",IF(OR($C146="",$D146=""),"",COUNTIFS($C$5:$C$404,$C146,$D$5:$D$404,$D146)))</f>
        <v/>
      </c>
      <c r="M146" s="20" t="str">
        <f aca="false">IF($E146="","",IF(OR($B146="",$C146="",$D146=""),"待补楼栋/房号/日期",SUBSTITUTE($C146,"栋","")&amp;"-"&amp;$D146&amp;"-"&amp;TEXT(MONTH($B146),"00")&amp;TEXT(DAY($B146),"00")&amp;IF(COUNTIFS($C$5:$C146,$C146,$D$5:$D146,$D146)&gt;1,"-"&amp;TEXT(COUNTIFS($C$5:$C146,$C146,$D$5:$D146,$D146),"00"),"")))</f>
        <v/>
      </c>
      <c r="N146" s="21"/>
      <c r="O146" s="18"/>
      <c r="P146" s="21"/>
    </row>
    <row r="147" customFormat="false" ht="21.75" hidden="false" customHeight="true" outlineLevel="0" collapsed="false">
      <c r="A147" s="13" t="str">
        <f aca="false">IF($E147="","",COUNTA($E$5:$E147))</f>
        <v/>
      </c>
      <c r="B147" s="14"/>
      <c r="C147" s="15"/>
      <c r="D147" s="16"/>
      <c r="E147" s="21"/>
      <c r="F147" s="18"/>
      <c r="G147" s="18"/>
      <c r="H147" s="15"/>
      <c r="I147" s="15"/>
      <c r="J147" s="18"/>
      <c r="K147" s="18"/>
      <c r="L147" s="19" t="str">
        <f aca="false">IF($E147="","",IF(OR($C147="",$D147=""),"",COUNTIFS($C$5:$C$404,$C147,$D$5:$D$404,$D147)))</f>
        <v/>
      </c>
      <c r="M147" s="20" t="str">
        <f aca="false">IF($E147="","",IF(OR($B147="",$C147="",$D147=""),"待补楼栋/房号/日期",SUBSTITUTE($C147,"栋","")&amp;"-"&amp;$D147&amp;"-"&amp;TEXT(MONTH($B147),"00")&amp;TEXT(DAY($B147),"00")&amp;IF(COUNTIFS($C$5:$C147,$C147,$D$5:$D147,$D147)&gt;1,"-"&amp;TEXT(COUNTIFS($C$5:$C147,$C147,$D$5:$D147,$D147),"00"),"")))</f>
        <v/>
      </c>
      <c r="N147" s="21"/>
      <c r="O147" s="18"/>
      <c r="P147" s="21"/>
    </row>
    <row r="148" customFormat="false" ht="21.75" hidden="false" customHeight="true" outlineLevel="0" collapsed="false">
      <c r="A148" s="13" t="str">
        <f aca="false">IF($E148="","",COUNTA($E$5:$E148))</f>
        <v/>
      </c>
      <c r="B148" s="14"/>
      <c r="C148" s="15"/>
      <c r="D148" s="16"/>
      <c r="E148" s="21"/>
      <c r="F148" s="18"/>
      <c r="G148" s="18"/>
      <c r="H148" s="15"/>
      <c r="I148" s="15"/>
      <c r="J148" s="18"/>
      <c r="K148" s="18"/>
      <c r="L148" s="19" t="str">
        <f aca="false">IF($E148="","",IF(OR($C148="",$D148=""),"",COUNTIFS($C$5:$C$404,$C148,$D$5:$D$404,$D148)))</f>
        <v/>
      </c>
      <c r="M148" s="20" t="str">
        <f aca="false">IF($E148="","",IF(OR($B148="",$C148="",$D148=""),"待补楼栋/房号/日期",SUBSTITUTE($C148,"栋","")&amp;"-"&amp;$D148&amp;"-"&amp;TEXT(MONTH($B148),"00")&amp;TEXT(DAY($B148),"00")&amp;IF(COUNTIFS($C$5:$C148,$C148,$D$5:$D148,$D148)&gt;1,"-"&amp;TEXT(COUNTIFS($C$5:$C148,$C148,$D$5:$D148,$D148),"00"),"")))</f>
        <v/>
      </c>
      <c r="N148" s="21"/>
      <c r="O148" s="18"/>
      <c r="P148" s="21"/>
    </row>
    <row r="149" customFormat="false" ht="21.75" hidden="false" customHeight="true" outlineLevel="0" collapsed="false">
      <c r="A149" s="13" t="str">
        <f aca="false">IF($E149="","",COUNTA($E$5:$E149))</f>
        <v/>
      </c>
      <c r="B149" s="14"/>
      <c r="C149" s="15"/>
      <c r="D149" s="16"/>
      <c r="E149" s="21"/>
      <c r="F149" s="18"/>
      <c r="G149" s="18"/>
      <c r="H149" s="15"/>
      <c r="I149" s="15"/>
      <c r="J149" s="18"/>
      <c r="K149" s="18"/>
      <c r="L149" s="19" t="str">
        <f aca="false">IF($E149="","",IF(OR($C149="",$D149=""),"",COUNTIFS($C$5:$C$404,$C149,$D$5:$D$404,$D149)))</f>
        <v/>
      </c>
      <c r="M149" s="20" t="str">
        <f aca="false">IF($E149="","",IF(OR($B149="",$C149="",$D149=""),"待补楼栋/房号/日期",SUBSTITUTE($C149,"栋","")&amp;"-"&amp;$D149&amp;"-"&amp;TEXT(MONTH($B149),"00")&amp;TEXT(DAY($B149),"00")&amp;IF(COUNTIFS($C$5:$C149,$C149,$D$5:$D149,$D149)&gt;1,"-"&amp;TEXT(COUNTIFS($C$5:$C149,$C149,$D$5:$D149,$D149),"00"),"")))</f>
        <v/>
      </c>
      <c r="N149" s="21"/>
      <c r="O149" s="18"/>
      <c r="P149" s="21"/>
    </row>
    <row r="150" customFormat="false" ht="21.75" hidden="false" customHeight="true" outlineLevel="0" collapsed="false">
      <c r="A150" s="13" t="str">
        <f aca="false">IF($E150="","",COUNTA($E$5:$E150))</f>
        <v/>
      </c>
      <c r="B150" s="14"/>
      <c r="C150" s="15"/>
      <c r="D150" s="16"/>
      <c r="E150" s="21"/>
      <c r="F150" s="18"/>
      <c r="G150" s="18"/>
      <c r="H150" s="15"/>
      <c r="I150" s="15"/>
      <c r="J150" s="18"/>
      <c r="K150" s="18"/>
      <c r="L150" s="19" t="str">
        <f aca="false">IF($E150="","",IF(OR($C150="",$D150=""),"",COUNTIFS($C$5:$C$404,$C150,$D$5:$D$404,$D150)))</f>
        <v/>
      </c>
      <c r="M150" s="20" t="str">
        <f aca="false">IF($E150="","",IF(OR($B150="",$C150="",$D150=""),"待补楼栋/房号/日期",SUBSTITUTE($C150,"栋","")&amp;"-"&amp;$D150&amp;"-"&amp;TEXT(MONTH($B150),"00")&amp;TEXT(DAY($B150),"00")&amp;IF(COUNTIFS($C$5:$C150,$C150,$D$5:$D150,$D150)&gt;1,"-"&amp;TEXT(COUNTIFS($C$5:$C150,$C150,$D$5:$D150,$D150),"00"),"")))</f>
        <v/>
      </c>
      <c r="N150" s="21"/>
      <c r="O150" s="18"/>
      <c r="P150" s="21"/>
    </row>
    <row r="151" customFormat="false" ht="21.75" hidden="false" customHeight="true" outlineLevel="0" collapsed="false">
      <c r="A151" s="13" t="str">
        <f aca="false">IF($E151="","",COUNTA($E$5:$E151))</f>
        <v/>
      </c>
      <c r="B151" s="14"/>
      <c r="C151" s="15"/>
      <c r="D151" s="16"/>
      <c r="E151" s="21"/>
      <c r="F151" s="18"/>
      <c r="G151" s="18"/>
      <c r="H151" s="15"/>
      <c r="I151" s="15"/>
      <c r="J151" s="18"/>
      <c r="K151" s="18"/>
      <c r="L151" s="19" t="str">
        <f aca="false">IF($E151="","",IF(OR($C151="",$D151=""),"",COUNTIFS($C$5:$C$404,$C151,$D$5:$D$404,$D151)))</f>
        <v/>
      </c>
      <c r="M151" s="20" t="str">
        <f aca="false">IF($E151="","",IF(OR($B151="",$C151="",$D151=""),"待补楼栋/房号/日期",SUBSTITUTE($C151,"栋","")&amp;"-"&amp;$D151&amp;"-"&amp;TEXT(MONTH($B151),"00")&amp;TEXT(DAY($B151),"00")&amp;IF(COUNTIFS($C$5:$C151,$C151,$D$5:$D151,$D151)&gt;1,"-"&amp;TEXT(COUNTIFS($C$5:$C151,$C151,$D$5:$D151,$D151),"00"),"")))</f>
        <v/>
      </c>
      <c r="N151" s="21"/>
      <c r="O151" s="18"/>
      <c r="P151" s="21"/>
    </row>
    <row r="152" customFormat="false" ht="21.75" hidden="false" customHeight="true" outlineLevel="0" collapsed="false">
      <c r="A152" s="13" t="str">
        <f aca="false">IF($E152="","",COUNTA($E$5:$E152))</f>
        <v/>
      </c>
      <c r="B152" s="14"/>
      <c r="C152" s="15"/>
      <c r="D152" s="16"/>
      <c r="E152" s="21"/>
      <c r="F152" s="18"/>
      <c r="G152" s="18"/>
      <c r="H152" s="15"/>
      <c r="I152" s="15"/>
      <c r="J152" s="18"/>
      <c r="K152" s="18"/>
      <c r="L152" s="19" t="str">
        <f aca="false">IF($E152="","",IF(OR($C152="",$D152=""),"",COUNTIFS($C$5:$C$404,$C152,$D$5:$D$404,$D152)))</f>
        <v/>
      </c>
      <c r="M152" s="20" t="str">
        <f aca="false">IF($E152="","",IF(OR($B152="",$C152="",$D152=""),"待补楼栋/房号/日期",SUBSTITUTE($C152,"栋","")&amp;"-"&amp;$D152&amp;"-"&amp;TEXT(MONTH($B152),"00")&amp;TEXT(DAY($B152),"00")&amp;IF(COUNTIFS($C$5:$C152,$C152,$D$5:$D152,$D152)&gt;1,"-"&amp;TEXT(COUNTIFS($C$5:$C152,$C152,$D$5:$D152,$D152),"00"),"")))</f>
        <v/>
      </c>
      <c r="N152" s="21"/>
      <c r="O152" s="18"/>
      <c r="P152" s="21"/>
    </row>
    <row r="153" customFormat="false" ht="21.75" hidden="false" customHeight="true" outlineLevel="0" collapsed="false">
      <c r="A153" s="13" t="str">
        <f aca="false">IF($E153="","",COUNTA($E$5:$E153))</f>
        <v/>
      </c>
      <c r="B153" s="14"/>
      <c r="C153" s="15"/>
      <c r="D153" s="16"/>
      <c r="E153" s="21"/>
      <c r="F153" s="18"/>
      <c r="G153" s="18"/>
      <c r="H153" s="15"/>
      <c r="I153" s="15"/>
      <c r="J153" s="18"/>
      <c r="K153" s="18"/>
      <c r="L153" s="19" t="str">
        <f aca="false">IF($E153="","",IF(OR($C153="",$D153=""),"",COUNTIFS($C$5:$C$404,$C153,$D$5:$D$404,$D153)))</f>
        <v/>
      </c>
      <c r="M153" s="20" t="str">
        <f aca="false">IF($E153="","",IF(OR($B153="",$C153="",$D153=""),"待补楼栋/房号/日期",SUBSTITUTE($C153,"栋","")&amp;"-"&amp;$D153&amp;"-"&amp;TEXT(MONTH($B153),"00")&amp;TEXT(DAY($B153),"00")&amp;IF(COUNTIFS($C$5:$C153,$C153,$D$5:$D153,$D153)&gt;1,"-"&amp;TEXT(COUNTIFS($C$5:$C153,$C153,$D$5:$D153,$D153),"00"),"")))</f>
        <v/>
      </c>
      <c r="N153" s="21"/>
      <c r="O153" s="18"/>
      <c r="P153" s="21"/>
    </row>
    <row r="154" customFormat="false" ht="21.75" hidden="false" customHeight="true" outlineLevel="0" collapsed="false">
      <c r="A154" s="13" t="str">
        <f aca="false">IF($E154="","",COUNTA($E$5:$E154))</f>
        <v/>
      </c>
      <c r="B154" s="14"/>
      <c r="C154" s="15"/>
      <c r="D154" s="16"/>
      <c r="E154" s="21"/>
      <c r="F154" s="18"/>
      <c r="G154" s="18"/>
      <c r="H154" s="15"/>
      <c r="I154" s="15"/>
      <c r="J154" s="18"/>
      <c r="K154" s="18"/>
      <c r="L154" s="19" t="str">
        <f aca="false">IF($E154="","",IF(OR($C154="",$D154=""),"",COUNTIFS($C$5:$C$404,$C154,$D$5:$D$404,$D154)))</f>
        <v/>
      </c>
      <c r="M154" s="20" t="str">
        <f aca="false">IF($E154="","",IF(OR($B154="",$C154="",$D154=""),"待补楼栋/房号/日期",SUBSTITUTE($C154,"栋","")&amp;"-"&amp;$D154&amp;"-"&amp;TEXT(MONTH($B154),"00")&amp;TEXT(DAY($B154),"00")&amp;IF(COUNTIFS($C$5:$C154,$C154,$D$5:$D154,$D154)&gt;1,"-"&amp;TEXT(COUNTIFS($C$5:$C154,$C154,$D$5:$D154,$D154),"00"),"")))</f>
        <v/>
      </c>
      <c r="N154" s="21"/>
      <c r="O154" s="18"/>
      <c r="P154" s="21"/>
    </row>
    <row r="155" customFormat="false" ht="21.75" hidden="false" customHeight="true" outlineLevel="0" collapsed="false">
      <c r="A155" s="13" t="str">
        <f aca="false">IF($E155="","",COUNTA($E$5:$E155))</f>
        <v/>
      </c>
      <c r="B155" s="14"/>
      <c r="C155" s="15"/>
      <c r="D155" s="16"/>
      <c r="E155" s="21"/>
      <c r="F155" s="18"/>
      <c r="G155" s="18"/>
      <c r="H155" s="15"/>
      <c r="I155" s="15"/>
      <c r="J155" s="18"/>
      <c r="K155" s="18"/>
      <c r="L155" s="19" t="str">
        <f aca="false">IF($E155="","",IF(OR($C155="",$D155=""),"",COUNTIFS($C$5:$C$404,$C155,$D$5:$D$404,$D155)))</f>
        <v/>
      </c>
      <c r="M155" s="20" t="str">
        <f aca="false">IF($E155="","",IF(OR($B155="",$C155="",$D155=""),"待补楼栋/房号/日期",SUBSTITUTE($C155,"栋","")&amp;"-"&amp;$D155&amp;"-"&amp;TEXT(MONTH($B155),"00")&amp;TEXT(DAY($B155),"00")&amp;IF(COUNTIFS($C$5:$C155,$C155,$D$5:$D155,$D155)&gt;1,"-"&amp;TEXT(COUNTIFS($C$5:$C155,$C155,$D$5:$D155,$D155),"00"),"")))</f>
        <v/>
      </c>
      <c r="N155" s="21"/>
      <c r="O155" s="18"/>
      <c r="P155" s="21"/>
    </row>
    <row r="156" customFormat="false" ht="21.75" hidden="false" customHeight="true" outlineLevel="0" collapsed="false">
      <c r="A156" s="13" t="str">
        <f aca="false">IF($E156="","",COUNTA($E$5:$E156))</f>
        <v/>
      </c>
      <c r="B156" s="14"/>
      <c r="C156" s="15"/>
      <c r="D156" s="16"/>
      <c r="E156" s="21"/>
      <c r="F156" s="18"/>
      <c r="G156" s="18"/>
      <c r="H156" s="15"/>
      <c r="I156" s="15"/>
      <c r="J156" s="18"/>
      <c r="K156" s="18"/>
      <c r="L156" s="19" t="str">
        <f aca="false">IF($E156="","",IF(OR($C156="",$D156=""),"",COUNTIFS($C$5:$C$404,$C156,$D$5:$D$404,$D156)))</f>
        <v/>
      </c>
      <c r="M156" s="20" t="str">
        <f aca="false">IF($E156="","",IF(OR($B156="",$C156="",$D156=""),"待补楼栋/房号/日期",SUBSTITUTE($C156,"栋","")&amp;"-"&amp;$D156&amp;"-"&amp;TEXT(MONTH($B156),"00")&amp;TEXT(DAY($B156),"00")&amp;IF(COUNTIFS($C$5:$C156,$C156,$D$5:$D156,$D156)&gt;1,"-"&amp;TEXT(COUNTIFS($C$5:$C156,$C156,$D$5:$D156,$D156),"00"),"")))</f>
        <v/>
      </c>
      <c r="N156" s="21"/>
      <c r="O156" s="18"/>
      <c r="P156" s="21"/>
    </row>
    <row r="157" customFormat="false" ht="21.75" hidden="false" customHeight="true" outlineLevel="0" collapsed="false">
      <c r="A157" s="13" t="str">
        <f aca="false">IF($E157="","",COUNTA($E$5:$E157))</f>
        <v/>
      </c>
      <c r="B157" s="14"/>
      <c r="C157" s="15"/>
      <c r="D157" s="16"/>
      <c r="E157" s="21"/>
      <c r="F157" s="18"/>
      <c r="G157" s="18"/>
      <c r="H157" s="15"/>
      <c r="I157" s="15"/>
      <c r="J157" s="18"/>
      <c r="K157" s="18"/>
      <c r="L157" s="19" t="str">
        <f aca="false">IF($E157="","",IF(OR($C157="",$D157=""),"",COUNTIFS($C$5:$C$404,$C157,$D$5:$D$404,$D157)))</f>
        <v/>
      </c>
      <c r="M157" s="20" t="str">
        <f aca="false">IF($E157="","",IF(OR($B157="",$C157="",$D157=""),"待补楼栋/房号/日期",SUBSTITUTE($C157,"栋","")&amp;"-"&amp;$D157&amp;"-"&amp;TEXT(MONTH($B157),"00")&amp;TEXT(DAY($B157),"00")&amp;IF(COUNTIFS($C$5:$C157,$C157,$D$5:$D157,$D157)&gt;1,"-"&amp;TEXT(COUNTIFS($C$5:$C157,$C157,$D$5:$D157,$D157),"00"),"")))</f>
        <v/>
      </c>
      <c r="N157" s="21"/>
      <c r="O157" s="18"/>
      <c r="P157" s="21"/>
    </row>
    <row r="158" customFormat="false" ht="21.75" hidden="false" customHeight="true" outlineLevel="0" collapsed="false">
      <c r="A158" s="13" t="str">
        <f aca="false">IF($E158="","",COUNTA($E$5:$E158))</f>
        <v/>
      </c>
      <c r="B158" s="14"/>
      <c r="C158" s="15"/>
      <c r="D158" s="16"/>
      <c r="E158" s="21"/>
      <c r="F158" s="18"/>
      <c r="G158" s="18"/>
      <c r="H158" s="15"/>
      <c r="I158" s="15"/>
      <c r="J158" s="18"/>
      <c r="K158" s="18"/>
      <c r="L158" s="19" t="str">
        <f aca="false">IF($E158="","",IF(OR($C158="",$D158=""),"",COUNTIFS($C$5:$C$404,$C158,$D$5:$D$404,$D158)))</f>
        <v/>
      </c>
      <c r="M158" s="20" t="str">
        <f aca="false">IF($E158="","",IF(OR($B158="",$C158="",$D158=""),"待补楼栋/房号/日期",SUBSTITUTE($C158,"栋","")&amp;"-"&amp;$D158&amp;"-"&amp;TEXT(MONTH($B158),"00")&amp;TEXT(DAY($B158),"00")&amp;IF(COUNTIFS($C$5:$C158,$C158,$D$5:$D158,$D158)&gt;1,"-"&amp;TEXT(COUNTIFS($C$5:$C158,$C158,$D$5:$D158,$D158),"00"),"")))</f>
        <v/>
      </c>
      <c r="N158" s="21"/>
      <c r="O158" s="18"/>
      <c r="P158" s="21"/>
    </row>
    <row r="159" customFormat="false" ht="21.75" hidden="false" customHeight="true" outlineLevel="0" collapsed="false">
      <c r="A159" s="13" t="str">
        <f aca="false">IF($E159="","",COUNTA($E$5:$E159))</f>
        <v/>
      </c>
      <c r="B159" s="14"/>
      <c r="C159" s="15"/>
      <c r="D159" s="16"/>
      <c r="E159" s="21"/>
      <c r="F159" s="18"/>
      <c r="G159" s="18"/>
      <c r="H159" s="15"/>
      <c r="I159" s="15"/>
      <c r="J159" s="18"/>
      <c r="K159" s="18"/>
      <c r="L159" s="19" t="str">
        <f aca="false">IF($E159="","",IF(OR($C159="",$D159=""),"",COUNTIFS($C$5:$C$404,$C159,$D$5:$D$404,$D159)))</f>
        <v/>
      </c>
      <c r="M159" s="20" t="str">
        <f aca="false">IF($E159="","",IF(OR($B159="",$C159="",$D159=""),"待补楼栋/房号/日期",SUBSTITUTE($C159,"栋","")&amp;"-"&amp;$D159&amp;"-"&amp;TEXT(MONTH($B159),"00")&amp;TEXT(DAY($B159),"00")&amp;IF(COUNTIFS($C$5:$C159,$C159,$D$5:$D159,$D159)&gt;1,"-"&amp;TEXT(COUNTIFS($C$5:$C159,$C159,$D$5:$D159,$D159),"00"),"")))</f>
        <v/>
      </c>
      <c r="N159" s="21"/>
      <c r="O159" s="18"/>
      <c r="P159" s="21"/>
    </row>
    <row r="160" customFormat="false" ht="21.75" hidden="false" customHeight="true" outlineLevel="0" collapsed="false">
      <c r="A160" s="13" t="str">
        <f aca="false">IF($E160="","",COUNTA($E$5:$E160))</f>
        <v/>
      </c>
      <c r="B160" s="14"/>
      <c r="C160" s="15"/>
      <c r="D160" s="16"/>
      <c r="E160" s="21"/>
      <c r="F160" s="18"/>
      <c r="G160" s="18"/>
      <c r="H160" s="15"/>
      <c r="I160" s="15"/>
      <c r="J160" s="18"/>
      <c r="K160" s="18"/>
      <c r="L160" s="19" t="str">
        <f aca="false">IF($E160="","",IF(OR($C160="",$D160=""),"",COUNTIFS($C$5:$C$404,$C160,$D$5:$D$404,$D160)))</f>
        <v/>
      </c>
      <c r="M160" s="20" t="str">
        <f aca="false">IF($E160="","",IF(OR($B160="",$C160="",$D160=""),"待补楼栋/房号/日期",SUBSTITUTE($C160,"栋","")&amp;"-"&amp;$D160&amp;"-"&amp;TEXT(MONTH($B160),"00")&amp;TEXT(DAY($B160),"00")&amp;IF(COUNTIFS($C$5:$C160,$C160,$D$5:$D160,$D160)&gt;1,"-"&amp;TEXT(COUNTIFS($C$5:$C160,$C160,$D$5:$D160,$D160),"00"),"")))</f>
        <v/>
      </c>
      <c r="N160" s="21"/>
      <c r="O160" s="18"/>
      <c r="P160" s="21"/>
    </row>
    <row r="161" customFormat="false" ht="21.75" hidden="false" customHeight="true" outlineLevel="0" collapsed="false">
      <c r="A161" s="13" t="str">
        <f aca="false">IF($E161="","",COUNTA($E$5:$E161))</f>
        <v/>
      </c>
      <c r="B161" s="14"/>
      <c r="C161" s="15"/>
      <c r="D161" s="16"/>
      <c r="E161" s="21"/>
      <c r="F161" s="18"/>
      <c r="G161" s="18"/>
      <c r="H161" s="15"/>
      <c r="I161" s="15"/>
      <c r="J161" s="18"/>
      <c r="K161" s="18"/>
      <c r="L161" s="19" t="str">
        <f aca="false">IF($E161="","",IF(OR($C161="",$D161=""),"",COUNTIFS($C$5:$C$404,$C161,$D$5:$D$404,$D161)))</f>
        <v/>
      </c>
      <c r="M161" s="20" t="str">
        <f aca="false">IF($E161="","",IF(OR($B161="",$C161="",$D161=""),"待补楼栋/房号/日期",SUBSTITUTE($C161,"栋","")&amp;"-"&amp;$D161&amp;"-"&amp;TEXT(MONTH($B161),"00")&amp;TEXT(DAY($B161),"00")&amp;IF(COUNTIFS($C$5:$C161,$C161,$D$5:$D161,$D161)&gt;1,"-"&amp;TEXT(COUNTIFS($C$5:$C161,$C161,$D$5:$D161,$D161),"00"),"")))</f>
        <v/>
      </c>
      <c r="N161" s="21"/>
      <c r="O161" s="18"/>
      <c r="P161" s="21"/>
    </row>
    <row r="162" customFormat="false" ht="21.75" hidden="false" customHeight="true" outlineLevel="0" collapsed="false">
      <c r="A162" s="13" t="str">
        <f aca="false">IF($E162="","",COUNTA($E$5:$E162))</f>
        <v/>
      </c>
      <c r="B162" s="14"/>
      <c r="C162" s="15"/>
      <c r="D162" s="16"/>
      <c r="E162" s="21"/>
      <c r="F162" s="18"/>
      <c r="G162" s="18"/>
      <c r="H162" s="15"/>
      <c r="I162" s="15"/>
      <c r="J162" s="18"/>
      <c r="K162" s="18"/>
      <c r="L162" s="19" t="str">
        <f aca="false">IF($E162="","",IF(OR($C162="",$D162=""),"",COUNTIFS($C$5:$C$404,$C162,$D$5:$D$404,$D162)))</f>
        <v/>
      </c>
      <c r="M162" s="20" t="str">
        <f aca="false">IF($E162="","",IF(OR($B162="",$C162="",$D162=""),"待补楼栋/房号/日期",SUBSTITUTE($C162,"栋","")&amp;"-"&amp;$D162&amp;"-"&amp;TEXT(MONTH($B162),"00")&amp;TEXT(DAY($B162),"00")&amp;IF(COUNTIFS($C$5:$C162,$C162,$D$5:$D162,$D162)&gt;1,"-"&amp;TEXT(COUNTIFS($C$5:$C162,$C162,$D$5:$D162,$D162),"00"),"")))</f>
        <v/>
      </c>
      <c r="N162" s="21"/>
      <c r="O162" s="18"/>
      <c r="P162" s="21"/>
    </row>
    <row r="163" customFormat="false" ht="21.75" hidden="false" customHeight="true" outlineLevel="0" collapsed="false">
      <c r="A163" s="13" t="str">
        <f aca="false">IF($E163="","",COUNTA($E$5:$E163))</f>
        <v/>
      </c>
      <c r="B163" s="14"/>
      <c r="C163" s="15"/>
      <c r="D163" s="16"/>
      <c r="E163" s="21"/>
      <c r="F163" s="18"/>
      <c r="G163" s="18"/>
      <c r="H163" s="15"/>
      <c r="I163" s="15"/>
      <c r="J163" s="18"/>
      <c r="K163" s="18"/>
      <c r="L163" s="19" t="str">
        <f aca="false">IF($E163="","",IF(OR($C163="",$D163=""),"",COUNTIFS($C$5:$C$404,$C163,$D$5:$D$404,$D163)))</f>
        <v/>
      </c>
      <c r="M163" s="20" t="str">
        <f aca="false">IF($E163="","",IF(OR($B163="",$C163="",$D163=""),"待补楼栋/房号/日期",SUBSTITUTE($C163,"栋","")&amp;"-"&amp;$D163&amp;"-"&amp;TEXT(MONTH($B163),"00")&amp;TEXT(DAY($B163),"00")&amp;IF(COUNTIFS($C$5:$C163,$C163,$D$5:$D163,$D163)&gt;1,"-"&amp;TEXT(COUNTIFS($C$5:$C163,$C163,$D$5:$D163,$D163),"00"),"")))</f>
        <v/>
      </c>
      <c r="N163" s="21"/>
      <c r="O163" s="18"/>
      <c r="P163" s="21"/>
    </row>
    <row r="164" customFormat="false" ht="21.75" hidden="false" customHeight="true" outlineLevel="0" collapsed="false">
      <c r="A164" s="13" t="str">
        <f aca="false">IF($E164="","",COUNTA($E$5:$E164))</f>
        <v/>
      </c>
      <c r="B164" s="14"/>
      <c r="C164" s="15"/>
      <c r="D164" s="16"/>
      <c r="E164" s="21"/>
      <c r="F164" s="18"/>
      <c r="G164" s="18"/>
      <c r="H164" s="15"/>
      <c r="I164" s="15"/>
      <c r="J164" s="18"/>
      <c r="K164" s="18"/>
      <c r="L164" s="19" t="str">
        <f aca="false">IF($E164="","",IF(OR($C164="",$D164=""),"",COUNTIFS($C$5:$C$404,$C164,$D$5:$D$404,$D164)))</f>
        <v/>
      </c>
      <c r="M164" s="20" t="str">
        <f aca="false">IF($E164="","",IF(OR($B164="",$C164="",$D164=""),"待补楼栋/房号/日期",SUBSTITUTE($C164,"栋","")&amp;"-"&amp;$D164&amp;"-"&amp;TEXT(MONTH($B164),"00")&amp;TEXT(DAY($B164),"00")&amp;IF(COUNTIFS($C$5:$C164,$C164,$D$5:$D164,$D164)&gt;1,"-"&amp;TEXT(COUNTIFS($C$5:$C164,$C164,$D$5:$D164,$D164),"00"),"")))</f>
        <v/>
      </c>
      <c r="N164" s="21"/>
      <c r="O164" s="18"/>
      <c r="P164" s="21"/>
    </row>
    <row r="165" customFormat="false" ht="21.75" hidden="false" customHeight="true" outlineLevel="0" collapsed="false">
      <c r="A165" s="13" t="str">
        <f aca="false">IF($E165="","",COUNTA($E$5:$E165))</f>
        <v/>
      </c>
      <c r="B165" s="14"/>
      <c r="C165" s="15"/>
      <c r="D165" s="16"/>
      <c r="E165" s="21"/>
      <c r="F165" s="18"/>
      <c r="G165" s="18"/>
      <c r="H165" s="15"/>
      <c r="I165" s="15"/>
      <c r="J165" s="18"/>
      <c r="K165" s="18"/>
      <c r="L165" s="19" t="str">
        <f aca="false">IF($E165="","",IF(OR($C165="",$D165=""),"",COUNTIFS($C$5:$C$404,$C165,$D$5:$D$404,$D165)))</f>
        <v/>
      </c>
      <c r="M165" s="20" t="str">
        <f aca="false">IF($E165="","",IF(OR($B165="",$C165="",$D165=""),"待补楼栋/房号/日期",SUBSTITUTE($C165,"栋","")&amp;"-"&amp;$D165&amp;"-"&amp;TEXT(MONTH($B165),"00")&amp;TEXT(DAY($B165),"00")&amp;IF(COUNTIFS($C$5:$C165,$C165,$D$5:$D165,$D165)&gt;1,"-"&amp;TEXT(COUNTIFS($C$5:$C165,$C165,$D$5:$D165,$D165),"00"),"")))</f>
        <v/>
      </c>
      <c r="N165" s="21"/>
      <c r="O165" s="18"/>
      <c r="P165" s="21"/>
    </row>
    <row r="166" customFormat="false" ht="21.75" hidden="false" customHeight="true" outlineLevel="0" collapsed="false">
      <c r="A166" s="13" t="str">
        <f aca="false">IF($E166="","",COUNTA($E$5:$E166))</f>
        <v/>
      </c>
      <c r="B166" s="14"/>
      <c r="C166" s="15"/>
      <c r="D166" s="16"/>
      <c r="E166" s="21"/>
      <c r="F166" s="18"/>
      <c r="G166" s="18"/>
      <c r="H166" s="15"/>
      <c r="I166" s="15"/>
      <c r="J166" s="18"/>
      <c r="K166" s="18"/>
      <c r="L166" s="19" t="str">
        <f aca="false">IF($E166="","",IF(OR($C166="",$D166=""),"",COUNTIFS($C$5:$C$404,$C166,$D$5:$D$404,$D166)))</f>
        <v/>
      </c>
      <c r="M166" s="20" t="str">
        <f aca="false">IF($E166="","",IF(OR($B166="",$C166="",$D166=""),"待补楼栋/房号/日期",SUBSTITUTE($C166,"栋","")&amp;"-"&amp;$D166&amp;"-"&amp;TEXT(MONTH($B166),"00")&amp;TEXT(DAY($B166),"00")&amp;IF(COUNTIFS($C$5:$C166,$C166,$D$5:$D166,$D166)&gt;1,"-"&amp;TEXT(COUNTIFS($C$5:$C166,$C166,$D$5:$D166,$D166),"00"),"")))</f>
        <v/>
      </c>
      <c r="N166" s="21"/>
      <c r="O166" s="18"/>
      <c r="P166" s="21"/>
    </row>
    <row r="167" customFormat="false" ht="21.75" hidden="false" customHeight="true" outlineLevel="0" collapsed="false">
      <c r="A167" s="13" t="str">
        <f aca="false">IF($E167="","",COUNTA($E$5:$E167))</f>
        <v/>
      </c>
      <c r="B167" s="14"/>
      <c r="C167" s="15"/>
      <c r="D167" s="16"/>
      <c r="E167" s="21"/>
      <c r="F167" s="18"/>
      <c r="G167" s="18"/>
      <c r="H167" s="15"/>
      <c r="I167" s="15"/>
      <c r="J167" s="18"/>
      <c r="K167" s="18"/>
      <c r="L167" s="19" t="str">
        <f aca="false">IF($E167="","",IF(OR($C167="",$D167=""),"",COUNTIFS($C$5:$C$404,$C167,$D$5:$D$404,$D167)))</f>
        <v/>
      </c>
      <c r="M167" s="20" t="str">
        <f aca="false">IF($E167="","",IF(OR($B167="",$C167="",$D167=""),"待补楼栋/房号/日期",SUBSTITUTE($C167,"栋","")&amp;"-"&amp;$D167&amp;"-"&amp;TEXT(MONTH($B167),"00")&amp;TEXT(DAY($B167),"00")&amp;IF(COUNTIFS($C$5:$C167,$C167,$D$5:$D167,$D167)&gt;1,"-"&amp;TEXT(COUNTIFS($C$5:$C167,$C167,$D$5:$D167,$D167),"00"),"")))</f>
        <v/>
      </c>
      <c r="N167" s="21"/>
      <c r="O167" s="18"/>
      <c r="P167" s="21"/>
    </row>
    <row r="168" customFormat="false" ht="21.75" hidden="false" customHeight="true" outlineLevel="0" collapsed="false">
      <c r="A168" s="13" t="str">
        <f aca="false">IF($E168="","",COUNTA($E$5:$E168))</f>
        <v/>
      </c>
      <c r="B168" s="14"/>
      <c r="C168" s="15"/>
      <c r="D168" s="16"/>
      <c r="E168" s="21"/>
      <c r="F168" s="18"/>
      <c r="G168" s="18"/>
      <c r="H168" s="15"/>
      <c r="I168" s="15"/>
      <c r="J168" s="18"/>
      <c r="K168" s="18"/>
      <c r="L168" s="19" t="str">
        <f aca="false">IF($E168="","",IF(OR($C168="",$D168=""),"",COUNTIFS($C$5:$C$404,$C168,$D$5:$D$404,$D168)))</f>
        <v/>
      </c>
      <c r="M168" s="20" t="str">
        <f aca="false">IF($E168="","",IF(OR($B168="",$C168="",$D168=""),"待补楼栋/房号/日期",SUBSTITUTE($C168,"栋","")&amp;"-"&amp;$D168&amp;"-"&amp;TEXT(MONTH($B168),"00")&amp;TEXT(DAY($B168),"00")&amp;IF(COUNTIFS($C$5:$C168,$C168,$D$5:$D168,$D168)&gt;1,"-"&amp;TEXT(COUNTIFS($C$5:$C168,$C168,$D$5:$D168,$D168),"00"),"")))</f>
        <v/>
      </c>
      <c r="N168" s="21"/>
      <c r="O168" s="18"/>
      <c r="P168" s="21"/>
    </row>
    <row r="169" customFormat="false" ht="21.75" hidden="false" customHeight="true" outlineLevel="0" collapsed="false">
      <c r="A169" s="13" t="str">
        <f aca="false">IF($E169="","",COUNTA($E$5:$E169))</f>
        <v/>
      </c>
      <c r="B169" s="14"/>
      <c r="C169" s="15"/>
      <c r="D169" s="16"/>
      <c r="E169" s="21"/>
      <c r="F169" s="18"/>
      <c r="G169" s="18"/>
      <c r="H169" s="15"/>
      <c r="I169" s="15"/>
      <c r="J169" s="18"/>
      <c r="K169" s="18"/>
      <c r="L169" s="19" t="str">
        <f aca="false">IF($E169="","",IF(OR($C169="",$D169=""),"",COUNTIFS($C$5:$C$404,$C169,$D$5:$D$404,$D169)))</f>
        <v/>
      </c>
      <c r="M169" s="20" t="str">
        <f aca="false">IF($E169="","",IF(OR($B169="",$C169="",$D169=""),"待补楼栋/房号/日期",SUBSTITUTE($C169,"栋","")&amp;"-"&amp;$D169&amp;"-"&amp;TEXT(MONTH($B169),"00")&amp;TEXT(DAY($B169),"00")&amp;IF(COUNTIFS($C$5:$C169,$C169,$D$5:$D169,$D169)&gt;1,"-"&amp;TEXT(COUNTIFS($C$5:$C169,$C169,$D$5:$D169,$D169),"00"),"")))</f>
        <v/>
      </c>
      <c r="N169" s="21"/>
      <c r="O169" s="18"/>
      <c r="P169" s="21"/>
    </row>
    <row r="170" customFormat="false" ht="21.75" hidden="false" customHeight="true" outlineLevel="0" collapsed="false">
      <c r="A170" s="13" t="str">
        <f aca="false">IF($E170="","",COUNTA($E$5:$E170))</f>
        <v/>
      </c>
      <c r="B170" s="14"/>
      <c r="C170" s="15"/>
      <c r="D170" s="16"/>
      <c r="E170" s="21"/>
      <c r="F170" s="18"/>
      <c r="G170" s="18"/>
      <c r="H170" s="15"/>
      <c r="I170" s="15"/>
      <c r="J170" s="18"/>
      <c r="K170" s="18"/>
      <c r="L170" s="19" t="str">
        <f aca="false">IF($E170="","",IF(OR($C170="",$D170=""),"",COUNTIFS($C$5:$C$404,$C170,$D$5:$D$404,$D170)))</f>
        <v/>
      </c>
      <c r="M170" s="20" t="str">
        <f aca="false">IF($E170="","",IF(OR($B170="",$C170="",$D170=""),"待补楼栋/房号/日期",SUBSTITUTE($C170,"栋","")&amp;"-"&amp;$D170&amp;"-"&amp;TEXT(MONTH($B170),"00")&amp;TEXT(DAY($B170),"00")&amp;IF(COUNTIFS($C$5:$C170,$C170,$D$5:$D170,$D170)&gt;1,"-"&amp;TEXT(COUNTIFS($C$5:$C170,$C170,$D$5:$D170,$D170),"00"),"")))</f>
        <v/>
      </c>
      <c r="N170" s="21"/>
      <c r="O170" s="18"/>
      <c r="P170" s="21"/>
    </row>
    <row r="171" customFormat="false" ht="21.75" hidden="false" customHeight="true" outlineLevel="0" collapsed="false">
      <c r="A171" s="13" t="str">
        <f aca="false">IF($E171="","",COUNTA($E$5:$E171))</f>
        <v/>
      </c>
      <c r="B171" s="14"/>
      <c r="C171" s="15"/>
      <c r="D171" s="16"/>
      <c r="E171" s="21"/>
      <c r="F171" s="18"/>
      <c r="G171" s="18"/>
      <c r="H171" s="15"/>
      <c r="I171" s="15"/>
      <c r="J171" s="18"/>
      <c r="K171" s="18"/>
      <c r="L171" s="19" t="str">
        <f aca="false">IF($E171="","",IF(OR($C171="",$D171=""),"",COUNTIFS($C$5:$C$404,$C171,$D$5:$D$404,$D171)))</f>
        <v/>
      </c>
      <c r="M171" s="20" t="str">
        <f aca="false">IF($E171="","",IF(OR($B171="",$C171="",$D171=""),"待补楼栋/房号/日期",SUBSTITUTE($C171,"栋","")&amp;"-"&amp;$D171&amp;"-"&amp;TEXT(MONTH($B171),"00")&amp;TEXT(DAY($B171),"00")&amp;IF(COUNTIFS($C$5:$C171,$C171,$D$5:$D171,$D171)&gt;1,"-"&amp;TEXT(COUNTIFS($C$5:$C171,$C171,$D$5:$D171,$D171),"00"),"")))</f>
        <v/>
      </c>
      <c r="N171" s="21"/>
      <c r="O171" s="18"/>
      <c r="P171" s="21"/>
    </row>
    <row r="172" customFormat="false" ht="21.75" hidden="false" customHeight="true" outlineLevel="0" collapsed="false">
      <c r="A172" s="13" t="str">
        <f aca="false">IF($E172="","",COUNTA($E$5:$E172))</f>
        <v/>
      </c>
      <c r="B172" s="14"/>
      <c r="C172" s="15"/>
      <c r="D172" s="16"/>
      <c r="E172" s="21"/>
      <c r="F172" s="18"/>
      <c r="G172" s="18"/>
      <c r="H172" s="15"/>
      <c r="I172" s="15"/>
      <c r="J172" s="18"/>
      <c r="K172" s="18"/>
      <c r="L172" s="19" t="str">
        <f aca="false">IF($E172="","",IF(OR($C172="",$D172=""),"",COUNTIFS($C$5:$C$404,$C172,$D$5:$D$404,$D172)))</f>
        <v/>
      </c>
      <c r="M172" s="20" t="str">
        <f aca="false">IF($E172="","",IF(OR($B172="",$C172="",$D172=""),"待补楼栋/房号/日期",SUBSTITUTE($C172,"栋","")&amp;"-"&amp;$D172&amp;"-"&amp;TEXT(MONTH($B172),"00")&amp;TEXT(DAY($B172),"00")&amp;IF(COUNTIFS($C$5:$C172,$C172,$D$5:$D172,$D172)&gt;1,"-"&amp;TEXT(COUNTIFS($C$5:$C172,$C172,$D$5:$D172,$D172),"00"),"")))</f>
        <v/>
      </c>
      <c r="N172" s="21"/>
      <c r="O172" s="18"/>
      <c r="P172" s="21"/>
    </row>
    <row r="173" customFormat="false" ht="21.75" hidden="false" customHeight="true" outlineLevel="0" collapsed="false">
      <c r="A173" s="13" t="str">
        <f aca="false">IF($E173="","",COUNTA($E$5:$E173))</f>
        <v/>
      </c>
      <c r="B173" s="14"/>
      <c r="C173" s="15"/>
      <c r="D173" s="16"/>
      <c r="E173" s="21"/>
      <c r="F173" s="18"/>
      <c r="G173" s="18"/>
      <c r="H173" s="15"/>
      <c r="I173" s="15"/>
      <c r="J173" s="18"/>
      <c r="K173" s="18"/>
      <c r="L173" s="19" t="str">
        <f aca="false">IF($E173="","",IF(OR($C173="",$D173=""),"",COUNTIFS($C$5:$C$404,$C173,$D$5:$D$404,$D173)))</f>
        <v/>
      </c>
      <c r="M173" s="20" t="str">
        <f aca="false">IF($E173="","",IF(OR($B173="",$C173="",$D173=""),"待补楼栋/房号/日期",SUBSTITUTE($C173,"栋","")&amp;"-"&amp;$D173&amp;"-"&amp;TEXT(MONTH($B173),"00")&amp;TEXT(DAY($B173),"00")&amp;IF(COUNTIFS($C$5:$C173,$C173,$D$5:$D173,$D173)&gt;1,"-"&amp;TEXT(COUNTIFS($C$5:$C173,$C173,$D$5:$D173,$D173),"00"),"")))</f>
        <v/>
      </c>
      <c r="N173" s="21"/>
      <c r="O173" s="18"/>
      <c r="P173" s="21"/>
    </row>
    <row r="174" customFormat="false" ht="21.75" hidden="false" customHeight="true" outlineLevel="0" collapsed="false">
      <c r="A174" s="13" t="str">
        <f aca="false">IF($E174="","",COUNTA($E$5:$E174))</f>
        <v/>
      </c>
      <c r="B174" s="14"/>
      <c r="C174" s="15"/>
      <c r="D174" s="16"/>
      <c r="E174" s="21"/>
      <c r="F174" s="18"/>
      <c r="G174" s="18"/>
      <c r="H174" s="15"/>
      <c r="I174" s="15"/>
      <c r="J174" s="18"/>
      <c r="K174" s="18"/>
      <c r="L174" s="19" t="str">
        <f aca="false">IF($E174="","",IF(OR($C174="",$D174=""),"",COUNTIFS($C$5:$C$404,$C174,$D$5:$D$404,$D174)))</f>
        <v/>
      </c>
      <c r="M174" s="20" t="str">
        <f aca="false">IF($E174="","",IF(OR($B174="",$C174="",$D174=""),"待补楼栋/房号/日期",SUBSTITUTE($C174,"栋","")&amp;"-"&amp;$D174&amp;"-"&amp;TEXT(MONTH($B174),"00")&amp;TEXT(DAY($B174),"00")&amp;IF(COUNTIFS($C$5:$C174,$C174,$D$5:$D174,$D174)&gt;1,"-"&amp;TEXT(COUNTIFS($C$5:$C174,$C174,$D$5:$D174,$D174),"00"),"")))</f>
        <v/>
      </c>
      <c r="N174" s="21"/>
      <c r="O174" s="18"/>
      <c r="P174" s="21"/>
    </row>
    <row r="175" customFormat="false" ht="21.75" hidden="false" customHeight="true" outlineLevel="0" collapsed="false">
      <c r="A175" s="13" t="str">
        <f aca="false">IF($E175="","",COUNTA($E$5:$E175))</f>
        <v/>
      </c>
      <c r="B175" s="14"/>
      <c r="C175" s="15"/>
      <c r="D175" s="16"/>
      <c r="E175" s="21"/>
      <c r="F175" s="18"/>
      <c r="G175" s="18"/>
      <c r="H175" s="15"/>
      <c r="I175" s="15"/>
      <c r="J175" s="18"/>
      <c r="K175" s="18"/>
      <c r="L175" s="19" t="str">
        <f aca="false">IF($E175="","",IF(OR($C175="",$D175=""),"",COUNTIFS($C$5:$C$404,$C175,$D$5:$D$404,$D175)))</f>
        <v/>
      </c>
      <c r="M175" s="20" t="str">
        <f aca="false">IF($E175="","",IF(OR($B175="",$C175="",$D175=""),"待补楼栋/房号/日期",SUBSTITUTE($C175,"栋","")&amp;"-"&amp;$D175&amp;"-"&amp;TEXT(MONTH($B175),"00")&amp;TEXT(DAY($B175),"00")&amp;IF(COUNTIFS($C$5:$C175,$C175,$D$5:$D175,$D175)&gt;1,"-"&amp;TEXT(COUNTIFS($C$5:$C175,$C175,$D$5:$D175,$D175),"00"),"")))</f>
        <v/>
      </c>
      <c r="N175" s="21"/>
      <c r="O175" s="18"/>
      <c r="P175" s="21"/>
    </row>
    <row r="176" customFormat="false" ht="21.75" hidden="false" customHeight="true" outlineLevel="0" collapsed="false">
      <c r="A176" s="13" t="str">
        <f aca="false">IF($E176="","",COUNTA($E$5:$E176))</f>
        <v/>
      </c>
      <c r="B176" s="14"/>
      <c r="C176" s="15"/>
      <c r="D176" s="16"/>
      <c r="E176" s="21"/>
      <c r="F176" s="18"/>
      <c r="G176" s="18"/>
      <c r="H176" s="15"/>
      <c r="I176" s="15"/>
      <c r="J176" s="18"/>
      <c r="K176" s="18"/>
      <c r="L176" s="19" t="str">
        <f aca="false">IF($E176="","",IF(OR($C176="",$D176=""),"",COUNTIFS($C$5:$C$404,$C176,$D$5:$D$404,$D176)))</f>
        <v/>
      </c>
      <c r="M176" s="20" t="str">
        <f aca="false">IF($E176="","",IF(OR($B176="",$C176="",$D176=""),"待补楼栋/房号/日期",SUBSTITUTE($C176,"栋","")&amp;"-"&amp;$D176&amp;"-"&amp;TEXT(MONTH($B176),"00")&amp;TEXT(DAY($B176),"00")&amp;IF(COUNTIFS($C$5:$C176,$C176,$D$5:$D176,$D176)&gt;1,"-"&amp;TEXT(COUNTIFS($C$5:$C176,$C176,$D$5:$D176,$D176),"00"),"")))</f>
        <v/>
      </c>
      <c r="N176" s="21"/>
      <c r="O176" s="18"/>
      <c r="P176" s="21"/>
    </row>
    <row r="177" customFormat="false" ht="21.75" hidden="false" customHeight="true" outlineLevel="0" collapsed="false">
      <c r="A177" s="13" t="str">
        <f aca="false">IF($E177="","",COUNTA($E$5:$E177))</f>
        <v/>
      </c>
      <c r="B177" s="14"/>
      <c r="C177" s="15"/>
      <c r="D177" s="16"/>
      <c r="E177" s="21"/>
      <c r="F177" s="18"/>
      <c r="G177" s="18"/>
      <c r="H177" s="15"/>
      <c r="I177" s="15"/>
      <c r="J177" s="18"/>
      <c r="K177" s="18"/>
      <c r="L177" s="19" t="str">
        <f aca="false">IF($E177="","",IF(OR($C177="",$D177=""),"",COUNTIFS($C$5:$C$404,$C177,$D$5:$D$404,$D177)))</f>
        <v/>
      </c>
      <c r="M177" s="20" t="str">
        <f aca="false">IF($E177="","",IF(OR($B177="",$C177="",$D177=""),"待补楼栋/房号/日期",SUBSTITUTE($C177,"栋","")&amp;"-"&amp;$D177&amp;"-"&amp;TEXT(MONTH($B177),"00")&amp;TEXT(DAY($B177),"00")&amp;IF(COUNTIFS($C$5:$C177,$C177,$D$5:$D177,$D177)&gt;1,"-"&amp;TEXT(COUNTIFS($C$5:$C177,$C177,$D$5:$D177,$D177),"00"),"")))</f>
        <v/>
      </c>
      <c r="N177" s="21"/>
      <c r="O177" s="18"/>
      <c r="P177" s="21"/>
    </row>
    <row r="178" customFormat="false" ht="21.75" hidden="false" customHeight="true" outlineLevel="0" collapsed="false">
      <c r="A178" s="13" t="str">
        <f aca="false">IF($E178="","",COUNTA($E$5:$E178))</f>
        <v/>
      </c>
      <c r="B178" s="14"/>
      <c r="C178" s="15"/>
      <c r="D178" s="16"/>
      <c r="E178" s="21"/>
      <c r="F178" s="18"/>
      <c r="G178" s="18"/>
      <c r="H178" s="15"/>
      <c r="I178" s="15"/>
      <c r="J178" s="18"/>
      <c r="K178" s="18"/>
      <c r="L178" s="19" t="str">
        <f aca="false">IF($E178="","",IF(OR($C178="",$D178=""),"",COUNTIFS($C$5:$C$404,$C178,$D$5:$D$404,$D178)))</f>
        <v/>
      </c>
      <c r="M178" s="20" t="str">
        <f aca="false">IF($E178="","",IF(OR($B178="",$C178="",$D178=""),"待补楼栋/房号/日期",SUBSTITUTE($C178,"栋","")&amp;"-"&amp;$D178&amp;"-"&amp;TEXT(MONTH($B178),"00")&amp;TEXT(DAY($B178),"00")&amp;IF(COUNTIFS($C$5:$C178,$C178,$D$5:$D178,$D178)&gt;1,"-"&amp;TEXT(COUNTIFS($C$5:$C178,$C178,$D$5:$D178,$D178),"00"),"")))</f>
        <v/>
      </c>
      <c r="N178" s="21"/>
      <c r="O178" s="18"/>
      <c r="P178" s="21"/>
    </row>
    <row r="179" customFormat="false" ht="21.75" hidden="false" customHeight="true" outlineLevel="0" collapsed="false">
      <c r="A179" s="13" t="str">
        <f aca="false">IF($E179="","",COUNTA($E$5:$E179))</f>
        <v/>
      </c>
      <c r="B179" s="14"/>
      <c r="C179" s="15"/>
      <c r="D179" s="16"/>
      <c r="E179" s="21"/>
      <c r="F179" s="18"/>
      <c r="G179" s="18"/>
      <c r="H179" s="15"/>
      <c r="I179" s="15"/>
      <c r="J179" s="18"/>
      <c r="K179" s="18"/>
      <c r="L179" s="19" t="str">
        <f aca="false">IF($E179="","",IF(OR($C179="",$D179=""),"",COUNTIFS($C$5:$C$404,$C179,$D$5:$D$404,$D179)))</f>
        <v/>
      </c>
      <c r="M179" s="20" t="str">
        <f aca="false">IF($E179="","",IF(OR($B179="",$C179="",$D179=""),"待补楼栋/房号/日期",SUBSTITUTE($C179,"栋","")&amp;"-"&amp;$D179&amp;"-"&amp;TEXT(MONTH($B179),"00")&amp;TEXT(DAY($B179),"00")&amp;IF(COUNTIFS($C$5:$C179,$C179,$D$5:$D179,$D179)&gt;1,"-"&amp;TEXT(COUNTIFS($C$5:$C179,$C179,$D$5:$D179,$D179),"00"),"")))</f>
        <v/>
      </c>
      <c r="N179" s="21"/>
      <c r="O179" s="18"/>
      <c r="P179" s="21"/>
    </row>
    <row r="180" customFormat="false" ht="21.75" hidden="false" customHeight="true" outlineLevel="0" collapsed="false">
      <c r="A180" s="13" t="str">
        <f aca="false">IF($E180="","",COUNTA($E$5:$E180))</f>
        <v/>
      </c>
      <c r="B180" s="14"/>
      <c r="C180" s="15"/>
      <c r="D180" s="16"/>
      <c r="E180" s="21"/>
      <c r="F180" s="18"/>
      <c r="G180" s="18"/>
      <c r="H180" s="15"/>
      <c r="I180" s="15"/>
      <c r="J180" s="18"/>
      <c r="K180" s="18"/>
      <c r="L180" s="19" t="str">
        <f aca="false">IF($E180="","",IF(OR($C180="",$D180=""),"",COUNTIFS($C$5:$C$404,$C180,$D$5:$D$404,$D180)))</f>
        <v/>
      </c>
      <c r="M180" s="20" t="str">
        <f aca="false">IF($E180="","",IF(OR($B180="",$C180="",$D180=""),"待补楼栋/房号/日期",SUBSTITUTE($C180,"栋","")&amp;"-"&amp;$D180&amp;"-"&amp;TEXT(MONTH($B180),"00")&amp;TEXT(DAY($B180),"00")&amp;IF(COUNTIFS($C$5:$C180,$C180,$D$5:$D180,$D180)&gt;1,"-"&amp;TEXT(COUNTIFS($C$5:$C180,$C180,$D$5:$D180,$D180),"00"),"")))</f>
        <v/>
      </c>
      <c r="N180" s="21"/>
      <c r="O180" s="18"/>
      <c r="P180" s="21"/>
    </row>
    <row r="181" customFormat="false" ht="21.75" hidden="false" customHeight="true" outlineLevel="0" collapsed="false">
      <c r="A181" s="13" t="str">
        <f aca="false">IF($E181="","",COUNTA($E$5:$E181))</f>
        <v/>
      </c>
      <c r="B181" s="14"/>
      <c r="C181" s="15"/>
      <c r="D181" s="16"/>
      <c r="E181" s="21"/>
      <c r="F181" s="18"/>
      <c r="G181" s="18"/>
      <c r="H181" s="15"/>
      <c r="I181" s="15"/>
      <c r="J181" s="18"/>
      <c r="K181" s="18"/>
      <c r="L181" s="19" t="str">
        <f aca="false">IF($E181="","",IF(OR($C181="",$D181=""),"",COUNTIFS($C$5:$C$404,$C181,$D$5:$D$404,$D181)))</f>
        <v/>
      </c>
      <c r="M181" s="20" t="str">
        <f aca="false">IF($E181="","",IF(OR($B181="",$C181="",$D181=""),"待补楼栋/房号/日期",SUBSTITUTE($C181,"栋","")&amp;"-"&amp;$D181&amp;"-"&amp;TEXT(MONTH($B181),"00")&amp;TEXT(DAY($B181),"00")&amp;IF(COUNTIFS($C$5:$C181,$C181,$D$5:$D181,$D181)&gt;1,"-"&amp;TEXT(COUNTIFS($C$5:$C181,$C181,$D$5:$D181,$D181),"00"),"")))</f>
        <v/>
      </c>
      <c r="N181" s="21"/>
      <c r="O181" s="18"/>
      <c r="P181" s="21"/>
    </row>
    <row r="182" customFormat="false" ht="21.75" hidden="false" customHeight="true" outlineLevel="0" collapsed="false">
      <c r="A182" s="13" t="str">
        <f aca="false">IF($E182="","",COUNTA($E$5:$E182))</f>
        <v/>
      </c>
      <c r="B182" s="14"/>
      <c r="C182" s="15"/>
      <c r="D182" s="16"/>
      <c r="E182" s="21"/>
      <c r="F182" s="18"/>
      <c r="G182" s="18"/>
      <c r="H182" s="15"/>
      <c r="I182" s="15"/>
      <c r="J182" s="18"/>
      <c r="K182" s="18"/>
      <c r="L182" s="19" t="str">
        <f aca="false">IF($E182="","",IF(OR($C182="",$D182=""),"",COUNTIFS($C$5:$C$404,$C182,$D$5:$D$404,$D182)))</f>
        <v/>
      </c>
      <c r="M182" s="20" t="str">
        <f aca="false">IF($E182="","",IF(OR($B182="",$C182="",$D182=""),"待补楼栋/房号/日期",SUBSTITUTE($C182,"栋","")&amp;"-"&amp;$D182&amp;"-"&amp;TEXT(MONTH($B182),"00")&amp;TEXT(DAY($B182),"00")&amp;IF(COUNTIFS($C$5:$C182,$C182,$D$5:$D182,$D182)&gt;1,"-"&amp;TEXT(COUNTIFS($C$5:$C182,$C182,$D$5:$D182,$D182),"00"),"")))</f>
        <v/>
      </c>
      <c r="N182" s="21"/>
      <c r="O182" s="18"/>
      <c r="P182" s="21"/>
    </row>
    <row r="183" customFormat="false" ht="21.75" hidden="false" customHeight="true" outlineLevel="0" collapsed="false">
      <c r="A183" s="13" t="str">
        <f aca="false">IF($E183="","",COUNTA($E$5:$E183))</f>
        <v/>
      </c>
      <c r="B183" s="14"/>
      <c r="C183" s="15"/>
      <c r="D183" s="16"/>
      <c r="E183" s="21"/>
      <c r="F183" s="18"/>
      <c r="G183" s="18"/>
      <c r="H183" s="15"/>
      <c r="I183" s="15"/>
      <c r="J183" s="18"/>
      <c r="K183" s="18"/>
      <c r="L183" s="19" t="str">
        <f aca="false">IF($E183="","",IF(OR($C183="",$D183=""),"",COUNTIFS($C$5:$C$404,$C183,$D$5:$D$404,$D183)))</f>
        <v/>
      </c>
      <c r="M183" s="20" t="str">
        <f aca="false">IF($E183="","",IF(OR($B183="",$C183="",$D183=""),"待补楼栋/房号/日期",SUBSTITUTE($C183,"栋","")&amp;"-"&amp;$D183&amp;"-"&amp;TEXT(MONTH($B183),"00")&amp;TEXT(DAY($B183),"00")&amp;IF(COUNTIFS($C$5:$C183,$C183,$D$5:$D183,$D183)&gt;1,"-"&amp;TEXT(COUNTIFS($C$5:$C183,$C183,$D$5:$D183,$D183),"00"),"")))</f>
        <v/>
      </c>
      <c r="N183" s="21"/>
      <c r="O183" s="18"/>
      <c r="P183" s="21"/>
    </row>
    <row r="184" customFormat="false" ht="21.75" hidden="false" customHeight="true" outlineLevel="0" collapsed="false">
      <c r="A184" s="13" t="str">
        <f aca="false">IF($E184="","",COUNTA($E$5:$E184))</f>
        <v/>
      </c>
      <c r="B184" s="14"/>
      <c r="C184" s="15"/>
      <c r="D184" s="16"/>
      <c r="E184" s="21"/>
      <c r="F184" s="18"/>
      <c r="G184" s="18"/>
      <c r="H184" s="15"/>
      <c r="I184" s="15"/>
      <c r="J184" s="18"/>
      <c r="K184" s="18"/>
      <c r="L184" s="19" t="str">
        <f aca="false">IF($E184="","",IF(OR($C184="",$D184=""),"",COUNTIFS($C$5:$C$404,$C184,$D$5:$D$404,$D184)))</f>
        <v/>
      </c>
      <c r="M184" s="20" t="str">
        <f aca="false">IF($E184="","",IF(OR($B184="",$C184="",$D184=""),"待补楼栋/房号/日期",SUBSTITUTE($C184,"栋","")&amp;"-"&amp;$D184&amp;"-"&amp;TEXT(MONTH($B184),"00")&amp;TEXT(DAY($B184),"00")&amp;IF(COUNTIFS($C$5:$C184,$C184,$D$5:$D184,$D184)&gt;1,"-"&amp;TEXT(COUNTIFS($C$5:$C184,$C184,$D$5:$D184,$D184),"00"),"")))</f>
        <v/>
      </c>
      <c r="N184" s="21"/>
      <c r="O184" s="18"/>
      <c r="P184" s="21"/>
    </row>
    <row r="185" customFormat="false" ht="21.75" hidden="false" customHeight="true" outlineLevel="0" collapsed="false">
      <c r="A185" s="13" t="str">
        <f aca="false">IF($E185="","",COUNTA($E$5:$E185))</f>
        <v/>
      </c>
      <c r="B185" s="14"/>
      <c r="C185" s="15"/>
      <c r="D185" s="16"/>
      <c r="E185" s="21"/>
      <c r="F185" s="18"/>
      <c r="G185" s="18"/>
      <c r="H185" s="15"/>
      <c r="I185" s="15"/>
      <c r="J185" s="18"/>
      <c r="K185" s="18"/>
      <c r="L185" s="19" t="str">
        <f aca="false">IF($E185="","",IF(OR($C185="",$D185=""),"",COUNTIFS($C$5:$C$404,$C185,$D$5:$D$404,$D185)))</f>
        <v/>
      </c>
      <c r="M185" s="20" t="str">
        <f aca="false">IF($E185="","",IF(OR($B185="",$C185="",$D185=""),"待补楼栋/房号/日期",SUBSTITUTE($C185,"栋","")&amp;"-"&amp;$D185&amp;"-"&amp;TEXT(MONTH($B185),"00")&amp;TEXT(DAY($B185),"00")&amp;IF(COUNTIFS($C$5:$C185,$C185,$D$5:$D185,$D185)&gt;1,"-"&amp;TEXT(COUNTIFS($C$5:$C185,$C185,$D$5:$D185,$D185),"00"),"")))</f>
        <v/>
      </c>
      <c r="N185" s="21"/>
      <c r="O185" s="18"/>
      <c r="P185" s="21"/>
    </row>
    <row r="186" customFormat="false" ht="21.75" hidden="false" customHeight="true" outlineLevel="0" collapsed="false">
      <c r="A186" s="13" t="str">
        <f aca="false">IF($E186="","",COUNTA($E$5:$E186))</f>
        <v/>
      </c>
      <c r="B186" s="14"/>
      <c r="C186" s="15"/>
      <c r="D186" s="16"/>
      <c r="E186" s="21"/>
      <c r="F186" s="18"/>
      <c r="G186" s="18"/>
      <c r="H186" s="15"/>
      <c r="I186" s="15"/>
      <c r="J186" s="18"/>
      <c r="K186" s="18"/>
      <c r="L186" s="19" t="str">
        <f aca="false">IF($E186="","",IF(OR($C186="",$D186=""),"",COUNTIFS($C$5:$C$404,$C186,$D$5:$D$404,$D186)))</f>
        <v/>
      </c>
      <c r="M186" s="20" t="str">
        <f aca="false">IF($E186="","",IF(OR($B186="",$C186="",$D186=""),"待补楼栋/房号/日期",SUBSTITUTE($C186,"栋","")&amp;"-"&amp;$D186&amp;"-"&amp;TEXT(MONTH($B186),"00")&amp;TEXT(DAY($B186),"00")&amp;IF(COUNTIFS($C$5:$C186,$C186,$D$5:$D186,$D186)&gt;1,"-"&amp;TEXT(COUNTIFS($C$5:$C186,$C186,$D$5:$D186,$D186),"00"),"")))</f>
        <v/>
      </c>
      <c r="N186" s="21"/>
      <c r="O186" s="18"/>
      <c r="P186" s="21"/>
    </row>
    <row r="187" customFormat="false" ht="21.75" hidden="false" customHeight="true" outlineLevel="0" collapsed="false">
      <c r="A187" s="13" t="str">
        <f aca="false">IF($E187="","",COUNTA($E$5:$E187))</f>
        <v/>
      </c>
      <c r="B187" s="14"/>
      <c r="C187" s="15"/>
      <c r="D187" s="16"/>
      <c r="E187" s="21"/>
      <c r="F187" s="18"/>
      <c r="G187" s="18"/>
      <c r="H187" s="15"/>
      <c r="I187" s="15"/>
      <c r="J187" s="18"/>
      <c r="K187" s="18"/>
      <c r="L187" s="19" t="str">
        <f aca="false">IF($E187="","",IF(OR($C187="",$D187=""),"",COUNTIFS($C$5:$C$404,$C187,$D$5:$D$404,$D187)))</f>
        <v/>
      </c>
      <c r="M187" s="20" t="str">
        <f aca="false">IF($E187="","",IF(OR($B187="",$C187="",$D187=""),"待补楼栋/房号/日期",SUBSTITUTE($C187,"栋","")&amp;"-"&amp;$D187&amp;"-"&amp;TEXT(MONTH($B187),"00")&amp;TEXT(DAY($B187),"00")&amp;IF(COUNTIFS($C$5:$C187,$C187,$D$5:$D187,$D187)&gt;1,"-"&amp;TEXT(COUNTIFS($C$5:$C187,$C187,$D$5:$D187,$D187),"00"),"")))</f>
        <v/>
      </c>
      <c r="N187" s="21"/>
      <c r="O187" s="18"/>
      <c r="P187" s="21"/>
    </row>
    <row r="188" customFormat="false" ht="21.75" hidden="false" customHeight="true" outlineLevel="0" collapsed="false">
      <c r="A188" s="13" t="str">
        <f aca="false">IF($E188="","",COUNTA($E$5:$E188))</f>
        <v/>
      </c>
      <c r="B188" s="14"/>
      <c r="C188" s="15"/>
      <c r="D188" s="16"/>
      <c r="E188" s="21"/>
      <c r="F188" s="18"/>
      <c r="G188" s="18"/>
      <c r="H188" s="15"/>
      <c r="I188" s="15"/>
      <c r="J188" s="18"/>
      <c r="K188" s="18"/>
      <c r="L188" s="19" t="str">
        <f aca="false">IF($E188="","",IF(OR($C188="",$D188=""),"",COUNTIFS($C$5:$C$404,$C188,$D$5:$D$404,$D188)))</f>
        <v/>
      </c>
      <c r="M188" s="20" t="str">
        <f aca="false">IF($E188="","",IF(OR($B188="",$C188="",$D188=""),"待补楼栋/房号/日期",SUBSTITUTE($C188,"栋","")&amp;"-"&amp;$D188&amp;"-"&amp;TEXT(MONTH($B188),"00")&amp;TEXT(DAY($B188),"00")&amp;IF(COUNTIFS($C$5:$C188,$C188,$D$5:$D188,$D188)&gt;1,"-"&amp;TEXT(COUNTIFS($C$5:$C188,$C188,$D$5:$D188,$D188),"00"),"")))</f>
        <v/>
      </c>
      <c r="N188" s="21"/>
      <c r="O188" s="18"/>
      <c r="P188" s="21"/>
    </row>
    <row r="189" customFormat="false" ht="21.75" hidden="false" customHeight="true" outlineLevel="0" collapsed="false">
      <c r="A189" s="13" t="str">
        <f aca="false">IF($E189="","",COUNTA($E$5:$E189))</f>
        <v/>
      </c>
      <c r="B189" s="14"/>
      <c r="C189" s="15"/>
      <c r="D189" s="16"/>
      <c r="E189" s="21"/>
      <c r="F189" s="18"/>
      <c r="G189" s="18"/>
      <c r="H189" s="15"/>
      <c r="I189" s="15"/>
      <c r="J189" s="18"/>
      <c r="K189" s="18"/>
      <c r="L189" s="19" t="str">
        <f aca="false">IF($E189="","",IF(OR($C189="",$D189=""),"",COUNTIFS($C$5:$C$404,$C189,$D$5:$D$404,$D189)))</f>
        <v/>
      </c>
      <c r="M189" s="20" t="str">
        <f aca="false">IF($E189="","",IF(OR($B189="",$C189="",$D189=""),"待补楼栋/房号/日期",SUBSTITUTE($C189,"栋","")&amp;"-"&amp;$D189&amp;"-"&amp;TEXT(MONTH($B189),"00")&amp;TEXT(DAY($B189),"00")&amp;IF(COUNTIFS($C$5:$C189,$C189,$D$5:$D189,$D189)&gt;1,"-"&amp;TEXT(COUNTIFS($C$5:$C189,$C189,$D$5:$D189,$D189),"00"),"")))</f>
        <v/>
      </c>
      <c r="N189" s="21"/>
      <c r="O189" s="18"/>
      <c r="P189" s="21"/>
    </row>
    <row r="190" customFormat="false" ht="21.75" hidden="false" customHeight="true" outlineLevel="0" collapsed="false">
      <c r="A190" s="13" t="str">
        <f aca="false">IF($E190="","",COUNTA($E$5:$E190))</f>
        <v/>
      </c>
      <c r="B190" s="14"/>
      <c r="C190" s="15"/>
      <c r="D190" s="16"/>
      <c r="E190" s="21"/>
      <c r="F190" s="18"/>
      <c r="G190" s="18"/>
      <c r="H190" s="15"/>
      <c r="I190" s="15"/>
      <c r="J190" s="18"/>
      <c r="K190" s="18"/>
      <c r="L190" s="19" t="str">
        <f aca="false">IF($E190="","",IF(OR($C190="",$D190=""),"",COUNTIFS($C$5:$C$404,$C190,$D$5:$D$404,$D190)))</f>
        <v/>
      </c>
      <c r="M190" s="20" t="str">
        <f aca="false">IF($E190="","",IF(OR($B190="",$C190="",$D190=""),"待补楼栋/房号/日期",SUBSTITUTE($C190,"栋","")&amp;"-"&amp;$D190&amp;"-"&amp;TEXT(MONTH($B190),"00")&amp;TEXT(DAY($B190),"00")&amp;IF(COUNTIFS($C$5:$C190,$C190,$D$5:$D190,$D190)&gt;1,"-"&amp;TEXT(COUNTIFS($C$5:$C190,$C190,$D$5:$D190,$D190),"00"),"")))</f>
        <v/>
      </c>
      <c r="N190" s="21"/>
      <c r="O190" s="18"/>
      <c r="P190" s="21"/>
    </row>
    <row r="191" customFormat="false" ht="21.75" hidden="false" customHeight="true" outlineLevel="0" collapsed="false">
      <c r="A191" s="13" t="str">
        <f aca="false">IF($E191="","",COUNTA($E$5:$E191))</f>
        <v/>
      </c>
      <c r="B191" s="14"/>
      <c r="C191" s="15"/>
      <c r="D191" s="16"/>
      <c r="E191" s="21"/>
      <c r="F191" s="18"/>
      <c r="G191" s="18"/>
      <c r="H191" s="15"/>
      <c r="I191" s="15"/>
      <c r="J191" s="18"/>
      <c r="K191" s="18"/>
      <c r="L191" s="19" t="str">
        <f aca="false">IF($E191="","",IF(OR($C191="",$D191=""),"",COUNTIFS($C$5:$C$404,$C191,$D$5:$D$404,$D191)))</f>
        <v/>
      </c>
      <c r="M191" s="20" t="str">
        <f aca="false">IF($E191="","",IF(OR($B191="",$C191="",$D191=""),"待补楼栋/房号/日期",SUBSTITUTE($C191,"栋","")&amp;"-"&amp;$D191&amp;"-"&amp;TEXT(MONTH($B191),"00")&amp;TEXT(DAY($B191),"00")&amp;IF(COUNTIFS($C$5:$C191,$C191,$D$5:$D191,$D191)&gt;1,"-"&amp;TEXT(COUNTIFS($C$5:$C191,$C191,$D$5:$D191,$D191),"00"),"")))</f>
        <v/>
      </c>
      <c r="N191" s="21"/>
      <c r="O191" s="18"/>
      <c r="P191" s="21"/>
    </row>
    <row r="192" customFormat="false" ht="21.75" hidden="false" customHeight="true" outlineLevel="0" collapsed="false">
      <c r="A192" s="13" t="str">
        <f aca="false">IF($E192="","",COUNTA($E$5:$E192))</f>
        <v/>
      </c>
      <c r="B192" s="14"/>
      <c r="C192" s="15"/>
      <c r="D192" s="16"/>
      <c r="E192" s="21"/>
      <c r="F192" s="18"/>
      <c r="G192" s="18"/>
      <c r="H192" s="15"/>
      <c r="I192" s="15"/>
      <c r="J192" s="18"/>
      <c r="K192" s="18"/>
      <c r="L192" s="19" t="str">
        <f aca="false">IF($E192="","",IF(OR($C192="",$D192=""),"",COUNTIFS($C$5:$C$404,$C192,$D$5:$D$404,$D192)))</f>
        <v/>
      </c>
      <c r="M192" s="20" t="str">
        <f aca="false">IF($E192="","",IF(OR($B192="",$C192="",$D192=""),"待补楼栋/房号/日期",SUBSTITUTE($C192,"栋","")&amp;"-"&amp;$D192&amp;"-"&amp;TEXT(MONTH($B192),"00")&amp;TEXT(DAY($B192),"00")&amp;IF(COUNTIFS($C$5:$C192,$C192,$D$5:$D192,$D192)&gt;1,"-"&amp;TEXT(COUNTIFS($C$5:$C192,$C192,$D$5:$D192,$D192),"00"),"")))</f>
        <v/>
      </c>
      <c r="N192" s="21"/>
      <c r="O192" s="18"/>
      <c r="P192" s="21"/>
    </row>
    <row r="193" customFormat="false" ht="21.75" hidden="false" customHeight="true" outlineLevel="0" collapsed="false">
      <c r="A193" s="13" t="str">
        <f aca="false">IF($E193="","",COUNTA($E$5:$E193))</f>
        <v/>
      </c>
      <c r="B193" s="14"/>
      <c r="C193" s="15"/>
      <c r="D193" s="16"/>
      <c r="E193" s="21"/>
      <c r="F193" s="18"/>
      <c r="G193" s="18"/>
      <c r="H193" s="15"/>
      <c r="I193" s="15"/>
      <c r="J193" s="18"/>
      <c r="K193" s="18"/>
      <c r="L193" s="19" t="str">
        <f aca="false">IF($E193="","",IF(OR($C193="",$D193=""),"",COUNTIFS($C$5:$C$404,$C193,$D$5:$D$404,$D193)))</f>
        <v/>
      </c>
      <c r="M193" s="20" t="str">
        <f aca="false">IF($E193="","",IF(OR($B193="",$C193="",$D193=""),"待补楼栋/房号/日期",SUBSTITUTE($C193,"栋","")&amp;"-"&amp;$D193&amp;"-"&amp;TEXT(MONTH($B193),"00")&amp;TEXT(DAY($B193),"00")&amp;IF(COUNTIFS($C$5:$C193,$C193,$D$5:$D193,$D193)&gt;1,"-"&amp;TEXT(COUNTIFS($C$5:$C193,$C193,$D$5:$D193,$D193),"00"),"")))</f>
        <v/>
      </c>
      <c r="N193" s="21"/>
      <c r="O193" s="18"/>
      <c r="P193" s="21"/>
    </row>
    <row r="194" customFormat="false" ht="21.75" hidden="false" customHeight="true" outlineLevel="0" collapsed="false">
      <c r="A194" s="13" t="str">
        <f aca="false">IF($E194="","",COUNTA($E$5:$E194))</f>
        <v/>
      </c>
      <c r="B194" s="14"/>
      <c r="C194" s="15"/>
      <c r="D194" s="16"/>
      <c r="E194" s="21"/>
      <c r="F194" s="18"/>
      <c r="G194" s="18"/>
      <c r="H194" s="15"/>
      <c r="I194" s="15"/>
      <c r="J194" s="18"/>
      <c r="K194" s="18"/>
      <c r="L194" s="19" t="str">
        <f aca="false">IF($E194="","",IF(OR($C194="",$D194=""),"",COUNTIFS($C$5:$C$404,$C194,$D$5:$D$404,$D194)))</f>
        <v/>
      </c>
      <c r="M194" s="20" t="str">
        <f aca="false">IF($E194="","",IF(OR($B194="",$C194="",$D194=""),"待补楼栋/房号/日期",SUBSTITUTE($C194,"栋","")&amp;"-"&amp;$D194&amp;"-"&amp;TEXT(MONTH($B194),"00")&amp;TEXT(DAY($B194),"00")&amp;IF(COUNTIFS($C$5:$C194,$C194,$D$5:$D194,$D194)&gt;1,"-"&amp;TEXT(COUNTIFS($C$5:$C194,$C194,$D$5:$D194,$D194),"00"),"")))</f>
        <v/>
      </c>
      <c r="N194" s="21"/>
      <c r="O194" s="18"/>
      <c r="P194" s="21"/>
    </row>
    <row r="195" customFormat="false" ht="21.75" hidden="false" customHeight="true" outlineLevel="0" collapsed="false">
      <c r="A195" s="13" t="str">
        <f aca="false">IF($E195="","",COUNTA($E$5:$E195))</f>
        <v/>
      </c>
      <c r="B195" s="14"/>
      <c r="C195" s="15"/>
      <c r="D195" s="16"/>
      <c r="E195" s="21"/>
      <c r="F195" s="18"/>
      <c r="G195" s="18"/>
      <c r="H195" s="15"/>
      <c r="I195" s="15"/>
      <c r="J195" s="18"/>
      <c r="K195" s="18"/>
      <c r="L195" s="19" t="str">
        <f aca="false">IF($E195="","",IF(OR($C195="",$D195=""),"",COUNTIFS($C$5:$C$404,$C195,$D$5:$D$404,$D195)))</f>
        <v/>
      </c>
      <c r="M195" s="20" t="str">
        <f aca="false">IF($E195="","",IF(OR($B195="",$C195="",$D195=""),"待补楼栋/房号/日期",SUBSTITUTE($C195,"栋","")&amp;"-"&amp;$D195&amp;"-"&amp;TEXT(MONTH($B195),"00")&amp;TEXT(DAY($B195),"00")&amp;IF(COUNTIFS($C$5:$C195,$C195,$D$5:$D195,$D195)&gt;1,"-"&amp;TEXT(COUNTIFS($C$5:$C195,$C195,$D$5:$D195,$D195),"00"),"")))</f>
        <v/>
      </c>
      <c r="N195" s="21"/>
      <c r="O195" s="18"/>
      <c r="P195" s="21"/>
    </row>
    <row r="196" customFormat="false" ht="21.75" hidden="false" customHeight="true" outlineLevel="0" collapsed="false">
      <c r="A196" s="13" t="str">
        <f aca="false">IF($E196="","",COUNTA($E$5:$E196))</f>
        <v/>
      </c>
      <c r="B196" s="14"/>
      <c r="C196" s="15"/>
      <c r="D196" s="16"/>
      <c r="E196" s="21"/>
      <c r="F196" s="18"/>
      <c r="G196" s="18"/>
      <c r="H196" s="15"/>
      <c r="I196" s="15"/>
      <c r="J196" s="18"/>
      <c r="K196" s="18"/>
      <c r="L196" s="19" t="str">
        <f aca="false">IF($E196="","",IF(OR($C196="",$D196=""),"",COUNTIFS($C$5:$C$404,$C196,$D$5:$D$404,$D196)))</f>
        <v/>
      </c>
      <c r="M196" s="20" t="str">
        <f aca="false">IF($E196="","",IF(OR($B196="",$C196="",$D196=""),"待补楼栋/房号/日期",SUBSTITUTE($C196,"栋","")&amp;"-"&amp;$D196&amp;"-"&amp;TEXT(MONTH($B196),"00")&amp;TEXT(DAY($B196),"00")&amp;IF(COUNTIFS($C$5:$C196,$C196,$D$5:$D196,$D196)&gt;1,"-"&amp;TEXT(COUNTIFS($C$5:$C196,$C196,$D$5:$D196,$D196),"00"),"")))</f>
        <v/>
      </c>
      <c r="N196" s="21"/>
      <c r="O196" s="18"/>
      <c r="P196" s="21"/>
    </row>
    <row r="197" customFormat="false" ht="21.75" hidden="false" customHeight="true" outlineLevel="0" collapsed="false">
      <c r="A197" s="13" t="str">
        <f aca="false">IF($E197="","",COUNTA($E$5:$E197))</f>
        <v/>
      </c>
      <c r="B197" s="14"/>
      <c r="C197" s="15"/>
      <c r="D197" s="16"/>
      <c r="E197" s="21"/>
      <c r="F197" s="18"/>
      <c r="G197" s="18"/>
      <c r="H197" s="15"/>
      <c r="I197" s="15"/>
      <c r="J197" s="18"/>
      <c r="K197" s="18"/>
      <c r="L197" s="19" t="str">
        <f aca="false">IF($E197="","",IF(OR($C197="",$D197=""),"",COUNTIFS($C$5:$C$404,$C197,$D$5:$D$404,$D197)))</f>
        <v/>
      </c>
      <c r="M197" s="20" t="str">
        <f aca="false">IF($E197="","",IF(OR($B197="",$C197="",$D197=""),"待补楼栋/房号/日期",SUBSTITUTE($C197,"栋","")&amp;"-"&amp;$D197&amp;"-"&amp;TEXT(MONTH($B197),"00")&amp;TEXT(DAY($B197),"00")&amp;IF(COUNTIFS($C$5:$C197,$C197,$D$5:$D197,$D197)&gt;1,"-"&amp;TEXT(COUNTIFS($C$5:$C197,$C197,$D$5:$D197,$D197),"00"),"")))</f>
        <v/>
      </c>
      <c r="N197" s="21"/>
      <c r="O197" s="18"/>
      <c r="P197" s="21"/>
    </row>
    <row r="198" customFormat="false" ht="21.75" hidden="false" customHeight="true" outlineLevel="0" collapsed="false">
      <c r="A198" s="13" t="str">
        <f aca="false">IF($E198="","",COUNTA($E$5:$E198))</f>
        <v/>
      </c>
      <c r="B198" s="14"/>
      <c r="C198" s="15"/>
      <c r="D198" s="16"/>
      <c r="E198" s="21"/>
      <c r="F198" s="18"/>
      <c r="G198" s="18"/>
      <c r="H198" s="15"/>
      <c r="I198" s="15"/>
      <c r="J198" s="18"/>
      <c r="K198" s="18"/>
      <c r="L198" s="19" t="str">
        <f aca="false">IF($E198="","",IF(OR($C198="",$D198=""),"",COUNTIFS($C$5:$C$404,$C198,$D$5:$D$404,$D198)))</f>
        <v/>
      </c>
      <c r="M198" s="20" t="str">
        <f aca="false">IF($E198="","",IF(OR($B198="",$C198="",$D198=""),"待补楼栋/房号/日期",SUBSTITUTE($C198,"栋","")&amp;"-"&amp;$D198&amp;"-"&amp;TEXT(MONTH($B198),"00")&amp;TEXT(DAY($B198),"00")&amp;IF(COUNTIFS($C$5:$C198,$C198,$D$5:$D198,$D198)&gt;1,"-"&amp;TEXT(COUNTIFS($C$5:$C198,$C198,$D$5:$D198,$D198),"00"),"")))</f>
        <v/>
      </c>
      <c r="N198" s="21"/>
      <c r="O198" s="18"/>
      <c r="P198" s="21"/>
    </row>
    <row r="199" customFormat="false" ht="21.75" hidden="false" customHeight="true" outlineLevel="0" collapsed="false">
      <c r="A199" s="13" t="str">
        <f aca="false">IF($E199="","",COUNTA($E$5:$E199))</f>
        <v/>
      </c>
      <c r="B199" s="14"/>
      <c r="C199" s="15"/>
      <c r="D199" s="16"/>
      <c r="E199" s="21"/>
      <c r="F199" s="18"/>
      <c r="G199" s="18"/>
      <c r="H199" s="15"/>
      <c r="I199" s="15"/>
      <c r="J199" s="18"/>
      <c r="K199" s="18"/>
      <c r="L199" s="19" t="str">
        <f aca="false">IF($E199="","",IF(OR($C199="",$D199=""),"",COUNTIFS($C$5:$C$404,$C199,$D$5:$D$404,$D199)))</f>
        <v/>
      </c>
      <c r="M199" s="20" t="str">
        <f aca="false">IF($E199="","",IF(OR($B199="",$C199="",$D199=""),"待补楼栋/房号/日期",SUBSTITUTE($C199,"栋","")&amp;"-"&amp;$D199&amp;"-"&amp;TEXT(MONTH($B199),"00")&amp;TEXT(DAY($B199),"00")&amp;IF(COUNTIFS($C$5:$C199,$C199,$D$5:$D199,$D199)&gt;1,"-"&amp;TEXT(COUNTIFS($C$5:$C199,$C199,$D$5:$D199,$D199),"00"),"")))</f>
        <v/>
      </c>
      <c r="N199" s="21"/>
      <c r="O199" s="18"/>
      <c r="P199" s="21"/>
    </row>
    <row r="200" customFormat="false" ht="21.75" hidden="false" customHeight="true" outlineLevel="0" collapsed="false">
      <c r="A200" s="13" t="str">
        <f aca="false">IF($E200="","",COUNTA($E$5:$E200))</f>
        <v/>
      </c>
      <c r="B200" s="14"/>
      <c r="C200" s="15"/>
      <c r="D200" s="16"/>
      <c r="E200" s="21"/>
      <c r="F200" s="18"/>
      <c r="G200" s="18"/>
      <c r="H200" s="15"/>
      <c r="I200" s="15"/>
      <c r="J200" s="18"/>
      <c r="K200" s="18"/>
      <c r="L200" s="19" t="str">
        <f aca="false">IF($E200="","",IF(OR($C200="",$D200=""),"",COUNTIFS($C$5:$C$404,$C200,$D$5:$D$404,$D200)))</f>
        <v/>
      </c>
      <c r="M200" s="20" t="str">
        <f aca="false">IF($E200="","",IF(OR($B200="",$C200="",$D200=""),"待补楼栋/房号/日期",SUBSTITUTE($C200,"栋","")&amp;"-"&amp;$D200&amp;"-"&amp;TEXT(MONTH($B200),"00")&amp;TEXT(DAY($B200),"00")&amp;IF(COUNTIFS($C$5:$C200,$C200,$D$5:$D200,$D200)&gt;1,"-"&amp;TEXT(COUNTIFS($C$5:$C200,$C200,$D$5:$D200,$D200),"00"),"")))</f>
        <v/>
      </c>
      <c r="N200" s="21"/>
      <c r="O200" s="18"/>
      <c r="P200" s="21"/>
    </row>
    <row r="201" customFormat="false" ht="21.75" hidden="false" customHeight="true" outlineLevel="0" collapsed="false">
      <c r="A201" s="13" t="str">
        <f aca="false">IF($E201="","",COUNTA($E$5:$E201))</f>
        <v/>
      </c>
      <c r="B201" s="14"/>
      <c r="C201" s="15"/>
      <c r="D201" s="16"/>
      <c r="E201" s="21"/>
      <c r="F201" s="18"/>
      <c r="G201" s="18"/>
      <c r="H201" s="15"/>
      <c r="I201" s="15"/>
      <c r="J201" s="18"/>
      <c r="K201" s="18"/>
      <c r="L201" s="19" t="str">
        <f aca="false">IF($E201="","",IF(OR($C201="",$D201=""),"",COUNTIFS($C$5:$C$404,$C201,$D$5:$D$404,$D201)))</f>
        <v/>
      </c>
      <c r="M201" s="20" t="str">
        <f aca="false">IF($E201="","",IF(OR($B201="",$C201="",$D201=""),"待补楼栋/房号/日期",SUBSTITUTE($C201,"栋","")&amp;"-"&amp;$D201&amp;"-"&amp;TEXT(MONTH($B201),"00")&amp;TEXT(DAY($B201),"00")&amp;IF(COUNTIFS($C$5:$C201,$C201,$D$5:$D201,$D201)&gt;1,"-"&amp;TEXT(COUNTIFS($C$5:$C201,$C201,$D$5:$D201,$D201),"00"),"")))</f>
        <v/>
      </c>
      <c r="N201" s="21"/>
      <c r="O201" s="18"/>
      <c r="P201" s="21"/>
    </row>
    <row r="202" customFormat="false" ht="21.75" hidden="false" customHeight="true" outlineLevel="0" collapsed="false">
      <c r="A202" s="13" t="str">
        <f aca="false">IF($E202="","",COUNTA($E$5:$E202))</f>
        <v/>
      </c>
      <c r="B202" s="14"/>
      <c r="C202" s="15"/>
      <c r="D202" s="16"/>
      <c r="E202" s="21"/>
      <c r="F202" s="18"/>
      <c r="G202" s="18"/>
      <c r="H202" s="15"/>
      <c r="I202" s="15"/>
      <c r="J202" s="18"/>
      <c r="K202" s="18"/>
      <c r="L202" s="19" t="str">
        <f aca="false">IF($E202="","",IF(OR($C202="",$D202=""),"",COUNTIFS($C$5:$C$404,$C202,$D$5:$D$404,$D202)))</f>
        <v/>
      </c>
      <c r="M202" s="20" t="str">
        <f aca="false">IF($E202="","",IF(OR($B202="",$C202="",$D202=""),"待补楼栋/房号/日期",SUBSTITUTE($C202,"栋","")&amp;"-"&amp;$D202&amp;"-"&amp;TEXT(MONTH($B202),"00")&amp;TEXT(DAY($B202),"00")&amp;IF(COUNTIFS($C$5:$C202,$C202,$D$5:$D202,$D202)&gt;1,"-"&amp;TEXT(COUNTIFS($C$5:$C202,$C202,$D$5:$D202,$D202),"00"),"")))</f>
        <v/>
      </c>
      <c r="N202" s="21"/>
      <c r="O202" s="18"/>
      <c r="P202" s="21"/>
    </row>
    <row r="203" customFormat="false" ht="21.75" hidden="false" customHeight="true" outlineLevel="0" collapsed="false">
      <c r="A203" s="13" t="str">
        <f aca="false">IF($E203="","",COUNTA($E$5:$E203))</f>
        <v/>
      </c>
      <c r="B203" s="14"/>
      <c r="C203" s="15"/>
      <c r="D203" s="16"/>
      <c r="E203" s="21"/>
      <c r="F203" s="18"/>
      <c r="G203" s="18"/>
      <c r="H203" s="15"/>
      <c r="I203" s="15"/>
      <c r="J203" s="18"/>
      <c r="K203" s="18"/>
      <c r="L203" s="19" t="str">
        <f aca="false">IF($E203="","",IF(OR($C203="",$D203=""),"",COUNTIFS($C$5:$C$404,$C203,$D$5:$D$404,$D203)))</f>
        <v/>
      </c>
      <c r="M203" s="20" t="str">
        <f aca="false">IF($E203="","",IF(OR($B203="",$C203="",$D203=""),"待补楼栋/房号/日期",SUBSTITUTE($C203,"栋","")&amp;"-"&amp;$D203&amp;"-"&amp;TEXT(MONTH($B203),"00")&amp;TEXT(DAY($B203),"00")&amp;IF(COUNTIFS($C$5:$C203,$C203,$D$5:$D203,$D203)&gt;1,"-"&amp;TEXT(COUNTIFS($C$5:$C203,$C203,$D$5:$D203,$D203),"00"),"")))</f>
        <v/>
      </c>
      <c r="N203" s="21"/>
      <c r="O203" s="18"/>
      <c r="P203" s="21"/>
    </row>
    <row r="204" customFormat="false" ht="21.75" hidden="false" customHeight="true" outlineLevel="0" collapsed="false">
      <c r="A204" s="13" t="str">
        <f aca="false">IF($E204="","",COUNTA($E$5:$E204))</f>
        <v/>
      </c>
      <c r="B204" s="14"/>
      <c r="C204" s="15"/>
      <c r="D204" s="16"/>
      <c r="E204" s="21"/>
      <c r="F204" s="18"/>
      <c r="G204" s="18"/>
      <c r="H204" s="15"/>
      <c r="I204" s="15"/>
      <c r="J204" s="18"/>
      <c r="K204" s="18"/>
      <c r="L204" s="19" t="str">
        <f aca="false">IF($E204="","",IF(OR($C204="",$D204=""),"",COUNTIFS($C$5:$C$404,$C204,$D$5:$D$404,$D204)))</f>
        <v/>
      </c>
      <c r="M204" s="20" t="str">
        <f aca="false">IF($E204="","",IF(OR($B204="",$C204="",$D204=""),"待补楼栋/房号/日期",SUBSTITUTE($C204,"栋","")&amp;"-"&amp;$D204&amp;"-"&amp;TEXT(MONTH($B204),"00")&amp;TEXT(DAY($B204),"00")&amp;IF(COUNTIFS($C$5:$C204,$C204,$D$5:$D204,$D204)&gt;1,"-"&amp;TEXT(COUNTIFS($C$5:$C204,$C204,$D$5:$D204,$D204),"00"),"")))</f>
        <v/>
      </c>
      <c r="N204" s="21"/>
      <c r="O204" s="18"/>
      <c r="P204" s="21"/>
    </row>
    <row r="205" customFormat="false" ht="21.75" hidden="false" customHeight="true" outlineLevel="0" collapsed="false">
      <c r="A205" s="13" t="str">
        <f aca="false">IF($E205="","",COUNTA($E$5:$E205))</f>
        <v/>
      </c>
      <c r="B205" s="14"/>
      <c r="C205" s="15"/>
      <c r="D205" s="16"/>
      <c r="E205" s="21"/>
      <c r="F205" s="18"/>
      <c r="G205" s="18"/>
      <c r="H205" s="15"/>
      <c r="I205" s="15"/>
      <c r="J205" s="18"/>
      <c r="K205" s="18"/>
      <c r="L205" s="19" t="str">
        <f aca="false">IF($E205="","",IF(OR($C205="",$D205=""),"",COUNTIFS($C$5:$C$404,$C205,$D$5:$D$404,$D205)))</f>
        <v/>
      </c>
      <c r="M205" s="20" t="str">
        <f aca="false">IF($E205="","",IF(OR($B205="",$C205="",$D205=""),"待补楼栋/房号/日期",SUBSTITUTE($C205,"栋","")&amp;"-"&amp;$D205&amp;"-"&amp;TEXT(MONTH($B205),"00")&amp;TEXT(DAY($B205),"00")&amp;IF(COUNTIFS($C$5:$C205,$C205,$D$5:$D205,$D205)&gt;1,"-"&amp;TEXT(COUNTIFS($C$5:$C205,$C205,$D$5:$D205,$D205),"00"),"")))</f>
        <v/>
      </c>
      <c r="N205" s="21"/>
      <c r="O205" s="18"/>
      <c r="P205" s="21"/>
    </row>
    <row r="206" customFormat="false" ht="21.75" hidden="false" customHeight="true" outlineLevel="0" collapsed="false">
      <c r="A206" s="13" t="str">
        <f aca="false">IF($E206="","",COUNTA($E$5:$E206))</f>
        <v/>
      </c>
      <c r="B206" s="14"/>
      <c r="C206" s="15"/>
      <c r="D206" s="16"/>
      <c r="E206" s="21"/>
      <c r="F206" s="18"/>
      <c r="G206" s="18"/>
      <c r="H206" s="15"/>
      <c r="I206" s="15"/>
      <c r="J206" s="18"/>
      <c r="K206" s="18"/>
      <c r="L206" s="19" t="str">
        <f aca="false">IF($E206="","",IF(OR($C206="",$D206=""),"",COUNTIFS($C$5:$C$404,$C206,$D$5:$D$404,$D206)))</f>
        <v/>
      </c>
      <c r="M206" s="20" t="str">
        <f aca="false">IF($E206="","",IF(OR($B206="",$C206="",$D206=""),"待补楼栋/房号/日期",SUBSTITUTE($C206,"栋","")&amp;"-"&amp;$D206&amp;"-"&amp;TEXT(MONTH($B206),"00")&amp;TEXT(DAY($B206),"00")&amp;IF(COUNTIFS($C$5:$C206,$C206,$D$5:$D206,$D206)&gt;1,"-"&amp;TEXT(COUNTIFS($C$5:$C206,$C206,$D$5:$D206,$D206),"00"),"")))</f>
        <v/>
      </c>
      <c r="N206" s="21"/>
      <c r="O206" s="18"/>
      <c r="P206" s="21"/>
    </row>
    <row r="207" customFormat="false" ht="21.75" hidden="false" customHeight="true" outlineLevel="0" collapsed="false">
      <c r="A207" s="13" t="str">
        <f aca="false">IF($E207="","",COUNTA($E$5:$E207))</f>
        <v/>
      </c>
      <c r="B207" s="14"/>
      <c r="C207" s="15"/>
      <c r="D207" s="16"/>
      <c r="E207" s="21"/>
      <c r="F207" s="18"/>
      <c r="G207" s="18"/>
      <c r="H207" s="15"/>
      <c r="I207" s="15"/>
      <c r="J207" s="18"/>
      <c r="K207" s="18"/>
      <c r="L207" s="19" t="str">
        <f aca="false">IF($E207="","",IF(OR($C207="",$D207=""),"",COUNTIFS($C$5:$C$404,$C207,$D$5:$D$404,$D207)))</f>
        <v/>
      </c>
      <c r="M207" s="20" t="str">
        <f aca="false">IF($E207="","",IF(OR($B207="",$C207="",$D207=""),"待补楼栋/房号/日期",SUBSTITUTE($C207,"栋","")&amp;"-"&amp;$D207&amp;"-"&amp;TEXT(MONTH($B207),"00")&amp;TEXT(DAY($B207),"00")&amp;IF(COUNTIFS($C$5:$C207,$C207,$D$5:$D207,$D207)&gt;1,"-"&amp;TEXT(COUNTIFS($C$5:$C207,$C207,$D$5:$D207,$D207),"00"),"")))</f>
        <v/>
      </c>
      <c r="N207" s="21"/>
      <c r="O207" s="18"/>
      <c r="P207" s="21"/>
    </row>
    <row r="208" customFormat="false" ht="21.75" hidden="false" customHeight="true" outlineLevel="0" collapsed="false">
      <c r="A208" s="13" t="str">
        <f aca="false">IF($E208="","",COUNTA($E$5:$E208))</f>
        <v/>
      </c>
      <c r="B208" s="14"/>
      <c r="C208" s="15"/>
      <c r="D208" s="16"/>
      <c r="E208" s="21"/>
      <c r="F208" s="18"/>
      <c r="G208" s="18"/>
      <c r="H208" s="15"/>
      <c r="I208" s="15"/>
      <c r="J208" s="18"/>
      <c r="K208" s="18"/>
      <c r="L208" s="19" t="str">
        <f aca="false">IF($E208="","",IF(OR($C208="",$D208=""),"",COUNTIFS($C$5:$C$404,$C208,$D$5:$D$404,$D208)))</f>
        <v/>
      </c>
      <c r="M208" s="20" t="str">
        <f aca="false">IF($E208="","",IF(OR($B208="",$C208="",$D208=""),"待补楼栋/房号/日期",SUBSTITUTE($C208,"栋","")&amp;"-"&amp;$D208&amp;"-"&amp;TEXT(MONTH($B208),"00")&amp;TEXT(DAY($B208),"00")&amp;IF(COUNTIFS($C$5:$C208,$C208,$D$5:$D208,$D208)&gt;1,"-"&amp;TEXT(COUNTIFS($C$5:$C208,$C208,$D$5:$D208,$D208),"00"),"")))</f>
        <v/>
      </c>
      <c r="N208" s="21"/>
      <c r="O208" s="18"/>
      <c r="P208" s="21"/>
    </row>
    <row r="209" customFormat="false" ht="21.75" hidden="false" customHeight="true" outlineLevel="0" collapsed="false">
      <c r="A209" s="13" t="str">
        <f aca="false">IF($E209="","",COUNTA($E$5:$E209))</f>
        <v/>
      </c>
      <c r="B209" s="14"/>
      <c r="C209" s="15"/>
      <c r="D209" s="16"/>
      <c r="E209" s="21"/>
      <c r="F209" s="18"/>
      <c r="G209" s="18"/>
      <c r="H209" s="15"/>
      <c r="I209" s="15"/>
      <c r="J209" s="18"/>
      <c r="K209" s="18"/>
      <c r="L209" s="19" t="str">
        <f aca="false">IF($E209="","",IF(OR($C209="",$D209=""),"",COUNTIFS($C$5:$C$404,$C209,$D$5:$D$404,$D209)))</f>
        <v/>
      </c>
      <c r="M209" s="20" t="str">
        <f aca="false">IF($E209="","",IF(OR($B209="",$C209="",$D209=""),"待补楼栋/房号/日期",SUBSTITUTE($C209,"栋","")&amp;"-"&amp;$D209&amp;"-"&amp;TEXT(MONTH($B209),"00")&amp;TEXT(DAY($B209),"00")&amp;IF(COUNTIFS($C$5:$C209,$C209,$D$5:$D209,$D209)&gt;1,"-"&amp;TEXT(COUNTIFS($C$5:$C209,$C209,$D$5:$D209,$D209),"00"),"")))</f>
        <v/>
      </c>
      <c r="N209" s="21"/>
      <c r="O209" s="18"/>
      <c r="P209" s="21"/>
    </row>
    <row r="210" customFormat="false" ht="21.75" hidden="false" customHeight="true" outlineLevel="0" collapsed="false">
      <c r="A210" s="13" t="str">
        <f aca="false">IF($E210="","",COUNTA($E$5:$E210))</f>
        <v/>
      </c>
      <c r="B210" s="14"/>
      <c r="C210" s="15"/>
      <c r="D210" s="16"/>
      <c r="E210" s="21"/>
      <c r="F210" s="18"/>
      <c r="G210" s="18"/>
      <c r="H210" s="15"/>
      <c r="I210" s="15"/>
      <c r="J210" s="18"/>
      <c r="K210" s="18"/>
      <c r="L210" s="19" t="str">
        <f aca="false">IF($E210="","",IF(OR($C210="",$D210=""),"",COUNTIFS($C$5:$C$404,$C210,$D$5:$D$404,$D210)))</f>
        <v/>
      </c>
      <c r="M210" s="20" t="str">
        <f aca="false">IF($E210="","",IF(OR($B210="",$C210="",$D210=""),"待补楼栋/房号/日期",SUBSTITUTE($C210,"栋","")&amp;"-"&amp;$D210&amp;"-"&amp;TEXT(MONTH($B210),"00")&amp;TEXT(DAY($B210),"00")&amp;IF(COUNTIFS($C$5:$C210,$C210,$D$5:$D210,$D210)&gt;1,"-"&amp;TEXT(COUNTIFS($C$5:$C210,$C210,$D$5:$D210,$D210),"00"),"")))</f>
        <v/>
      </c>
      <c r="N210" s="21"/>
      <c r="O210" s="18"/>
      <c r="P210" s="21"/>
    </row>
    <row r="211" customFormat="false" ht="21.75" hidden="false" customHeight="true" outlineLevel="0" collapsed="false">
      <c r="A211" s="13" t="str">
        <f aca="false">IF($E211="","",COUNTA($E$5:$E211))</f>
        <v/>
      </c>
      <c r="B211" s="14"/>
      <c r="C211" s="15"/>
      <c r="D211" s="16"/>
      <c r="E211" s="21"/>
      <c r="F211" s="18"/>
      <c r="G211" s="18"/>
      <c r="H211" s="15"/>
      <c r="I211" s="15"/>
      <c r="J211" s="18"/>
      <c r="K211" s="18"/>
      <c r="L211" s="19" t="str">
        <f aca="false">IF($E211="","",IF(OR($C211="",$D211=""),"",COUNTIFS($C$5:$C$404,$C211,$D$5:$D$404,$D211)))</f>
        <v/>
      </c>
      <c r="M211" s="20" t="str">
        <f aca="false">IF($E211="","",IF(OR($B211="",$C211="",$D211=""),"待补楼栋/房号/日期",SUBSTITUTE($C211,"栋","")&amp;"-"&amp;$D211&amp;"-"&amp;TEXT(MONTH($B211),"00")&amp;TEXT(DAY($B211),"00")&amp;IF(COUNTIFS($C$5:$C211,$C211,$D$5:$D211,$D211)&gt;1,"-"&amp;TEXT(COUNTIFS($C$5:$C211,$C211,$D$5:$D211,$D211),"00"),"")))</f>
        <v/>
      </c>
      <c r="N211" s="21"/>
      <c r="O211" s="18"/>
      <c r="P211" s="21"/>
    </row>
    <row r="212" customFormat="false" ht="21.75" hidden="false" customHeight="true" outlineLevel="0" collapsed="false">
      <c r="A212" s="13" t="str">
        <f aca="false">IF($E212="","",COUNTA($E$5:$E212))</f>
        <v/>
      </c>
      <c r="B212" s="14"/>
      <c r="C212" s="15"/>
      <c r="D212" s="16"/>
      <c r="E212" s="21"/>
      <c r="F212" s="18"/>
      <c r="G212" s="18"/>
      <c r="H212" s="15"/>
      <c r="I212" s="15"/>
      <c r="J212" s="18"/>
      <c r="K212" s="18"/>
      <c r="L212" s="19" t="str">
        <f aca="false">IF($E212="","",IF(OR($C212="",$D212=""),"",COUNTIFS($C$5:$C$404,$C212,$D$5:$D$404,$D212)))</f>
        <v/>
      </c>
      <c r="M212" s="20" t="str">
        <f aca="false">IF($E212="","",IF(OR($B212="",$C212="",$D212=""),"待补楼栋/房号/日期",SUBSTITUTE($C212,"栋","")&amp;"-"&amp;$D212&amp;"-"&amp;TEXT(MONTH($B212),"00")&amp;TEXT(DAY($B212),"00")&amp;IF(COUNTIFS($C$5:$C212,$C212,$D$5:$D212,$D212)&gt;1,"-"&amp;TEXT(COUNTIFS($C$5:$C212,$C212,$D$5:$D212,$D212),"00"),"")))</f>
        <v/>
      </c>
      <c r="N212" s="21"/>
      <c r="O212" s="18"/>
      <c r="P212" s="21"/>
    </row>
    <row r="213" customFormat="false" ht="21.75" hidden="false" customHeight="true" outlineLevel="0" collapsed="false">
      <c r="A213" s="13" t="str">
        <f aca="false">IF($E213="","",COUNTA($E$5:$E213))</f>
        <v/>
      </c>
      <c r="B213" s="14"/>
      <c r="C213" s="15"/>
      <c r="D213" s="16"/>
      <c r="E213" s="21"/>
      <c r="F213" s="18"/>
      <c r="G213" s="18"/>
      <c r="H213" s="15"/>
      <c r="I213" s="15"/>
      <c r="J213" s="18"/>
      <c r="K213" s="18"/>
      <c r="L213" s="19" t="str">
        <f aca="false">IF($E213="","",IF(OR($C213="",$D213=""),"",COUNTIFS($C$5:$C$404,$C213,$D$5:$D$404,$D213)))</f>
        <v/>
      </c>
      <c r="M213" s="20" t="str">
        <f aca="false">IF($E213="","",IF(OR($B213="",$C213="",$D213=""),"待补楼栋/房号/日期",SUBSTITUTE($C213,"栋","")&amp;"-"&amp;$D213&amp;"-"&amp;TEXT(MONTH($B213),"00")&amp;TEXT(DAY($B213),"00")&amp;IF(COUNTIFS($C$5:$C213,$C213,$D$5:$D213,$D213)&gt;1,"-"&amp;TEXT(COUNTIFS($C$5:$C213,$C213,$D$5:$D213,$D213),"00"),"")))</f>
        <v/>
      </c>
      <c r="N213" s="21"/>
      <c r="O213" s="18"/>
      <c r="P213" s="21"/>
    </row>
    <row r="214" customFormat="false" ht="21.75" hidden="false" customHeight="true" outlineLevel="0" collapsed="false">
      <c r="A214" s="13" t="str">
        <f aca="false">IF($E214="","",COUNTA($E$5:$E214))</f>
        <v/>
      </c>
      <c r="B214" s="14"/>
      <c r="C214" s="15"/>
      <c r="D214" s="16"/>
      <c r="E214" s="21"/>
      <c r="F214" s="18"/>
      <c r="G214" s="18"/>
      <c r="H214" s="15"/>
      <c r="I214" s="15"/>
      <c r="J214" s="18"/>
      <c r="K214" s="18"/>
      <c r="L214" s="19" t="str">
        <f aca="false">IF($E214="","",IF(OR($C214="",$D214=""),"",COUNTIFS($C$5:$C$404,$C214,$D$5:$D$404,$D214)))</f>
        <v/>
      </c>
      <c r="M214" s="20" t="str">
        <f aca="false">IF($E214="","",IF(OR($B214="",$C214="",$D214=""),"待补楼栋/房号/日期",SUBSTITUTE($C214,"栋","")&amp;"-"&amp;$D214&amp;"-"&amp;TEXT(MONTH($B214),"00")&amp;TEXT(DAY($B214),"00")&amp;IF(COUNTIFS($C$5:$C214,$C214,$D$5:$D214,$D214)&gt;1,"-"&amp;TEXT(COUNTIFS($C$5:$C214,$C214,$D$5:$D214,$D214),"00"),"")))</f>
        <v/>
      </c>
      <c r="N214" s="21"/>
      <c r="O214" s="18"/>
      <c r="P214" s="21"/>
    </row>
    <row r="215" customFormat="false" ht="21.75" hidden="false" customHeight="true" outlineLevel="0" collapsed="false">
      <c r="A215" s="13" t="str">
        <f aca="false">IF($E215="","",COUNTA($E$5:$E215))</f>
        <v/>
      </c>
      <c r="B215" s="14"/>
      <c r="C215" s="15"/>
      <c r="D215" s="16"/>
      <c r="E215" s="21"/>
      <c r="F215" s="18"/>
      <c r="G215" s="18"/>
      <c r="H215" s="15"/>
      <c r="I215" s="15"/>
      <c r="J215" s="18"/>
      <c r="K215" s="18"/>
      <c r="L215" s="19" t="str">
        <f aca="false">IF($E215="","",IF(OR($C215="",$D215=""),"",COUNTIFS($C$5:$C$404,$C215,$D$5:$D$404,$D215)))</f>
        <v/>
      </c>
      <c r="M215" s="20" t="str">
        <f aca="false">IF($E215="","",IF(OR($B215="",$C215="",$D215=""),"待补楼栋/房号/日期",SUBSTITUTE($C215,"栋","")&amp;"-"&amp;$D215&amp;"-"&amp;TEXT(MONTH($B215),"00")&amp;TEXT(DAY($B215),"00")&amp;IF(COUNTIFS($C$5:$C215,$C215,$D$5:$D215,$D215)&gt;1,"-"&amp;TEXT(COUNTIFS($C$5:$C215,$C215,$D$5:$D215,$D215),"00"),"")))</f>
        <v/>
      </c>
      <c r="N215" s="21"/>
      <c r="O215" s="18"/>
      <c r="P215" s="21"/>
    </row>
    <row r="216" customFormat="false" ht="21.75" hidden="false" customHeight="true" outlineLevel="0" collapsed="false">
      <c r="A216" s="13" t="str">
        <f aca="false">IF($E216="","",COUNTA($E$5:$E216))</f>
        <v/>
      </c>
      <c r="B216" s="14"/>
      <c r="C216" s="15"/>
      <c r="D216" s="16"/>
      <c r="E216" s="21"/>
      <c r="F216" s="18"/>
      <c r="G216" s="18"/>
      <c r="H216" s="15"/>
      <c r="I216" s="15"/>
      <c r="J216" s="18"/>
      <c r="K216" s="18"/>
      <c r="L216" s="19" t="str">
        <f aca="false">IF($E216="","",IF(OR($C216="",$D216=""),"",COUNTIFS($C$5:$C$404,$C216,$D$5:$D$404,$D216)))</f>
        <v/>
      </c>
      <c r="M216" s="20" t="str">
        <f aca="false">IF($E216="","",IF(OR($B216="",$C216="",$D216=""),"待补楼栋/房号/日期",SUBSTITUTE($C216,"栋","")&amp;"-"&amp;$D216&amp;"-"&amp;TEXT(MONTH($B216),"00")&amp;TEXT(DAY($B216),"00")&amp;IF(COUNTIFS($C$5:$C216,$C216,$D$5:$D216,$D216)&gt;1,"-"&amp;TEXT(COUNTIFS($C$5:$C216,$C216,$D$5:$D216,$D216),"00"),"")))</f>
        <v/>
      </c>
      <c r="N216" s="21"/>
      <c r="O216" s="18"/>
      <c r="P216" s="21"/>
    </row>
    <row r="217" customFormat="false" ht="21.75" hidden="false" customHeight="true" outlineLevel="0" collapsed="false">
      <c r="A217" s="13" t="str">
        <f aca="false">IF($E217="","",COUNTA($E$5:$E217))</f>
        <v/>
      </c>
      <c r="B217" s="14"/>
      <c r="C217" s="15"/>
      <c r="D217" s="16"/>
      <c r="E217" s="21"/>
      <c r="F217" s="18"/>
      <c r="G217" s="18"/>
      <c r="H217" s="15"/>
      <c r="I217" s="15"/>
      <c r="J217" s="18"/>
      <c r="K217" s="18"/>
      <c r="L217" s="19" t="str">
        <f aca="false">IF($E217="","",IF(OR($C217="",$D217=""),"",COUNTIFS($C$5:$C$404,$C217,$D$5:$D$404,$D217)))</f>
        <v/>
      </c>
      <c r="M217" s="20" t="str">
        <f aca="false">IF($E217="","",IF(OR($B217="",$C217="",$D217=""),"待补楼栋/房号/日期",SUBSTITUTE($C217,"栋","")&amp;"-"&amp;$D217&amp;"-"&amp;TEXT(MONTH($B217),"00")&amp;TEXT(DAY($B217),"00")&amp;IF(COUNTIFS($C$5:$C217,$C217,$D$5:$D217,$D217)&gt;1,"-"&amp;TEXT(COUNTIFS($C$5:$C217,$C217,$D$5:$D217,$D217),"00"),"")))</f>
        <v/>
      </c>
      <c r="N217" s="21"/>
      <c r="O217" s="18"/>
      <c r="P217" s="21"/>
    </row>
    <row r="218" customFormat="false" ht="21.75" hidden="false" customHeight="true" outlineLevel="0" collapsed="false">
      <c r="A218" s="13" t="str">
        <f aca="false">IF($E218="","",COUNTA($E$5:$E218))</f>
        <v/>
      </c>
      <c r="B218" s="14"/>
      <c r="C218" s="15"/>
      <c r="D218" s="16"/>
      <c r="E218" s="21"/>
      <c r="F218" s="18"/>
      <c r="G218" s="18"/>
      <c r="H218" s="15"/>
      <c r="I218" s="15"/>
      <c r="J218" s="18"/>
      <c r="K218" s="18"/>
      <c r="L218" s="19" t="str">
        <f aca="false">IF($E218="","",IF(OR($C218="",$D218=""),"",COUNTIFS($C$5:$C$404,$C218,$D$5:$D$404,$D218)))</f>
        <v/>
      </c>
      <c r="M218" s="20" t="str">
        <f aca="false">IF($E218="","",IF(OR($B218="",$C218="",$D218=""),"待补楼栋/房号/日期",SUBSTITUTE($C218,"栋","")&amp;"-"&amp;$D218&amp;"-"&amp;TEXT(MONTH($B218),"00")&amp;TEXT(DAY($B218),"00")&amp;IF(COUNTIFS($C$5:$C218,$C218,$D$5:$D218,$D218)&gt;1,"-"&amp;TEXT(COUNTIFS($C$5:$C218,$C218,$D$5:$D218,$D218),"00"),"")))</f>
        <v/>
      </c>
      <c r="N218" s="21"/>
      <c r="O218" s="18"/>
      <c r="P218" s="21"/>
    </row>
    <row r="219" customFormat="false" ht="21.75" hidden="false" customHeight="true" outlineLevel="0" collapsed="false">
      <c r="A219" s="13" t="str">
        <f aca="false">IF($E219="","",COUNTA($E$5:$E219))</f>
        <v/>
      </c>
      <c r="B219" s="14"/>
      <c r="C219" s="15"/>
      <c r="D219" s="16"/>
      <c r="E219" s="21"/>
      <c r="F219" s="18"/>
      <c r="G219" s="18"/>
      <c r="H219" s="15"/>
      <c r="I219" s="15"/>
      <c r="J219" s="18"/>
      <c r="K219" s="18"/>
      <c r="L219" s="19" t="str">
        <f aca="false">IF($E219="","",IF(OR($C219="",$D219=""),"",COUNTIFS($C$5:$C$404,$C219,$D$5:$D$404,$D219)))</f>
        <v/>
      </c>
      <c r="M219" s="20" t="str">
        <f aca="false">IF($E219="","",IF(OR($B219="",$C219="",$D219=""),"待补楼栋/房号/日期",SUBSTITUTE($C219,"栋","")&amp;"-"&amp;$D219&amp;"-"&amp;TEXT(MONTH($B219),"00")&amp;TEXT(DAY($B219),"00")&amp;IF(COUNTIFS($C$5:$C219,$C219,$D$5:$D219,$D219)&gt;1,"-"&amp;TEXT(COUNTIFS($C$5:$C219,$C219,$D$5:$D219,$D219),"00"),"")))</f>
        <v/>
      </c>
      <c r="N219" s="21"/>
      <c r="O219" s="18"/>
      <c r="P219" s="21"/>
    </row>
    <row r="220" customFormat="false" ht="21.75" hidden="false" customHeight="true" outlineLevel="0" collapsed="false">
      <c r="A220" s="13" t="str">
        <f aca="false">IF($E220="","",COUNTA($E$5:$E220))</f>
        <v/>
      </c>
      <c r="B220" s="14"/>
      <c r="C220" s="15"/>
      <c r="D220" s="16"/>
      <c r="E220" s="21"/>
      <c r="F220" s="18"/>
      <c r="G220" s="18"/>
      <c r="H220" s="15"/>
      <c r="I220" s="15"/>
      <c r="J220" s="18"/>
      <c r="K220" s="18"/>
      <c r="L220" s="19" t="str">
        <f aca="false">IF($E220="","",IF(OR($C220="",$D220=""),"",COUNTIFS($C$5:$C$404,$C220,$D$5:$D$404,$D220)))</f>
        <v/>
      </c>
      <c r="M220" s="20" t="str">
        <f aca="false">IF($E220="","",IF(OR($B220="",$C220="",$D220=""),"待补楼栋/房号/日期",SUBSTITUTE($C220,"栋","")&amp;"-"&amp;$D220&amp;"-"&amp;TEXT(MONTH($B220),"00")&amp;TEXT(DAY($B220),"00")&amp;IF(COUNTIFS($C$5:$C220,$C220,$D$5:$D220,$D220)&gt;1,"-"&amp;TEXT(COUNTIFS($C$5:$C220,$C220,$D$5:$D220,$D220),"00"),"")))</f>
        <v/>
      </c>
      <c r="N220" s="21"/>
      <c r="O220" s="18"/>
      <c r="P220" s="21"/>
    </row>
    <row r="221" customFormat="false" ht="21.75" hidden="false" customHeight="true" outlineLevel="0" collapsed="false">
      <c r="A221" s="13" t="str">
        <f aca="false">IF($E221="","",COUNTA($E$5:$E221))</f>
        <v/>
      </c>
      <c r="B221" s="14"/>
      <c r="C221" s="15"/>
      <c r="D221" s="16"/>
      <c r="E221" s="21"/>
      <c r="F221" s="18"/>
      <c r="G221" s="18"/>
      <c r="H221" s="15"/>
      <c r="I221" s="15"/>
      <c r="J221" s="18"/>
      <c r="K221" s="18"/>
      <c r="L221" s="19" t="str">
        <f aca="false">IF($E221="","",IF(OR($C221="",$D221=""),"",COUNTIFS($C$5:$C$404,$C221,$D$5:$D$404,$D221)))</f>
        <v/>
      </c>
      <c r="M221" s="20" t="str">
        <f aca="false">IF($E221="","",IF(OR($B221="",$C221="",$D221=""),"待补楼栋/房号/日期",SUBSTITUTE($C221,"栋","")&amp;"-"&amp;$D221&amp;"-"&amp;TEXT(MONTH($B221),"00")&amp;TEXT(DAY($B221),"00")&amp;IF(COUNTIFS($C$5:$C221,$C221,$D$5:$D221,$D221)&gt;1,"-"&amp;TEXT(COUNTIFS($C$5:$C221,$C221,$D$5:$D221,$D221),"00"),"")))</f>
        <v/>
      </c>
      <c r="N221" s="21"/>
      <c r="O221" s="18"/>
      <c r="P221" s="21"/>
    </row>
    <row r="222" customFormat="false" ht="21.75" hidden="false" customHeight="true" outlineLevel="0" collapsed="false">
      <c r="A222" s="13" t="str">
        <f aca="false">IF($E222="","",COUNTA($E$5:$E222))</f>
        <v/>
      </c>
      <c r="B222" s="14"/>
      <c r="C222" s="15"/>
      <c r="D222" s="16"/>
      <c r="E222" s="21"/>
      <c r="F222" s="18"/>
      <c r="G222" s="18"/>
      <c r="H222" s="15"/>
      <c r="I222" s="15"/>
      <c r="J222" s="18"/>
      <c r="K222" s="18"/>
      <c r="L222" s="19" t="str">
        <f aca="false">IF($E222="","",IF(OR($C222="",$D222=""),"",COUNTIFS($C$5:$C$404,$C222,$D$5:$D$404,$D222)))</f>
        <v/>
      </c>
      <c r="M222" s="20" t="str">
        <f aca="false">IF($E222="","",IF(OR($B222="",$C222="",$D222=""),"待补楼栋/房号/日期",SUBSTITUTE($C222,"栋","")&amp;"-"&amp;$D222&amp;"-"&amp;TEXT(MONTH($B222),"00")&amp;TEXT(DAY($B222),"00")&amp;IF(COUNTIFS($C$5:$C222,$C222,$D$5:$D222,$D222)&gt;1,"-"&amp;TEXT(COUNTIFS($C$5:$C222,$C222,$D$5:$D222,$D222),"00"),"")))</f>
        <v/>
      </c>
      <c r="N222" s="21"/>
      <c r="O222" s="18"/>
      <c r="P222" s="21"/>
    </row>
    <row r="223" customFormat="false" ht="21.75" hidden="false" customHeight="true" outlineLevel="0" collapsed="false">
      <c r="A223" s="13" t="str">
        <f aca="false">IF($E223="","",COUNTA($E$5:$E223))</f>
        <v/>
      </c>
      <c r="B223" s="14"/>
      <c r="C223" s="15"/>
      <c r="D223" s="16"/>
      <c r="E223" s="21"/>
      <c r="F223" s="18"/>
      <c r="G223" s="18"/>
      <c r="H223" s="15"/>
      <c r="I223" s="15"/>
      <c r="J223" s="18"/>
      <c r="K223" s="18"/>
      <c r="L223" s="19" t="str">
        <f aca="false">IF($E223="","",IF(OR($C223="",$D223=""),"",COUNTIFS($C$5:$C$404,$C223,$D$5:$D$404,$D223)))</f>
        <v/>
      </c>
      <c r="M223" s="20" t="str">
        <f aca="false">IF($E223="","",IF(OR($B223="",$C223="",$D223=""),"待补楼栋/房号/日期",SUBSTITUTE($C223,"栋","")&amp;"-"&amp;$D223&amp;"-"&amp;TEXT(MONTH($B223),"00")&amp;TEXT(DAY($B223),"00")&amp;IF(COUNTIFS($C$5:$C223,$C223,$D$5:$D223,$D223)&gt;1,"-"&amp;TEXT(COUNTIFS($C$5:$C223,$C223,$D$5:$D223,$D223),"00"),"")))</f>
        <v/>
      </c>
      <c r="N223" s="21"/>
      <c r="O223" s="18"/>
      <c r="P223" s="21"/>
    </row>
    <row r="224" customFormat="false" ht="21.75" hidden="false" customHeight="true" outlineLevel="0" collapsed="false">
      <c r="A224" s="13" t="str">
        <f aca="false">IF($E224="","",COUNTA($E$5:$E224))</f>
        <v/>
      </c>
      <c r="B224" s="14"/>
      <c r="C224" s="15"/>
      <c r="D224" s="16"/>
      <c r="E224" s="21"/>
      <c r="F224" s="18"/>
      <c r="G224" s="18"/>
      <c r="H224" s="15"/>
      <c r="I224" s="15"/>
      <c r="J224" s="18"/>
      <c r="K224" s="18"/>
      <c r="L224" s="19" t="str">
        <f aca="false">IF($E224="","",IF(OR($C224="",$D224=""),"",COUNTIFS($C$5:$C$404,$C224,$D$5:$D$404,$D224)))</f>
        <v/>
      </c>
      <c r="M224" s="20" t="str">
        <f aca="false">IF($E224="","",IF(OR($B224="",$C224="",$D224=""),"待补楼栋/房号/日期",SUBSTITUTE($C224,"栋","")&amp;"-"&amp;$D224&amp;"-"&amp;TEXT(MONTH($B224),"00")&amp;TEXT(DAY($B224),"00")&amp;IF(COUNTIFS($C$5:$C224,$C224,$D$5:$D224,$D224)&gt;1,"-"&amp;TEXT(COUNTIFS($C$5:$C224,$C224,$D$5:$D224,$D224),"00"),"")))</f>
        <v/>
      </c>
      <c r="N224" s="21"/>
      <c r="O224" s="18"/>
      <c r="P224" s="21"/>
    </row>
    <row r="225" customFormat="false" ht="21.75" hidden="false" customHeight="true" outlineLevel="0" collapsed="false">
      <c r="A225" s="13" t="str">
        <f aca="false">IF($E225="","",COUNTA($E$5:$E225))</f>
        <v/>
      </c>
      <c r="B225" s="14"/>
      <c r="C225" s="15"/>
      <c r="D225" s="16"/>
      <c r="E225" s="21"/>
      <c r="F225" s="18"/>
      <c r="G225" s="18"/>
      <c r="H225" s="15"/>
      <c r="I225" s="15"/>
      <c r="J225" s="18"/>
      <c r="K225" s="18"/>
      <c r="L225" s="19" t="str">
        <f aca="false">IF($E225="","",IF(OR($C225="",$D225=""),"",COUNTIFS($C$5:$C$404,$C225,$D$5:$D$404,$D225)))</f>
        <v/>
      </c>
      <c r="M225" s="20" t="str">
        <f aca="false">IF($E225="","",IF(OR($B225="",$C225="",$D225=""),"待补楼栋/房号/日期",SUBSTITUTE($C225,"栋","")&amp;"-"&amp;$D225&amp;"-"&amp;TEXT(MONTH($B225),"00")&amp;TEXT(DAY($B225),"00")&amp;IF(COUNTIFS($C$5:$C225,$C225,$D$5:$D225,$D225)&gt;1,"-"&amp;TEXT(COUNTIFS($C$5:$C225,$C225,$D$5:$D225,$D225),"00"),"")))</f>
        <v/>
      </c>
      <c r="N225" s="21"/>
      <c r="O225" s="18"/>
      <c r="P225" s="21"/>
    </row>
    <row r="226" customFormat="false" ht="21.75" hidden="false" customHeight="true" outlineLevel="0" collapsed="false">
      <c r="A226" s="13" t="str">
        <f aca="false">IF($E226="","",COUNTA($E$5:$E226))</f>
        <v/>
      </c>
      <c r="B226" s="14"/>
      <c r="C226" s="15"/>
      <c r="D226" s="16"/>
      <c r="E226" s="21"/>
      <c r="F226" s="18"/>
      <c r="G226" s="18"/>
      <c r="H226" s="15"/>
      <c r="I226" s="15"/>
      <c r="J226" s="18"/>
      <c r="K226" s="18"/>
      <c r="L226" s="19" t="str">
        <f aca="false">IF($E226="","",IF(OR($C226="",$D226=""),"",COUNTIFS($C$5:$C$404,$C226,$D$5:$D$404,$D226)))</f>
        <v/>
      </c>
      <c r="M226" s="20" t="str">
        <f aca="false">IF($E226="","",IF(OR($B226="",$C226="",$D226=""),"待补楼栋/房号/日期",SUBSTITUTE($C226,"栋","")&amp;"-"&amp;$D226&amp;"-"&amp;TEXT(MONTH($B226),"00")&amp;TEXT(DAY($B226),"00")&amp;IF(COUNTIFS($C$5:$C226,$C226,$D$5:$D226,$D226)&gt;1,"-"&amp;TEXT(COUNTIFS($C$5:$C226,$C226,$D$5:$D226,$D226),"00"),"")))</f>
        <v/>
      </c>
      <c r="N226" s="21"/>
      <c r="O226" s="18"/>
      <c r="P226" s="21"/>
    </row>
    <row r="227" customFormat="false" ht="21.75" hidden="false" customHeight="true" outlineLevel="0" collapsed="false">
      <c r="A227" s="13" t="str">
        <f aca="false">IF($E227="","",COUNTA($E$5:$E227))</f>
        <v/>
      </c>
      <c r="B227" s="14"/>
      <c r="C227" s="15"/>
      <c r="D227" s="16"/>
      <c r="E227" s="21"/>
      <c r="F227" s="18"/>
      <c r="G227" s="18"/>
      <c r="H227" s="15"/>
      <c r="I227" s="15"/>
      <c r="J227" s="18"/>
      <c r="K227" s="18"/>
      <c r="L227" s="19" t="str">
        <f aca="false">IF($E227="","",IF(OR($C227="",$D227=""),"",COUNTIFS($C$5:$C$404,$C227,$D$5:$D$404,$D227)))</f>
        <v/>
      </c>
      <c r="M227" s="20" t="str">
        <f aca="false">IF($E227="","",IF(OR($B227="",$C227="",$D227=""),"待补楼栋/房号/日期",SUBSTITUTE($C227,"栋","")&amp;"-"&amp;$D227&amp;"-"&amp;TEXT(MONTH($B227),"00")&amp;TEXT(DAY($B227),"00")&amp;IF(COUNTIFS($C$5:$C227,$C227,$D$5:$D227,$D227)&gt;1,"-"&amp;TEXT(COUNTIFS($C$5:$C227,$C227,$D$5:$D227,$D227),"00"),"")))</f>
        <v/>
      </c>
      <c r="N227" s="21"/>
      <c r="O227" s="18"/>
      <c r="P227" s="21"/>
    </row>
    <row r="228" customFormat="false" ht="21.75" hidden="false" customHeight="true" outlineLevel="0" collapsed="false">
      <c r="A228" s="13" t="str">
        <f aca="false">IF($E228="","",COUNTA($E$5:$E228))</f>
        <v/>
      </c>
      <c r="B228" s="14"/>
      <c r="C228" s="15"/>
      <c r="D228" s="16"/>
      <c r="E228" s="21"/>
      <c r="F228" s="18"/>
      <c r="G228" s="18"/>
      <c r="H228" s="15"/>
      <c r="I228" s="15"/>
      <c r="J228" s="18"/>
      <c r="K228" s="18"/>
      <c r="L228" s="19" t="str">
        <f aca="false">IF($E228="","",IF(OR($C228="",$D228=""),"",COUNTIFS($C$5:$C$404,$C228,$D$5:$D$404,$D228)))</f>
        <v/>
      </c>
      <c r="M228" s="20" t="str">
        <f aca="false">IF($E228="","",IF(OR($B228="",$C228="",$D228=""),"待补楼栋/房号/日期",SUBSTITUTE($C228,"栋","")&amp;"-"&amp;$D228&amp;"-"&amp;TEXT(MONTH($B228),"00")&amp;TEXT(DAY($B228),"00")&amp;IF(COUNTIFS($C$5:$C228,$C228,$D$5:$D228,$D228)&gt;1,"-"&amp;TEXT(COUNTIFS($C$5:$C228,$C228,$D$5:$D228,$D228),"00"),"")))</f>
        <v/>
      </c>
      <c r="N228" s="21"/>
      <c r="O228" s="18"/>
      <c r="P228" s="21"/>
    </row>
    <row r="229" customFormat="false" ht="21.75" hidden="false" customHeight="true" outlineLevel="0" collapsed="false">
      <c r="A229" s="13" t="str">
        <f aca="false">IF($E229="","",COUNTA($E$5:$E229))</f>
        <v/>
      </c>
      <c r="B229" s="14"/>
      <c r="C229" s="15"/>
      <c r="D229" s="16"/>
      <c r="E229" s="21"/>
      <c r="F229" s="18"/>
      <c r="G229" s="18"/>
      <c r="H229" s="15"/>
      <c r="I229" s="15"/>
      <c r="J229" s="18"/>
      <c r="K229" s="18"/>
      <c r="L229" s="19" t="str">
        <f aca="false">IF($E229="","",IF(OR($C229="",$D229=""),"",COUNTIFS($C$5:$C$404,$C229,$D$5:$D$404,$D229)))</f>
        <v/>
      </c>
      <c r="M229" s="20" t="str">
        <f aca="false">IF($E229="","",IF(OR($B229="",$C229="",$D229=""),"待补楼栋/房号/日期",SUBSTITUTE($C229,"栋","")&amp;"-"&amp;$D229&amp;"-"&amp;TEXT(MONTH($B229),"00")&amp;TEXT(DAY($B229),"00")&amp;IF(COUNTIFS($C$5:$C229,$C229,$D$5:$D229,$D229)&gt;1,"-"&amp;TEXT(COUNTIFS($C$5:$C229,$C229,$D$5:$D229,$D229),"00"),"")))</f>
        <v/>
      </c>
      <c r="N229" s="21"/>
      <c r="O229" s="18"/>
      <c r="P229" s="21"/>
    </row>
    <row r="230" customFormat="false" ht="21.75" hidden="false" customHeight="true" outlineLevel="0" collapsed="false">
      <c r="A230" s="13" t="str">
        <f aca="false">IF($E230="","",COUNTA($E$5:$E230))</f>
        <v/>
      </c>
      <c r="B230" s="14"/>
      <c r="C230" s="15"/>
      <c r="D230" s="16"/>
      <c r="E230" s="21"/>
      <c r="F230" s="18"/>
      <c r="G230" s="18"/>
      <c r="H230" s="15"/>
      <c r="I230" s="15"/>
      <c r="J230" s="18"/>
      <c r="K230" s="18"/>
      <c r="L230" s="19" t="str">
        <f aca="false">IF($E230="","",IF(OR($C230="",$D230=""),"",COUNTIFS($C$5:$C$404,$C230,$D$5:$D$404,$D230)))</f>
        <v/>
      </c>
      <c r="M230" s="20" t="str">
        <f aca="false">IF($E230="","",IF(OR($B230="",$C230="",$D230=""),"待补楼栋/房号/日期",SUBSTITUTE($C230,"栋","")&amp;"-"&amp;$D230&amp;"-"&amp;TEXT(MONTH($B230),"00")&amp;TEXT(DAY($B230),"00")&amp;IF(COUNTIFS($C$5:$C230,$C230,$D$5:$D230,$D230)&gt;1,"-"&amp;TEXT(COUNTIFS($C$5:$C230,$C230,$D$5:$D230,$D230),"00"),"")))</f>
        <v/>
      </c>
      <c r="N230" s="21"/>
      <c r="O230" s="18"/>
      <c r="P230" s="21"/>
    </row>
    <row r="231" customFormat="false" ht="21.75" hidden="false" customHeight="true" outlineLevel="0" collapsed="false">
      <c r="A231" s="13" t="str">
        <f aca="false">IF($E231="","",COUNTA($E$5:$E231))</f>
        <v/>
      </c>
      <c r="B231" s="14"/>
      <c r="C231" s="15"/>
      <c r="D231" s="16"/>
      <c r="E231" s="21"/>
      <c r="F231" s="18"/>
      <c r="G231" s="18"/>
      <c r="H231" s="15"/>
      <c r="I231" s="15"/>
      <c r="J231" s="18"/>
      <c r="K231" s="18"/>
      <c r="L231" s="19" t="str">
        <f aca="false">IF($E231="","",IF(OR($C231="",$D231=""),"",COUNTIFS($C$5:$C$404,$C231,$D$5:$D$404,$D231)))</f>
        <v/>
      </c>
      <c r="M231" s="20" t="str">
        <f aca="false">IF($E231="","",IF(OR($B231="",$C231="",$D231=""),"待补楼栋/房号/日期",SUBSTITUTE($C231,"栋","")&amp;"-"&amp;$D231&amp;"-"&amp;TEXT(MONTH($B231),"00")&amp;TEXT(DAY($B231),"00")&amp;IF(COUNTIFS($C$5:$C231,$C231,$D$5:$D231,$D231)&gt;1,"-"&amp;TEXT(COUNTIFS($C$5:$C231,$C231,$D$5:$D231,$D231),"00"),"")))</f>
        <v/>
      </c>
      <c r="N231" s="21"/>
      <c r="O231" s="18"/>
      <c r="P231" s="21"/>
    </row>
    <row r="232" customFormat="false" ht="21.75" hidden="false" customHeight="true" outlineLevel="0" collapsed="false">
      <c r="A232" s="13" t="str">
        <f aca="false">IF($E232="","",COUNTA($E$5:$E232))</f>
        <v/>
      </c>
      <c r="B232" s="14"/>
      <c r="C232" s="15"/>
      <c r="D232" s="16"/>
      <c r="E232" s="21"/>
      <c r="F232" s="18"/>
      <c r="G232" s="18"/>
      <c r="H232" s="15"/>
      <c r="I232" s="15"/>
      <c r="J232" s="18"/>
      <c r="K232" s="18"/>
      <c r="L232" s="19" t="str">
        <f aca="false">IF($E232="","",IF(OR($C232="",$D232=""),"",COUNTIFS($C$5:$C$404,$C232,$D$5:$D$404,$D232)))</f>
        <v/>
      </c>
      <c r="M232" s="20" t="str">
        <f aca="false">IF($E232="","",IF(OR($B232="",$C232="",$D232=""),"待补楼栋/房号/日期",SUBSTITUTE($C232,"栋","")&amp;"-"&amp;$D232&amp;"-"&amp;TEXT(MONTH($B232),"00")&amp;TEXT(DAY($B232),"00")&amp;IF(COUNTIFS($C$5:$C232,$C232,$D$5:$D232,$D232)&gt;1,"-"&amp;TEXT(COUNTIFS($C$5:$C232,$C232,$D$5:$D232,$D232),"00"),"")))</f>
        <v/>
      </c>
      <c r="N232" s="21"/>
      <c r="O232" s="18"/>
      <c r="P232" s="21"/>
    </row>
    <row r="233" customFormat="false" ht="21.75" hidden="false" customHeight="true" outlineLevel="0" collapsed="false">
      <c r="A233" s="13" t="str">
        <f aca="false">IF($E233="","",COUNTA($E$5:$E233))</f>
        <v/>
      </c>
      <c r="B233" s="14"/>
      <c r="C233" s="15"/>
      <c r="D233" s="16"/>
      <c r="E233" s="21"/>
      <c r="F233" s="18"/>
      <c r="G233" s="18"/>
      <c r="H233" s="15"/>
      <c r="I233" s="15"/>
      <c r="J233" s="18"/>
      <c r="K233" s="18"/>
      <c r="L233" s="19" t="str">
        <f aca="false">IF($E233="","",IF(OR($C233="",$D233=""),"",COUNTIFS($C$5:$C$404,$C233,$D$5:$D$404,$D233)))</f>
        <v/>
      </c>
      <c r="M233" s="20" t="str">
        <f aca="false">IF($E233="","",IF(OR($B233="",$C233="",$D233=""),"待补楼栋/房号/日期",SUBSTITUTE($C233,"栋","")&amp;"-"&amp;$D233&amp;"-"&amp;TEXT(MONTH($B233),"00")&amp;TEXT(DAY($B233),"00")&amp;IF(COUNTIFS($C$5:$C233,$C233,$D$5:$D233,$D233)&gt;1,"-"&amp;TEXT(COUNTIFS($C$5:$C233,$C233,$D$5:$D233,$D233),"00"),"")))</f>
        <v/>
      </c>
      <c r="N233" s="21"/>
      <c r="O233" s="18"/>
      <c r="P233" s="21"/>
    </row>
    <row r="234" customFormat="false" ht="21.75" hidden="false" customHeight="true" outlineLevel="0" collapsed="false">
      <c r="A234" s="13" t="str">
        <f aca="false">IF($E234="","",COUNTA($E$5:$E234))</f>
        <v/>
      </c>
      <c r="B234" s="14"/>
      <c r="C234" s="15"/>
      <c r="D234" s="16"/>
      <c r="E234" s="21"/>
      <c r="F234" s="18"/>
      <c r="G234" s="18"/>
      <c r="H234" s="15"/>
      <c r="I234" s="15"/>
      <c r="J234" s="18"/>
      <c r="K234" s="18"/>
      <c r="L234" s="19" t="str">
        <f aca="false">IF($E234="","",IF(OR($C234="",$D234=""),"",COUNTIFS($C$5:$C$404,$C234,$D$5:$D$404,$D234)))</f>
        <v/>
      </c>
      <c r="M234" s="20" t="str">
        <f aca="false">IF($E234="","",IF(OR($B234="",$C234="",$D234=""),"待补楼栋/房号/日期",SUBSTITUTE($C234,"栋","")&amp;"-"&amp;$D234&amp;"-"&amp;TEXT(MONTH($B234),"00")&amp;TEXT(DAY($B234),"00")&amp;IF(COUNTIFS($C$5:$C234,$C234,$D$5:$D234,$D234)&gt;1,"-"&amp;TEXT(COUNTIFS($C$5:$C234,$C234,$D$5:$D234,$D234),"00"),"")))</f>
        <v/>
      </c>
      <c r="N234" s="21"/>
      <c r="O234" s="18"/>
      <c r="P234" s="21"/>
    </row>
    <row r="235" customFormat="false" ht="21.75" hidden="false" customHeight="true" outlineLevel="0" collapsed="false">
      <c r="A235" s="13" t="str">
        <f aca="false">IF($E235="","",COUNTA($E$5:$E235))</f>
        <v/>
      </c>
      <c r="B235" s="14"/>
      <c r="C235" s="15"/>
      <c r="D235" s="16"/>
      <c r="E235" s="21"/>
      <c r="F235" s="18"/>
      <c r="G235" s="18"/>
      <c r="H235" s="15"/>
      <c r="I235" s="15"/>
      <c r="J235" s="18"/>
      <c r="K235" s="18"/>
      <c r="L235" s="19" t="str">
        <f aca="false">IF($E235="","",IF(OR($C235="",$D235=""),"",COUNTIFS($C$5:$C$404,$C235,$D$5:$D$404,$D235)))</f>
        <v/>
      </c>
      <c r="M235" s="20" t="str">
        <f aca="false">IF($E235="","",IF(OR($B235="",$C235="",$D235=""),"待补楼栋/房号/日期",SUBSTITUTE($C235,"栋","")&amp;"-"&amp;$D235&amp;"-"&amp;TEXT(MONTH($B235),"00")&amp;TEXT(DAY($B235),"00")&amp;IF(COUNTIFS($C$5:$C235,$C235,$D$5:$D235,$D235)&gt;1,"-"&amp;TEXT(COUNTIFS($C$5:$C235,$C235,$D$5:$D235,$D235),"00"),"")))</f>
        <v/>
      </c>
      <c r="N235" s="21"/>
      <c r="O235" s="18"/>
      <c r="P235" s="21"/>
    </row>
    <row r="236" customFormat="false" ht="21.75" hidden="false" customHeight="true" outlineLevel="0" collapsed="false">
      <c r="A236" s="13" t="str">
        <f aca="false">IF($E236="","",COUNTA($E$5:$E236))</f>
        <v/>
      </c>
      <c r="B236" s="14"/>
      <c r="C236" s="15"/>
      <c r="D236" s="16"/>
      <c r="E236" s="21"/>
      <c r="F236" s="18"/>
      <c r="G236" s="18"/>
      <c r="H236" s="15"/>
      <c r="I236" s="15"/>
      <c r="J236" s="18"/>
      <c r="K236" s="18"/>
      <c r="L236" s="19" t="str">
        <f aca="false">IF($E236="","",IF(OR($C236="",$D236=""),"",COUNTIFS($C$5:$C$404,$C236,$D$5:$D$404,$D236)))</f>
        <v/>
      </c>
      <c r="M236" s="20" t="str">
        <f aca="false">IF($E236="","",IF(OR($B236="",$C236="",$D236=""),"待补楼栋/房号/日期",SUBSTITUTE($C236,"栋","")&amp;"-"&amp;$D236&amp;"-"&amp;TEXT(MONTH($B236),"00")&amp;TEXT(DAY($B236),"00")&amp;IF(COUNTIFS($C$5:$C236,$C236,$D$5:$D236,$D236)&gt;1,"-"&amp;TEXT(COUNTIFS($C$5:$C236,$C236,$D$5:$D236,$D236),"00"),"")))</f>
        <v/>
      </c>
      <c r="N236" s="21"/>
      <c r="O236" s="18"/>
      <c r="P236" s="21"/>
    </row>
    <row r="237" customFormat="false" ht="21.75" hidden="false" customHeight="true" outlineLevel="0" collapsed="false">
      <c r="A237" s="13" t="str">
        <f aca="false">IF($E237="","",COUNTA($E$5:$E237))</f>
        <v/>
      </c>
      <c r="B237" s="14"/>
      <c r="C237" s="15"/>
      <c r="D237" s="16"/>
      <c r="E237" s="21"/>
      <c r="F237" s="18"/>
      <c r="G237" s="18"/>
      <c r="H237" s="15"/>
      <c r="I237" s="15"/>
      <c r="J237" s="18"/>
      <c r="K237" s="18"/>
      <c r="L237" s="19" t="str">
        <f aca="false">IF($E237="","",IF(OR($C237="",$D237=""),"",COUNTIFS($C$5:$C$404,$C237,$D$5:$D$404,$D237)))</f>
        <v/>
      </c>
      <c r="M237" s="20" t="str">
        <f aca="false">IF($E237="","",IF(OR($B237="",$C237="",$D237=""),"待补楼栋/房号/日期",SUBSTITUTE($C237,"栋","")&amp;"-"&amp;$D237&amp;"-"&amp;TEXT(MONTH($B237),"00")&amp;TEXT(DAY($B237),"00")&amp;IF(COUNTIFS($C$5:$C237,$C237,$D$5:$D237,$D237)&gt;1,"-"&amp;TEXT(COUNTIFS($C$5:$C237,$C237,$D$5:$D237,$D237),"00"),"")))</f>
        <v/>
      </c>
      <c r="N237" s="21"/>
      <c r="O237" s="18"/>
      <c r="P237" s="21"/>
    </row>
    <row r="238" customFormat="false" ht="21.75" hidden="false" customHeight="true" outlineLevel="0" collapsed="false">
      <c r="A238" s="13" t="str">
        <f aca="false">IF($E238="","",COUNTA($E$5:$E238))</f>
        <v/>
      </c>
      <c r="B238" s="14"/>
      <c r="C238" s="15"/>
      <c r="D238" s="16"/>
      <c r="E238" s="21"/>
      <c r="F238" s="18"/>
      <c r="G238" s="18"/>
      <c r="H238" s="15"/>
      <c r="I238" s="15"/>
      <c r="J238" s="18"/>
      <c r="K238" s="18"/>
      <c r="L238" s="19" t="str">
        <f aca="false">IF($E238="","",IF(OR($C238="",$D238=""),"",COUNTIFS($C$5:$C$404,$C238,$D$5:$D$404,$D238)))</f>
        <v/>
      </c>
      <c r="M238" s="20" t="str">
        <f aca="false">IF($E238="","",IF(OR($B238="",$C238="",$D238=""),"待补楼栋/房号/日期",SUBSTITUTE($C238,"栋","")&amp;"-"&amp;$D238&amp;"-"&amp;TEXT(MONTH($B238),"00")&amp;TEXT(DAY($B238),"00")&amp;IF(COUNTIFS($C$5:$C238,$C238,$D$5:$D238,$D238)&gt;1,"-"&amp;TEXT(COUNTIFS($C$5:$C238,$C238,$D$5:$D238,$D238),"00"),"")))</f>
        <v/>
      </c>
      <c r="N238" s="21"/>
      <c r="O238" s="18"/>
      <c r="P238" s="21"/>
    </row>
    <row r="239" customFormat="false" ht="21.75" hidden="false" customHeight="true" outlineLevel="0" collapsed="false">
      <c r="A239" s="13" t="str">
        <f aca="false">IF($E239="","",COUNTA($E$5:$E239))</f>
        <v/>
      </c>
      <c r="B239" s="14"/>
      <c r="C239" s="15"/>
      <c r="D239" s="16"/>
      <c r="E239" s="21"/>
      <c r="F239" s="18"/>
      <c r="G239" s="18"/>
      <c r="H239" s="15"/>
      <c r="I239" s="15"/>
      <c r="J239" s="18"/>
      <c r="K239" s="18"/>
      <c r="L239" s="19" t="str">
        <f aca="false">IF($E239="","",IF(OR($C239="",$D239=""),"",COUNTIFS($C$5:$C$404,$C239,$D$5:$D$404,$D239)))</f>
        <v/>
      </c>
      <c r="M239" s="20" t="str">
        <f aca="false">IF($E239="","",IF(OR($B239="",$C239="",$D239=""),"待补楼栋/房号/日期",SUBSTITUTE($C239,"栋","")&amp;"-"&amp;$D239&amp;"-"&amp;TEXT(MONTH($B239),"00")&amp;TEXT(DAY($B239),"00")&amp;IF(COUNTIFS($C$5:$C239,$C239,$D$5:$D239,$D239)&gt;1,"-"&amp;TEXT(COUNTIFS($C$5:$C239,$C239,$D$5:$D239,$D239),"00"),"")))</f>
        <v/>
      </c>
      <c r="N239" s="21"/>
      <c r="O239" s="18"/>
      <c r="P239" s="21"/>
    </row>
    <row r="240" customFormat="false" ht="21.75" hidden="false" customHeight="true" outlineLevel="0" collapsed="false">
      <c r="A240" s="13" t="str">
        <f aca="false">IF($E240="","",COUNTA($E$5:$E240))</f>
        <v/>
      </c>
      <c r="B240" s="14"/>
      <c r="C240" s="15"/>
      <c r="D240" s="16"/>
      <c r="E240" s="21"/>
      <c r="F240" s="18"/>
      <c r="G240" s="18"/>
      <c r="H240" s="15"/>
      <c r="I240" s="15"/>
      <c r="J240" s="18"/>
      <c r="K240" s="18"/>
      <c r="L240" s="19" t="str">
        <f aca="false">IF($E240="","",IF(OR($C240="",$D240=""),"",COUNTIFS($C$5:$C$404,$C240,$D$5:$D$404,$D240)))</f>
        <v/>
      </c>
      <c r="M240" s="20" t="str">
        <f aca="false">IF($E240="","",IF(OR($B240="",$C240="",$D240=""),"待补楼栋/房号/日期",SUBSTITUTE($C240,"栋","")&amp;"-"&amp;$D240&amp;"-"&amp;TEXT(MONTH($B240),"00")&amp;TEXT(DAY($B240),"00")&amp;IF(COUNTIFS($C$5:$C240,$C240,$D$5:$D240,$D240)&gt;1,"-"&amp;TEXT(COUNTIFS($C$5:$C240,$C240,$D$5:$D240,$D240),"00"),"")))</f>
        <v/>
      </c>
      <c r="N240" s="21"/>
      <c r="O240" s="18"/>
      <c r="P240" s="21"/>
    </row>
    <row r="241" customFormat="false" ht="21.75" hidden="false" customHeight="true" outlineLevel="0" collapsed="false">
      <c r="A241" s="13" t="str">
        <f aca="false">IF($E241="","",COUNTA($E$5:$E241))</f>
        <v/>
      </c>
      <c r="B241" s="14"/>
      <c r="C241" s="15"/>
      <c r="D241" s="16"/>
      <c r="E241" s="21"/>
      <c r="F241" s="18"/>
      <c r="G241" s="18"/>
      <c r="H241" s="15"/>
      <c r="I241" s="15"/>
      <c r="J241" s="18"/>
      <c r="K241" s="18"/>
      <c r="L241" s="19" t="str">
        <f aca="false">IF($E241="","",IF(OR($C241="",$D241=""),"",COUNTIFS($C$5:$C$404,$C241,$D$5:$D$404,$D241)))</f>
        <v/>
      </c>
      <c r="M241" s="20" t="str">
        <f aca="false">IF($E241="","",IF(OR($B241="",$C241="",$D241=""),"待补楼栋/房号/日期",SUBSTITUTE($C241,"栋","")&amp;"-"&amp;$D241&amp;"-"&amp;TEXT(MONTH($B241),"00")&amp;TEXT(DAY($B241),"00")&amp;IF(COUNTIFS($C$5:$C241,$C241,$D$5:$D241,$D241)&gt;1,"-"&amp;TEXT(COUNTIFS($C$5:$C241,$C241,$D$5:$D241,$D241),"00"),"")))</f>
        <v/>
      </c>
      <c r="N241" s="21"/>
      <c r="O241" s="18"/>
      <c r="P241" s="21"/>
    </row>
    <row r="242" customFormat="false" ht="21.75" hidden="false" customHeight="true" outlineLevel="0" collapsed="false">
      <c r="A242" s="13" t="str">
        <f aca="false">IF($E242="","",COUNTA($E$5:$E242))</f>
        <v/>
      </c>
      <c r="B242" s="14"/>
      <c r="C242" s="15"/>
      <c r="D242" s="16"/>
      <c r="E242" s="21"/>
      <c r="F242" s="18"/>
      <c r="G242" s="18"/>
      <c r="H242" s="15"/>
      <c r="I242" s="15"/>
      <c r="J242" s="18"/>
      <c r="K242" s="18"/>
      <c r="L242" s="19" t="str">
        <f aca="false">IF($E242="","",IF(OR($C242="",$D242=""),"",COUNTIFS($C$5:$C$404,$C242,$D$5:$D$404,$D242)))</f>
        <v/>
      </c>
      <c r="M242" s="20" t="str">
        <f aca="false">IF($E242="","",IF(OR($B242="",$C242="",$D242=""),"待补楼栋/房号/日期",SUBSTITUTE($C242,"栋","")&amp;"-"&amp;$D242&amp;"-"&amp;TEXT(MONTH($B242),"00")&amp;TEXT(DAY($B242),"00")&amp;IF(COUNTIFS($C$5:$C242,$C242,$D$5:$D242,$D242)&gt;1,"-"&amp;TEXT(COUNTIFS($C$5:$C242,$C242,$D$5:$D242,$D242),"00"),"")))</f>
        <v/>
      </c>
      <c r="N242" s="21"/>
      <c r="O242" s="18"/>
      <c r="P242" s="21"/>
    </row>
    <row r="243" customFormat="false" ht="21.75" hidden="false" customHeight="true" outlineLevel="0" collapsed="false">
      <c r="A243" s="13" t="str">
        <f aca="false">IF($E243="","",COUNTA($E$5:$E243))</f>
        <v/>
      </c>
      <c r="B243" s="14"/>
      <c r="C243" s="15"/>
      <c r="D243" s="16"/>
      <c r="E243" s="21"/>
      <c r="F243" s="18"/>
      <c r="G243" s="18"/>
      <c r="H243" s="15"/>
      <c r="I243" s="15"/>
      <c r="J243" s="18"/>
      <c r="K243" s="18"/>
      <c r="L243" s="19" t="str">
        <f aca="false">IF($E243="","",IF(OR($C243="",$D243=""),"",COUNTIFS($C$5:$C$404,$C243,$D$5:$D$404,$D243)))</f>
        <v/>
      </c>
      <c r="M243" s="20" t="str">
        <f aca="false">IF($E243="","",IF(OR($B243="",$C243="",$D243=""),"待补楼栋/房号/日期",SUBSTITUTE($C243,"栋","")&amp;"-"&amp;$D243&amp;"-"&amp;TEXT(MONTH($B243),"00")&amp;TEXT(DAY($B243),"00")&amp;IF(COUNTIFS($C$5:$C243,$C243,$D$5:$D243,$D243)&gt;1,"-"&amp;TEXT(COUNTIFS($C$5:$C243,$C243,$D$5:$D243,$D243),"00"),"")))</f>
        <v/>
      </c>
      <c r="N243" s="21"/>
      <c r="O243" s="18"/>
      <c r="P243" s="21"/>
    </row>
    <row r="244" customFormat="false" ht="21.75" hidden="false" customHeight="true" outlineLevel="0" collapsed="false">
      <c r="A244" s="13" t="str">
        <f aca="false">IF($E244="","",COUNTA($E$5:$E244))</f>
        <v/>
      </c>
      <c r="B244" s="14"/>
      <c r="C244" s="15"/>
      <c r="D244" s="16"/>
      <c r="E244" s="21"/>
      <c r="F244" s="18"/>
      <c r="G244" s="18"/>
      <c r="H244" s="15"/>
      <c r="I244" s="15"/>
      <c r="J244" s="18"/>
      <c r="K244" s="18"/>
      <c r="L244" s="19" t="str">
        <f aca="false">IF($E244="","",IF(OR($C244="",$D244=""),"",COUNTIFS($C$5:$C$404,$C244,$D$5:$D$404,$D244)))</f>
        <v/>
      </c>
      <c r="M244" s="20" t="str">
        <f aca="false">IF($E244="","",IF(OR($B244="",$C244="",$D244=""),"待补楼栋/房号/日期",SUBSTITUTE($C244,"栋","")&amp;"-"&amp;$D244&amp;"-"&amp;TEXT(MONTH($B244),"00")&amp;TEXT(DAY($B244),"00")&amp;IF(COUNTIFS($C$5:$C244,$C244,$D$5:$D244,$D244)&gt;1,"-"&amp;TEXT(COUNTIFS($C$5:$C244,$C244,$D$5:$D244,$D244),"00"),"")))</f>
        <v/>
      </c>
      <c r="N244" s="21"/>
      <c r="O244" s="18"/>
      <c r="P244" s="21"/>
    </row>
    <row r="245" customFormat="false" ht="21.75" hidden="false" customHeight="true" outlineLevel="0" collapsed="false">
      <c r="A245" s="13" t="str">
        <f aca="false">IF($E245="","",COUNTA($E$5:$E245))</f>
        <v/>
      </c>
      <c r="B245" s="14"/>
      <c r="C245" s="15"/>
      <c r="D245" s="16"/>
      <c r="E245" s="21"/>
      <c r="F245" s="18"/>
      <c r="G245" s="18"/>
      <c r="H245" s="15"/>
      <c r="I245" s="15"/>
      <c r="J245" s="18"/>
      <c r="K245" s="18"/>
      <c r="L245" s="19" t="str">
        <f aca="false">IF($E245="","",IF(OR($C245="",$D245=""),"",COUNTIFS($C$5:$C$404,$C245,$D$5:$D$404,$D245)))</f>
        <v/>
      </c>
      <c r="M245" s="20" t="str">
        <f aca="false">IF($E245="","",IF(OR($B245="",$C245="",$D245=""),"待补楼栋/房号/日期",SUBSTITUTE($C245,"栋","")&amp;"-"&amp;$D245&amp;"-"&amp;TEXT(MONTH($B245),"00")&amp;TEXT(DAY($B245),"00")&amp;IF(COUNTIFS($C$5:$C245,$C245,$D$5:$D245,$D245)&gt;1,"-"&amp;TEXT(COUNTIFS($C$5:$C245,$C245,$D$5:$D245,$D245),"00"),"")))</f>
        <v/>
      </c>
      <c r="N245" s="21"/>
      <c r="O245" s="18"/>
      <c r="P245" s="21"/>
    </row>
    <row r="246" customFormat="false" ht="21.75" hidden="false" customHeight="true" outlineLevel="0" collapsed="false">
      <c r="A246" s="13" t="str">
        <f aca="false">IF($E246="","",COUNTA($E$5:$E246))</f>
        <v/>
      </c>
      <c r="B246" s="14"/>
      <c r="C246" s="15"/>
      <c r="D246" s="16"/>
      <c r="E246" s="21"/>
      <c r="F246" s="18"/>
      <c r="G246" s="18"/>
      <c r="H246" s="15"/>
      <c r="I246" s="15"/>
      <c r="J246" s="18"/>
      <c r="K246" s="18"/>
      <c r="L246" s="19" t="str">
        <f aca="false">IF($E246="","",IF(OR($C246="",$D246=""),"",COUNTIFS($C$5:$C$404,$C246,$D$5:$D$404,$D246)))</f>
        <v/>
      </c>
      <c r="M246" s="20" t="str">
        <f aca="false">IF($E246="","",IF(OR($B246="",$C246="",$D246=""),"待补楼栋/房号/日期",SUBSTITUTE($C246,"栋","")&amp;"-"&amp;$D246&amp;"-"&amp;TEXT(MONTH($B246),"00")&amp;TEXT(DAY($B246),"00")&amp;IF(COUNTIFS($C$5:$C246,$C246,$D$5:$D246,$D246)&gt;1,"-"&amp;TEXT(COUNTIFS($C$5:$C246,$C246,$D$5:$D246,$D246),"00"),"")))</f>
        <v/>
      </c>
      <c r="N246" s="21"/>
      <c r="O246" s="18"/>
      <c r="P246" s="21"/>
    </row>
    <row r="247" customFormat="false" ht="21.75" hidden="false" customHeight="true" outlineLevel="0" collapsed="false">
      <c r="A247" s="13" t="str">
        <f aca="false">IF($E247="","",COUNTA($E$5:$E247))</f>
        <v/>
      </c>
      <c r="B247" s="14"/>
      <c r="C247" s="15"/>
      <c r="D247" s="16"/>
      <c r="E247" s="21"/>
      <c r="F247" s="18"/>
      <c r="G247" s="18"/>
      <c r="H247" s="15"/>
      <c r="I247" s="15"/>
      <c r="J247" s="18"/>
      <c r="K247" s="18"/>
      <c r="L247" s="19" t="str">
        <f aca="false">IF($E247="","",IF(OR($C247="",$D247=""),"",COUNTIFS($C$5:$C$404,$C247,$D$5:$D$404,$D247)))</f>
        <v/>
      </c>
      <c r="M247" s="20" t="str">
        <f aca="false">IF($E247="","",IF(OR($B247="",$C247="",$D247=""),"待补楼栋/房号/日期",SUBSTITUTE($C247,"栋","")&amp;"-"&amp;$D247&amp;"-"&amp;TEXT(MONTH($B247),"00")&amp;TEXT(DAY($B247),"00")&amp;IF(COUNTIFS($C$5:$C247,$C247,$D$5:$D247,$D247)&gt;1,"-"&amp;TEXT(COUNTIFS($C$5:$C247,$C247,$D$5:$D247,$D247),"00"),"")))</f>
        <v/>
      </c>
      <c r="N247" s="21"/>
      <c r="O247" s="18"/>
      <c r="P247" s="21"/>
    </row>
    <row r="248" customFormat="false" ht="21.75" hidden="false" customHeight="true" outlineLevel="0" collapsed="false">
      <c r="A248" s="13" t="str">
        <f aca="false">IF($E248="","",COUNTA($E$5:$E248))</f>
        <v/>
      </c>
      <c r="B248" s="14"/>
      <c r="C248" s="15"/>
      <c r="D248" s="16"/>
      <c r="E248" s="21"/>
      <c r="F248" s="18"/>
      <c r="G248" s="18"/>
      <c r="H248" s="15"/>
      <c r="I248" s="15"/>
      <c r="J248" s="18"/>
      <c r="K248" s="18"/>
      <c r="L248" s="19" t="str">
        <f aca="false">IF($E248="","",IF(OR($C248="",$D248=""),"",COUNTIFS($C$5:$C$404,$C248,$D$5:$D$404,$D248)))</f>
        <v/>
      </c>
      <c r="M248" s="20" t="str">
        <f aca="false">IF($E248="","",IF(OR($B248="",$C248="",$D248=""),"待补楼栋/房号/日期",SUBSTITUTE($C248,"栋","")&amp;"-"&amp;$D248&amp;"-"&amp;TEXT(MONTH($B248),"00")&amp;TEXT(DAY($B248),"00")&amp;IF(COUNTIFS($C$5:$C248,$C248,$D$5:$D248,$D248)&gt;1,"-"&amp;TEXT(COUNTIFS($C$5:$C248,$C248,$D$5:$D248,$D248),"00"),"")))</f>
        <v/>
      </c>
      <c r="N248" s="21"/>
      <c r="O248" s="18"/>
      <c r="P248" s="21"/>
    </row>
    <row r="249" customFormat="false" ht="21.75" hidden="false" customHeight="true" outlineLevel="0" collapsed="false">
      <c r="A249" s="13" t="str">
        <f aca="false">IF($E249="","",COUNTA($E$5:$E249))</f>
        <v/>
      </c>
      <c r="B249" s="14"/>
      <c r="C249" s="15"/>
      <c r="D249" s="16"/>
      <c r="E249" s="21"/>
      <c r="F249" s="18"/>
      <c r="G249" s="18"/>
      <c r="H249" s="15"/>
      <c r="I249" s="15"/>
      <c r="J249" s="18"/>
      <c r="K249" s="18"/>
      <c r="L249" s="19" t="str">
        <f aca="false">IF($E249="","",IF(OR($C249="",$D249=""),"",COUNTIFS($C$5:$C$404,$C249,$D$5:$D$404,$D249)))</f>
        <v/>
      </c>
      <c r="M249" s="20" t="str">
        <f aca="false">IF($E249="","",IF(OR($B249="",$C249="",$D249=""),"待补楼栋/房号/日期",SUBSTITUTE($C249,"栋","")&amp;"-"&amp;$D249&amp;"-"&amp;TEXT(MONTH($B249),"00")&amp;TEXT(DAY($B249),"00")&amp;IF(COUNTIFS($C$5:$C249,$C249,$D$5:$D249,$D249)&gt;1,"-"&amp;TEXT(COUNTIFS($C$5:$C249,$C249,$D$5:$D249,$D249),"00"),"")))</f>
        <v/>
      </c>
      <c r="N249" s="21"/>
      <c r="O249" s="18"/>
      <c r="P249" s="21"/>
    </row>
    <row r="250" customFormat="false" ht="21.75" hidden="false" customHeight="true" outlineLevel="0" collapsed="false">
      <c r="A250" s="13" t="str">
        <f aca="false">IF($E250="","",COUNTA($E$5:$E250))</f>
        <v/>
      </c>
      <c r="B250" s="14"/>
      <c r="C250" s="15"/>
      <c r="D250" s="16"/>
      <c r="E250" s="21"/>
      <c r="F250" s="18"/>
      <c r="G250" s="18"/>
      <c r="H250" s="15"/>
      <c r="I250" s="15"/>
      <c r="J250" s="18"/>
      <c r="K250" s="18"/>
      <c r="L250" s="19" t="str">
        <f aca="false">IF($E250="","",IF(OR($C250="",$D250=""),"",COUNTIFS($C$5:$C$404,$C250,$D$5:$D$404,$D250)))</f>
        <v/>
      </c>
      <c r="M250" s="20" t="str">
        <f aca="false">IF($E250="","",IF(OR($B250="",$C250="",$D250=""),"待补楼栋/房号/日期",SUBSTITUTE($C250,"栋","")&amp;"-"&amp;$D250&amp;"-"&amp;TEXT(MONTH($B250),"00")&amp;TEXT(DAY($B250),"00")&amp;IF(COUNTIFS($C$5:$C250,$C250,$D$5:$D250,$D250)&gt;1,"-"&amp;TEXT(COUNTIFS($C$5:$C250,$C250,$D$5:$D250,$D250),"00"),"")))</f>
        <v/>
      </c>
      <c r="N250" s="21"/>
      <c r="O250" s="18"/>
      <c r="P250" s="21"/>
    </row>
    <row r="251" customFormat="false" ht="21.75" hidden="false" customHeight="true" outlineLevel="0" collapsed="false">
      <c r="A251" s="13" t="str">
        <f aca="false">IF($E251="","",COUNTA($E$5:$E251))</f>
        <v/>
      </c>
      <c r="B251" s="14"/>
      <c r="C251" s="15"/>
      <c r="D251" s="16"/>
      <c r="E251" s="21"/>
      <c r="F251" s="18"/>
      <c r="G251" s="18"/>
      <c r="H251" s="15"/>
      <c r="I251" s="15"/>
      <c r="J251" s="18"/>
      <c r="K251" s="18"/>
      <c r="L251" s="19" t="str">
        <f aca="false">IF($E251="","",IF(OR($C251="",$D251=""),"",COUNTIFS($C$5:$C$404,$C251,$D$5:$D$404,$D251)))</f>
        <v/>
      </c>
      <c r="M251" s="20" t="str">
        <f aca="false">IF($E251="","",IF(OR($B251="",$C251="",$D251=""),"待补楼栋/房号/日期",SUBSTITUTE($C251,"栋","")&amp;"-"&amp;$D251&amp;"-"&amp;TEXT(MONTH($B251),"00")&amp;TEXT(DAY($B251),"00")&amp;IF(COUNTIFS($C$5:$C251,$C251,$D$5:$D251,$D251)&gt;1,"-"&amp;TEXT(COUNTIFS($C$5:$C251,$C251,$D$5:$D251,$D251),"00"),"")))</f>
        <v/>
      </c>
      <c r="N251" s="21"/>
      <c r="O251" s="18"/>
      <c r="P251" s="21"/>
    </row>
    <row r="252" customFormat="false" ht="21.75" hidden="false" customHeight="true" outlineLevel="0" collapsed="false">
      <c r="A252" s="13" t="str">
        <f aca="false">IF($E252="","",COUNTA($E$5:$E252))</f>
        <v/>
      </c>
      <c r="B252" s="14"/>
      <c r="C252" s="15"/>
      <c r="D252" s="16"/>
      <c r="E252" s="21"/>
      <c r="F252" s="18"/>
      <c r="G252" s="18"/>
      <c r="H252" s="15"/>
      <c r="I252" s="15"/>
      <c r="J252" s="18"/>
      <c r="K252" s="18"/>
      <c r="L252" s="19" t="str">
        <f aca="false">IF($E252="","",IF(OR($C252="",$D252=""),"",COUNTIFS($C$5:$C$404,$C252,$D$5:$D$404,$D252)))</f>
        <v/>
      </c>
      <c r="M252" s="20" t="str">
        <f aca="false">IF($E252="","",IF(OR($B252="",$C252="",$D252=""),"待补楼栋/房号/日期",SUBSTITUTE($C252,"栋","")&amp;"-"&amp;$D252&amp;"-"&amp;TEXT(MONTH($B252),"00")&amp;TEXT(DAY($B252),"00")&amp;IF(COUNTIFS($C$5:$C252,$C252,$D$5:$D252,$D252)&gt;1,"-"&amp;TEXT(COUNTIFS($C$5:$C252,$C252,$D$5:$D252,$D252),"00"),"")))</f>
        <v/>
      </c>
      <c r="N252" s="21"/>
      <c r="O252" s="18"/>
      <c r="P252" s="21"/>
    </row>
    <row r="253" customFormat="false" ht="21.75" hidden="false" customHeight="true" outlineLevel="0" collapsed="false">
      <c r="A253" s="13" t="str">
        <f aca="false">IF($E253="","",COUNTA($E$5:$E253))</f>
        <v/>
      </c>
      <c r="B253" s="14"/>
      <c r="C253" s="15"/>
      <c r="D253" s="16"/>
      <c r="E253" s="21"/>
      <c r="F253" s="18"/>
      <c r="G253" s="18"/>
      <c r="H253" s="15"/>
      <c r="I253" s="15"/>
      <c r="J253" s="18"/>
      <c r="K253" s="18"/>
      <c r="L253" s="19" t="str">
        <f aca="false">IF($E253="","",IF(OR($C253="",$D253=""),"",COUNTIFS($C$5:$C$404,$C253,$D$5:$D$404,$D253)))</f>
        <v/>
      </c>
      <c r="M253" s="20" t="str">
        <f aca="false">IF($E253="","",IF(OR($B253="",$C253="",$D253=""),"待补楼栋/房号/日期",SUBSTITUTE($C253,"栋","")&amp;"-"&amp;$D253&amp;"-"&amp;TEXT(MONTH($B253),"00")&amp;TEXT(DAY($B253),"00")&amp;IF(COUNTIFS($C$5:$C253,$C253,$D$5:$D253,$D253)&gt;1,"-"&amp;TEXT(COUNTIFS($C$5:$C253,$C253,$D$5:$D253,$D253),"00"),"")))</f>
        <v/>
      </c>
      <c r="N253" s="21"/>
      <c r="O253" s="18"/>
      <c r="P253" s="21"/>
    </row>
    <row r="254" customFormat="false" ht="21.75" hidden="false" customHeight="true" outlineLevel="0" collapsed="false">
      <c r="A254" s="13" t="str">
        <f aca="false">IF($E254="","",COUNTA($E$5:$E254))</f>
        <v/>
      </c>
      <c r="B254" s="14"/>
      <c r="C254" s="15"/>
      <c r="D254" s="16"/>
      <c r="E254" s="21"/>
      <c r="F254" s="18"/>
      <c r="G254" s="18"/>
      <c r="H254" s="15"/>
      <c r="I254" s="15"/>
      <c r="J254" s="18"/>
      <c r="K254" s="18"/>
      <c r="L254" s="19" t="str">
        <f aca="false">IF($E254="","",IF(OR($C254="",$D254=""),"",COUNTIFS($C$5:$C$404,$C254,$D$5:$D$404,$D254)))</f>
        <v/>
      </c>
      <c r="M254" s="20" t="str">
        <f aca="false">IF($E254="","",IF(OR($B254="",$C254="",$D254=""),"待补楼栋/房号/日期",SUBSTITUTE($C254,"栋","")&amp;"-"&amp;$D254&amp;"-"&amp;TEXT(MONTH($B254),"00")&amp;TEXT(DAY($B254),"00")&amp;IF(COUNTIFS($C$5:$C254,$C254,$D$5:$D254,$D254)&gt;1,"-"&amp;TEXT(COUNTIFS($C$5:$C254,$C254,$D$5:$D254,$D254),"00"),"")))</f>
        <v/>
      </c>
      <c r="N254" s="21"/>
      <c r="O254" s="18"/>
      <c r="P254" s="21"/>
    </row>
    <row r="255" customFormat="false" ht="21.75" hidden="false" customHeight="true" outlineLevel="0" collapsed="false">
      <c r="A255" s="13" t="str">
        <f aca="false">IF($E255="","",COUNTA($E$5:$E255))</f>
        <v/>
      </c>
      <c r="B255" s="14"/>
      <c r="C255" s="15"/>
      <c r="D255" s="16"/>
      <c r="E255" s="21"/>
      <c r="F255" s="18"/>
      <c r="G255" s="18"/>
      <c r="H255" s="15"/>
      <c r="I255" s="15"/>
      <c r="J255" s="18"/>
      <c r="K255" s="18"/>
      <c r="L255" s="19" t="str">
        <f aca="false">IF($E255="","",IF(OR($C255="",$D255=""),"",COUNTIFS($C$5:$C$404,$C255,$D$5:$D$404,$D255)))</f>
        <v/>
      </c>
      <c r="M255" s="20" t="str">
        <f aca="false">IF($E255="","",IF(OR($B255="",$C255="",$D255=""),"待补楼栋/房号/日期",SUBSTITUTE($C255,"栋","")&amp;"-"&amp;$D255&amp;"-"&amp;TEXT(MONTH($B255),"00")&amp;TEXT(DAY($B255),"00")&amp;IF(COUNTIFS($C$5:$C255,$C255,$D$5:$D255,$D255)&gt;1,"-"&amp;TEXT(COUNTIFS($C$5:$C255,$C255,$D$5:$D255,$D255),"00"),"")))</f>
        <v/>
      </c>
      <c r="N255" s="21"/>
      <c r="O255" s="18"/>
      <c r="P255" s="21"/>
    </row>
    <row r="256" customFormat="false" ht="21.75" hidden="false" customHeight="true" outlineLevel="0" collapsed="false">
      <c r="A256" s="13" t="str">
        <f aca="false">IF($E256="","",COUNTA($E$5:$E256))</f>
        <v/>
      </c>
      <c r="B256" s="14"/>
      <c r="C256" s="15"/>
      <c r="D256" s="16"/>
      <c r="E256" s="21"/>
      <c r="F256" s="18"/>
      <c r="G256" s="18"/>
      <c r="H256" s="15"/>
      <c r="I256" s="15"/>
      <c r="J256" s="18"/>
      <c r="K256" s="18"/>
      <c r="L256" s="19" t="str">
        <f aca="false">IF($E256="","",IF(OR($C256="",$D256=""),"",COUNTIFS($C$5:$C$404,$C256,$D$5:$D$404,$D256)))</f>
        <v/>
      </c>
      <c r="M256" s="20" t="str">
        <f aca="false">IF($E256="","",IF(OR($B256="",$C256="",$D256=""),"待补楼栋/房号/日期",SUBSTITUTE($C256,"栋","")&amp;"-"&amp;$D256&amp;"-"&amp;TEXT(MONTH($B256),"00")&amp;TEXT(DAY($B256),"00")&amp;IF(COUNTIFS($C$5:$C256,$C256,$D$5:$D256,$D256)&gt;1,"-"&amp;TEXT(COUNTIFS($C$5:$C256,$C256,$D$5:$D256,$D256),"00"),"")))</f>
        <v/>
      </c>
      <c r="N256" s="21"/>
      <c r="O256" s="18"/>
      <c r="P256" s="21"/>
    </row>
    <row r="257" customFormat="false" ht="21.75" hidden="false" customHeight="true" outlineLevel="0" collapsed="false">
      <c r="A257" s="13" t="str">
        <f aca="false">IF($E257="","",COUNTA($E$5:$E257))</f>
        <v/>
      </c>
      <c r="B257" s="14"/>
      <c r="C257" s="15"/>
      <c r="D257" s="16"/>
      <c r="E257" s="21"/>
      <c r="F257" s="18"/>
      <c r="G257" s="18"/>
      <c r="H257" s="15"/>
      <c r="I257" s="15"/>
      <c r="J257" s="18"/>
      <c r="K257" s="18"/>
      <c r="L257" s="19" t="str">
        <f aca="false">IF($E257="","",IF(OR($C257="",$D257=""),"",COUNTIFS($C$5:$C$404,$C257,$D$5:$D$404,$D257)))</f>
        <v/>
      </c>
      <c r="M257" s="20" t="str">
        <f aca="false">IF($E257="","",IF(OR($B257="",$C257="",$D257=""),"待补楼栋/房号/日期",SUBSTITUTE($C257,"栋","")&amp;"-"&amp;$D257&amp;"-"&amp;TEXT(MONTH($B257),"00")&amp;TEXT(DAY($B257),"00")&amp;IF(COUNTIFS($C$5:$C257,$C257,$D$5:$D257,$D257)&gt;1,"-"&amp;TEXT(COUNTIFS($C$5:$C257,$C257,$D$5:$D257,$D257),"00"),"")))</f>
        <v/>
      </c>
      <c r="N257" s="21"/>
      <c r="O257" s="18"/>
      <c r="P257" s="21"/>
    </row>
    <row r="258" customFormat="false" ht="21.75" hidden="false" customHeight="true" outlineLevel="0" collapsed="false">
      <c r="A258" s="13" t="str">
        <f aca="false">IF($E258="","",COUNTA($E$5:$E258))</f>
        <v/>
      </c>
      <c r="B258" s="14"/>
      <c r="C258" s="15"/>
      <c r="D258" s="16"/>
      <c r="E258" s="21"/>
      <c r="F258" s="18"/>
      <c r="G258" s="18"/>
      <c r="H258" s="15"/>
      <c r="I258" s="15"/>
      <c r="J258" s="18"/>
      <c r="K258" s="18"/>
      <c r="L258" s="19" t="str">
        <f aca="false">IF($E258="","",IF(OR($C258="",$D258=""),"",COUNTIFS($C$5:$C$404,$C258,$D$5:$D$404,$D258)))</f>
        <v/>
      </c>
      <c r="M258" s="20" t="str">
        <f aca="false">IF($E258="","",IF(OR($B258="",$C258="",$D258=""),"待补楼栋/房号/日期",SUBSTITUTE($C258,"栋","")&amp;"-"&amp;$D258&amp;"-"&amp;TEXT(MONTH($B258),"00")&amp;TEXT(DAY($B258),"00")&amp;IF(COUNTIFS($C$5:$C258,$C258,$D$5:$D258,$D258)&gt;1,"-"&amp;TEXT(COUNTIFS($C$5:$C258,$C258,$D$5:$D258,$D258),"00"),"")))</f>
        <v/>
      </c>
      <c r="N258" s="21"/>
      <c r="O258" s="18"/>
      <c r="P258" s="21"/>
    </row>
    <row r="259" customFormat="false" ht="21.75" hidden="false" customHeight="true" outlineLevel="0" collapsed="false">
      <c r="A259" s="13" t="str">
        <f aca="false">IF($E259="","",COUNTA($E$5:$E259))</f>
        <v/>
      </c>
      <c r="B259" s="14"/>
      <c r="C259" s="15"/>
      <c r="D259" s="16"/>
      <c r="E259" s="21"/>
      <c r="F259" s="18"/>
      <c r="G259" s="18"/>
      <c r="H259" s="15"/>
      <c r="I259" s="15"/>
      <c r="J259" s="18"/>
      <c r="K259" s="18"/>
      <c r="L259" s="19" t="str">
        <f aca="false">IF($E259="","",IF(OR($C259="",$D259=""),"",COUNTIFS($C$5:$C$404,$C259,$D$5:$D$404,$D259)))</f>
        <v/>
      </c>
      <c r="M259" s="20" t="str">
        <f aca="false">IF($E259="","",IF(OR($B259="",$C259="",$D259=""),"待补楼栋/房号/日期",SUBSTITUTE($C259,"栋","")&amp;"-"&amp;$D259&amp;"-"&amp;TEXT(MONTH($B259),"00")&amp;TEXT(DAY($B259),"00")&amp;IF(COUNTIFS($C$5:$C259,$C259,$D$5:$D259,$D259)&gt;1,"-"&amp;TEXT(COUNTIFS($C$5:$C259,$C259,$D$5:$D259,$D259),"00"),"")))</f>
        <v/>
      </c>
      <c r="N259" s="21"/>
      <c r="O259" s="18"/>
      <c r="P259" s="21"/>
    </row>
    <row r="260" customFormat="false" ht="21.75" hidden="false" customHeight="true" outlineLevel="0" collapsed="false">
      <c r="A260" s="13" t="str">
        <f aca="false">IF($E260="","",COUNTA($E$5:$E260))</f>
        <v/>
      </c>
      <c r="B260" s="14"/>
      <c r="C260" s="15"/>
      <c r="D260" s="16"/>
      <c r="E260" s="21"/>
      <c r="F260" s="18"/>
      <c r="G260" s="18"/>
      <c r="H260" s="15"/>
      <c r="I260" s="15"/>
      <c r="J260" s="18"/>
      <c r="K260" s="18"/>
      <c r="L260" s="19" t="str">
        <f aca="false">IF($E260="","",IF(OR($C260="",$D260=""),"",COUNTIFS($C$5:$C$404,$C260,$D$5:$D$404,$D260)))</f>
        <v/>
      </c>
      <c r="M260" s="20" t="str">
        <f aca="false">IF($E260="","",IF(OR($B260="",$C260="",$D260=""),"待补楼栋/房号/日期",SUBSTITUTE($C260,"栋","")&amp;"-"&amp;$D260&amp;"-"&amp;TEXT(MONTH($B260),"00")&amp;TEXT(DAY($B260),"00")&amp;IF(COUNTIFS($C$5:$C260,$C260,$D$5:$D260,$D260)&gt;1,"-"&amp;TEXT(COUNTIFS($C$5:$C260,$C260,$D$5:$D260,$D260),"00"),"")))</f>
        <v/>
      </c>
      <c r="N260" s="21"/>
      <c r="O260" s="18"/>
      <c r="P260" s="21"/>
    </row>
    <row r="261" customFormat="false" ht="21.75" hidden="false" customHeight="true" outlineLevel="0" collapsed="false">
      <c r="A261" s="13" t="str">
        <f aca="false">IF($E261="","",COUNTA($E$5:$E261))</f>
        <v/>
      </c>
      <c r="B261" s="14"/>
      <c r="C261" s="15"/>
      <c r="D261" s="16"/>
      <c r="E261" s="21"/>
      <c r="F261" s="18"/>
      <c r="G261" s="18"/>
      <c r="H261" s="15"/>
      <c r="I261" s="15"/>
      <c r="J261" s="18"/>
      <c r="K261" s="18"/>
      <c r="L261" s="19" t="str">
        <f aca="false">IF($E261="","",IF(OR($C261="",$D261=""),"",COUNTIFS($C$5:$C$404,$C261,$D$5:$D$404,$D261)))</f>
        <v/>
      </c>
      <c r="M261" s="20" t="str">
        <f aca="false">IF($E261="","",IF(OR($B261="",$C261="",$D261=""),"待补楼栋/房号/日期",SUBSTITUTE($C261,"栋","")&amp;"-"&amp;$D261&amp;"-"&amp;TEXT(MONTH($B261),"00")&amp;TEXT(DAY($B261),"00")&amp;IF(COUNTIFS($C$5:$C261,$C261,$D$5:$D261,$D261)&gt;1,"-"&amp;TEXT(COUNTIFS($C$5:$C261,$C261,$D$5:$D261,$D261),"00"),"")))</f>
        <v/>
      </c>
      <c r="N261" s="21"/>
      <c r="O261" s="18"/>
      <c r="P261" s="21"/>
    </row>
    <row r="262" customFormat="false" ht="21.75" hidden="false" customHeight="true" outlineLevel="0" collapsed="false">
      <c r="A262" s="13" t="str">
        <f aca="false">IF($E262="","",COUNTA($E$5:$E262))</f>
        <v/>
      </c>
      <c r="B262" s="14"/>
      <c r="C262" s="15"/>
      <c r="D262" s="16"/>
      <c r="E262" s="21"/>
      <c r="F262" s="18"/>
      <c r="G262" s="18"/>
      <c r="H262" s="15"/>
      <c r="I262" s="15"/>
      <c r="J262" s="18"/>
      <c r="K262" s="18"/>
      <c r="L262" s="19" t="str">
        <f aca="false">IF($E262="","",IF(OR($C262="",$D262=""),"",COUNTIFS($C$5:$C$404,$C262,$D$5:$D$404,$D262)))</f>
        <v/>
      </c>
      <c r="M262" s="20" t="str">
        <f aca="false">IF($E262="","",IF(OR($B262="",$C262="",$D262=""),"待补楼栋/房号/日期",SUBSTITUTE($C262,"栋","")&amp;"-"&amp;$D262&amp;"-"&amp;TEXT(MONTH($B262),"00")&amp;TEXT(DAY($B262),"00")&amp;IF(COUNTIFS($C$5:$C262,$C262,$D$5:$D262,$D262)&gt;1,"-"&amp;TEXT(COUNTIFS($C$5:$C262,$C262,$D$5:$D262,$D262),"00"),"")))</f>
        <v/>
      </c>
      <c r="N262" s="21"/>
      <c r="O262" s="18"/>
      <c r="P262" s="21"/>
    </row>
    <row r="263" customFormat="false" ht="21.75" hidden="false" customHeight="true" outlineLevel="0" collapsed="false">
      <c r="A263" s="13" t="str">
        <f aca="false">IF($E263="","",COUNTA($E$5:$E263))</f>
        <v/>
      </c>
      <c r="B263" s="14"/>
      <c r="C263" s="15"/>
      <c r="D263" s="16"/>
      <c r="E263" s="21"/>
      <c r="F263" s="18"/>
      <c r="G263" s="18"/>
      <c r="H263" s="15"/>
      <c r="I263" s="15"/>
      <c r="J263" s="18"/>
      <c r="K263" s="18"/>
      <c r="L263" s="19" t="str">
        <f aca="false">IF($E263="","",IF(OR($C263="",$D263=""),"",COUNTIFS($C$5:$C$404,$C263,$D$5:$D$404,$D263)))</f>
        <v/>
      </c>
      <c r="M263" s="20" t="str">
        <f aca="false">IF($E263="","",IF(OR($B263="",$C263="",$D263=""),"待补楼栋/房号/日期",SUBSTITUTE($C263,"栋","")&amp;"-"&amp;$D263&amp;"-"&amp;TEXT(MONTH($B263),"00")&amp;TEXT(DAY($B263),"00")&amp;IF(COUNTIFS($C$5:$C263,$C263,$D$5:$D263,$D263)&gt;1,"-"&amp;TEXT(COUNTIFS($C$5:$C263,$C263,$D$5:$D263,$D263),"00"),"")))</f>
        <v/>
      </c>
      <c r="N263" s="21"/>
      <c r="O263" s="18"/>
      <c r="P263" s="21"/>
    </row>
    <row r="264" customFormat="false" ht="21.75" hidden="false" customHeight="true" outlineLevel="0" collapsed="false">
      <c r="A264" s="13" t="str">
        <f aca="false">IF($E264="","",COUNTA($E$5:$E264))</f>
        <v/>
      </c>
      <c r="B264" s="14"/>
      <c r="C264" s="15"/>
      <c r="D264" s="16"/>
      <c r="E264" s="21"/>
      <c r="F264" s="18"/>
      <c r="G264" s="18"/>
      <c r="H264" s="15"/>
      <c r="I264" s="15"/>
      <c r="J264" s="18"/>
      <c r="K264" s="18"/>
      <c r="L264" s="19" t="str">
        <f aca="false">IF($E264="","",IF(OR($C264="",$D264=""),"",COUNTIFS($C$5:$C$404,$C264,$D$5:$D$404,$D264)))</f>
        <v/>
      </c>
      <c r="M264" s="20" t="str">
        <f aca="false">IF($E264="","",IF(OR($B264="",$C264="",$D264=""),"待补楼栋/房号/日期",SUBSTITUTE($C264,"栋","")&amp;"-"&amp;$D264&amp;"-"&amp;TEXT(MONTH($B264),"00")&amp;TEXT(DAY($B264),"00")&amp;IF(COUNTIFS($C$5:$C264,$C264,$D$5:$D264,$D264)&gt;1,"-"&amp;TEXT(COUNTIFS($C$5:$C264,$C264,$D$5:$D264,$D264),"00"),"")))</f>
        <v/>
      </c>
      <c r="N264" s="21"/>
      <c r="O264" s="18"/>
      <c r="P264" s="21"/>
    </row>
    <row r="265" customFormat="false" ht="21.75" hidden="false" customHeight="true" outlineLevel="0" collapsed="false">
      <c r="A265" s="13" t="str">
        <f aca="false">IF($E265="","",COUNTA($E$5:$E265))</f>
        <v/>
      </c>
      <c r="B265" s="14"/>
      <c r="C265" s="15"/>
      <c r="D265" s="16"/>
      <c r="E265" s="21"/>
      <c r="F265" s="18"/>
      <c r="G265" s="18"/>
      <c r="H265" s="15"/>
      <c r="I265" s="15"/>
      <c r="J265" s="18"/>
      <c r="K265" s="18"/>
      <c r="L265" s="19" t="str">
        <f aca="false">IF($E265="","",IF(OR($C265="",$D265=""),"",COUNTIFS($C$5:$C$404,$C265,$D$5:$D$404,$D265)))</f>
        <v/>
      </c>
      <c r="M265" s="20" t="str">
        <f aca="false">IF($E265="","",IF(OR($B265="",$C265="",$D265=""),"待补楼栋/房号/日期",SUBSTITUTE($C265,"栋","")&amp;"-"&amp;$D265&amp;"-"&amp;TEXT(MONTH($B265),"00")&amp;TEXT(DAY($B265),"00")&amp;IF(COUNTIFS($C$5:$C265,$C265,$D$5:$D265,$D265)&gt;1,"-"&amp;TEXT(COUNTIFS($C$5:$C265,$C265,$D$5:$D265,$D265),"00"),"")))</f>
        <v/>
      </c>
      <c r="N265" s="21"/>
      <c r="O265" s="18"/>
      <c r="P265" s="21"/>
    </row>
    <row r="266" customFormat="false" ht="21.75" hidden="false" customHeight="true" outlineLevel="0" collapsed="false">
      <c r="A266" s="13" t="str">
        <f aca="false">IF($E266="","",COUNTA($E$5:$E266))</f>
        <v/>
      </c>
      <c r="B266" s="14"/>
      <c r="C266" s="15"/>
      <c r="D266" s="16"/>
      <c r="E266" s="21"/>
      <c r="F266" s="18"/>
      <c r="G266" s="18"/>
      <c r="H266" s="15"/>
      <c r="I266" s="15"/>
      <c r="J266" s="18"/>
      <c r="K266" s="18"/>
      <c r="L266" s="19" t="str">
        <f aca="false">IF($E266="","",IF(OR($C266="",$D266=""),"",COUNTIFS($C$5:$C$404,$C266,$D$5:$D$404,$D266)))</f>
        <v/>
      </c>
      <c r="M266" s="20" t="str">
        <f aca="false">IF($E266="","",IF(OR($B266="",$C266="",$D266=""),"待补楼栋/房号/日期",SUBSTITUTE($C266,"栋","")&amp;"-"&amp;$D266&amp;"-"&amp;TEXT(MONTH($B266),"00")&amp;TEXT(DAY($B266),"00")&amp;IF(COUNTIFS($C$5:$C266,$C266,$D$5:$D266,$D266)&gt;1,"-"&amp;TEXT(COUNTIFS($C$5:$C266,$C266,$D$5:$D266,$D266),"00"),"")))</f>
        <v/>
      </c>
      <c r="N266" s="21"/>
      <c r="O266" s="18"/>
      <c r="P266" s="21"/>
    </row>
    <row r="267" customFormat="false" ht="21.75" hidden="false" customHeight="true" outlineLevel="0" collapsed="false">
      <c r="A267" s="13" t="str">
        <f aca="false">IF($E267="","",COUNTA($E$5:$E267))</f>
        <v/>
      </c>
      <c r="B267" s="14"/>
      <c r="C267" s="15"/>
      <c r="D267" s="16"/>
      <c r="E267" s="21"/>
      <c r="F267" s="18"/>
      <c r="G267" s="18"/>
      <c r="H267" s="15"/>
      <c r="I267" s="15"/>
      <c r="J267" s="18"/>
      <c r="K267" s="18"/>
      <c r="L267" s="19" t="str">
        <f aca="false">IF($E267="","",IF(OR($C267="",$D267=""),"",COUNTIFS($C$5:$C$404,$C267,$D$5:$D$404,$D267)))</f>
        <v/>
      </c>
      <c r="M267" s="20" t="str">
        <f aca="false">IF($E267="","",IF(OR($B267="",$C267="",$D267=""),"待补楼栋/房号/日期",SUBSTITUTE($C267,"栋","")&amp;"-"&amp;$D267&amp;"-"&amp;TEXT(MONTH($B267),"00")&amp;TEXT(DAY($B267),"00")&amp;IF(COUNTIFS($C$5:$C267,$C267,$D$5:$D267,$D267)&gt;1,"-"&amp;TEXT(COUNTIFS($C$5:$C267,$C267,$D$5:$D267,$D267),"00"),"")))</f>
        <v/>
      </c>
      <c r="N267" s="21"/>
      <c r="O267" s="18"/>
      <c r="P267" s="21"/>
    </row>
    <row r="268" customFormat="false" ht="21.75" hidden="false" customHeight="true" outlineLevel="0" collapsed="false">
      <c r="A268" s="13" t="str">
        <f aca="false">IF($E268="","",COUNTA($E$5:$E268))</f>
        <v/>
      </c>
      <c r="B268" s="14"/>
      <c r="C268" s="15"/>
      <c r="D268" s="16"/>
      <c r="E268" s="21"/>
      <c r="F268" s="18"/>
      <c r="G268" s="18"/>
      <c r="H268" s="15"/>
      <c r="I268" s="15"/>
      <c r="J268" s="18"/>
      <c r="K268" s="18"/>
      <c r="L268" s="19" t="str">
        <f aca="false">IF($E268="","",IF(OR($C268="",$D268=""),"",COUNTIFS($C$5:$C$404,$C268,$D$5:$D$404,$D268)))</f>
        <v/>
      </c>
      <c r="M268" s="20" t="str">
        <f aca="false">IF($E268="","",IF(OR($B268="",$C268="",$D268=""),"待补楼栋/房号/日期",SUBSTITUTE($C268,"栋","")&amp;"-"&amp;$D268&amp;"-"&amp;TEXT(MONTH($B268),"00")&amp;TEXT(DAY($B268),"00")&amp;IF(COUNTIFS($C$5:$C268,$C268,$D$5:$D268,$D268)&gt;1,"-"&amp;TEXT(COUNTIFS($C$5:$C268,$C268,$D$5:$D268,$D268),"00"),"")))</f>
        <v/>
      </c>
      <c r="N268" s="21"/>
      <c r="O268" s="18"/>
      <c r="P268" s="21"/>
    </row>
    <row r="269" customFormat="false" ht="21.75" hidden="false" customHeight="true" outlineLevel="0" collapsed="false">
      <c r="A269" s="13" t="str">
        <f aca="false">IF($E269="","",COUNTA($E$5:$E269))</f>
        <v/>
      </c>
      <c r="B269" s="14"/>
      <c r="C269" s="15"/>
      <c r="D269" s="16"/>
      <c r="E269" s="21"/>
      <c r="F269" s="18"/>
      <c r="G269" s="18"/>
      <c r="H269" s="15"/>
      <c r="I269" s="15"/>
      <c r="J269" s="18"/>
      <c r="K269" s="18"/>
      <c r="L269" s="19" t="str">
        <f aca="false">IF($E269="","",IF(OR($C269="",$D269=""),"",COUNTIFS($C$5:$C$404,$C269,$D$5:$D$404,$D269)))</f>
        <v/>
      </c>
      <c r="M269" s="20" t="str">
        <f aca="false">IF($E269="","",IF(OR($B269="",$C269="",$D269=""),"待补楼栋/房号/日期",SUBSTITUTE($C269,"栋","")&amp;"-"&amp;$D269&amp;"-"&amp;TEXT(MONTH($B269),"00")&amp;TEXT(DAY($B269),"00")&amp;IF(COUNTIFS($C$5:$C269,$C269,$D$5:$D269,$D269)&gt;1,"-"&amp;TEXT(COUNTIFS($C$5:$C269,$C269,$D$5:$D269,$D269),"00"),"")))</f>
        <v/>
      </c>
      <c r="N269" s="21"/>
      <c r="O269" s="18"/>
      <c r="P269" s="21"/>
    </row>
    <row r="270" customFormat="false" ht="21.75" hidden="false" customHeight="true" outlineLevel="0" collapsed="false">
      <c r="A270" s="13" t="str">
        <f aca="false">IF($E270="","",COUNTA($E$5:$E270))</f>
        <v/>
      </c>
      <c r="B270" s="14"/>
      <c r="C270" s="15"/>
      <c r="D270" s="16"/>
      <c r="E270" s="21"/>
      <c r="F270" s="18"/>
      <c r="G270" s="18"/>
      <c r="H270" s="15"/>
      <c r="I270" s="15"/>
      <c r="J270" s="18"/>
      <c r="K270" s="18"/>
      <c r="L270" s="19" t="str">
        <f aca="false">IF($E270="","",IF(OR($C270="",$D270=""),"",COUNTIFS($C$5:$C$404,$C270,$D$5:$D$404,$D270)))</f>
        <v/>
      </c>
      <c r="M270" s="20" t="str">
        <f aca="false">IF($E270="","",IF(OR($B270="",$C270="",$D270=""),"待补楼栋/房号/日期",SUBSTITUTE($C270,"栋","")&amp;"-"&amp;$D270&amp;"-"&amp;TEXT(MONTH($B270),"00")&amp;TEXT(DAY($B270),"00")&amp;IF(COUNTIFS($C$5:$C270,$C270,$D$5:$D270,$D270)&gt;1,"-"&amp;TEXT(COUNTIFS($C$5:$C270,$C270,$D$5:$D270,$D270),"00"),"")))</f>
        <v/>
      </c>
      <c r="N270" s="21"/>
      <c r="O270" s="18"/>
      <c r="P270" s="21"/>
    </row>
    <row r="271" customFormat="false" ht="21.75" hidden="false" customHeight="true" outlineLevel="0" collapsed="false">
      <c r="A271" s="13" t="str">
        <f aca="false">IF($E271="","",COUNTA($E$5:$E271))</f>
        <v/>
      </c>
      <c r="B271" s="14"/>
      <c r="C271" s="15"/>
      <c r="D271" s="16"/>
      <c r="E271" s="21"/>
      <c r="F271" s="18"/>
      <c r="G271" s="18"/>
      <c r="H271" s="15"/>
      <c r="I271" s="15"/>
      <c r="J271" s="18"/>
      <c r="K271" s="18"/>
      <c r="L271" s="19" t="str">
        <f aca="false">IF($E271="","",IF(OR($C271="",$D271=""),"",COUNTIFS($C$5:$C$404,$C271,$D$5:$D$404,$D271)))</f>
        <v/>
      </c>
      <c r="M271" s="20" t="str">
        <f aca="false">IF($E271="","",IF(OR($B271="",$C271="",$D271=""),"待补楼栋/房号/日期",SUBSTITUTE($C271,"栋","")&amp;"-"&amp;$D271&amp;"-"&amp;TEXT(MONTH($B271),"00")&amp;TEXT(DAY($B271),"00")&amp;IF(COUNTIFS($C$5:$C271,$C271,$D$5:$D271,$D271)&gt;1,"-"&amp;TEXT(COUNTIFS($C$5:$C271,$C271,$D$5:$D271,$D271),"00"),"")))</f>
        <v/>
      </c>
      <c r="N271" s="21"/>
      <c r="O271" s="18"/>
      <c r="P271" s="21"/>
    </row>
    <row r="272" customFormat="false" ht="21.75" hidden="false" customHeight="true" outlineLevel="0" collapsed="false">
      <c r="A272" s="13" t="str">
        <f aca="false">IF($E272="","",COUNTA($E$5:$E272))</f>
        <v/>
      </c>
      <c r="B272" s="14"/>
      <c r="C272" s="15"/>
      <c r="D272" s="16"/>
      <c r="E272" s="21"/>
      <c r="F272" s="18"/>
      <c r="G272" s="18"/>
      <c r="H272" s="15"/>
      <c r="I272" s="15"/>
      <c r="J272" s="18"/>
      <c r="K272" s="18"/>
      <c r="L272" s="19" t="str">
        <f aca="false">IF($E272="","",IF(OR($C272="",$D272=""),"",COUNTIFS($C$5:$C$404,$C272,$D$5:$D$404,$D272)))</f>
        <v/>
      </c>
      <c r="M272" s="20" t="str">
        <f aca="false">IF($E272="","",IF(OR($B272="",$C272="",$D272=""),"待补楼栋/房号/日期",SUBSTITUTE($C272,"栋","")&amp;"-"&amp;$D272&amp;"-"&amp;TEXT(MONTH($B272),"00")&amp;TEXT(DAY($B272),"00")&amp;IF(COUNTIFS($C$5:$C272,$C272,$D$5:$D272,$D272)&gt;1,"-"&amp;TEXT(COUNTIFS($C$5:$C272,$C272,$D$5:$D272,$D272),"00"),"")))</f>
        <v/>
      </c>
      <c r="N272" s="21"/>
      <c r="O272" s="18"/>
      <c r="P272" s="21"/>
    </row>
    <row r="273" customFormat="false" ht="21.75" hidden="false" customHeight="true" outlineLevel="0" collapsed="false">
      <c r="A273" s="13" t="str">
        <f aca="false">IF($E273="","",COUNTA($E$5:$E273))</f>
        <v/>
      </c>
      <c r="B273" s="14"/>
      <c r="C273" s="15"/>
      <c r="D273" s="16"/>
      <c r="E273" s="21"/>
      <c r="F273" s="18"/>
      <c r="G273" s="18"/>
      <c r="H273" s="15"/>
      <c r="I273" s="15"/>
      <c r="J273" s="18"/>
      <c r="K273" s="18"/>
      <c r="L273" s="19" t="str">
        <f aca="false">IF($E273="","",IF(OR($C273="",$D273=""),"",COUNTIFS($C$5:$C$404,$C273,$D$5:$D$404,$D273)))</f>
        <v/>
      </c>
      <c r="M273" s="20" t="str">
        <f aca="false">IF($E273="","",IF(OR($B273="",$C273="",$D273=""),"待补楼栋/房号/日期",SUBSTITUTE($C273,"栋","")&amp;"-"&amp;$D273&amp;"-"&amp;TEXT(MONTH($B273),"00")&amp;TEXT(DAY($B273),"00")&amp;IF(COUNTIFS($C$5:$C273,$C273,$D$5:$D273,$D273)&gt;1,"-"&amp;TEXT(COUNTIFS($C$5:$C273,$C273,$D$5:$D273,$D273),"00"),"")))</f>
        <v/>
      </c>
      <c r="N273" s="21"/>
      <c r="O273" s="18"/>
      <c r="P273" s="21"/>
    </row>
    <row r="274" customFormat="false" ht="21.75" hidden="false" customHeight="true" outlineLevel="0" collapsed="false">
      <c r="A274" s="13" t="str">
        <f aca="false">IF($E274="","",COUNTA($E$5:$E274))</f>
        <v/>
      </c>
      <c r="B274" s="14"/>
      <c r="C274" s="15"/>
      <c r="D274" s="16"/>
      <c r="E274" s="21"/>
      <c r="F274" s="18"/>
      <c r="G274" s="18"/>
      <c r="H274" s="15"/>
      <c r="I274" s="15"/>
      <c r="J274" s="18"/>
      <c r="K274" s="18"/>
      <c r="L274" s="19" t="str">
        <f aca="false">IF($E274="","",IF(OR($C274="",$D274=""),"",COUNTIFS($C$5:$C$404,$C274,$D$5:$D$404,$D274)))</f>
        <v/>
      </c>
      <c r="M274" s="20" t="str">
        <f aca="false">IF($E274="","",IF(OR($B274="",$C274="",$D274=""),"待补楼栋/房号/日期",SUBSTITUTE($C274,"栋","")&amp;"-"&amp;$D274&amp;"-"&amp;TEXT(MONTH($B274),"00")&amp;TEXT(DAY($B274),"00")&amp;IF(COUNTIFS($C$5:$C274,$C274,$D$5:$D274,$D274)&gt;1,"-"&amp;TEXT(COUNTIFS($C$5:$C274,$C274,$D$5:$D274,$D274),"00"),"")))</f>
        <v/>
      </c>
      <c r="N274" s="21"/>
      <c r="O274" s="18"/>
      <c r="P274" s="21"/>
    </row>
    <row r="275" customFormat="false" ht="21.75" hidden="false" customHeight="true" outlineLevel="0" collapsed="false">
      <c r="A275" s="13" t="str">
        <f aca="false">IF($E275="","",COUNTA($E$5:$E275))</f>
        <v/>
      </c>
      <c r="B275" s="14"/>
      <c r="C275" s="15"/>
      <c r="D275" s="16"/>
      <c r="E275" s="21"/>
      <c r="F275" s="18"/>
      <c r="G275" s="18"/>
      <c r="H275" s="15"/>
      <c r="I275" s="15"/>
      <c r="J275" s="18"/>
      <c r="K275" s="18"/>
      <c r="L275" s="19" t="str">
        <f aca="false">IF($E275="","",IF(OR($C275="",$D275=""),"",COUNTIFS($C$5:$C$404,$C275,$D$5:$D$404,$D275)))</f>
        <v/>
      </c>
      <c r="M275" s="20" t="str">
        <f aca="false">IF($E275="","",IF(OR($B275="",$C275="",$D275=""),"待补楼栋/房号/日期",SUBSTITUTE($C275,"栋","")&amp;"-"&amp;$D275&amp;"-"&amp;TEXT(MONTH($B275),"00")&amp;TEXT(DAY($B275),"00")&amp;IF(COUNTIFS($C$5:$C275,$C275,$D$5:$D275,$D275)&gt;1,"-"&amp;TEXT(COUNTIFS($C$5:$C275,$C275,$D$5:$D275,$D275),"00"),"")))</f>
        <v/>
      </c>
      <c r="N275" s="21"/>
      <c r="O275" s="18"/>
      <c r="P275" s="21"/>
    </row>
    <row r="276" customFormat="false" ht="21.75" hidden="false" customHeight="true" outlineLevel="0" collapsed="false">
      <c r="A276" s="13" t="str">
        <f aca="false">IF($E276="","",COUNTA($E$5:$E276))</f>
        <v/>
      </c>
      <c r="B276" s="14"/>
      <c r="C276" s="15"/>
      <c r="D276" s="16"/>
      <c r="E276" s="21"/>
      <c r="F276" s="18"/>
      <c r="G276" s="18"/>
      <c r="H276" s="15"/>
      <c r="I276" s="15"/>
      <c r="J276" s="18"/>
      <c r="K276" s="18"/>
      <c r="L276" s="19" t="str">
        <f aca="false">IF($E276="","",IF(OR($C276="",$D276=""),"",COUNTIFS($C$5:$C$404,$C276,$D$5:$D$404,$D276)))</f>
        <v/>
      </c>
      <c r="M276" s="20" t="str">
        <f aca="false">IF($E276="","",IF(OR($B276="",$C276="",$D276=""),"待补楼栋/房号/日期",SUBSTITUTE($C276,"栋","")&amp;"-"&amp;$D276&amp;"-"&amp;TEXT(MONTH($B276),"00")&amp;TEXT(DAY($B276),"00")&amp;IF(COUNTIFS($C$5:$C276,$C276,$D$5:$D276,$D276)&gt;1,"-"&amp;TEXT(COUNTIFS($C$5:$C276,$C276,$D$5:$D276,$D276),"00"),"")))</f>
        <v/>
      </c>
      <c r="N276" s="21"/>
      <c r="O276" s="18"/>
      <c r="P276" s="21"/>
    </row>
    <row r="277" customFormat="false" ht="21.75" hidden="false" customHeight="true" outlineLevel="0" collapsed="false">
      <c r="A277" s="13" t="str">
        <f aca="false">IF($E277="","",COUNTA($E$5:$E277))</f>
        <v/>
      </c>
      <c r="B277" s="14"/>
      <c r="C277" s="15"/>
      <c r="D277" s="16"/>
      <c r="E277" s="21"/>
      <c r="F277" s="18"/>
      <c r="G277" s="18"/>
      <c r="H277" s="15"/>
      <c r="I277" s="15"/>
      <c r="J277" s="18"/>
      <c r="K277" s="18"/>
      <c r="L277" s="19" t="str">
        <f aca="false">IF($E277="","",IF(OR($C277="",$D277=""),"",COUNTIFS($C$5:$C$404,$C277,$D$5:$D$404,$D277)))</f>
        <v/>
      </c>
      <c r="M277" s="20" t="str">
        <f aca="false">IF($E277="","",IF(OR($B277="",$C277="",$D277=""),"待补楼栋/房号/日期",SUBSTITUTE($C277,"栋","")&amp;"-"&amp;$D277&amp;"-"&amp;TEXT(MONTH($B277),"00")&amp;TEXT(DAY($B277),"00")&amp;IF(COUNTIFS($C$5:$C277,$C277,$D$5:$D277,$D277)&gt;1,"-"&amp;TEXT(COUNTIFS($C$5:$C277,$C277,$D$5:$D277,$D277),"00"),"")))</f>
        <v/>
      </c>
      <c r="N277" s="21"/>
      <c r="O277" s="18"/>
      <c r="P277" s="21"/>
    </row>
    <row r="278" customFormat="false" ht="21.75" hidden="false" customHeight="true" outlineLevel="0" collapsed="false">
      <c r="A278" s="13" t="str">
        <f aca="false">IF($E278="","",COUNTA($E$5:$E278))</f>
        <v/>
      </c>
      <c r="B278" s="14"/>
      <c r="C278" s="15"/>
      <c r="D278" s="16"/>
      <c r="E278" s="21"/>
      <c r="F278" s="18"/>
      <c r="G278" s="18"/>
      <c r="H278" s="15"/>
      <c r="I278" s="15"/>
      <c r="J278" s="18"/>
      <c r="K278" s="18"/>
      <c r="L278" s="19" t="str">
        <f aca="false">IF($E278="","",IF(OR($C278="",$D278=""),"",COUNTIFS($C$5:$C$404,$C278,$D$5:$D$404,$D278)))</f>
        <v/>
      </c>
      <c r="M278" s="20" t="str">
        <f aca="false">IF($E278="","",IF(OR($B278="",$C278="",$D278=""),"待补楼栋/房号/日期",SUBSTITUTE($C278,"栋","")&amp;"-"&amp;$D278&amp;"-"&amp;TEXT(MONTH($B278),"00")&amp;TEXT(DAY($B278),"00")&amp;IF(COUNTIFS($C$5:$C278,$C278,$D$5:$D278,$D278)&gt;1,"-"&amp;TEXT(COUNTIFS($C$5:$C278,$C278,$D$5:$D278,$D278),"00"),"")))</f>
        <v/>
      </c>
      <c r="N278" s="21"/>
      <c r="O278" s="18"/>
      <c r="P278" s="21"/>
    </row>
    <row r="279" customFormat="false" ht="21.75" hidden="false" customHeight="true" outlineLevel="0" collapsed="false">
      <c r="A279" s="13" t="str">
        <f aca="false">IF($E279="","",COUNTA($E$5:$E279))</f>
        <v/>
      </c>
      <c r="B279" s="14"/>
      <c r="C279" s="15"/>
      <c r="D279" s="16"/>
      <c r="E279" s="21"/>
      <c r="F279" s="18"/>
      <c r="G279" s="18"/>
      <c r="H279" s="15"/>
      <c r="I279" s="15"/>
      <c r="J279" s="18"/>
      <c r="K279" s="18"/>
      <c r="L279" s="19" t="str">
        <f aca="false">IF($E279="","",IF(OR($C279="",$D279=""),"",COUNTIFS($C$5:$C$404,$C279,$D$5:$D$404,$D279)))</f>
        <v/>
      </c>
      <c r="M279" s="20" t="str">
        <f aca="false">IF($E279="","",IF(OR($B279="",$C279="",$D279=""),"待补楼栋/房号/日期",SUBSTITUTE($C279,"栋","")&amp;"-"&amp;$D279&amp;"-"&amp;TEXT(MONTH($B279),"00")&amp;TEXT(DAY($B279),"00")&amp;IF(COUNTIFS($C$5:$C279,$C279,$D$5:$D279,$D279)&gt;1,"-"&amp;TEXT(COUNTIFS($C$5:$C279,$C279,$D$5:$D279,$D279),"00"),"")))</f>
        <v/>
      </c>
      <c r="N279" s="21"/>
      <c r="O279" s="18"/>
      <c r="P279" s="21"/>
    </row>
    <row r="280" customFormat="false" ht="21.75" hidden="false" customHeight="true" outlineLevel="0" collapsed="false">
      <c r="A280" s="13" t="str">
        <f aca="false">IF($E280="","",COUNTA($E$5:$E280))</f>
        <v/>
      </c>
      <c r="B280" s="14"/>
      <c r="C280" s="15"/>
      <c r="D280" s="16"/>
      <c r="E280" s="21"/>
      <c r="F280" s="18"/>
      <c r="G280" s="18"/>
      <c r="H280" s="15"/>
      <c r="I280" s="15"/>
      <c r="J280" s="18"/>
      <c r="K280" s="18"/>
      <c r="L280" s="19" t="str">
        <f aca="false">IF($E280="","",IF(OR($C280="",$D280=""),"",COUNTIFS($C$5:$C$404,$C280,$D$5:$D$404,$D280)))</f>
        <v/>
      </c>
      <c r="M280" s="20" t="str">
        <f aca="false">IF($E280="","",IF(OR($B280="",$C280="",$D280=""),"待补楼栋/房号/日期",SUBSTITUTE($C280,"栋","")&amp;"-"&amp;$D280&amp;"-"&amp;TEXT(MONTH($B280),"00")&amp;TEXT(DAY($B280),"00")&amp;IF(COUNTIFS($C$5:$C280,$C280,$D$5:$D280,$D280)&gt;1,"-"&amp;TEXT(COUNTIFS($C$5:$C280,$C280,$D$5:$D280,$D280),"00"),"")))</f>
        <v/>
      </c>
      <c r="N280" s="21"/>
      <c r="O280" s="18"/>
      <c r="P280" s="21"/>
    </row>
    <row r="281" customFormat="false" ht="21.75" hidden="false" customHeight="true" outlineLevel="0" collapsed="false">
      <c r="A281" s="13" t="str">
        <f aca="false">IF($E281="","",COUNTA($E$5:$E281))</f>
        <v/>
      </c>
      <c r="B281" s="14"/>
      <c r="C281" s="15"/>
      <c r="D281" s="16"/>
      <c r="E281" s="21"/>
      <c r="F281" s="18"/>
      <c r="G281" s="18"/>
      <c r="H281" s="15"/>
      <c r="I281" s="15"/>
      <c r="J281" s="18"/>
      <c r="K281" s="18"/>
      <c r="L281" s="19" t="str">
        <f aca="false">IF($E281="","",IF(OR($C281="",$D281=""),"",COUNTIFS($C$5:$C$404,$C281,$D$5:$D$404,$D281)))</f>
        <v/>
      </c>
      <c r="M281" s="20" t="str">
        <f aca="false">IF($E281="","",IF(OR($B281="",$C281="",$D281=""),"待补楼栋/房号/日期",SUBSTITUTE($C281,"栋","")&amp;"-"&amp;$D281&amp;"-"&amp;TEXT(MONTH($B281),"00")&amp;TEXT(DAY($B281),"00")&amp;IF(COUNTIFS($C$5:$C281,$C281,$D$5:$D281,$D281)&gt;1,"-"&amp;TEXT(COUNTIFS($C$5:$C281,$C281,$D$5:$D281,$D281),"00"),"")))</f>
        <v/>
      </c>
      <c r="N281" s="21"/>
      <c r="O281" s="18"/>
      <c r="P281" s="21"/>
    </row>
    <row r="282" customFormat="false" ht="21.75" hidden="false" customHeight="true" outlineLevel="0" collapsed="false">
      <c r="A282" s="13" t="str">
        <f aca="false">IF($E282="","",COUNTA($E$5:$E282))</f>
        <v/>
      </c>
      <c r="B282" s="14"/>
      <c r="C282" s="15"/>
      <c r="D282" s="16"/>
      <c r="E282" s="21"/>
      <c r="F282" s="18"/>
      <c r="G282" s="18"/>
      <c r="H282" s="15"/>
      <c r="I282" s="15"/>
      <c r="J282" s="18"/>
      <c r="K282" s="18"/>
      <c r="L282" s="19" t="str">
        <f aca="false">IF($E282="","",IF(OR($C282="",$D282=""),"",COUNTIFS($C$5:$C$404,$C282,$D$5:$D$404,$D282)))</f>
        <v/>
      </c>
      <c r="M282" s="20" t="str">
        <f aca="false">IF($E282="","",IF(OR($B282="",$C282="",$D282=""),"待补楼栋/房号/日期",SUBSTITUTE($C282,"栋","")&amp;"-"&amp;$D282&amp;"-"&amp;TEXT(MONTH($B282),"00")&amp;TEXT(DAY($B282),"00")&amp;IF(COUNTIFS($C$5:$C282,$C282,$D$5:$D282,$D282)&gt;1,"-"&amp;TEXT(COUNTIFS($C$5:$C282,$C282,$D$5:$D282,$D282),"00"),"")))</f>
        <v/>
      </c>
      <c r="N282" s="21"/>
      <c r="O282" s="18"/>
      <c r="P282" s="21"/>
    </row>
    <row r="283" customFormat="false" ht="21.75" hidden="false" customHeight="true" outlineLevel="0" collapsed="false">
      <c r="A283" s="13" t="str">
        <f aca="false">IF($E283="","",COUNTA($E$5:$E283))</f>
        <v/>
      </c>
      <c r="B283" s="14"/>
      <c r="C283" s="15"/>
      <c r="D283" s="16"/>
      <c r="E283" s="21"/>
      <c r="F283" s="18"/>
      <c r="G283" s="18"/>
      <c r="H283" s="15"/>
      <c r="I283" s="15"/>
      <c r="J283" s="18"/>
      <c r="K283" s="18"/>
      <c r="L283" s="19" t="str">
        <f aca="false">IF($E283="","",IF(OR($C283="",$D283=""),"",COUNTIFS($C$5:$C$404,$C283,$D$5:$D$404,$D283)))</f>
        <v/>
      </c>
      <c r="M283" s="20" t="str">
        <f aca="false">IF($E283="","",IF(OR($B283="",$C283="",$D283=""),"待补楼栋/房号/日期",SUBSTITUTE($C283,"栋","")&amp;"-"&amp;$D283&amp;"-"&amp;TEXT(MONTH($B283),"00")&amp;TEXT(DAY($B283),"00")&amp;IF(COUNTIFS($C$5:$C283,$C283,$D$5:$D283,$D283)&gt;1,"-"&amp;TEXT(COUNTIFS($C$5:$C283,$C283,$D$5:$D283,$D283),"00"),"")))</f>
        <v/>
      </c>
      <c r="N283" s="21"/>
      <c r="O283" s="18"/>
      <c r="P283" s="21"/>
    </row>
    <row r="284" customFormat="false" ht="21.75" hidden="false" customHeight="true" outlineLevel="0" collapsed="false">
      <c r="A284" s="13" t="str">
        <f aca="false">IF($E284="","",COUNTA($E$5:$E284))</f>
        <v/>
      </c>
      <c r="B284" s="14"/>
      <c r="C284" s="15"/>
      <c r="D284" s="16"/>
      <c r="E284" s="21"/>
      <c r="F284" s="18"/>
      <c r="G284" s="18"/>
      <c r="H284" s="15"/>
      <c r="I284" s="15"/>
      <c r="J284" s="18"/>
      <c r="K284" s="18"/>
      <c r="L284" s="19" t="str">
        <f aca="false">IF($E284="","",IF(OR($C284="",$D284=""),"",COUNTIFS($C$5:$C$404,$C284,$D$5:$D$404,$D284)))</f>
        <v/>
      </c>
      <c r="M284" s="20" t="str">
        <f aca="false">IF($E284="","",IF(OR($B284="",$C284="",$D284=""),"待补楼栋/房号/日期",SUBSTITUTE($C284,"栋","")&amp;"-"&amp;$D284&amp;"-"&amp;TEXT(MONTH($B284),"00")&amp;TEXT(DAY($B284),"00")&amp;IF(COUNTIFS($C$5:$C284,$C284,$D$5:$D284,$D284)&gt;1,"-"&amp;TEXT(COUNTIFS($C$5:$C284,$C284,$D$5:$D284,$D284),"00"),"")))</f>
        <v/>
      </c>
      <c r="N284" s="21"/>
      <c r="O284" s="18"/>
      <c r="P284" s="21"/>
    </row>
    <row r="285" customFormat="false" ht="21.75" hidden="false" customHeight="true" outlineLevel="0" collapsed="false">
      <c r="A285" s="13" t="str">
        <f aca="false">IF($E285="","",COUNTA($E$5:$E285))</f>
        <v/>
      </c>
      <c r="B285" s="14"/>
      <c r="C285" s="15"/>
      <c r="D285" s="16"/>
      <c r="E285" s="21"/>
      <c r="F285" s="18"/>
      <c r="G285" s="18"/>
      <c r="H285" s="15"/>
      <c r="I285" s="15"/>
      <c r="J285" s="18"/>
      <c r="K285" s="18"/>
      <c r="L285" s="19" t="str">
        <f aca="false">IF($E285="","",IF(OR($C285="",$D285=""),"",COUNTIFS($C$5:$C$404,$C285,$D$5:$D$404,$D285)))</f>
        <v/>
      </c>
      <c r="M285" s="20" t="str">
        <f aca="false">IF($E285="","",IF(OR($B285="",$C285="",$D285=""),"待补楼栋/房号/日期",SUBSTITUTE($C285,"栋","")&amp;"-"&amp;$D285&amp;"-"&amp;TEXT(MONTH($B285),"00")&amp;TEXT(DAY($B285),"00")&amp;IF(COUNTIFS($C$5:$C285,$C285,$D$5:$D285,$D285)&gt;1,"-"&amp;TEXT(COUNTIFS($C$5:$C285,$C285,$D$5:$D285,$D285),"00"),"")))</f>
        <v/>
      </c>
      <c r="N285" s="21"/>
      <c r="O285" s="18"/>
      <c r="P285" s="21"/>
    </row>
    <row r="286" customFormat="false" ht="21.75" hidden="false" customHeight="true" outlineLevel="0" collapsed="false">
      <c r="A286" s="13" t="str">
        <f aca="false">IF($E286="","",COUNTA($E$5:$E286))</f>
        <v/>
      </c>
      <c r="B286" s="14"/>
      <c r="C286" s="15"/>
      <c r="D286" s="16"/>
      <c r="E286" s="21"/>
      <c r="F286" s="18"/>
      <c r="G286" s="18"/>
      <c r="H286" s="15"/>
      <c r="I286" s="15"/>
      <c r="J286" s="18"/>
      <c r="K286" s="18"/>
      <c r="L286" s="19" t="str">
        <f aca="false">IF($E286="","",IF(OR($C286="",$D286=""),"",COUNTIFS($C$5:$C$404,$C286,$D$5:$D$404,$D286)))</f>
        <v/>
      </c>
      <c r="M286" s="20" t="str">
        <f aca="false">IF($E286="","",IF(OR($B286="",$C286="",$D286=""),"待补楼栋/房号/日期",SUBSTITUTE($C286,"栋","")&amp;"-"&amp;$D286&amp;"-"&amp;TEXT(MONTH($B286),"00")&amp;TEXT(DAY($B286),"00")&amp;IF(COUNTIFS($C$5:$C286,$C286,$D$5:$D286,$D286)&gt;1,"-"&amp;TEXT(COUNTIFS($C$5:$C286,$C286,$D$5:$D286,$D286),"00"),"")))</f>
        <v/>
      </c>
      <c r="N286" s="21"/>
      <c r="O286" s="18"/>
      <c r="P286" s="21"/>
    </row>
    <row r="287" customFormat="false" ht="21.75" hidden="false" customHeight="true" outlineLevel="0" collapsed="false">
      <c r="A287" s="13" t="str">
        <f aca="false">IF($E287="","",COUNTA($E$5:$E287))</f>
        <v/>
      </c>
      <c r="B287" s="14"/>
      <c r="C287" s="15"/>
      <c r="D287" s="16"/>
      <c r="E287" s="21"/>
      <c r="F287" s="18"/>
      <c r="G287" s="18"/>
      <c r="H287" s="15"/>
      <c r="I287" s="15"/>
      <c r="J287" s="18"/>
      <c r="K287" s="18"/>
      <c r="L287" s="19" t="str">
        <f aca="false">IF($E287="","",IF(OR($C287="",$D287=""),"",COUNTIFS($C$5:$C$404,$C287,$D$5:$D$404,$D287)))</f>
        <v/>
      </c>
      <c r="M287" s="20" t="str">
        <f aca="false">IF($E287="","",IF(OR($B287="",$C287="",$D287=""),"待补楼栋/房号/日期",SUBSTITUTE($C287,"栋","")&amp;"-"&amp;$D287&amp;"-"&amp;TEXT(MONTH($B287),"00")&amp;TEXT(DAY($B287),"00")&amp;IF(COUNTIFS($C$5:$C287,$C287,$D$5:$D287,$D287)&gt;1,"-"&amp;TEXT(COUNTIFS($C$5:$C287,$C287,$D$5:$D287,$D287),"00"),"")))</f>
        <v/>
      </c>
      <c r="N287" s="21"/>
      <c r="O287" s="18"/>
      <c r="P287" s="21"/>
    </row>
    <row r="288" customFormat="false" ht="21.75" hidden="false" customHeight="true" outlineLevel="0" collapsed="false">
      <c r="A288" s="13" t="str">
        <f aca="false">IF($E288="","",COUNTA($E$5:$E288))</f>
        <v/>
      </c>
      <c r="B288" s="14"/>
      <c r="C288" s="15"/>
      <c r="D288" s="16"/>
      <c r="E288" s="21"/>
      <c r="F288" s="18"/>
      <c r="G288" s="18"/>
      <c r="H288" s="15"/>
      <c r="I288" s="15"/>
      <c r="J288" s="18"/>
      <c r="K288" s="18"/>
      <c r="L288" s="19" t="str">
        <f aca="false">IF($E288="","",IF(OR($C288="",$D288=""),"",COUNTIFS($C$5:$C$404,$C288,$D$5:$D$404,$D288)))</f>
        <v/>
      </c>
      <c r="M288" s="20" t="str">
        <f aca="false">IF($E288="","",IF(OR($B288="",$C288="",$D288=""),"待补楼栋/房号/日期",SUBSTITUTE($C288,"栋","")&amp;"-"&amp;$D288&amp;"-"&amp;TEXT(MONTH($B288),"00")&amp;TEXT(DAY($B288),"00")&amp;IF(COUNTIFS($C$5:$C288,$C288,$D$5:$D288,$D288)&gt;1,"-"&amp;TEXT(COUNTIFS($C$5:$C288,$C288,$D$5:$D288,$D288),"00"),"")))</f>
        <v/>
      </c>
      <c r="N288" s="21"/>
      <c r="O288" s="18"/>
      <c r="P288" s="21"/>
    </row>
    <row r="289" customFormat="false" ht="21.75" hidden="false" customHeight="true" outlineLevel="0" collapsed="false">
      <c r="A289" s="13" t="str">
        <f aca="false">IF($E289="","",COUNTA($E$5:$E289))</f>
        <v/>
      </c>
      <c r="B289" s="14"/>
      <c r="C289" s="15"/>
      <c r="D289" s="16"/>
      <c r="E289" s="21"/>
      <c r="F289" s="18"/>
      <c r="G289" s="18"/>
      <c r="H289" s="15"/>
      <c r="I289" s="15"/>
      <c r="J289" s="18"/>
      <c r="K289" s="18"/>
      <c r="L289" s="19" t="str">
        <f aca="false">IF($E289="","",IF(OR($C289="",$D289=""),"",COUNTIFS($C$5:$C$404,$C289,$D$5:$D$404,$D289)))</f>
        <v/>
      </c>
      <c r="M289" s="20" t="str">
        <f aca="false">IF($E289="","",IF(OR($B289="",$C289="",$D289=""),"待补楼栋/房号/日期",SUBSTITUTE($C289,"栋","")&amp;"-"&amp;$D289&amp;"-"&amp;TEXT(MONTH($B289),"00")&amp;TEXT(DAY($B289),"00")&amp;IF(COUNTIFS($C$5:$C289,$C289,$D$5:$D289,$D289)&gt;1,"-"&amp;TEXT(COUNTIFS($C$5:$C289,$C289,$D$5:$D289,$D289),"00"),"")))</f>
        <v/>
      </c>
      <c r="N289" s="21"/>
      <c r="O289" s="18"/>
      <c r="P289" s="21"/>
    </row>
    <row r="290" customFormat="false" ht="21.75" hidden="false" customHeight="true" outlineLevel="0" collapsed="false">
      <c r="A290" s="13" t="str">
        <f aca="false">IF($E290="","",COUNTA($E$5:$E290))</f>
        <v/>
      </c>
      <c r="B290" s="14"/>
      <c r="C290" s="15"/>
      <c r="D290" s="16"/>
      <c r="E290" s="21"/>
      <c r="F290" s="18"/>
      <c r="G290" s="18"/>
      <c r="H290" s="15"/>
      <c r="I290" s="15"/>
      <c r="J290" s="18"/>
      <c r="K290" s="18"/>
      <c r="L290" s="19" t="str">
        <f aca="false">IF($E290="","",IF(OR($C290="",$D290=""),"",COUNTIFS($C$5:$C$404,$C290,$D$5:$D$404,$D290)))</f>
        <v/>
      </c>
      <c r="M290" s="20" t="str">
        <f aca="false">IF($E290="","",IF(OR($B290="",$C290="",$D290=""),"待补楼栋/房号/日期",SUBSTITUTE($C290,"栋","")&amp;"-"&amp;$D290&amp;"-"&amp;TEXT(MONTH($B290),"00")&amp;TEXT(DAY($B290),"00")&amp;IF(COUNTIFS($C$5:$C290,$C290,$D$5:$D290,$D290)&gt;1,"-"&amp;TEXT(COUNTIFS($C$5:$C290,$C290,$D$5:$D290,$D290),"00"),"")))</f>
        <v/>
      </c>
      <c r="N290" s="21"/>
      <c r="O290" s="18"/>
      <c r="P290" s="21"/>
    </row>
    <row r="291" customFormat="false" ht="21.75" hidden="false" customHeight="true" outlineLevel="0" collapsed="false">
      <c r="A291" s="13" t="str">
        <f aca="false">IF($E291="","",COUNTA($E$5:$E291))</f>
        <v/>
      </c>
      <c r="B291" s="14"/>
      <c r="C291" s="15"/>
      <c r="D291" s="16"/>
      <c r="E291" s="21"/>
      <c r="F291" s="18"/>
      <c r="G291" s="18"/>
      <c r="H291" s="15"/>
      <c r="I291" s="15"/>
      <c r="J291" s="18"/>
      <c r="K291" s="18"/>
      <c r="L291" s="19" t="str">
        <f aca="false">IF($E291="","",IF(OR($C291="",$D291=""),"",COUNTIFS($C$5:$C$404,$C291,$D$5:$D$404,$D291)))</f>
        <v/>
      </c>
      <c r="M291" s="20" t="str">
        <f aca="false">IF($E291="","",IF(OR($B291="",$C291="",$D291=""),"待补楼栋/房号/日期",SUBSTITUTE($C291,"栋","")&amp;"-"&amp;$D291&amp;"-"&amp;TEXT(MONTH($B291),"00")&amp;TEXT(DAY($B291),"00")&amp;IF(COUNTIFS($C$5:$C291,$C291,$D$5:$D291,$D291)&gt;1,"-"&amp;TEXT(COUNTIFS($C$5:$C291,$C291,$D$5:$D291,$D291),"00"),"")))</f>
        <v/>
      </c>
      <c r="N291" s="21"/>
      <c r="O291" s="18"/>
      <c r="P291" s="21"/>
    </row>
    <row r="292" customFormat="false" ht="21.75" hidden="false" customHeight="true" outlineLevel="0" collapsed="false">
      <c r="A292" s="13" t="str">
        <f aca="false">IF($E292="","",COUNTA($E$5:$E292))</f>
        <v/>
      </c>
      <c r="B292" s="14"/>
      <c r="C292" s="15"/>
      <c r="D292" s="16"/>
      <c r="E292" s="21"/>
      <c r="F292" s="18"/>
      <c r="G292" s="18"/>
      <c r="H292" s="15"/>
      <c r="I292" s="15"/>
      <c r="J292" s="18"/>
      <c r="K292" s="18"/>
      <c r="L292" s="19" t="str">
        <f aca="false">IF($E292="","",IF(OR($C292="",$D292=""),"",COUNTIFS($C$5:$C$404,$C292,$D$5:$D$404,$D292)))</f>
        <v/>
      </c>
      <c r="M292" s="20" t="str">
        <f aca="false">IF($E292="","",IF(OR($B292="",$C292="",$D292=""),"待补楼栋/房号/日期",SUBSTITUTE($C292,"栋","")&amp;"-"&amp;$D292&amp;"-"&amp;TEXT(MONTH($B292),"00")&amp;TEXT(DAY($B292),"00")&amp;IF(COUNTIFS($C$5:$C292,$C292,$D$5:$D292,$D292)&gt;1,"-"&amp;TEXT(COUNTIFS($C$5:$C292,$C292,$D$5:$D292,$D292),"00"),"")))</f>
        <v/>
      </c>
      <c r="N292" s="21"/>
      <c r="O292" s="18"/>
      <c r="P292" s="21"/>
    </row>
    <row r="293" customFormat="false" ht="21.75" hidden="false" customHeight="true" outlineLevel="0" collapsed="false">
      <c r="A293" s="13" t="str">
        <f aca="false">IF($E293="","",COUNTA($E$5:$E293))</f>
        <v/>
      </c>
      <c r="B293" s="14"/>
      <c r="C293" s="15"/>
      <c r="D293" s="16"/>
      <c r="E293" s="21"/>
      <c r="F293" s="18"/>
      <c r="G293" s="18"/>
      <c r="H293" s="15"/>
      <c r="I293" s="15"/>
      <c r="J293" s="18"/>
      <c r="K293" s="18"/>
      <c r="L293" s="19" t="str">
        <f aca="false">IF($E293="","",IF(OR($C293="",$D293=""),"",COUNTIFS($C$5:$C$404,$C293,$D$5:$D$404,$D293)))</f>
        <v/>
      </c>
      <c r="M293" s="20" t="str">
        <f aca="false">IF($E293="","",IF(OR($B293="",$C293="",$D293=""),"待补楼栋/房号/日期",SUBSTITUTE($C293,"栋","")&amp;"-"&amp;$D293&amp;"-"&amp;TEXT(MONTH($B293),"00")&amp;TEXT(DAY($B293),"00")&amp;IF(COUNTIFS($C$5:$C293,$C293,$D$5:$D293,$D293)&gt;1,"-"&amp;TEXT(COUNTIFS($C$5:$C293,$C293,$D$5:$D293,$D293),"00"),"")))</f>
        <v/>
      </c>
      <c r="N293" s="21"/>
      <c r="O293" s="18"/>
      <c r="P293" s="21"/>
    </row>
    <row r="294" customFormat="false" ht="21.75" hidden="false" customHeight="true" outlineLevel="0" collapsed="false">
      <c r="A294" s="13" t="str">
        <f aca="false">IF($E294="","",COUNTA($E$5:$E294))</f>
        <v/>
      </c>
      <c r="B294" s="14"/>
      <c r="C294" s="15"/>
      <c r="D294" s="16"/>
      <c r="E294" s="21"/>
      <c r="F294" s="18"/>
      <c r="G294" s="18"/>
      <c r="H294" s="15"/>
      <c r="I294" s="15"/>
      <c r="J294" s="18"/>
      <c r="K294" s="18"/>
      <c r="L294" s="19" t="str">
        <f aca="false">IF($E294="","",IF(OR($C294="",$D294=""),"",COUNTIFS($C$5:$C$404,$C294,$D$5:$D$404,$D294)))</f>
        <v/>
      </c>
      <c r="M294" s="20" t="str">
        <f aca="false">IF($E294="","",IF(OR($B294="",$C294="",$D294=""),"待补楼栋/房号/日期",SUBSTITUTE($C294,"栋","")&amp;"-"&amp;$D294&amp;"-"&amp;TEXT(MONTH($B294),"00")&amp;TEXT(DAY($B294),"00")&amp;IF(COUNTIFS($C$5:$C294,$C294,$D$5:$D294,$D294)&gt;1,"-"&amp;TEXT(COUNTIFS($C$5:$C294,$C294,$D$5:$D294,$D294),"00"),"")))</f>
        <v/>
      </c>
      <c r="N294" s="21"/>
      <c r="O294" s="18"/>
      <c r="P294" s="21"/>
    </row>
    <row r="295" customFormat="false" ht="21.75" hidden="false" customHeight="true" outlineLevel="0" collapsed="false">
      <c r="A295" s="13" t="str">
        <f aca="false">IF($E295="","",COUNTA($E$5:$E295))</f>
        <v/>
      </c>
      <c r="B295" s="14"/>
      <c r="C295" s="15"/>
      <c r="D295" s="16"/>
      <c r="E295" s="21"/>
      <c r="F295" s="18"/>
      <c r="G295" s="18"/>
      <c r="H295" s="15"/>
      <c r="I295" s="15"/>
      <c r="J295" s="18"/>
      <c r="K295" s="18"/>
      <c r="L295" s="19" t="str">
        <f aca="false">IF($E295="","",IF(OR($C295="",$D295=""),"",COUNTIFS($C$5:$C$404,$C295,$D$5:$D$404,$D295)))</f>
        <v/>
      </c>
      <c r="M295" s="20" t="str">
        <f aca="false">IF($E295="","",IF(OR($B295="",$C295="",$D295=""),"待补楼栋/房号/日期",SUBSTITUTE($C295,"栋","")&amp;"-"&amp;$D295&amp;"-"&amp;TEXT(MONTH($B295),"00")&amp;TEXT(DAY($B295),"00")&amp;IF(COUNTIFS($C$5:$C295,$C295,$D$5:$D295,$D295)&gt;1,"-"&amp;TEXT(COUNTIFS($C$5:$C295,$C295,$D$5:$D295,$D295),"00"),"")))</f>
        <v/>
      </c>
      <c r="N295" s="21"/>
      <c r="O295" s="18"/>
      <c r="P295" s="21"/>
    </row>
    <row r="296" customFormat="false" ht="21.75" hidden="false" customHeight="true" outlineLevel="0" collapsed="false">
      <c r="A296" s="13" t="str">
        <f aca="false">IF($E296="","",COUNTA($E$5:$E296))</f>
        <v/>
      </c>
      <c r="B296" s="14"/>
      <c r="C296" s="15"/>
      <c r="D296" s="16"/>
      <c r="E296" s="21"/>
      <c r="F296" s="18"/>
      <c r="G296" s="18"/>
      <c r="H296" s="15"/>
      <c r="I296" s="15"/>
      <c r="J296" s="18"/>
      <c r="K296" s="18"/>
      <c r="L296" s="19" t="str">
        <f aca="false">IF($E296="","",IF(OR($C296="",$D296=""),"",COUNTIFS($C$5:$C$404,$C296,$D$5:$D$404,$D296)))</f>
        <v/>
      </c>
      <c r="M296" s="20" t="str">
        <f aca="false">IF($E296="","",IF(OR($B296="",$C296="",$D296=""),"待补楼栋/房号/日期",SUBSTITUTE($C296,"栋","")&amp;"-"&amp;$D296&amp;"-"&amp;TEXT(MONTH($B296),"00")&amp;TEXT(DAY($B296),"00")&amp;IF(COUNTIFS($C$5:$C296,$C296,$D$5:$D296,$D296)&gt;1,"-"&amp;TEXT(COUNTIFS($C$5:$C296,$C296,$D$5:$D296,$D296),"00"),"")))</f>
        <v/>
      </c>
      <c r="N296" s="21"/>
      <c r="O296" s="18"/>
      <c r="P296" s="21"/>
    </row>
    <row r="297" customFormat="false" ht="21.75" hidden="false" customHeight="true" outlineLevel="0" collapsed="false">
      <c r="A297" s="13" t="str">
        <f aca="false">IF($E297="","",COUNTA($E$5:$E297))</f>
        <v/>
      </c>
      <c r="B297" s="14"/>
      <c r="C297" s="15"/>
      <c r="D297" s="16"/>
      <c r="E297" s="21"/>
      <c r="F297" s="18"/>
      <c r="G297" s="18"/>
      <c r="H297" s="15"/>
      <c r="I297" s="15"/>
      <c r="J297" s="18"/>
      <c r="K297" s="18"/>
      <c r="L297" s="19" t="str">
        <f aca="false">IF($E297="","",IF(OR($C297="",$D297=""),"",COUNTIFS($C$5:$C$404,$C297,$D$5:$D$404,$D297)))</f>
        <v/>
      </c>
      <c r="M297" s="20" t="str">
        <f aca="false">IF($E297="","",IF(OR($B297="",$C297="",$D297=""),"待补楼栋/房号/日期",SUBSTITUTE($C297,"栋","")&amp;"-"&amp;$D297&amp;"-"&amp;TEXT(MONTH($B297),"00")&amp;TEXT(DAY($B297),"00")&amp;IF(COUNTIFS($C$5:$C297,$C297,$D$5:$D297,$D297)&gt;1,"-"&amp;TEXT(COUNTIFS($C$5:$C297,$C297,$D$5:$D297,$D297),"00"),"")))</f>
        <v/>
      </c>
      <c r="N297" s="21"/>
      <c r="O297" s="18"/>
      <c r="P297" s="21"/>
    </row>
    <row r="298" customFormat="false" ht="21.75" hidden="false" customHeight="true" outlineLevel="0" collapsed="false">
      <c r="A298" s="13" t="str">
        <f aca="false">IF($E298="","",COUNTA($E$5:$E298))</f>
        <v/>
      </c>
      <c r="B298" s="14"/>
      <c r="C298" s="15"/>
      <c r="D298" s="16"/>
      <c r="E298" s="21"/>
      <c r="F298" s="18"/>
      <c r="G298" s="18"/>
      <c r="H298" s="15"/>
      <c r="I298" s="15"/>
      <c r="J298" s="18"/>
      <c r="K298" s="18"/>
      <c r="L298" s="19" t="str">
        <f aca="false">IF($E298="","",IF(OR($C298="",$D298=""),"",COUNTIFS($C$5:$C$404,$C298,$D$5:$D$404,$D298)))</f>
        <v/>
      </c>
      <c r="M298" s="20" t="str">
        <f aca="false">IF($E298="","",IF(OR($B298="",$C298="",$D298=""),"待补楼栋/房号/日期",SUBSTITUTE($C298,"栋","")&amp;"-"&amp;$D298&amp;"-"&amp;TEXT(MONTH($B298),"00")&amp;TEXT(DAY($B298),"00")&amp;IF(COUNTIFS($C$5:$C298,$C298,$D$5:$D298,$D298)&gt;1,"-"&amp;TEXT(COUNTIFS($C$5:$C298,$C298,$D$5:$D298,$D298),"00"),"")))</f>
        <v/>
      </c>
      <c r="N298" s="21"/>
      <c r="O298" s="18"/>
      <c r="P298" s="21"/>
    </row>
    <row r="299" customFormat="false" ht="21.75" hidden="false" customHeight="true" outlineLevel="0" collapsed="false">
      <c r="A299" s="13" t="str">
        <f aca="false">IF($E299="","",COUNTA($E$5:$E299))</f>
        <v/>
      </c>
      <c r="B299" s="14"/>
      <c r="C299" s="15"/>
      <c r="D299" s="16"/>
      <c r="E299" s="21"/>
      <c r="F299" s="18"/>
      <c r="G299" s="18"/>
      <c r="H299" s="15"/>
      <c r="I299" s="15"/>
      <c r="J299" s="18"/>
      <c r="K299" s="18"/>
      <c r="L299" s="19" t="str">
        <f aca="false">IF($E299="","",IF(OR($C299="",$D299=""),"",COUNTIFS($C$5:$C$404,$C299,$D$5:$D$404,$D299)))</f>
        <v/>
      </c>
      <c r="M299" s="20" t="str">
        <f aca="false">IF($E299="","",IF(OR($B299="",$C299="",$D299=""),"待补楼栋/房号/日期",SUBSTITUTE($C299,"栋","")&amp;"-"&amp;$D299&amp;"-"&amp;TEXT(MONTH($B299),"00")&amp;TEXT(DAY($B299),"00")&amp;IF(COUNTIFS($C$5:$C299,$C299,$D$5:$D299,$D299)&gt;1,"-"&amp;TEXT(COUNTIFS($C$5:$C299,$C299,$D$5:$D299,$D299),"00"),"")))</f>
        <v/>
      </c>
      <c r="N299" s="21"/>
      <c r="O299" s="18"/>
      <c r="P299" s="21"/>
    </row>
    <row r="300" customFormat="false" ht="21.75" hidden="false" customHeight="true" outlineLevel="0" collapsed="false">
      <c r="A300" s="13" t="str">
        <f aca="false">IF($E300="","",COUNTA($E$5:$E300))</f>
        <v/>
      </c>
      <c r="B300" s="14"/>
      <c r="C300" s="15"/>
      <c r="D300" s="16"/>
      <c r="E300" s="21"/>
      <c r="F300" s="18"/>
      <c r="G300" s="18"/>
      <c r="H300" s="15"/>
      <c r="I300" s="15"/>
      <c r="J300" s="18"/>
      <c r="K300" s="18"/>
      <c r="L300" s="19" t="str">
        <f aca="false">IF($E300="","",IF(OR($C300="",$D300=""),"",COUNTIFS($C$5:$C$404,$C300,$D$5:$D$404,$D300)))</f>
        <v/>
      </c>
      <c r="M300" s="20" t="str">
        <f aca="false">IF($E300="","",IF(OR($B300="",$C300="",$D300=""),"待补楼栋/房号/日期",SUBSTITUTE($C300,"栋","")&amp;"-"&amp;$D300&amp;"-"&amp;TEXT(MONTH($B300),"00")&amp;TEXT(DAY($B300),"00")&amp;IF(COUNTIFS($C$5:$C300,$C300,$D$5:$D300,$D300)&gt;1,"-"&amp;TEXT(COUNTIFS($C$5:$C300,$C300,$D$5:$D300,$D300),"00"),"")))</f>
        <v/>
      </c>
      <c r="N300" s="21"/>
      <c r="O300" s="18"/>
      <c r="P300" s="21"/>
    </row>
    <row r="301" customFormat="false" ht="21.75" hidden="false" customHeight="true" outlineLevel="0" collapsed="false">
      <c r="A301" s="13" t="str">
        <f aca="false">IF($E301="","",COUNTA($E$5:$E301))</f>
        <v/>
      </c>
      <c r="B301" s="14"/>
      <c r="C301" s="15"/>
      <c r="D301" s="16"/>
      <c r="E301" s="21"/>
      <c r="F301" s="18"/>
      <c r="G301" s="18"/>
      <c r="H301" s="15"/>
      <c r="I301" s="15"/>
      <c r="J301" s="18"/>
      <c r="K301" s="18"/>
      <c r="L301" s="19" t="str">
        <f aca="false">IF($E301="","",IF(OR($C301="",$D301=""),"",COUNTIFS($C$5:$C$404,$C301,$D$5:$D$404,$D301)))</f>
        <v/>
      </c>
      <c r="M301" s="20" t="str">
        <f aca="false">IF($E301="","",IF(OR($B301="",$C301="",$D301=""),"待补楼栋/房号/日期",SUBSTITUTE($C301,"栋","")&amp;"-"&amp;$D301&amp;"-"&amp;TEXT(MONTH($B301),"00")&amp;TEXT(DAY($B301),"00")&amp;IF(COUNTIFS($C$5:$C301,$C301,$D$5:$D301,$D301)&gt;1,"-"&amp;TEXT(COUNTIFS($C$5:$C301,$C301,$D$5:$D301,$D301),"00"),"")))</f>
        <v/>
      </c>
      <c r="N301" s="21"/>
      <c r="O301" s="18"/>
      <c r="P301" s="21"/>
    </row>
    <row r="302" customFormat="false" ht="21.75" hidden="false" customHeight="true" outlineLevel="0" collapsed="false">
      <c r="A302" s="13" t="str">
        <f aca="false">IF($E302="","",COUNTA($E$5:$E302))</f>
        <v/>
      </c>
      <c r="B302" s="14"/>
      <c r="C302" s="15"/>
      <c r="D302" s="16"/>
      <c r="E302" s="21"/>
      <c r="F302" s="18"/>
      <c r="G302" s="18"/>
      <c r="H302" s="15"/>
      <c r="I302" s="15"/>
      <c r="J302" s="18"/>
      <c r="K302" s="18"/>
      <c r="L302" s="19" t="str">
        <f aca="false">IF($E302="","",IF(OR($C302="",$D302=""),"",COUNTIFS($C$5:$C$404,$C302,$D$5:$D$404,$D302)))</f>
        <v/>
      </c>
      <c r="M302" s="20" t="str">
        <f aca="false">IF($E302="","",IF(OR($B302="",$C302="",$D302=""),"待补楼栋/房号/日期",SUBSTITUTE($C302,"栋","")&amp;"-"&amp;$D302&amp;"-"&amp;TEXT(MONTH($B302),"00")&amp;TEXT(DAY($B302),"00")&amp;IF(COUNTIFS($C$5:$C302,$C302,$D$5:$D302,$D302)&gt;1,"-"&amp;TEXT(COUNTIFS($C$5:$C302,$C302,$D$5:$D302,$D302),"00"),"")))</f>
        <v/>
      </c>
      <c r="N302" s="21"/>
      <c r="O302" s="18"/>
      <c r="P302" s="21"/>
    </row>
    <row r="303" customFormat="false" ht="21.75" hidden="false" customHeight="true" outlineLevel="0" collapsed="false">
      <c r="A303" s="13" t="str">
        <f aca="false">IF($E303="","",COUNTA($E$5:$E303))</f>
        <v/>
      </c>
      <c r="B303" s="14"/>
      <c r="C303" s="15"/>
      <c r="D303" s="16"/>
      <c r="E303" s="21"/>
      <c r="F303" s="18"/>
      <c r="G303" s="18"/>
      <c r="H303" s="15"/>
      <c r="I303" s="15"/>
      <c r="J303" s="18"/>
      <c r="K303" s="18"/>
      <c r="L303" s="19" t="str">
        <f aca="false">IF($E303="","",IF(OR($C303="",$D303=""),"",COUNTIFS($C$5:$C$404,$C303,$D$5:$D$404,$D303)))</f>
        <v/>
      </c>
      <c r="M303" s="20" t="str">
        <f aca="false">IF($E303="","",IF(OR($B303="",$C303="",$D303=""),"待补楼栋/房号/日期",SUBSTITUTE($C303,"栋","")&amp;"-"&amp;$D303&amp;"-"&amp;TEXT(MONTH($B303),"00")&amp;TEXT(DAY($B303),"00")&amp;IF(COUNTIFS($C$5:$C303,$C303,$D$5:$D303,$D303)&gt;1,"-"&amp;TEXT(COUNTIFS($C$5:$C303,$C303,$D$5:$D303,$D303),"00"),"")))</f>
        <v/>
      </c>
      <c r="N303" s="21"/>
      <c r="O303" s="18"/>
      <c r="P303" s="21"/>
    </row>
    <row r="304" customFormat="false" ht="21.75" hidden="false" customHeight="true" outlineLevel="0" collapsed="false">
      <c r="A304" s="13" t="str">
        <f aca="false">IF($E304="","",COUNTA($E$5:$E304))</f>
        <v/>
      </c>
      <c r="B304" s="14"/>
      <c r="C304" s="15"/>
      <c r="D304" s="16"/>
      <c r="E304" s="21"/>
      <c r="F304" s="18"/>
      <c r="G304" s="18"/>
      <c r="H304" s="15"/>
      <c r="I304" s="15"/>
      <c r="J304" s="18"/>
      <c r="K304" s="18"/>
      <c r="L304" s="19" t="str">
        <f aca="false">IF($E304="","",IF(OR($C304="",$D304=""),"",COUNTIFS($C$5:$C$404,$C304,$D$5:$D$404,$D304)))</f>
        <v/>
      </c>
      <c r="M304" s="20" t="str">
        <f aca="false">IF($E304="","",IF(OR($B304="",$C304="",$D304=""),"待补楼栋/房号/日期",SUBSTITUTE($C304,"栋","")&amp;"-"&amp;$D304&amp;"-"&amp;TEXT(MONTH($B304),"00")&amp;TEXT(DAY($B304),"00")&amp;IF(COUNTIFS($C$5:$C304,$C304,$D$5:$D304,$D304)&gt;1,"-"&amp;TEXT(COUNTIFS($C$5:$C304,$C304,$D$5:$D304,$D304),"00"),"")))</f>
        <v/>
      </c>
      <c r="N304" s="21"/>
      <c r="O304" s="18"/>
      <c r="P304" s="21"/>
    </row>
    <row r="305" customFormat="false" ht="21.75" hidden="false" customHeight="true" outlineLevel="0" collapsed="false">
      <c r="A305" s="13" t="str">
        <f aca="false">IF($E305="","",COUNTA($E$5:$E305))</f>
        <v/>
      </c>
      <c r="B305" s="14"/>
      <c r="C305" s="15"/>
      <c r="D305" s="16"/>
      <c r="E305" s="21"/>
      <c r="F305" s="18"/>
      <c r="G305" s="18"/>
      <c r="H305" s="15"/>
      <c r="I305" s="15"/>
      <c r="J305" s="18"/>
      <c r="K305" s="18"/>
      <c r="L305" s="19" t="str">
        <f aca="false">IF($E305="","",IF(OR($C305="",$D305=""),"",COUNTIFS($C$5:$C$404,$C305,$D$5:$D$404,$D305)))</f>
        <v/>
      </c>
      <c r="M305" s="20" t="str">
        <f aca="false">IF($E305="","",IF(OR($B305="",$C305="",$D305=""),"待补楼栋/房号/日期",SUBSTITUTE($C305,"栋","")&amp;"-"&amp;$D305&amp;"-"&amp;TEXT(MONTH($B305),"00")&amp;TEXT(DAY($B305),"00")&amp;IF(COUNTIFS($C$5:$C305,$C305,$D$5:$D305,$D305)&gt;1,"-"&amp;TEXT(COUNTIFS($C$5:$C305,$C305,$D$5:$D305,$D305),"00"),"")))</f>
        <v/>
      </c>
      <c r="N305" s="21"/>
      <c r="O305" s="18"/>
      <c r="P305" s="21"/>
    </row>
    <row r="306" customFormat="false" ht="21.75" hidden="false" customHeight="true" outlineLevel="0" collapsed="false">
      <c r="A306" s="13" t="str">
        <f aca="false">IF($E306="","",COUNTA($E$5:$E306))</f>
        <v/>
      </c>
      <c r="B306" s="14"/>
      <c r="C306" s="15"/>
      <c r="D306" s="16"/>
      <c r="E306" s="21"/>
      <c r="F306" s="18"/>
      <c r="G306" s="18"/>
      <c r="H306" s="15"/>
      <c r="I306" s="15"/>
      <c r="J306" s="18"/>
      <c r="K306" s="18"/>
      <c r="L306" s="19" t="str">
        <f aca="false">IF($E306="","",IF(OR($C306="",$D306=""),"",COUNTIFS($C$5:$C$404,$C306,$D$5:$D$404,$D306)))</f>
        <v/>
      </c>
      <c r="M306" s="20" t="str">
        <f aca="false">IF($E306="","",IF(OR($B306="",$C306="",$D306=""),"待补楼栋/房号/日期",SUBSTITUTE($C306,"栋","")&amp;"-"&amp;$D306&amp;"-"&amp;TEXT(MONTH($B306),"00")&amp;TEXT(DAY($B306),"00")&amp;IF(COUNTIFS($C$5:$C306,$C306,$D$5:$D306,$D306)&gt;1,"-"&amp;TEXT(COUNTIFS($C$5:$C306,$C306,$D$5:$D306,$D306),"00"),"")))</f>
        <v/>
      </c>
      <c r="N306" s="21"/>
      <c r="O306" s="18"/>
      <c r="P306" s="21"/>
    </row>
    <row r="307" customFormat="false" ht="21.75" hidden="false" customHeight="true" outlineLevel="0" collapsed="false">
      <c r="A307" s="13" t="str">
        <f aca="false">IF($E307="","",COUNTA($E$5:$E307))</f>
        <v/>
      </c>
      <c r="B307" s="14"/>
      <c r="C307" s="15"/>
      <c r="D307" s="16"/>
      <c r="E307" s="21"/>
      <c r="F307" s="18"/>
      <c r="G307" s="18"/>
      <c r="H307" s="15"/>
      <c r="I307" s="15"/>
      <c r="J307" s="18"/>
      <c r="K307" s="18"/>
      <c r="L307" s="19" t="str">
        <f aca="false">IF($E307="","",IF(OR($C307="",$D307=""),"",COUNTIFS($C$5:$C$404,$C307,$D$5:$D$404,$D307)))</f>
        <v/>
      </c>
      <c r="M307" s="20" t="str">
        <f aca="false">IF($E307="","",IF(OR($B307="",$C307="",$D307=""),"待补楼栋/房号/日期",SUBSTITUTE($C307,"栋","")&amp;"-"&amp;$D307&amp;"-"&amp;TEXT(MONTH($B307),"00")&amp;TEXT(DAY($B307),"00")&amp;IF(COUNTIFS($C$5:$C307,$C307,$D$5:$D307,$D307)&gt;1,"-"&amp;TEXT(COUNTIFS($C$5:$C307,$C307,$D$5:$D307,$D307),"00"),"")))</f>
        <v/>
      </c>
      <c r="N307" s="21"/>
      <c r="O307" s="18"/>
      <c r="P307" s="21"/>
    </row>
    <row r="308" customFormat="false" ht="21.75" hidden="false" customHeight="true" outlineLevel="0" collapsed="false">
      <c r="A308" s="13" t="str">
        <f aca="false">IF($E308="","",COUNTA($E$5:$E308))</f>
        <v/>
      </c>
      <c r="B308" s="14"/>
      <c r="C308" s="15"/>
      <c r="D308" s="16"/>
      <c r="E308" s="21"/>
      <c r="F308" s="18"/>
      <c r="G308" s="18"/>
      <c r="H308" s="15"/>
      <c r="I308" s="15"/>
      <c r="J308" s="18"/>
      <c r="K308" s="18"/>
      <c r="L308" s="19" t="str">
        <f aca="false">IF($E308="","",IF(OR($C308="",$D308=""),"",COUNTIFS($C$5:$C$404,$C308,$D$5:$D$404,$D308)))</f>
        <v/>
      </c>
      <c r="M308" s="20" t="str">
        <f aca="false">IF($E308="","",IF(OR($B308="",$C308="",$D308=""),"待补楼栋/房号/日期",SUBSTITUTE($C308,"栋","")&amp;"-"&amp;$D308&amp;"-"&amp;TEXT(MONTH($B308),"00")&amp;TEXT(DAY($B308),"00")&amp;IF(COUNTIFS($C$5:$C308,$C308,$D$5:$D308,$D308)&gt;1,"-"&amp;TEXT(COUNTIFS($C$5:$C308,$C308,$D$5:$D308,$D308),"00"),"")))</f>
        <v/>
      </c>
      <c r="N308" s="21"/>
      <c r="O308" s="18"/>
      <c r="P308" s="21"/>
    </row>
    <row r="309" customFormat="false" ht="21.75" hidden="false" customHeight="true" outlineLevel="0" collapsed="false">
      <c r="A309" s="13" t="str">
        <f aca="false">IF($E309="","",COUNTA($E$5:$E309))</f>
        <v/>
      </c>
      <c r="B309" s="14"/>
      <c r="C309" s="15"/>
      <c r="D309" s="16"/>
      <c r="E309" s="21"/>
      <c r="F309" s="18"/>
      <c r="G309" s="18"/>
      <c r="H309" s="15"/>
      <c r="I309" s="15"/>
      <c r="J309" s="18"/>
      <c r="K309" s="18"/>
      <c r="L309" s="19" t="str">
        <f aca="false">IF($E309="","",IF(OR($C309="",$D309=""),"",COUNTIFS($C$5:$C$404,$C309,$D$5:$D$404,$D309)))</f>
        <v/>
      </c>
      <c r="M309" s="20" t="str">
        <f aca="false">IF($E309="","",IF(OR($B309="",$C309="",$D309=""),"待补楼栋/房号/日期",SUBSTITUTE($C309,"栋","")&amp;"-"&amp;$D309&amp;"-"&amp;TEXT(MONTH($B309),"00")&amp;TEXT(DAY($B309),"00")&amp;IF(COUNTIFS($C$5:$C309,$C309,$D$5:$D309,$D309)&gt;1,"-"&amp;TEXT(COUNTIFS($C$5:$C309,$C309,$D$5:$D309,$D309),"00"),"")))</f>
        <v/>
      </c>
      <c r="N309" s="21"/>
      <c r="O309" s="18"/>
      <c r="P309" s="21"/>
    </row>
    <row r="310" customFormat="false" ht="21.75" hidden="false" customHeight="true" outlineLevel="0" collapsed="false">
      <c r="A310" s="13" t="str">
        <f aca="false">IF($E310="","",COUNTA($E$5:$E310))</f>
        <v/>
      </c>
      <c r="B310" s="14"/>
      <c r="C310" s="15"/>
      <c r="D310" s="16"/>
      <c r="E310" s="21"/>
      <c r="F310" s="18"/>
      <c r="G310" s="18"/>
      <c r="H310" s="15"/>
      <c r="I310" s="15"/>
      <c r="J310" s="18"/>
      <c r="K310" s="18"/>
      <c r="L310" s="19" t="str">
        <f aca="false">IF($E310="","",IF(OR($C310="",$D310=""),"",COUNTIFS($C$5:$C$404,$C310,$D$5:$D$404,$D310)))</f>
        <v/>
      </c>
      <c r="M310" s="20" t="str">
        <f aca="false">IF($E310="","",IF(OR($B310="",$C310="",$D310=""),"待补楼栋/房号/日期",SUBSTITUTE($C310,"栋","")&amp;"-"&amp;$D310&amp;"-"&amp;TEXT(MONTH($B310),"00")&amp;TEXT(DAY($B310),"00")&amp;IF(COUNTIFS($C$5:$C310,$C310,$D$5:$D310,$D310)&gt;1,"-"&amp;TEXT(COUNTIFS($C$5:$C310,$C310,$D$5:$D310,$D310),"00"),"")))</f>
        <v/>
      </c>
      <c r="N310" s="21"/>
      <c r="O310" s="18"/>
      <c r="P310" s="21"/>
    </row>
    <row r="311" customFormat="false" ht="21.75" hidden="false" customHeight="true" outlineLevel="0" collapsed="false">
      <c r="A311" s="13" t="str">
        <f aca="false">IF($E311="","",COUNTA($E$5:$E311))</f>
        <v/>
      </c>
      <c r="B311" s="14"/>
      <c r="C311" s="15"/>
      <c r="D311" s="16"/>
      <c r="E311" s="21"/>
      <c r="F311" s="18"/>
      <c r="G311" s="18"/>
      <c r="H311" s="15"/>
      <c r="I311" s="15"/>
      <c r="J311" s="18"/>
      <c r="K311" s="18"/>
      <c r="L311" s="19" t="str">
        <f aca="false">IF($E311="","",IF(OR($C311="",$D311=""),"",COUNTIFS($C$5:$C$404,$C311,$D$5:$D$404,$D311)))</f>
        <v/>
      </c>
      <c r="M311" s="20" t="str">
        <f aca="false">IF($E311="","",IF(OR($B311="",$C311="",$D311=""),"待补楼栋/房号/日期",SUBSTITUTE($C311,"栋","")&amp;"-"&amp;$D311&amp;"-"&amp;TEXT(MONTH($B311),"00")&amp;TEXT(DAY($B311),"00")&amp;IF(COUNTIFS($C$5:$C311,$C311,$D$5:$D311,$D311)&gt;1,"-"&amp;TEXT(COUNTIFS($C$5:$C311,$C311,$D$5:$D311,$D311),"00"),"")))</f>
        <v/>
      </c>
      <c r="N311" s="21"/>
      <c r="O311" s="18"/>
      <c r="P311" s="21"/>
    </row>
    <row r="312" customFormat="false" ht="21.75" hidden="false" customHeight="true" outlineLevel="0" collapsed="false">
      <c r="A312" s="13" t="str">
        <f aca="false">IF($E312="","",COUNTA($E$5:$E312))</f>
        <v/>
      </c>
      <c r="B312" s="14"/>
      <c r="C312" s="15"/>
      <c r="D312" s="16"/>
      <c r="E312" s="21"/>
      <c r="F312" s="18"/>
      <c r="G312" s="18"/>
      <c r="H312" s="15"/>
      <c r="I312" s="15"/>
      <c r="J312" s="18"/>
      <c r="K312" s="18"/>
      <c r="L312" s="19" t="str">
        <f aca="false">IF($E312="","",IF(OR($C312="",$D312=""),"",COUNTIFS($C$5:$C$404,$C312,$D$5:$D$404,$D312)))</f>
        <v/>
      </c>
      <c r="M312" s="20" t="str">
        <f aca="false">IF($E312="","",IF(OR($B312="",$C312="",$D312=""),"待补楼栋/房号/日期",SUBSTITUTE($C312,"栋","")&amp;"-"&amp;$D312&amp;"-"&amp;TEXT(MONTH($B312),"00")&amp;TEXT(DAY($B312),"00")&amp;IF(COUNTIFS($C$5:$C312,$C312,$D$5:$D312,$D312)&gt;1,"-"&amp;TEXT(COUNTIFS($C$5:$C312,$C312,$D$5:$D312,$D312),"00"),"")))</f>
        <v/>
      </c>
      <c r="N312" s="21"/>
      <c r="O312" s="18"/>
      <c r="P312" s="21"/>
    </row>
    <row r="313" customFormat="false" ht="21.75" hidden="false" customHeight="true" outlineLevel="0" collapsed="false">
      <c r="A313" s="13" t="str">
        <f aca="false">IF($E313="","",COUNTA($E$5:$E313))</f>
        <v/>
      </c>
      <c r="B313" s="14"/>
      <c r="C313" s="15"/>
      <c r="D313" s="16"/>
      <c r="E313" s="21"/>
      <c r="F313" s="18"/>
      <c r="G313" s="18"/>
      <c r="H313" s="15"/>
      <c r="I313" s="15"/>
      <c r="J313" s="18"/>
      <c r="K313" s="18"/>
      <c r="L313" s="19" t="str">
        <f aca="false">IF($E313="","",IF(OR($C313="",$D313=""),"",COUNTIFS($C$5:$C$404,$C313,$D$5:$D$404,$D313)))</f>
        <v/>
      </c>
      <c r="M313" s="20" t="str">
        <f aca="false">IF($E313="","",IF(OR($B313="",$C313="",$D313=""),"待补楼栋/房号/日期",SUBSTITUTE($C313,"栋","")&amp;"-"&amp;$D313&amp;"-"&amp;TEXT(MONTH($B313),"00")&amp;TEXT(DAY($B313),"00")&amp;IF(COUNTIFS($C$5:$C313,$C313,$D$5:$D313,$D313)&gt;1,"-"&amp;TEXT(COUNTIFS($C$5:$C313,$C313,$D$5:$D313,$D313),"00"),"")))</f>
        <v/>
      </c>
      <c r="N313" s="21"/>
      <c r="O313" s="18"/>
      <c r="P313" s="21"/>
    </row>
    <row r="314" customFormat="false" ht="21.75" hidden="false" customHeight="true" outlineLevel="0" collapsed="false">
      <c r="A314" s="13" t="str">
        <f aca="false">IF($E314="","",COUNTA($E$5:$E314))</f>
        <v/>
      </c>
      <c r="B314" s="14"/>
      <c r="C314" s="15"/>
      <c r="D314" s="16"/>
      <c r="E314" s="21"/>
      <c r="F314" s="18"/>
      <c r="G314" s="18"/>
      <c r="H314" s="15"/>
      <c r="I314" s="15"/>
      <c r="J314" s="18"/>
      <c r="K314" s="18"/>
      <c r="L314" s="19" t="str">
        <f aca="false">IF($E314="","",IF(OR($C314="",$D314=""),"",COUNTIFS($C$5:$C$404,$C314,$D$5:$D$404,$D314)))</f>
        <v/>
      </c>
      <c r="M314" s="20" t="str">
        <f aca="false">IF($E314="","",IF(OR($B314="",$C314="",$D314=""),"待补楼栋/房号/日期",SUBSTITUTE($C314,"栋","")&amp;"-"&amp;$D314&amp;"-"&amp;TEXT(MONTH($B314),"00")&amp;TEXT(DAY($B314),"00")&amp;IF(COUNTIFS($C$5:$C314,$C314,$D$5:$D314,$D314)&gt;1,"-"&amp;TEXT(COUNTIFS($C$5:$C314,$C314,$D$5:$D314,$D314),"00"),"")))</f>
        <v/>
      </c>
      <c r="N314" s="21"/>
      <c r="O314" s="18"/>
      <c r="P314" s="21"/>
    </row>
    <row r="315" customFormat="false" ht="21.75" hidden="false" customHeight="true" outlineLevel="0" collapsed="false">
      <c r="A315" s="13" t="str">
        <f aca="false">IF($E315="","",COUNTA($E$5:$E315))</f>
        <v/>
      </c>
      <c r="B315" s="14"/>
      <c r="C315" s="15"/>
      <c r="D315" s="16"/>
      <c r="E315" s="21"/>
      <c r="F315" s="18"/>
      <c r="G315" s="18"/>
      <c r="H315" s="15"/>
      <c r="I315" s="15"/>
      <c r="J315" s="18"/>
      <c r="K315" s="18"/>
      <c r="L315" s="19" t="str">
        <f aca="false">IF($E315="","",IF(OR($C315="",$D315=""),"",COUNTIFS($C$5:$C$404,$C315,$D$5:$D$404,$D315)))</f>
        <v/>
      </c>
      <c r="M315" s="20" t="str">
        <f aca="false">IF($E315="","",IF(OR($B315="",$C315="",$D315=""),"待补楼栋/房号/日期",SUBSTITUTE($C315,"栋","")&amp;"-"&amp;$D315&amp;"-"&amp;TEXT(MONTH($B315),"00")&amp;TEXT(DAY($B315),"00")&amp;IF(COUNTIFS($C$5:$C315,$C315,$D$5:$D315,$D315)&gt;1,"-"&amp;TEXT(COUNTIFS($C$5:$C315,$C315,$D$5:$D315,$D315),"00"),"")))</f>
        <v/>
      </c>
      <c r="N315" s="21"/>
      <c r="O315" s="18"/>
      <c r="P315" s="21"/>
    </row>
    <row r="316" customFormat="false" ht="21.75" hidden="false" customHeight="true" outlineLevel="0" collapsed="false">
      <c r="A316" s="13" t="str">
        <f aca="false">IF($E316="","",COUNTA($E$5:$E316))</f>
        <v/>
      </c>
      <c r="B316" s="14"/>
      <c r="C316" s="15"/>
      <c r="D316" s="16"/>
      <c r="E316" s="21"/>
      <c r="F316" s="18"/>
      <c r="G316" s="18"/>
      <c r="H316" s="15"/>
      <c r="I316" s="15"/>
      <c r="J316" s="18"/>
      <c r="K316" s="18"/>
      <c r="L316" s="19" t="str">
        <f aca="false">IF($E316="","",IF(OR($C316="",$D316=""),"",COUNTIFS($C$5:$C$404,$C316,$D$5:$D$404,$D316)))</f>
        <v/>
      </c>
      <c r="M316" s="20" t="str">
        <f aca="false">IF($E316="","",IF(OR($B316="",$C316="",$D316=""),"待补楼栋/房号/日期",SUBSTITUTE($C316,"栋","")&amp;"-"&amp;$D316&amp;"-"&amp;TEXT(MONTH($B316),"00")&amp;TEXT(DAY($B316),"00")&amp;IF(COUNTIFS($C$5:$C316,$C316,$D$5:$D316,$D316)&gt;1,"-"&amp;TEXT(COUNTIFS($C$5:$C316,$C316,$D$5:$D316,$D316),"00"),"")))</f>
        <v/>
      </c>
      <c r="N316" s="21"/>
      <c r="O316" s="18"/>
      <c r="P316" s="21"/>
    </row>
    <row r="317" customFormat="false" ht="21.75" hidden="false" customHeight="true" outlineLevel="0" collapsed="false">
      <c r="A317" s="13" t="str">
        <f aca="false">IF($E317="","",COUNTA($E$5:$E317))</f>
        <v/>
      </c>
      <c r="B317" s="14"/>
      <c r="C317" s="15"/>
      <c r="D317" s="16"/>
      <c r="E317" s="21"/>
      <c r="F317" s="18"/>
      <c r="G317" s="18"/>
      <c r="H317" s="15"/>
      <c r="I317" s="15"/>
      <c r="J317" s="18"/>
      <c r="K317" s="18"/>
      <c r="L317" s="19" t="str">
        <f aca="false">IF($E317="","",IF(OR($C317="",$D317=""),"",COUNTIFS($C$5:$C$404,$C317,$D$5:$D$404,$D317)))</f>
        <v/>
      </c>
      <c r="M317" s="20" t="str">
        <f aca="false">IF($E317="","",IF(OR($B317="",$C317="",$D317=""),"待补楼栋/房号/日期",SUBSTITUTE($C317,"栋","")&amp;"-"&amp;$D317&amp;"-"&amp;TEXT(MONTH($B317),"00")&amp;TEXT(DAY($B317),"00")&amp;IF(COUNTIFS($C$5:$C317,$C317,$D$5:$D317,$D317)&gt;1,"-"&amp;TEXT(COUNTIFS($C$5:$C317,$C317,$D$5:$D317,$D317),"00"),"")))</f>
        <v/>
      </c>
      <c r="N317" s="21"/>
      <c r="O317" s="18"/>
      <c r="P317" s="21"/>
    </row>
    <row r="318" customFormat="false" ht="21.75" hidden="false" customHeight="true" outlineLevel="0" collapsed="false">
      <c r="A318" s="13" t="str">
        <f aca="false">IF($E318="","",COUNTA($E$5:$E318))</f>
        <v/>
      </c>
      <c r="B318" s="14"/>
      <c r="C318" s="15"/>
      <c r="D318" s="16"/>
      <c r="E318" s="21"/>
      <c r="F318" s="18"/>
      <c r="G318" s="18"/>
      <c r="H318" s="15"/>
      <c r="I318" s="15"/>
      <c r="J318" s="18"/>
      <c r="K318" s="18"/>
      <c r="L318" s="19" t="str">
        <f aca="false">IF($E318="","",IF(OR($C318="",$D318=""),"",COUNTIFS($C$5:$C$404,$C318,$D$5:$D$404,$D318)))</f>
        <v/>
      </c>
      <c r="M318" s="20" t="str">
        <f aca="false">IF($E318="","",IF(OR($B318="",$C318="",$D318=""),"待补楼栋/房号/日期",SUBSTITUTE($C318,"栋","")&amp;"-"&amp;$D318&amp;"-"&amp;TEXT(MONTH($B318),"00")&amp;TEXT(DAY($B318),"00")&amp;IF(COUNTIFS($C$5:$C318,$C318,$D$5:$D318,$D318)&gt;1,"-"&amp;TEXT(COUNTIFS($C$5:$C318,$C318,$D$5:$D318,$D318),"00"),"")))</f>
        <v/>
      </c>
      <c r="N318" s="21"/>
      <c r="O318" s="18"/>
      <c r="P318" s="21"/>
    </row>
    <row r="319" customFormat="false" ht="21.75" hidden="false" customHeight="true" outlineLevel="0" collapsed="false">
      <c r="A319" s="13" t="str">
        <f aca="false">IF($E319="","",COUNTA($E$5:$E319))</f>
        <v/>
      </c>
      <c r="B319" s="14"/>
      <c r="C319" s="15"/>
      <c r="D319" s="16"/>
      <c r="E319" s="21"/>
      <c r="F319" s="18"/>
      <c r="G319" s="18"/>
      <c r="H319" s="15"/>
      <c r="I319" s="15"/>
      <c r="J319" s="18"/>
      <c r="K319" s="18"/>
      <c r="L319" s="19" t="str">
        <f aca="false">IF($E319="","",IF(OR($C319="",$D319=""),"",COUNTIFS($C$5:$C$404,$C319,$D$5:$D$404,$D319)))</f>
        <v/>
      </c>
      <c r="M319" s="20" t="str">
        <f aca="false">IF($E319="","",IF(OR($B319="",$C319="",$D319=""),"待补楼栋/房号/日期",SUBSTITUTE($C319,"栋","")&amp;"-"&amp;$D319&amp;"-"&amp;TEXT(MONTH($B319),"00")&amp;TEXT(DAY($B319),"00")&amp;IF(COUNTIFS($C$5:$C319,$C319,$D$5:$D319,$D319)&gt;1,"-"&amp;TEXT(COUNTIFS($C$5:$C319,$C319,$D$5:$D319,$D319),"00"),"")))</f>
        <v/>
      </c>
      <c r="N319" s="21"/>
      <c r="O319" s="18"/>
      <c r="P319" s="21"/>
    </row>
    <row r="320" customFormat="false" ht="21.75" hidden="false" customHeight="true" outlineLevel="0" collapsed="false">
      <c r="A320" s="13" t="str">
        <f aca="false">IF($E320="","",COUNTA($E$5:$E320))</f>
        <v/>
      </c>
      <c r="B320" s="14"/>
      <c r="C320" s="15"/>
      <c r="D320" s="16"/>
      <c r="E320" s="21"/>
      <c r="F320" s="18"/>
      <c r="G320" s="18"/>
      <c r="H320" s="15"/>
      <c r="I320" s="15"/>
      <c r="J320" s="18"/>
      <c r="K320" s="18"/>
      <c r="L320" s="19" t="str">
        <f aca="false">IF($E320="","",IF(OR($C320="",$D320=""),"",COUNTIFS($C$5:$C$404,$C320,$D$5:$D$404,$D320)))</f>
        <v/>
      </c>
      <c r="M320" s="20" t="str">
        <f aca="false">IF($E320="","",IF(OR($B320="",$C320="",$D320=""),"待补楼栋/房号/日期",SUBSTITUTE($C320,"栋","")&amp;"-"&amp;$D320&amp;"-"&amp;TEXT(MONTH($B320),"00")&amp;TEXT(DAY($B320),"00")&amp;IF(COUNTIFS($C$5:$C320,$C320,$D$5:$D320,$D320)&gt;1,"-"&amp;TEXT(COUNTIFS($C$5:$C320,$C320,$D$5:$D320,$D320),"00"),"")))</f>
        <v/>
      </c>
      <c r="N320" s="21"/>
      <c r="O320" s="18"/>
      <c r="P320" s="21"/>
    </row>
    <row r="321" customFormat="false" ht="21.75" hidden="false" customHeight="true" outlineLevel="0" collapsed="false">
      <c r="A321" s="13" t="str">
        <f aca="false">IF($E321="","",COUNTA($E$5:$E321))</f>
        <v/>
      </c>
      <c r="B321" s="14"/>
      <c r="C321" s="15"/>
      <c r="D321" s="16"/>
      <c r="E321" s="21"/>
      <c r="F321" s="18"/>
      <c r="G321" s="18"/>
      <c r="H321" s="15"/>
      <c r="I321" s="15"/>
      <c r="J321" s="18"/>
      <c r="K321" s="18"/>
      <c r="L321" s="19" t="str">
        <f aca="false">IF($E321="","",IF(OR($C321="",$D321=""),"",COUNTIFS($C$5:$C$404,$C321,$D$5:$D$404,$D321)))</f>
        <v/>
      </c>
      <c r="M321" s="20" t="str">
        <f aca="false">IF($E321="","",IF(OR($B321="",$C321="",$D321=""),"待补楼栋/房号/日期",SUBSTITUTE($C321,"栋","")&amp;"-"&amp;$D321&amp;"-"&amp;TEXT(MONTH($B321),"00")&amp;TEXT(DAY($B321),"00")&amp;IF(COUNTIFS($C$5:$C321,$C321,$D$5:$D321,$D321)&gt;1,"-"&amp;TEXT(COUNTIFS($C$5:$C321,$C321,$D$5:$D321,$D321),"00"),"")))</f>
        <v/>
      </c>
      <c r="N321" s="21"/>
      <c r="O321" s="18"/>
      <c r="P321" s="21"/>
    </row>
    <row r="322" customFormat="false" ht="21.75" hidden="false" customHeight="true" outlineLevel="0" collapsed="false">
      <c r="A322" s="13" t="str">
        <f aca="false">IF($E322="","",COUNTA($E$5:$E322))</f>
        <v/>
      </c>
      <c r="B322" s="14"/>
      <c r="C322" s="15"/>
      <c r="D322" s="16"/>
      <c r="E322" s="21"/>
      <c r="F322" s="18"/>
      <c r="G322" s="18"/>
      <c r="H322" s="15"/>
      <c r="I322" s="15"/>
      <c r="J322" s="18"/>
      <c r="K322" s="18"/>
      <c r="L322" s="19" t="str">
        <f aca="false">IF($E322="","",IF(OR($C322="",$D322=""),"",COUNTIFS($C$5:$C$404,$C322,$D$5:$D$404,$D322)))</f>
        <v/>
      </c>
      <c r="M322" s="20" t="str">
        <f aca="false">IF($E322="","",IF(OR($B322="",$C322="",$D322=""),"待补楼栋/房号/日期",SUBSTITUTE($C322,"栋","")&amp;"-"&amp;$D322&amp;"-"&amp;TEXT(MONTH($B322),"00")&amp;TEXT(DAY($B322),"00")&amp;IF(COUNTIFS($C$5:$C322,$C322,$D$5:$D322,$D322)&gt;1,"-"&amp;TEXT(COUNTIFS($C$5:$C322,$C322,$D$5:$D322,$D322),"00"),"")))</f>
        <v/>
      </c>
      <c r="N322" s="21"/>
      <c r="O322" s="18"/>
      <c r="P322" s="21"/>
    </row>
    <row r="323" customFormat="false" ht="21.75" hidden="false" customHeight="true" outlineLevel="0" collapsed="false">
      <c r="A323" s="13" t="str">
        <f aca="false">IF($E323="","",COUNTA($E$5:$E323))</f>
        <v/>
      </c>
      <c r="B323" s="14"/>
      <c r="C323" s="15"/>
      <c r="D323" s="16"/>
      <c r="E323" s="21"/>
      <c r="F323" s="18"/>
      <c r="G323" s="18"/>
      <c r="H323" s="15"/>
      <c r="I323" s="15"/>
      <c r="J323" s="18"/>
      <c r="K323" s="18"/>
      <c r="L323" s="19" t="str">
        <f aca="false">IF($E323="","",IF(OR($C323="",$D323=""),"",COUNTIFS($C$5:$C$404,$C323,$D$5:$D$404,$D323)))</f>
        <v/>
      </c>
      <c r="M323" s="20" t="str">
        <f aca="false">IF($E323="","",IF(OR($B323="",$C323="",$D323=""),"待补楼栋/房号/日期",SUBSTITUTE($C323,"栋","")&amp;"-"&amp;$D323&amp;"-"&amp;TEXT(MONTH($B323),"00")&amp;TEXT(DAY($B323),"00")&amp;IF(COUNTIFS($C$5:$C323,$C323,$D$5:$D323,$D323)&gt;1,"-"&amp;TEXT(COUNTIFS($C$5:$C323,$C323,$D$5:$D323,$D323),"00"),"")))</f>
        <v/>
      </c>
      <c r="N323" s="21"/>
      <c r="O323" s="18"/>
      <c r="P323" s="21"/>
    </row>
    <row r="324" customFormat="false" ht="21.75" hidden="false" customHeight="true" outlineLevel="0" collapsed="false">
      <c r="A324" s="13" t="str">
        <f aca="false">IF($E324="","",COUNTA($E$5:$E324))</f>
        <v/>
      </c>
      <c r="B324" s="14"/>
      <c r="C324" s="15"/>
      <c r="D324" s="16"/>
      <c r="E324" s="21"/>
      <c r="F324" s="18"/>
      <c r="G324" s="18"/>
      <c r="H324" s="15"/>
      <c r="I324" s="15"/>
      <c r="J324" s="18"/>
      <c r="K324" s="18"/>
      <c r="L324" s="19" t="str">
        <f aca="false">IF($E324="","",IF(OR($C324="",$D324=""),"",COUNTIFS($C$5:$C$404,$C324,$D$5:$D$404,$D324)))</f>
        <v/>
      </c>
      <c r="M324" s="20" t="str">
        <f aca="false">IF($E324="","",IF(OR($B324="",$C324="",$D324=""),"待补楼栋/房号/日期",SUBSTITUTE($C324,"栋","")&amp;"-"&amp;$D324&amp;"-"&amp;TEXT(MONTH($B324),"00")&amp;TEXT(DAY($B324),"00")&amp;IF(COUNTIFS($C$5:$C324,$C324,$D$5:$D324,$D324)&gt;1,"-"&amp;TEXT(COUNTIFS($C$5:$C324,$C324,$D$5:$D324,$D324),"00"),"")))</f>
        <v/>
      </c>
      <c r="N324" s="21"/>
      <c r="O324" s="18"/>
      <c r="P324" s="21"/>
    </row>
    <row r="325" customFormat="false" ht="21.75" hidden="false" customHeight="true" outlineLevel="0" collapsed="false">
      <c r="A325" s="13" t="str">
        <f aca="false">IF($E325="","",COUNTA($E$5:$E325))</f>
        <v/>
      </c>
      <c r="B325" s="14"/>
      <c r="C325" s="15"/>
      <c r="D325" s="16"/>
      <c r="E325" s="21"/>
      <c r="F325" s="18"/>
      <c r="G325" s="18"/>
      <c r="H325" s="15"/>
      <c r="I325" s="15"/>
      <c r="J325" s="18"/>
      <c r="K325" s="18"/>
      <c r="L325" s="19" t="str">
        <f aca="false">IF($E325="","",IF(OR($C325="",$D325=""),"",COUNTIFS($C$5:$C$404,$C325,$D$5:$D$404,$D325)))</f>
        <v/>
      </c>
      <c r="M325" s="20" t="str">
        <f aca="false">IF($E325="","",IF(OR($B325="",$C325="",$D325=""),"待补楼栋/房号/日期",SUBSTITUTE($C325,"栋","")&amp;"-"&amp;$D325&amp;"-"&amp;TEXT(MONTH($B325),"00")&amp;TEXT(DAY($B325),"00")&amp;IF(COUNTIFS($C$5:$C325,$C325,$D$5:$D325,$D325)&gt;1,"-"&amp;TEXT(COUNTIFS($C$5:$C325,$C325,$D$5:$D325,$D325),"00"),"")))</f>
        <v/>
      </c>
      <c r="N325" s="21"/>
      <c r="O325" s="18"/>
      <c r="P325" s="21"/>
    </row>
    <row r="326" customFormat="false" ht="21.75" hidden="false" customHeight="true" outlineLevel="0" collapsed="false">
      <c r="A326" s="13" t="str">
        <f aca="false">IF($E326="","",COUNTA($E$5:$E326))</f>
        <v/>
      </c>
      <c r="B326" s="14"/>
      <c r="C326" s="15"/>
      <c r="D326" s="16"/>
      <c r="E326" s="21"/>
      <c r="F326" s="18"/>
      <c r="G326" s="18"/>
      <c r="H326" s="15"/>
      <c r="I326" s="15"/>
      <c r="J326" s="18"/>
      <c r="K326" s="18"/>
      <c r="L326" s="19" t="str">
        <f aca="false">IF($E326="","",IF(OR($C326="",$D326=""),"",COUNTIFS($C$5:$C$404,$C326,$D$5:$D$404,$D326)))</f>
        <v/>
      </c>
      <c r="M326" s="20" t="str">
        <f aca="false">IF($E326="","",IF(OR($B326="",$C326="",$D326=""),"待补楼栋/房号/日期",SUBSTITUTE($C326,"栋","")&amp;"-"&amp;$D326&amp;"-"&amp;TEXT(MONTH($B326),"00")&amp;TEXT(DAY($B326),"00")&amp;IF(COUNTIFS($C$5:$C326,$C326,$D$5:$D326,$D326)&gt;1,"-"&amp;TEXT(COUNTIFS($C$5:$C326,$C326,$D$5:$D326,$D326),"00"),"")))</f>
        <v/>
      </c>
      <c r="N326" s="21"/>
      <c r="O326" s="18"/>
      <c r="P326" s="21"/>
    </row>
    <row r="327" customFormat="false" ht="21.75" hidden="false" customHeight="true" outlineLevel="0" collapsed="false">
      <c r="A327" s="13" t="str">
        <f aca="false">IF($E327="","",COUNTA($E$5:$E327))</f>
        <v/>
      </c>
      <c r="B327" s="14"/>
      <c r="C327" s="15"/>
      <c r="D327" s="16"/>
      <c r="E327" s="21"/>
      <c r="F327" s="18"/>
      <c r="G327" s="18"/>
      <c r="H327" s="15"/>
      <c r="I327" s="15"/>
      <c r="J327" s="18"/>
      <c r="K327" s="18"/>
      <c r="L327" s="19" t="str">
        <f aca="false">IF($E327="","",IF(OR($C327="",$D327=""),"",COUNTIFS($C$5:$C$404,$C327,$D$5:$D$404,$D327)))</f>
        <v/>
      </c>
      <c r="M327" s="20" t="str">
        <f aca="false">IF($E327="","",IF(OR($B327="",$C327="",$D327=""),"待补楼栋/房号/日期",SUBSTITUTE($C327,"栋","")&amp;"-"&amp;$D327&amp;"-"&amp;TEXT(MONTH($B327),"00")&amp;TEXT(DAY($B327),"00")&amp;IF(COUNTIFS($C$5:$C327,$C327,$D$5:$D327,$D327)&gt;1,"-"&amp;TEXT(COUNTIFS($C$5:$C327,$C327,$D$5:$D327,$D327),"00"),"")))</f>
        <v/>
      </c>
      <c r="N327" s="21"/>
      <c r="O327" s="18"/>
      <c r="P327" s="21"/>
    </row>
    <row r="328" customFormat="false" ht="21.75" hidden="false" customHeight="true" outlineLevel="0" collapsed="false">
      <c r="A328" s="13" t="str">
        <f aca="false">IF($E328="","",COUNTA($E$5:$E328))</f>
        <v/>
      </c>
      <c r="B328" s="14"/>
      <c r="C328" s="15"/>
      <c r="D328" s="16"/>
      <c r="E328" s="21"/>
      <c r="F328" s="18"/>
      <c r="G328" s="18"/>
      <c r="H328" s="15"/>
      <c r="I328" s="15"/>
      <c r="J328" s="18"/>
      <c r="K328" s="18"/>
      <c r="L328" s="19" t="str">
        <f aca="false">IF($E328="","",IF(OR($C328="",$D328=""),"",COUNTIFS($C$5:$C$404,$C328,$D$5:$D$404,$D328)))</f>
        <v/>
      </c>
      <c r="M328" s="20" t="str">
        <f aca="false">IF($E328="","",IF(OR($B328="",$C328="",$D328=""),"待补楼栋/房号/日期",SUBSTITUTE($C328,"栋","")&amp;"-"&amp;$D328&amp;"-"&amp;TEXT(MONTH($B328),"00")&amp;TEXT(DAY($B328),"00")&amp;IF(COUNTIFS($C$5:$C328,$C328,$D$5:$D328,$D328)&gt;1,"-"&amp;TEXT(COUNTIFS($C$5:$C328,$C328,$D$5:$D328,$D328),"00"),"")))</f>
        <v/>
      </c>
      <c r="N328" s="21"/>
      <c r="O328" s="18"/>
      <c r="P328" s="21"/>
    </row>
    <row r="329" customFormat="false" ht="21.75" hidden="false" customHeight="true" outlineLevel="0" collapsed="false">
      <c r="A329" s="13" t="str">
        <f aca="false">IF($E329="","",COUNTA($E$5:$E329))</f>
        <v/>
      </c>
      <c r="B329" s="14"/>
      <c r="C329" s="15"/>
      <c r="D329" s="16"/>
      <c r="E329" s="21"/>
      <c r="F329" s="18"/>
      <c r="G329" s="18"/>
      <c r="H329" s="15"/>
      <c r="I329" s="15"/>
      <c r="J329" s="18"/>
      <c r="K329" s="18"/>
      <c r="L329" s="19" t="str">
        <f aca="false">IF($E329="","",IF(OR($C329="",$D329=""),"",COUNTIFS($C$5:$C$404,$C329,$D$5:$D$404,$D329)))</f>
        <v/>
      </c>
      <c r="M329" s="20" t="str">
        <f aca="false">IF($E329="","",IF(OR($B329="",$C329="",$D329=""),"待补楼栋/房号/日期",SUBSTITUTE($C329,"栋","")&amp;"-"&amp;$D329&amp;"-"&amp;TEXT(MONTH($B329),"00")&amp;TEXT(DAY($B329),"00")&amp;IF(COUNTIFS($C$5:$C329,$C329,$D$5:$D329,$D329)&gt;1,"-"&amp;TEXT(COUNTIFS($C$5:$C329,$C329,$D$5:$D329,$D329),"00"),"")))</f>
        <v/>
      </c>
      <c r="N329" s="21"/>
      <c r="O329" s="18"/>
      <c r="P329" s="21"/>
    </row>
    <row r="330" customFormat="false" ht="21.75" hidden="false" customHeight="true" outlineLevel="0" collapsed="false">
      <c r="A330" s="13" t="str">
        <f aca="false">IF($E330="","",COUNTA($E$5:$E330))</f>
        <v/>
      </c>
      <c r="B330" s="14"/>
      <c r="C330" s="15"/>
      <c r="D330" s="16"/>
      <c r="E330" s="21"/>
      <c r="F330" s="18"/>
      <c r="G330" s="18"/>
      <c r="H330" s="15"/>
      <c r="I330" s="15"/>
      <c r="J330" s="18"/>
      <c r="K330" s="18"/>
      <c r="L330" s="19" t="str">
        <f aca="false">IF($E330="","",IF(OR($C330="",$D330=""),"",COUNTIFS($C$5:$C$404,$C330,$D$5:$D$404,$D330)))</f>
        <v/>
      </c>
      <c r="M330" s="20" t="str">
        <f aca="false">IF($E330="","",IF(OR($B330="",$C330="",$D330=""),"待补楼栋/房号/日期",SUBSTITUTE($C330,"栋","")&amp;"-"&amp;$D330&amp;"-"&amp;TEXT(MONTH($B330),"00")&amp;TEXT(DAY($B330),"00")&amp;IF(COUNTIFS($C$5:$C330,$C330,$D$5:$D330,$D330)&gt;1,"-"&amp;TEXT(COUNTIFS($C$5:$C330,$C330,$D$5:$D330,$D330),"00"),"")))</f>
        <v/>
      </c>
      <c r="N330" s="21"/>
      <c r="O330" s="18"/>
      <c r="P330" s="21"/>
    </row>
    <row r="331" customFormat="false" ht="21.75" hidden="false" customHeight="true" outlineLevel="0" collapsed="false">
      <c r="A331" s="13" t="str">
        <f aca="false">IF($E331="","",COUNTA($E$5:$E331))</f>
        <v/>
      </c>
      <c r="B331" s="14"/>
      <c r="C331" s="15"/>
      <c r="D331" s="16"/>
      <c r="E331" s="21"/>
      <c r="F331" s="18"/>
      <c r="G331" s="18"/>
      <c r="H331" s="15"/>
      <c r="I331" s="15"/>
      <c r="J331" s="18"/>
      <c r="K331" s="18"/>
      <c r="L331" s="19" t="str">
        <f aca="false">IF($E331="","",IF(OR($C331="",$D331=""),"",COUNTIFS($C$5:$C$404,$C331,$D$5:$D$404,$D331)))</f>
        <v/>
      </c>
      <c r="M331" s="20" t="str">
        <f aca="false">IF($E331="","",IF(OR($B331="",$C331="",$D331=""),"待补楼栋/房号/日期",SUBSTITUTE($C331,"栋","")&amp;"-"&amp;$D331&amp;"-"&amp;TEXT(MONTH($B331),"00")&amp;TEXT(DAY($B331),"00")&amp;IF(COUNTIFS($C$5:$C331,$C331,$D$5:$D331,$D331)&gt;1,"-"&amp;TEXT(COUNTIFS($C$5:$C331,$C331,$D$5:$D331,$D331),"00"),"")))</f>
        <v/>
      </c>
      <c r="N331" s="21"/>
      <c r="O331" s="18"/>
      <c r="P331" s="21"/>
    </row>
    <row r="332" customFormat="false" ht="21.75" hidden="false" customHeight="true" outlineLevel="0" collapsed="false">
      <c r="A332" s="13" t="str">
        <f aca="false">IF($E332="","",COUNTA($E$5:$E332))</f>
        <v/>
      </c>
      <c r="B332" s="14"/>
      <c r="C332" s="15"/>
      <c r="D332" s="16"/>
      <c r="E332" s="21"/>
      <c r="F332" s="18"/>
      <c r="G332" s="18"/>
      <c r="H332" s="15"/>
      <c r="I332" s="15"/>
      <c r="J332" s="18"/>
      <c r="K332" s="18"/>
      <c r="L332" s="19" t="str">
        <f aca="false">IF($E332="","",IF(OR($C332="",$D332=""),"",COUNTIFS($C$5:$C$404,$C332,$D$5:$D$404,$D332)))</f>
        <v/>
      </c>
      <c r="M332" s="20" t="str">
        <f aca="false">IF($E332="","",IF(OR($B332="",$C332="",$D332=""),"待补楼栋/房号/日期",SUBSTITUTE($C332,"栋","")&amp;"-"&amp;$D332&amp;"-"&amp;TEXT(MONTH($B332),"00")&amp;TEXT(DAY($B332),"00")&amp;IF(COUNTIFS($C$5:$C332,$C332,$D$5:$D332,$D332)&gt;1,"-"&amp;TEXT(COUNTIFS($C$5:$C332,$C332,$D$5:$D332,$D332),"00"),"")))</f>
        <v/>
      </c>
      <c r="N332" s="21"/>
      <c r="O332" s="18"/>
      <c r="P332" s="21"/>
    </row>
    <row r="333" customFormat="false" ht="21.75" hidden="false" customHeight="true" outlineLevel="0" collapsed="false">
      <c r="A333" s="13" t="str">
        <f aca="false">IF($E333="","",COUNTA($E$5:$E333))</f>
        <v/>
      </c>
      <c r="B333" s="14"/>
      <c r="C333" s="15"/>
      <c r="D333" s="16"/>
      <c r="E333" s="21"/>
      <c r="F333" s="18"/>
      <c r="G333" s="18"/>
      <c r="H333" s="15"/>
      <c r="I333" s="15"/>
      <c r="J333" s="18"/>
      <c r="K333" s="18"/>
      <c r="L333" s="19" t="str">
        <f aca="false">IF($E333="","",IF(OR($C333="",$D333=""),"",COUNTIFS($C$5:$C$404,$C333,$D$5:$D$404,$D333)))</f>
        <v/>
      </c>
      <c r="M333" s="20" t="str">
        <f aca="false">IF($E333="","",IF(OR($B333="",$C333="",$D333=""),"待补楼栋/房号/日期",SUBSTITUTE($C333,"栋","")&amp;"-"&amp;$D333&amp;"-"&amp;TEXT(MONTH($B333),"00")&amp;TEXT(DAY($B333),"00")&amp;IF(COUNTIFS($C$5:$C333,$C333,$D$5:$D333,$D333)&gt;1,"-"&amp;TEXT(COUNTIFS($C$5:$C333,$C333,$D$5:$D333,$D333),"00"),"")))</f>
        <v/>
      </c>
      <c r="N333" s="21"/>
      <c r="O333" s="18"/>
      <c r="P333" s="21"/>
    </row>
    <row r="334" customFormat="false" ht="21.75" hidden="false" customHeight="true" outlineLevel="0" collapsed="false">
      <c r="A334" s="13" t="str">
        <f aca="false">IF($E334="","",COUNTA($E$5:$E334))</f>
        <v/>
      </c>
      <c r="B334" s="14"/>
      <c r="C334" s="15"/>
      <c r="D334" s="16"/>
      <c r="E334" s="21"/>
      <c r="F334" s="18"/>
      <c r="G334" s="18"/>
      <c r="H334" s="15"/>
      <c r="I334" s="15"/>
      <c r="J334" s="18"/>
      <c r="K334" s="18"/>
      <c r="L334" s="19" t="str">
        <f aca="false">IF($E334="","",IF(OR($C334="",$D334=""),"",COUNTIFS($C$5:$C$404,$C334,$D$5:$D$404,$D334)))</f>
        <v/>
      </c>
      <c r="M334" s="20" t="str">
        <f aca="false">IF($E334="","",IF(OR($B334="",$C334="",$D334=""),"待补楼栋/房号/日期",SUBSTITUTE($C334,"栋","")&amp;"-"&amp;$D334&amp;"-"&amp;TEXT(MONTH($B334),"00")&amp;TEXT(DAY($B334),"00")&amp;IF(COUNTIFS($C$5:$C334,$C334,$D$5:$D334,$D334)&gt;1,"-"&amp;TEXT(COUNTIFS($C$5:$C334,$C334,$D$5:$D334,$D334),"00"),"")))</f>
        <v/>
      </c>
      <c r="N334" s="21"/>
      <c r="O334" s="18"/>
      <c r="P334" s="21"/>
    </row>
    <row r="335" customFormat="false" ht="21.75" hidden="false" customHeight="true" outlineLevel="0" collapsed="false">
      <c r="A335" s="13" t="str">
        <f aca="false">IF($E335="","",COUNTA($E$5:$E335))</f>
        <v/>
      </c>
      <c r="B335" s="14"/>
      <c r="C335" s="15"/>
      <c r="D335" s="16"/>
      <c r="E335" s="21"/>
      <c r="F335" s="18"/>
      <c r="G335" s="18"/>
      <c r="H335" s="15"/>
      <c r="I335" s="15"/>
      <c r="J335" s="18"/>
      <c r="K335" s="18"/>
      <c r="L335" s="19" t="str">
        <f aca="false">IF($E335="","",IF(OR($C335="",$D335=""),"",COUNTIFS($C$5:$C$404,$C335,$D$5:$D$404,$D335)))</f>
        <v/>
      </c>
      <c r="M335" s="20" t="str">
        <f aca="false">IF($E335="","",IF(OR($B335="",$C335="",$D335=""),"待补楼栋/房号/日期",SUBSTITUTE($C335,"栋","")&amp;"-"&amp;$D335&amp;"-"&amp;TEXT(MONTH($B335),"00")&amp;TEXT(DAY($B335),"00")&amp;IF(COUNTIFS($C$5:$C335,$C335,$D$5:$D335,$D335)&gt;1,"-"&amp;TEXT(COUNTIFS($C$5:$C335,$C335,$D$5:$D335,$D335),"00"),"")))</f>
        <v/>
      </c>
      <c r="N335" s="21"/>
      <c r="O335" s="18"/>
      <c r="P335" s="21"/>
    </row>
    <row r="336" customFormat="false" ht="21.75" hidden="false" customHeight="true" outlineLevel="0" collapsed="false">
      <c r="A336" s="13" t="str">
        <f aca="false">IF($E336="","",COUNTA($E$5:$E336))</f>
        <v/>
      </c>
      <c r="B336" s="14"/>
      <c r="C336" s="15"/>
      <c r="D336" s="16"/>
      <c r="E336" s="21"/>
      <c r="F336" s="18"/>
      <c r="G336" s="18"/>
      <c r="H336" s="15"/>
      <c r="I336" s="15"/>
      <c r="J336" s="18"/>
      <c r="K336" s="18"/>
      <c r="L336" s="19" t="str">
        <f aca="false">IF($E336="","",IF(OR($C336="",$D336=""),"",COUNTIFS($C$5:$C$404,$C336,$D$5:$D$404,$D336)))</f>
        <v/>
      </c>
      <c r="M336" s="20" t="str">
        <f aca="false">IF($E336="","",IF(OR($B336="",$C336="",$D336=""),"待补楼栋/房号/日期",SUBSTITUTE($C336,"栋","")&amp;"-"&amp;$D336&amp;"-"&amp;TEXT(MONTH($B336),"00")&amp;TEXT(DAY($B336),"00")&amp;IF(COUNTIFS($C$5:$C336,$C336,$D$5:$D336,$D336)&gt;1,"-"&amp;TEXT(COUNTIFS($C$5:$C336,$C336,$D$5:$D336,$D336),"00"),"")))</f>
        <v/>
      </c>
      <c r="N336" s="21"/>
      <c r="O336" s="18"/>
      <c r="P336" s="21"/>
    </row>
    <row r="337" customFormat="false" ht="21.75" hidden="false" customHeight="true" outlineLevel="0" collapsed="false">
      <c r="A337" s="13" t="str">
        <f aca="false">IF($E337="","",COUNTA($E$5:$E337))</f>
        <v/>
      </c>
      <c r="B337" s="14"/>
      <c r="C337" s="15"/>
      <c r="D337" s="16"/>
      <c r="E337" s="21"/>
      <c r="F337" s="18"/>
      <c r="G337" s="18"/>
      <c r="H337" s="15"/>
      <c r="I337" s="15"/>
      <c r="J337" s="18"/>
      <c r="K337" s="18"/>
      <c r="L337" s="19" t="str">
        <f aca="false">IF($E337="","",IF(OR($C337="",$D337=""),"",COUNTIFS($C$5:$C$404,$C337,$D$5:$D$404,$D337)))</f>
        <v/>
      </c>
      <c r="M337" s="20" t="str">
        <f aca="false">IF($E337="","",IF(OR($B337="",$C337="",$D337=""),"待补楼栋/房号/日期",SUBSTITUTE($C337,"栋","")&amp;"-"&amp;$D337&amp;"-"&amp;TEXT(MONTH($B337),"00")&amp;TEXT(DAY($B337),"00")&amp;IF(COUNTIFS($C$5:$C337,$C337,$D$5:$D337,$D337)&gt;1,"-"&amp;TEXT(COUNTIFS($C$5:$C337,$C337,$D$5:$D337,$D337),"00"),"")))</f>
        <v/>
      </c>
      <c r="N337" s="21"/>
      <c r="O337" s="18"/>
      <c r="P337" s="21"/>
    </row>
    <row r="338" customFormat="false" ht="21.75" hidden="false" customHeight="true" outlineLevel="0" collapsed="false">
      <c r="A338" s="13" t="str">
        <f aca="false">IF($E338="","",COUNTA($E$5:$E338))</f>
        <v/>
      </c>
      <c r="B338" s="14"/>
      <c r="C338" s="15"/>
      <c r="D338" s="16"/>
      <c r="E338" s="21"/>
      <c r="F338" s="18"/>
      <c r="G338" s="18"/>
      <c r="H338" s="15"/>
      <c r="I338" s="15"/>
      <c r="J338" s="18"/>
      <c r="K338" s="18"/>
      <c r="L338" s="19" t="str">
        <f aca="false">IF($E338="","",IF(OR($C338="",$D338=""),"",COUNTIFS($C$5:$C$404,$C338,$D$5:$D$404,$D338)))</f>
        <v/>
      </c>
      <c r="M338" s="20" t="str">
        <f aca="false">IF($E338="","",IF(OR($B338="",$C338="",$D338=""),"待补楼栋/房号/日期",SUBSTITUTE($C338,"栋","")&amp;"-"&amp;$D338&amp;"-"&amp;TEXT(MONTH($B338),"00")&amp;TEXT(DAY($B338),"00")&amp;IF(COUNTIFS($C$5:$C338,$C338,$D$5:$D338,$D338)&gt;1,"-"&amp;TEXT(COUNTIFS($C$5:$C338,$C338,$D$5:$D338,$D338),"00"),"")))</f>
        <v/>
      </c>
      <c r="N338" s="21"/>
      <c r="O338" s="18"/>
      <c r="P338" s="21"/>
    </row>
    <row r="339" customFormat="false" ht="21.75" hidden="false" customHeight="true" outlineLevel="0" collapsed="false">
      <c r="A339" s="13" t="str">
        <f aca="false">IF($E339="","",COUNTA($E$5:$E339))</f>
        <v/>
      </c>
      <c r="B339" s="14"/>
      <c r="C339" s="15"/>
      <c r="D339" s="16"/>
      <c r="E339" s="21"/>
      <c r="F339" s="18"/>
      <c r="G339" s="18"/>
      <c r="H339" s="15"/>
      <c r="I339" s="15"/>
      <c r="J339" s="18"/>
      <c r="K339" s="18"/>
      <c r="L339" s="19" t="str">
        <f aca="false">IF($E339="","",IF(OR($C339="",$D339=""),"",COUNTIFS($C$5:$C$404,$C339,$D$5:$D$404,$D339)))</f>
        <v/>
      </c>
      <c r="M339" s="20" t="str">
        <f aca="false">IF($E339="","",IF(OR($B339="",$C339="",$D339=""),"待补楼栋/房号/日期",SUBSTITUTE($C339,"栋","")&amp;"-"&amp;$D339&amp;"-"&amp;TEXT(MONTH($B339),"00")&amp;TEXT(DAY($B339),"00")&amp;IF(COUNTIFS($C$5:$C339,$C339,$D$5:$D339,$D339)&gt;1,"-"&amp;TEXT(COUNTIFS($C$5:$C339,$C339,$D$5:$D339,$D339),"00"),"")))</f>
        <v/>
      </c>
      <c r="N339" s="21"/>
      <c r="O339" s="18"/>
      <c r="P339" s="21"/>
    </row>
    <row r="340" customFormat="false" ht="21.75" hidden="false" customHeight="true" outlineLevel="0" collapsed="false">
      <c r="A340" s="13" t="str">
        <f aca="false">IF($E340="","",COUNTA($E$5:$E340))</f>
        <v/>
      </c>
      <c r="B340" s="14"/>
      <c r="C340" s="15"/>
      <c r="D340" s="16"/>
      <c r="E340" s="21"/>
      <c r="F340" s="18"/>
      <c r="G340" s="18"/>
      <c r="H340" s="15"/>
      <c r="I340" s="15"/>
      <c r="J340" s="18"/>
      <c r="K340" s="18"/>
      <c r="L340" s="19" t="str">
        <f aca="false">IF($E340="","",IF(OR($C340="",$D340=""),"",COUNTIFS($C$5:$C$404,$C340,$D$5:$D$404,$D340)))</f>
        <v/>
      </c>
      <c r="M340" s="20" t="str">
        <f aca="false">IF($E340="","",IF(OR($B340="",$C340="",$D340=""),"待补楼栋/房号/日期",SUBSTITUTE($C340,"栋","")&amp;"-"&amp;$D340&amp;"-"&amp;TEXT(MONTH($B340),"00")&amp;TEXT(DAY($B340),"00")&amp;IF(COUNTIFS($C$5:$C340,$C340,$D$5:$D340,$D340)&gt;1,"-"&amp;TEXT(COUNTIFS($C$5:$C340,$C340,$D$5:$D340,$D340),"00"),"")))</f>
        <v/>
      </c>
      <c r="N340" s="21"/>
      <c r="O340" s="18"/>
      <c r="P340" s="21"/>
    </row>
    <row r="341" customFormat="false" ht="21.75" hidden="false" customHeight="true" outlineLevel="0" collapsed="false">
      <c r="A341" s="13" t="str">
        <f aca="false">IF($E341="","",COUNTA($E$5:$E341))</f>
        <v/>
      </c>
      <c r="B341" s="14"/>
      <c r="C341" s="15"/>
      <c r="D341" s="16"/>
      <c r="E341" s="21"/>
      <c r="F341" s="18"/>
      <c r="G341" s="18"/>
      <c r="H341" s="15"/>
      <c r="I341" s="15"/>
      <c r="J341" s="18"/>
      <c r="K341" s="18"/>
      <c r="L341" s="19" t="str">
        <f aca="false">IF($E341="","",IF(OR($C341="",$D341=""),"",COUNTIFS($C$5:$C$404,$C341,$D$5:$D$404,$D341)))</f>
        <v/>
      </c>
      <c r="M341" s="20" t="str">
        <f aca="false">IF($E341="","",IF(OR($B341="",$C341="",$D341=""),"待补楼栋/房号/日期",SUBSTITUTE($C341,"栋","")&amp;"-"&amp;$D341&amp;"-"&amp;TEXT(MONTH($B341),"00")&amp;TEXT(DAY($B341),"00")&amp;IF(COUNTIFS($C$5:$C341,$C341,$D$5:$D341,$D341)&gt;1,"-"&amp;TEXT(COUNTIFS($C$5:$C341,$C341,$D$5:$D341,$D341),"00"),"")))</f>
        <v/>
      </c>
      <c r="N341" s="21"/>
      <c r="O341" s="18"/>
      <c r="P341" s="21"/>
    </row>
    <row r="342" customFormat="false" ht="21.75" hidden="false" customHeight="true" outlineLevel="0" collapsed="false">
      <c r="A342" s="13" t="str">
        <f aca="false">IF($E342="","",COUNTA($E$5:$E342))</f>
        <v/>
      </c>
      <c r="B342" s="14"/>
      <c r="C342" s="15"/>
      <c r="D342" s="16"/>
      <c r="E342" s="21"/>
      <c r="F342" s="18"/>
      <c r="G342" s="18"/>
      <c r="H342" s="15"/>
      <c r="I342" s="15"/>
      <c r="J342" s="18"/>
      <c r="K342" s="18"/>
      <c r="L342" s="19" t="str">
        <f aca="false">IF($E342="","",IF(OR($C342="",$D342=""),"",COUNTIFS($C$5:$C$404,$C342,$D$5:$D$404,$D342)))</f>
        <v/>
      </c>
      <c r="M342" s="20" t="str">
        <f aca="false">IF($E342="","",IF(OR($B342="",$C342="",$D342=""),"待补楼栋/房号/日期",SUBSTITUTE($C342,"栋","")&amp;"-"&amp;$D342&amp;"-"&amp;TEXT(MONTH($B342),"00")&amp;TEXT(DAY($B342),"00")&amp;IF(COUNTIFS($C$5:$C342,$C342,$D$5:$D342,$D342)&gt;1,"-"&amp;TEXT(COUNTIFS($C$5:$C342,$C342,$D$5:$D342,$D342),"00"),"")))</f>
        <v/>
      </c>
      <c r="N342" s="21"/>
      <c r="O342" s="18"/>
      <c r="P342" s="21"/>
    </row>
    <row r="343" customFormat="false" ht="21.75" hidden="false" customHeight="true" outlineLevel="0" collapsed="false">
      <c r="A343" s="13" t="str">
        <f aca="false">IF($E343="","",COUNTA($E$5:$E343))</f>
        <v/>
      </c>
      <c r="B343" s="14"/>
      <c r="C343" s="15"/>
      <c r="D343" s="16"/>
      <c r="E343" s="21"/>
      <c r="F343" s="18"/>
      <c r="G343" s="18"/>
      <c r="H343" s="15"/>
      <c r="I343" s="15"/>
      <c r="J343" s="18"/>
      <c r="K343" s="18"/>
      <c r="L343" s="19" t="str">
        <f aca="false">IF($E343="","",IF(OR($C343="",$D343=""),"",COUNTIFS($C$5:$C$404,$C343,$D$5:$D$404,$D343)))</f>
        <v/>
      </c>
      <c r="M343" s="20" t="str">
        <f aca="false">IF($E343="","",IF(OR($B343="",$C343="",$D343=""),"待补楼栋/房号/日期",SUBSTITUTE($C343,"栋","")&amp;"-"&amp;$D343&amp;"-"&amp;TEXT(MONTH($B343),"00")&amp;TEXT(DAY($B343),"00")&amp;IF(COUNTIFS($C$5:$C343,$C343,$D$5:$D343,$D343)&gt;1,"-"&amp;TEXT(COUNTIFS($C$5:$C343,$C343,$D$5:$D343,$D343),"00"),"")))</f>
        <v/>
      </c>
      <c r="N343" s="21"/>
      <c r="O343" s="18"/>
      <c r="P343" s="21"/>
    </row>
    <row r="344" customFormat="false" ht="21.75" hidden="false" customHeight="true" outlineLevel="0" collapsed="false">
      <c r="A344" s="13" t="str">
        <f aca="false">IF($E344="","",COUNTA($E$5:$E344))</f>
        <v/>
      </c>
      <c r="B344" s="14"/>
      <c r="C344" s="15"/>
      <c r="D344" s="16"/>
      <c r="E344" s="21"/>
      <c r="F344" s="18"/>
      <c r="G344" s="18"/>
      <c r="H344" s="15"/>
      <c r="I344" s="15"/>
      <c r="J344" s="18"/>
      <c r="K344" s="18"/>
      <c r="L344" s="19" t="str">
        <f aca="false">IF($E344="","",IF(OR($C344="",$D344=""),"",COUNTIFS($C$5:$C$404,$C344,$D$5:$D$404,$D344)))</f>
        <v/>
      </c>
      <c r="M344" s="20" t="str">
        <f aca="false">IF($E344="","",IF(OR($B344="",$C344="",$D344=""),"待补楼栋/房号/日期",SUBSTITUTE($C344,"栋","")&amp;"-"&amp;$D344&amp;"-"&amp;TEXT(MONTH($B344),"00")&amp;TEXT(DAY($B344),"00")&amp;IF(COUNTIFS($C$5:$C344,$C344,$D$5:$D344,$D344)&gt;1,"-"&amp;TEXT(COUNTIFS($C$5:$C344,$C344,$D$5:$D344,$D344),"00"),"")))</f>
        <v/>
      </c>
      <c r="N344" s="21"/>
      <c r="O344" s="18"/>
      <c r="P344" s="21"/>
    </row>
    <row r="345" customFormat="false" ht="21.75" hidden="false" customHeight="true" outlineLevel="0" collapsed="false">
      <c r="A345" s="13" t="str">
        <f aca="false">IF($E345="","",COUNTA($E$5:$E345))</f>
        <v/>
      </c>
      <c r="B345" s="14"/>
      <c r="C345" s="15"/>
      <c r="D345" s="16"/>
      <c r="E345" s="21"/>
      <c r="F345" s="18"/>
      <c r="G345" s="18"/>
      <c r="H345" s="15"/>
      <c r="I345" s="15"/>
      <c r="J345" s="18"/>
      <c r="K345" s="18"/>
      <c r="L345" s="19" t="str">
        <f aca="false">IF($E345="","",IF(OR($C345="",$D345=""),"",COUNTIFS($C$5:$C$404,$C345,$D$5:$D$404,$D345)))</f>
        <v/>
      </c>
      <c r="M345" s="20" t="str">
        <f aca="false">IF($E345="","",IF(OR($B345="",$C345="",$D345=""),"待补楼栋/房号/日期",SUBSTITUTE($C345,"栋","")&amp;"-"&amp;$D345&amp;"-"&amp;TEXT(MONTH($B345),"00")&amp;TEXT(DAY($B345),"00")&amp;IF(COUNTIFS($C$5:$C345,$C345,$D$5:$D345,$D345)&gt;1,"-"&amp;TEXT(COUNTIFS($C$5:$C345,$C345,$D$5:$D345,$D345),"00"),"")))</f>
        <v/>
      </c>
      <c r="N345" s="21"/>
      <c r="O345" s="18"/>
      <c r="P345" s="21"/>
    </row>
    <row r="346" customFormat="false" ht="21.75" hidden="false" customHeight="true" outlineLevel="0" collapsed="false">
      <c r="A346" s="13" t="str">
        <f aca="false">IF($E346="","",COUNTA($E$5:$E346))</f>
        <v/>
      </c>
      <c r="B346" s="14"/>
      <c r="C346" s="15"/>
      <c r="D346" s="16"/>
      <c r="E346" s="21"/>
      <c r="F346" s="18"/>
      <c r="G346" s="18"/>
      <c r="H346" s="15"/>
      <c r="I346" s="15"/>
      <c r="J346" s="18"/>
      <c r="K346" s="18"/>
      <c r="L346" s="19" t="str">
        <f aca="false">IF($E346="","",IF(OR($C346="",$D346=""),"",COUNTIFS($C$5:$C$404,$C346,$D$5:$D$404,$D346)))</f>
        <v/>
      </c>
      <c r="M346" s="20" t="str">
        <f aca="false">IF($E346="","",IF(OR($B346="",$C346="",$D346=""),"待补楼栋/房号/日期",SUBSTITUTE($C346,"栋","")&amp;"-"&amp;$D346&amp;"-"&amp;TEXT(MONTH($B346),"00")&amp;TEXT(DAY($B346),"00")&amp;IF(COUNTIFS($C$5:$C346,$C346,$D$5:$D346,$D346)&gt;1,"-"&amp;TEXT(COUNTIFS($C$5:$C346,$C346,$D$5:$D346,$D346),"00"),"")))</f>
        <v/>
      </c>
      <c r="N346" s="21"/>
      <c r="O346" s="18"/>
      <c r="P346" s="21"/>
    </row>
    <row r="347" customFormat="false" ht="21.75" hidden="false" customHeight="true" outlineLevel="0" collapsed="false">
      <c r="A347" s="13" t="str">
        <f aca="false">IF($E347="","",COUNTA($E$5:$E347))</f>
        <v/>
      </c>
      <c r="B347" s="14"/>
      <c r="C347" s="15"/>
      <c r="D347" s="16"/>
      <c r="E347" s="21"/>
      <c r="F347" s="18"/>
      <c r="G347" s="18"/>
      <c r="H347" s="15"/>
      <c r="I347" s="15"/>
      <c r="J347" s="18"/>
      <c r="K347" s="18"/>
      <c r="L347" s="19" t="str">
        <f aca="false">IF($E347="","",IF(OR($C347="",$D347=""),"",COUNTIFS($C$5:$C$404,$C347,$D$5:$D$404,$D347)))</f>
        <v/>
      </c>
      <c r="M347" s="20" t="str">
        <f aca="false">IF($E347="","",IF(OR($B347="",$C347="",$D347=""),"待补楼栋/房号/日期",SUBSTITUTE($C347,"栋","")&amp;"-"&amp;$D347&amp;"-"&amp;TEXT(MONTH($B347),"00")&amp;TEXT(DAY($B347),"00")&amp;IF(COUNTIFS($C$5:$C347,$C347,$D$5:$D347,$D347)&gt;1,"-"&amp;TEXT(COUNTIFS($C$5:$C347,$C347,$D$5:$D347,$D347),"00"),"")))</f>
        <v/>
      </c>
      <c r="N347" s="21"/>
      <c r="O347" s="18"/>
      <c r="P347" s="21"/>
    </row>
    <row r="348" customFormat="false" ht="21.75" hidden="false" customHeight="true" outlineLevel="0" collapsed="false">
      <c r="A348" s="13" t="str">
        <f aca="false">IF($E348="","",COUNTA($E$5:$E348))</f>
        <v/>
      </c>
      <c r="B348" s="14"/>
      <c r="C348" s="15"/>
      <c r="D348" s="16"/>
      <c r="E348" s="21"/>
      <c r="F348" s="18"/>
      <c r="G348" s="18"/>
      <c r="H348" s="15"/>
      <c r="I348" s="15"/>
      <c r="J348" s="18"/>
      <c r="K348" s="18"/>
      <c r="L348" s="19" t="str">
        <f aca="false">IF($E348="","",IF(OR($C348="",$D348=""),"",COUNTIFS($C$5:$C$404,$C348,$D$5:$D$404,$D348)))</f>
        <v/>
      </c>
      <c r="M348" s="20" t="str">
        <f aca="false">IF($E348="","",IF(OR($B348="",$C348="",$D348=""),"待补楼栋/房号/日期",SUBSTITUTE($C348,"栋","")&amp;"-"&amp;$D348&amp;"-"&amp;TEXT(MONTH($B348),"00")&amp;TEXT(DAY($B348),"00")&amp;IF(COUNTIFS($C$5:$C348,$C348,$D$5:$D348,$D348)&gt;1,"-"&amp;TEXT(COUNTIFS($C$5:$C348,$C348,$D$5:$D348,$D348),"00"),"")))</f>
        <v/>
      </c>
      <c r="N348" s="21"/>
      <c r="O348" s="18"/>
      <c r="P348" s="21"/>
    </row>
    <row r="349" customFormat="false" ht="21.75" hidden="false" customHeight="true" outlineLevel="0" collapsed="false">
      <c r="A349" s="13" t="str">
        <f aca="false">IF($E349="","",COUNTA($E$5:$E349))</f>
        <v/>
      </c>
      <c r="B349" s="14"/>
      <c r="C349" s="15"/>
      <c r="D349" s="16"/>
      <c r="E349" s="21"/>
      <c r="F349" s="18"/>
      <c r="G349" s="18"/>
      <c r="H349" s="15"/>
      <c r="I349" s="15"/>
      <c r="J349" s="18"/>
      <c r="K349" s="18"/>
      <c r="L349" s="19" t="str">
        <f aca="false">IF($E349="","",IF(OR($C349="",$D349=""),"",COUNTIFS($C$5:$C$404,$C349,$D$5:$D$404,$D349)))</f>
        <v/>
      </c>
      <c r="M349" s="20" t="str">
        <f aca="false">IF($E349="","",IF(OR($B349="",$C349="",$D349=""),"待补楼栋/房号/日期",SUBSTITUTE($C349,"栋","")&amp;"-"&amp;$D349&amp;"-"&amp;TEXT(MONTH($B349),"00")&amp;TEXT(DAY($B349),"00")&amp;IF(COUNTIFS($C$5:$C349,$C349,$D$5:$D349,$D349)&gt;1,"-"&amp;TEXT(COUNTIFS($C$5:$C349,$C349,$D$5:$D349,$D349),"00"),"")))</f>
        <v/>
      </c>
      <c r="N349" s="21"/>
      <c r="O349" s="18"/>
      <c r="P349" s="21"/>
    </row>
    <row r="350" customFormat="false" ht="21.75" hidden="false" customHeight="true" outlineLevel="0" collapsed="false">
      <c r="A350" s="13" t="str">
        <f aca="false">IF($E350="","",COUNTA($E$5:$E350))</f>
        <v/>
      </c>
      <c r="B350" s="14"/>
      <c r="C350" s="15"/>
      <c r="D350" s="16"/>
      <c r="E350" s="21"/>
      <c r="F350" s="18"/>
      <c r="G350" s="18"/>
      <c r="H350" s="15"/>
      <c r="I350" s="15"/>
      <c r="J350" s="18"/>
      <c r="K350" s="18"/>
      <c r="L350" s="19" t="str">
        <f aca="false">IF($E350="","",IF(OR($C350="",$D350=""),"",COUNTIFS($C$5:$C$404,$C350,$D$5:$D$404,$D350)))</f>
        <v/>
      </c>
      <c r="M350" s="20" t="str">
        <f aca="false">IF($E350="","",IF(OR($B350="",$C350="",$D350=""),"待补楼栋/房号/日期",SUBSTITUTE($C350,"栋","")&amp;"-"&amp;$D350&amp;"-"&amp;TEXT(MONTH($B350),"00")&amp;TEXT(DAY($B350),"00")&amp;IF(COUNTIFS($C$5:$C350,$C350,$D$5:$D350,$D350)&gt;1,"-"&amp;TEXT(COUNTIFS($C$5:$C350,$C350,$D$5:$D350,$D350),"00"),"")))</f>
        <v/>
      </c>
      <c r="N350" s="21"/>
      <c r="O350" s="18"/>
      <c r="P350" s="21"/>
    </row>
    <row r="351" customFormat="false" ht="21.75" hidden="false" customHeight="true" outlineLevel="0" collapsed="false">
      <c r="A351" s="13" t="str">
        <f aca="false">IF($E351="","",COUNTA($E$5:$E351))</f>
        <v/>
      </c>
      <c r="B351" s="14"/>
      <c r="C351" s="15"/>
      <c r="D351" s="16"/>
      <c r="E351" s="21"/>
      <c r="F351" s="18"/>
      <c r="G351" s="18"/>
      <c r="H351" s="15"/>
      <c r="I351" s="15"/>
      <c r="J351" s="18"/>
      <c r="K351" s="18"/>
      <c r="L351" s="19" t="str">
        <f aca="false">IF($E351="","",IF(OR($C351="",$D351=""),"",COUNTIFS($C$5:$C$404,$C351,$D$5:$D$404,$D351)))</f>
        <v/>
      </c>
      <c r="M351" s="20" t="str">
        <f aca="false">IF($E351="","",IF(OR($B351="",$C351="",$D351=""),"待补楼栋/房号/日期",SUBSTITUTE($C351,"栋","")&amp;"-"&amp;$D351&amp;"-"&amp;TEXT(MONTH($B351),"00")&amp;TEXT(DAY($B351),"00")&amp;IF(COUNTIFS($C$5:$C351,$C351,$D$5:$D351,$D351)&gt;1,"-"&amp;TEXT(COUNTIFS($C$5:$C351,$C351,$D$5:$D351,$D351),"00"),"")))</f>
        <v/>
      </c>
      <c r="N351" s="21"/>
      <c r="O351" s="18"/>
      <c r="P351" s="21"/>
    </row>
    <row r="352" customFormat="false" ht="21.75" hidden="false" customHeight="true" outlineLevel="0" collapsed="false">
      <c r="A352" s="13" t="str">
        <f aca="false">IF($E352="","",COUNTA($E$5:$E352))</f>
        <v/>
      </c>
      <c r="B352" s="14"/>
      <c r="C352" s="15"/>
      <c r="D352" s="16"/>
      <c r="E352" s="21"/>
      <c r="F352" s="18"/>
      <c r="G352" s="18"/>
      <c r="H352" s="15"/>
      <c r="I352" s="15"/>
      <c r="J352" s="18"/>
      <c r="K352" s="18"/>
      <c r="L352" s="19" t="str">
        <f aca="false">IF($E352="","",IF(OR($C352="",$D352=""),"",COUNTIFS($C$5:$C$404,$C352,$D$5:$D$404,$D352)))</f>
        <v/>
      </c>
      <c r="M352" s="20" t="str">
        <f aca="false">IF($E352="","",IF(OR($B352="",$C352="",$D352=""),"待补楼栋/房号/日期",SUBSTITUTE($C352,"栋","")&amp;"-"&amp;$D352&amp;"-"&amp;TEXT(MONTH($B352),"00")&amp;TEXT(DAY($B352),"00")&amp;IF(COUNTIFS($C$5:$C352,$C352,$D$5:$D352,$D352)&gt;1,"-"&amp;TEXT(COUNTIFS($C$5:$C352,$C352,$D$5:$D352,$D352),"00"),"")))</f>
        <v/>
      </c>
      <c r="N352" s="21"/>
      <c r="O352" s="18"/>
      <c r="P352" s="21"/>
    </row>
    <row r="353" customFormat="false" ht="21.75" hidden="false" customHeight="true" outlineLevel="0" collapsed="false">
      <c r="A353" s="13" t="str">
        <f aca="false">IF($E353="","",COUNTA($E$5:$E353))</f>
        <v/>
      </c>
      <c r="B353" s="14"/>
      <c r="C353" s="15"/>
      <c r="D353" s="16"/>
      <c r="E353" s="21"/>
      <c r="F353" s="18"/>
      <c r="G353" s="18"/>
      <c r="H353" s="15"/>
      <c r="I353" s="15"/>
      <c r="J353" s="18"/>
      <c r="K353" s="18"/>
      <c r="L353" s="19" t="str">
        <f aca="false">IF($E353="","",IF(OR($C353="",$D353=""),"",COUNTIFS($C$5:$C$404,$C353,$D$5:$D$404,$D353)))</f>
        <v/>
      </c>
      <c r="M353" s="20" t="str">
        <f aca="false">IF($E353="","",IF(OR($B353="",$C353="",$D353=""),"待补楼栋/房号/日期",SUBSTITUTE($C353,"栋","")&amp;"-"&amp;$D353&amp;"-"&amp;TEXT(MONTH($B353),"00")&amp;TEXT(DAY($B353),"00")&amp;IF(COUNTIFS($C$5:$C353,$C353,$D$5:$D353,$D353)&gt;1,"-"&amp;TEXT(COUNTIFS($C$5:$C353,$C353,$D$5:$D353,$D353),"00"),"")))</f>
        <v/>
      </c>
      <c r="N353" s="21"/>
      <c r="O353" s="18"/>
      <c r="P353" s="21"/>
    </row>
    <row r="354" customFormat="false" ht="21.75" hidden="false" customHeight="true" outlineLevel="0" collapsed="false">
      <c r="A354" s="13" t="str">
        <f aca="false">IF($E354="","",COUNTA($E$5:$E354))</f>
        <v/>
      </c>
      <c r="B354" s="14"/>
      <c r="C354" s="15"/>
      <c r="D354" s="16"/>
      <c r="E354" s="21"/>
      <c r="F354" s="18"/>
      <c r="G354" s="18"/>
      <c r="H354" s="15"/>
      <c r="I354" s="15"/>
      <c r="J354" s="18"/>
      <c r="K354" s="18"/>
      <c r="L354" s="19" t="str">
        <f aca="false">IF($E354="","",IF(OR($C354="",$D354=""),"",COUNTIFS($C$5:$C$404,$C354,$D$5:$D$404,$D354)))</f>
        <v/>
      </c>
      <c r="M354" s="20" t="str">
        <f aca="false">IF($E354="","",IF(OR($B354="",$C354="",$D354=""),"待补楼栋/房号/日期",SUBSTITUTE($C354,"栋","")&amp;"-"&amp;$D354&amp;"-"&amp;TEXT(MONTH($B354),"00")&amp;TEXT(DAY($B354),"00")&amp;IF(COUNTIFS($C$5:$C354,$C354,$D$5:$D354,$D354)&gt;1,"-"&amp;TEXT(COUNTIFS($C$5:$C354,$C354,$D$5:$D354,$D354),"00"),"")))</f>
        <v/>
      </c>
      <c r="N354" s="21"/>
      <c r="O354" s="18"/>
      <c r="P354" s="21"/>
    </row>
    <row r="355" customFormat="false" ht="21.75" hidden="false" customHeight="true" outlineLevel="0" collapsed="false">
      <c r="A355" s="13" t="str">
        <f aca="false">IF($E355="","",COUNTA($E$5:$E355))</f>
        <v/>
      </c>
      <c r="B355" s="14"/>
      <c r="C355" s="15"/>
      <c r="D355" s="16"/>
      <c r="E355" s="21"/>
      <c r="F355" s="18"/>
      <c r="G355" s="18"/>
      <c r="H355" s="15"/>
      <c r="I355" s="15"/>
      <c r="J355" s="18"/>
      <c r="K355" s="18"/>
      <c r="L355" s="19" t="str">
        <f aca="false">IF($E355="","",IF(OR($C355="",$D355=""),"",COUNTIFS($C$5:$C$404,$C355,$D$5:$D$404,$D355)))</f>
        <v/>
      </c>
      <c r="M355" s="20" t="str">
        <f aca="false">IF($E355="","",IF(OR($B355="",$C355="",$D355=""),"待补楼栋/房号/日期",SUBSTITUTE($C355,"栋","")&amp;"-"&amp;$D355&amp;"-"&amp;TEXT(MONTH($B355),"00")&amp;TEXT(DAY($B355),"00")&amp;IF(COUNTIFS($C$5:$C355,$C355,$D$5:$D355,$D355)&gt;1,"-"&amp;TEXT(COUNTIFS($C$5:$C355,$C355,$D$5:$D355,$D355),"00"),"")))</f>
        <v/>
      </c>
      <c r="N355" s="21"/>
      <c r="O355" s="18"/>
      <c r="P355" s="21"/>
    </row>
    <row r="356" customFormat="false" ht="21.75" hidden="false" customHeight="true" outlineLevel="0" collapsed="false">
      <c r="A356" s="13" t="str">
        <f aca="false">IF($E356="","",COUNTA($E$5:$E356))</f>
        <v/>
      </c>
      <c r="B356" s="14"/>
      <c r="C356" s="15"/>
      <c r="D356" s="16"/>
      <c r="E356" s="21"/>
      <c r="F356" s="18"/>
      <c r="G356" s="18"/>
      <c r="H356" s="15"/>
      <c r="I356" s="15"/>
      <c r="J356" s="18"/>
      <c r="K356" s="18"/>
      <c r="L356" s="19" t="str">
        <f aca="false">IF($E356="","",IF(OR($C356="",$D356=""),"",COUNTIFS($C$5:$C$404,$C356,$D$5:$D$404,$D356)))</f>
        <v/>
      </c>
      <c r="M356" s="20" t="str">
        <f aca="false">IF($E356="","",IF(OR($B356="",$C356="",$D356=""),"待补楼栋/房号/日期",SUBSTITUTE($C356,"栋","")&amp;"-"&amp;$D356&amp;"-"&amp;TEXT(MONTH($B356),"00")&amp;TEXT(DAY($B356),"00")&amp;IF(COUNTIFS($C$5:$C356,$C356,$D$5:$D356,$D356)&gt;1,"-"&amp;TEXT(COUNTIFS($C$5:$C356,$C356,$D$5:$D356,$D356),"00"),"")))</f>
        <v/>
      </c>
      <c r="N356" s="21"/>
      <c r="O356" s="18"/>
      <c r="P356" s="21"/>
    </row>
    <row r="357" customFormat="false" ht="21.75" hidden="false" customHeight="true" outlineLevel="0" collapsed="false">
      <c r="A357" s="13" t="str">
        <f aca="false">IF($E357="","",COUNTA($E$5:$E357))</f>
        <v/>
      </c>
      <c r="B357" s="14"/>
      <c r="C357" s="15"/>
      <c r="D357" s="16"/>
      <c r="E357" s="21"/>
      <c r="F357" s="18"/>
      <c r="G357" s="18"/>
      <c r="H357" s="15"/>
      <c r="I357" s="15"/>
      <c r="J357" s="18"/>
      <c r="K357" s="18"/>
      <c r="L357" s="19" t="str">
        <f aca="false">IF($E357="","",IF(OR($C357="",$D357=""),"",COUNTIFS($C$5:$C$404,$C357,$D$5:$D$404,$D357)))</f>
        <v/>
      </c>
      <c r="M357" s="20" t="str">
        <f aca="false">IF($E357="","",IF(OR($B357="",$C357="",$D357=""),"待补楼栋/房号/日期",SUBSTITUTE($C357,"栋","")&amp;"-"&amp;$D357&amp;"-"&amp;TEXT(MONTH($B357),"00")&amp;TEXT(DAY($B357),"00")&amp;IF(COUNTIFS($C$5:$C357,$C357,$D$5:$D357,$D357)&gt;1,"-"&amp;TEXT(COUNTIFS($C$5:$C357,$C357,$D$5:$D357,$D357),"00"),"")))</f>
        <v/>
      </c>
      <c r="N357" s="21"/>
      <c r="O357" s="18"/>
      <c r="P357" s="21"/>
    </row>
    <row r="358" customFormat="false" ht="21.75" hidden="false" customHeight="true" outlineLevel="0" collapsed="false">
      <c r="A358" s="13" t="str">
        <f aca="false">IF($E358="","",COUNTA($E$5:$E358))</f>
        <v/>
      </c>
      <c r="B358" s="14"/>
      <c r="C358" s="15"/>
      <c r="D358" s="16"/>
      <c r="E358" s="21"/>
      <c r="F358" s="18"/>
      <c r="G358" s="18"/>
      <c r="H358" s="15"/>
      <c r="I358" s="15"/>
      <c r="J358" s="18"/>
      <c r="K358" s="18"/>
      <c r="L358" s="19" t="str">
        <f aca="false">IF($E358="","",IF(OR($C358="",$D358=""),"",COUNTIFS($C$5:$C$404,$C358,$D$5:$D$404,$D358)))</f>
        <v/>
      </c>
      <c r="M358" s="20" t="str">
        <f aca="false">IF($E358="","",IF(OR($B358="",$C358="",$D358=""),"待补楼栋/房号/日期",SUBSTITUTE($C358,"栋","")&amp;"-"&amp;$D358&amp;"-"&amp;TEXT(MONTH($B358),"00")&amp;TEXT(DAY($B358),"00")&amp;IF(COUNTIFS($C$5:$C358,$C358,$D$5:$D358,$D358)&gt;1,"-"&amp;TEXT(COUNTIFS($C$5:$C358,$C358,$D$5:$D358,$D358),"00"),"")))</f>
        <v/>
      </c>
      <c r="N358" s="21"/>
      <c r="O358" s="18"/>
      <c r="P358" s="21"/>
    </row>
    <row r="359" customFormat="false" ht="21.75" hidden="false" customHeight="true" outlineLevel="0" collapsed="false">
      <c r="A359" s="13" t="str">
        <f aca="false">IF($E359="","",COUNTA($E$5:$E359))</f>
        <v/>
      </c>
      <c r="B359" s="14"/>
      <c r="C359" s="15"/>
      <c r="D359" s="16"/>
      <c r="E359" s="21"/>
      <c r="F359" s="18"/>
      <c r="G359" s="18"/>
      <c r="H359" s="15"/>
      <c r="I359" s="15"/>
      <c r="J359" s="18"/>
      <c r="K359" s="18"/>
      <c r="L359" s="19" t="str">
        <f aca="false">IF($E359="","",IF(OR($C359="",$D359=""),"",COUNTIFS($C$5:$C$404,$C359,$D$5:$D$404,$D359)))</f>
        <v/>
      </c>
      <c r="M359" s="20" t="str">
        <f aca="false">IF($E359="","",IF(OR($B359="",$C359="",$D359=""),"待补楼栋/房号/日期",SUBSTITUTE($C359,"栋","")&amp;"-"&amp;$D359&amp;"-"&amp;TEXT(MONTH($B359),"00")&amp;TEXT(DAY($B359),"00")&amp;IF(COUNTIFS($C$5:$C359,$C359,$D$5:$D359,$D359)&gt;1,"-"&amp;TEXT(COUNTIFS($C$5:$C359,$C359,$D$5:$D359,$D359),"00"),"")))</f>
        <v/>
      </c>
      <c r="N359" s="21"/>
      <c r="O359" s="18"/>
      <c r="P359" s="21"/>
    </row>
    <row r="360" customFormat="false" ht="21.75" hidden="false" customHeight="true" outlineLevel="0" collapsed="false">
      <c r="A360" s="13" t="str">
        <f aca="false">IF($E360="","",COUNTA($E$5:$E360))</f>
        <v/>
      </c>
      <c r="B360" s="14"/>
      <c r="C360" s="15"/>
      <c r="D360" s="16"/>
      <c r="E360" s="21"/>
      <c r="F360" s="18"/>
      <c r="G360" s="18"/>
      <c r="H360" s="15"/>
      <c r="I360" s="15"/>
      <c r="J360" s="18"/>
      <c r="K360" s="18"/>
      <c r="L360" s="19" t="str">
        <f aca="false">IF($E360="","",IF(OR($C360="",$D360=""),"",COUNTIFS($C$5:$C$404,$C360,$D$5:$D$404,$D360)))</f>
        <v/>
      </c>
      <c r="M360" s="20" t="str">
        <f aca="false">IF($E360="","",IF(OR($B360="",$C360="",$D360=""),"待补楼栋/房号/日期",SUBSTITUTE($C360,"栋","")&amp;"-"&amp;$D360&amp;"-"&amp;TEXT(MONTH($B360),"00")&amp;TEXT(DAY($B360),"00")&amp;IF(COUNTIFS($C$5:$C360,$C360,$D$5:$D360,$D360)&gt;1,"-"&amp;TEXT(COUNTIFS($C$5:$C360,$C360,$D$5:$D360,$D360),"00"),"")))</f>
        <v/>
      </c>
      <c r="N360" s="21"/>
      <c r="O360" s="18"/>
      <c r="P360" s="21"/>
    </row>
    <row r="361" customFormat="false" ht="21.75" hidden="false" customHeight="true" outlineLevel="0" collapsed="false">
      <c r="A361" s="13" t="str">
        <f aca="false">IF($E361="","",COUNTA($E$5:$E361))</f>
        <v/>
      </c>
      <c r="B361" s="14"/>
      <c r="C361" s="15"/>
      <c r="D361" s="16"/>
      <c r="E361" s="21"/>
      <c r="F361" s="18"/>
      <c r="G361" s="18"/>
      <c r="H361" s="15"/>
      <c r="I361" s="15"/>
      <c r="J361" s="18"/>
      <c r="K361" s="18"/>
      <c r="L361" s="19" t="str">
        <f aca="false">IF($E361="","",IF(OR($C361="",$D361=""),"",COUNTIFS($C$5:$C$404,$C361,$D$5:$D$404,$D361)))</f>
        <v/>
      </c>
      <c r="M361" s="20" t="str">
        <f aca="false">IF($E361="","",IF(OR($B361="",$C361="",$D361=""),"待补楼栋/房号/日期",SUBSTITUTE($C361,"栋","")&amp;"-"&amp;$D361&amp;"-"&amp;TEXT(MONTH($B361),"00")&amp;TEXT(DAY($B361),"00")&amp;IF(COUNTIFS($C$5:$C361,$C361,$D$5:$D361,$D361)&gt;1,"-"&amp;TEXT(COUNTIFS($C$5:$C361,$C361,$D$5:$D361,$D361),"00"),"")))</f>
        <v/>
      </c>
      <c r="N361" s="21"/>
      <c r="O361" s="18"/>
      <c r="P361" s="21"/>
    </row>
    <row r="362" customFormat="false" ht="21.75" hidden="false" customHeight="true" outlineLevel="0" collapsed="false">
      <c r="A362" s="13" t="str">
        <f aca="false">IF($E362="","",COUNTA($E$5:$E362))</f>
        <v/>
      </c>
      <c r="B362" s="14"/>
      <c r="C362" s="15"/>
      <c r="D362" s="16"/>
      <c r="E362" s="21"/>
      <c r="F362" s="18"/>
      <c r="G362" s="18"/>
      <c r="H362" s="15"/>
      <c r="I362" s="15"/>
      <c r="J362" s="18"/>
      <c r="K362" s="18"/>
      <c r="L362" s="19" t="str">
        <f aca="false">IF($E362="","",IF(OR($C362="",$D362=""),"",COUNTIFS($C$5:$C$404,$C362,$D$5:$D$404,$D362)))</f>
        <v/>
      </c>
      <c r="M362" s="20" t="str">
        <f aca="false">IF($E362="","",IF(OR($B362="",$C362="",$D362=""),"待补楼栋/房号/日期",SUBSTITUTE($C362,"栋","")&amp;"-"&amp;$D362&amp;"-"&amp;TEXT(MONTH($B362),"00")&amp;TEXT(DAY($B362),"00")&amp;IF(COUNTIFS($C$5:$C362,$C362,$D$5:$D362,$D362)&gt;1,"-"&amp;TEXT(COUNTIFS($C$5:$C362,$C362,$D$5:$D362,$D362),"00"),"")))</f>
        <v/>
      </c>
      <c r="N362" s="21"/>
      <c r="O362" s="18"/>
      <c r="P362" s="21"/>
    </row>
    <row r="363" customFormat="false" ht="21.75" hidden="false" customHeight="true" outlineLevel="0" collapsed="false">
      <c r="A363" s="13" t="str">
        <f aca="false">IF($E363="","",COUNTA($E$5:$E363))</f>
        <v/>
      </c>
      <c r="B363" s="14"/>
      <c r="C363" s="15"/>
      <c r="D363" s="16"/>
      <c r="E363" s="21"/>
      <c r="F363" s="18"/>
      <c r="G363" s="18"/>
      <c r="H363" s="15"/>
      <c r="I363" s="15"/>
      <c r="J363" s="18"/>
      <c r="K363" s="18"/>
      <c r="L363" s="19" t="str">
        <f aca="false">IF($E363="","",IF(OR($C363="",$D363=""),"",COUNTIFS($C$5:$C$404,$C363,$D$5:$D$404,$D363)))</f>
        <v/>
      </c>
      <c r="M363" s="20" t="str">
        <f aca="false">IF($E363="","",IF(OR($B363="",$C363="",$D363=""),"待补楼栋/房号/日期",SUBSTITUTE($C363,"栋","")&amp;"-"&amp;$D363&amp;"-"&amp;TEXT(MONTH($B363),"00")&amp;TEXT(DAY($B363),"00")&amp;IF(COUNTIFS($C$5:$C363,$C363,$D$5:$D363,$D363)&gt;1,"-"&amp;TEXT(COUNTIFS($C$5:$C363,$C363,$D$5:$D363,$D363),"00"),"")))</f>
        <v/>
      </c>
      <c r="N363" s="21"/>
      <c r="O363" s="18"/>
      <c r="P363" s="21"/>
    </row>
    <row r="364" customFormat="false" ht="21.75" hidden="false" customHeight="true" outlineLevel="0" collapsed="false">
      <c r="A364" s="13" t="str">
        <f aca="false">IF($E364="","",COUNTA($E$5:$E364))</f>
        <v/>
      </c>
      <c r="B364" s="14"/>
      <c r="C364" s="15"/>
      <c r="D364" s="16"/>
      <c r="E364" s="21"/>
      <c r="F364" s="18"/>
      <c r="G364" s="18"/>
      <c r="H364" s="15"/>
      <c r="I364" s="15"/>
      <c r="J364" s="18"/>
      <c r="K364" s="18"/>
      <c r="L364" s="19" t="str">
        <f aca="false">IF($E364="","",IF(OR($C364="",$D364=""),"",COUNTIFS($C$5:$C$404,$C364,$D$5:$D$404,$D364)))</f>
        <v/>
      </c>
      <c r="M364" s="20" t="str">
        <f aca="false">IF($E364="","",IF(OR($B364="",$C364="",$D364=""),"待补楼栋/房号/日期",SUBSTITUTE($C364,"栋","")&amp;"-"&amp;$D364&amp;"-"&amp;TEXT(MONTH($B364),"00")&amp;TEXT(DAY($B364),"00")&amp;IF(COUNTIFS($C$5:$C364,$C364,$D$5:$D364,$D364)&gt;1,"-"&amp;TEXT(COUNTIFS($C$5:$C364,$C364,$D$5:$D364,$D364),"00"),"")))</f>
        <v/>
      </c>
      <c r="N364" s="21"/>
      <c r="O364" s="18"/>
      <c r="P364" s="21"/>
    </row>
    <row r="365" customFormat="false" ht="21.75" hidden="false" customHeight="true" outlineLevel="0" collapsed="false">
      <c r="A365" s="13" t="str">
        <f aca="false">IF($E365="","",COUNTA($E$5:$E365))</f>
        <v/>
      </c>
      <c r="B365" s="14"/>
      <c r="C365" s="15"/>
      <c r="D365" s="16"/>
      <c r="E365" s="21"/>
      <c r="F365" s="18"/>
      <c r="G365" s="18"/>
      <c r="H365" s="15"/>
      <c r="I365" s="15"/>
      <c r="J365" s="18"/>
      <c r="K365" s="18"/>
      <c r="L365" s="19" t="str">
        <f aca="false">IF($E365="","",IF(OR($C365="",$D365=""),"",COUNTIFS($C$5:$C$404,$C365,$D$5:$D$404,$D365)))</f>
        <v/>
      </c>
      <c r="M365" s="20" t="str">
        <f aca="false">IF($E365="","",IF(OR($B365="",$C365="",$D365=""),"待补楼栋/房号/日期",SUBSTITUTE($C365,"栋","")&amp;"-"&amp;$D365&amp;"-"&amp;TEXT(MONTH($B365),"00")&amp;TEXT(DAY($B365),"00")&amp;IF(COUNTIFS($C$5:$C365,$C365,$D$5:$D365,$D365)&gt;1,"-"&amp;TEXT(COUNTIFS($C$5:$C365,$C365,$D$5:$D365,$D365),"00"),"")))</f>
        <v/>
      </c>
      <c r="N365" s="21"/>
      <c r="O365" s="18"/>
      <c r="P365" s="21"/>
    </row>
    <row r="366" customFormat="false" ht="21.75" hidden="false" customHeight="true" outlineLevel="0" collapsed="false">
      <c r="A366" s="13" t="str">
        <f aca="false">IF($E366="","",COUNTA($E$5:$E366))</f>
        <v/>
      </c>
      <c r="B366" s="14"/>
      <c r="C366" s="15"/>
      <c r="D366" s="16"/>
      <c r="E366" s="21"/>
      <c r="F366" s="18"/>
      <c r="G366" s="18"/>
      <c r="H366" s="15"/>
      <c r="I366" s="15"/>
      <c r="J366" s="18"/>
      <c r="K366" s="18"/>
      <c r="L366" s="19" t="str">
        <f aca="false">IF($E366="","",IF(OR($C366="",$D366=""),"",COUNTIFS($C$5:$C$404,$C366,$D$5:$D$404,$D366)))</f>
        <v/>
      </c>
      <c r="M366" s="20" t="str">
        <f aca="false">IF($E366="","",IF(OR($B366="",$C366="",$D366=""),"待补楼栋/房号/日期",SUBSTITUTE($C366,"栋","")&amp;"-"&amp;$D366&amp;"-"&amp;TEXT(MONTH($B366),"00")&amp;TEXT(DAY($B366),"00")&amp;IF(COUNTIFS($C$5:$C366,$C366,$D$5:$D366,$D366)&gt;1,"-"&amp;TEXT(COUNTIFS($C$5:$C366,$C366,$D$5:$D366,$D366),"00"),"")))</f>
        <v/>
      </c>
      <c r="N366" s="21"/>
      <c r="O366" s="18"/>
      <c r="P366" s="21"/>
    </row>
    <row r="367" customFormat="false" ht="21.75" hidden="false" customHeight="true" outlineLevel="0" collapsed="false">
      <c r="A367" s="13" t="str">
        <f aca="false">IF($E367="","",COUNTA($E$5:$E367))</f>
        <v/>
      </c>
      <c r="B367" s="14"/>
      <c r="C367" s="15"/>
      <c r="D367" s="16"/>
      <c r="E367" s="21"/>
      <c r="F367" s="18"/>
      <c r="G367" s="18"/>
      <c r="H367" s="15"/>
      <c r="I367" s="15"/>
      <c r="J367" s="18"/>
      <c r="K367" s="18"/>
      <c r="L367" s="19" t="str">
        <f aca="false">IF($E367="","",IF(OR($C367="",$D367=""),"",COUNTIFS($C$5:$C$404,$C367,$D$5:$D$404,$D367)))</f>
        <v/>
      </c>
      <c r="M367" s="20" t="str">
        <f aca="false">IF($E367="","",IF(OR($B367="",$C367="",$D367=""),"待补楼栋/房号/日期",SUBSTITUTE($C367,"栋","")&amp;"-"&amp;$D367&amp;"-"&amp;TEXT(MONTH($B367),"00")&amp;TEXT(DAY($B367),"00")&amp;IF(COUNTIFS($C$5:$C367,$C367,$D$5:$D367,$D367)&gt;1,"-"&amp;TEXT(COUNTIFS($C$5:$C367,$C367,$D$5:$D367,$D367),"00"),"")))</f>
        <v/>
      </c>
      <c r="N367" s="21"/>
      <c r="O367" s="18"/>
      <c r="P367" s="21"/>
    </row>
    <row r="368" customFormat="false" ht="21.75" hidden="false" customHeight="true" outlineLevel="0" collapsed="false">
      <c r="A368" s="13" t="str">
        <f aca="false">IF($E368="","",COUNTA($E$5:$E368))</f>
        <v/>
      </c>
      <c r="B368" s="14"/>
      <c r="C368" s="15"/>
      <c r="D368" s="16"/>
      <c r="E368" s="21"/>
      <c r="F368" s="18"/>
      <c r="G368" s="18"/>
      <c r="H368" s="15"/>
      <c r="I368" s="15"/>
      <c r="J368" s="18"/>
      <c r="K368" s="18"/>
      <c r="L368" s="19" t="str">
        <f aca="false">IF($E368="","",IF(OR($C368="",$D368=""),"",COUNTIFS($C$5:$C$404,$C368,$D$5:$D$404,$D368)))</f>
        <v/>
      </c>
      <c r="M368" s="20" t="str">
        <f aca="false">IF($E368="","",IF(OR($B368="",$C368="",$D368=""),"待补楼栋/房号/日期",SUBSTITUTE($C368,"栋","")&amp;"-"&amp;$D368&amp;"-"&amp;TEXT(MONTH($B368),"00")&amp;TEXT(DAY($B368),"00")&amp;IF(COUNTIFS($C$5:$C368,$C368,$D$5:$D368,$D368)&gt;1,"-"&amp;TEXT(COUNTIFS($C$5:$C368,$C368,$D$5:$D368,$D368),"00"),"")))</f>
        <v/>
      </c>
      <c r="N368" s="21"/>
      <c r="O368" s="18"/>
      <c r="P368" s="21"/>
    </row>
    <row r="369" customFormat="false" ht="21.75" hidden="false" customHeight="true" outlineLevel="0" collapsed="false">
      <c r="A369" s="13" t="str">
        <f aca="false">IF($E369="","",COUNTA($E$5:$E369))</f>
        <v/>
      </c>
      <c r="B369" s="14"/>
      <c r="C369" s="15"/>
      <c r="D369" s="16"/>
      <c r="E369" s="21"/>
      <c r="F369" s="18"/>
      <c r="G369" s="18"/>
      <c r="H369" s="15"/>
      <c r="I369" s="15"/>
      <c r="J369" s="18"/>
      <c r="K369" s="18"/>
      <c r="L369" s="19" t="str">
        <f aca="false">IF($E369="","",IF(OR($C369="",$D369=""),"",COUNTIFS($C$5:$C$404,$C369,$D$5:$D$404,$D369)))</f>
        <v/>
      </c>
      <c r="M369" s="20" t="str">
        <f aca="false">IF($E369="","",IF(OR($B369="",$C369="",$D369=""),"待补楼栋/房号/日期",SUBSTITUTE($C369,"栋","")&amp;"-"&amp;$D369&amp;"-"&amp;TEXT(MONTH($B369),"00")&amp;TEXT(DAY($B369),"00")&amp;IF(COUNTIFS($C$5:$C369,$C369,$D$5:$D369,$D369)&gt;1,"-"&amp;TEXT(COUNTIFS($C$5:$C369,$C369,$D$5:$D369,$D369),"00"),"")))</f>
        <v/>
      </c>
      <c r="N369" s="21"/>
      <c r="O369" s="18"/>
      <c r="P369" s="21"/>
    </row>
    <row r="370" customFormat="false" ht="21.75" hidden="false" customHeight="true" outlineLevel="0" collapsed="false">
      <c r="A370" s="13" t="str">
        <f aca="false">IF($E370="","",COUNTA($E$5:$E370))</f>
        <v/>
      </c>
      <c r="B370" s="14"/>
      <c r="C370" s="15"/>
      <c r="D370" s="16"/>
      <c r="E370" s="21"/>
      <c r="F370" s="18"/>
      <c r="G370" s="18"/>
      <c r="H370" s="15"/>
      <c r="I370" s="15"/>
      <c r="J370" s="18"/>
      <c r="K370" s="18"/>
      <c r="L370" s="19" t="str">
        <f aca="false">IF($E370="","",IF(OR($C370="",$D370=""),"",COUNTIFS($C$5:$C$404,$C370,$D$5:$D$404,$D370)))</f>
        <v/>
      </c>
      <c r="M370" s="20" t="str">
        <f aca="false">IF($E370="","",IF(OR($B370="",$C370="",$D370=""),"待补楼栋/房号/日期",SUBSTITUTE($C370,"栋","")&amp;"-"&amp;$D370&amp;"-"&amp;TEXT(MONTH($B370),"00")&amp;TEXT(DAY($B370),"00")&amp;IF(COUNTIFS($C$5:$C370,$C370,$D$5:$D370,$D370)&gt;1,"-"&amp;TEXT(COUNTIFS($C$5:$C370,$C370,$D$5:$D370,$D370),"00"),"")))</f>
        <v/>
      </c>
      <c r="N370" s="21"/>
      <c r="O370" s="18"/>
      <c r="P370" s="21"/>
    </row>
    <row r="371" customFormat="false" ht="21.75" hidden="false" customHeight="true" outlineLevel="0" collapsed="false">
      <c r="A371" s="13" t="str">
        <f aca="false">IF($E371="","",COUNTA($E$5:$E371))</f>
        <v/>
      </c>
      <c r="B371" s="14"/>
      <c r="C371" s="15"/>
      <c r="D371" s="16"/>
      <c r="E371" s="21"/>
      <c r="F371" s="18"/>
      <c r="G371" s="18"/>
      <c r="H371" s="15"/>
      <c r="I371" s="15"/>
      <c r="J371" s="18"/>
      <c r="K371" s="18"/>
      <c r="L371" s="19" t="str">
        <f aca="false">IF($E371="","",IF(OR($C371="",$D371=""),"",COUNTIFS($C$5:$C$404,$C371,$D$5:$D$404,$D371)))</f>
        <v/>
      </c>
      <c r="M371" s="20" t="str">
        <f aca="false">IF($E371="","",IF(OR($B371="",$C371="",$D371=""),"待补楼栋/房号/日期",SUBSTITUTE($C371,"栋","")&amp;"-"&amp;$D371&amp;"-"&amp;TEXT(MONTH($B371),"00")&amp;TEXT(DAY($B371),"00")&amp;IF(COUNTIFS($C$5:$C371,$C371,$D$5:$D371,$D371)&gt;1,"-"&amp;TEXT(COUNTIFS($C$5:$C371,$C371,$D$5:$D371,$D371),"00"),"")))</f>
        <v/>
      </c>
      <c r="N371" s="21"/>
      <c r="O371" s="18"/>
      <c r="P371" s="21"/>
    </row>
    <row r="372" customFormat="false" ht="21.75" hidden="false" customHeight="true" outlineLevel="0" collapsed="false">
      <c r="A372" s="13" t="str">
        <f aca="false">IF($E372="","",COUNTA($E$5:$E372))</f>
        <v/>
      </c>
      <c r="B372" s="14"/>
      <c r="C372" s="15"/>
      <c r="D372" s="16"/>
      <c r="E372" s="21"/>
      <c r="F372" s="18"/>
      <c r="G372" s="18"/>
      <c r="H372" s="15"/>
      <c r="I372" s="15"/>
      <c r="J372" s="18"/>
      <c r="K372" s="18"/>
      <c r="L372" s="19" t="str">
        <f aca="false">IF($E372="","",IF(OR($C372="",$D372=""),"",COUNTIFS($C$5:$C$404,$C372,$D$5:$D$404,$D372)))</f>
        <v/>
      </c>
      <c r="M372" s="20" t="str">
        <f aca="false">IF($E372="","",IF(OR($B372="",$C372="",$D372=""),"待补楼栋/房号/日期",SUBSTITUTE($C372,"栋","")&amp;"-"&amp;$D372&amp;"-"&amp;TEXT(MONTH($B372),"00")&amp;TEXT(DAY($B372),"00")&amp;IF(COUNTIFS($C$5:$C372,$C372,$D$5:$D372,$D372)&gt;1,"-"&amp;TEXT(COUNTIFS($C$5:$C372,$C372,$D$5:$D372,$D372),"00"),"")))</f>
        <v/>
      </c>
      <c r="N372" s="21"/>
      <c r="O372" s="18"/>
      <c r="P372" s="21"/>
    </row>
    <row r="373" customFormat="false" ht="21.75" hidden="false" customHeight="true" outlineLevel="0" collapsed="false">
      <c r="A373" s="13" t="str">
        <f aca="false">IF($E373="","",COUNTA($E$5:$E373))</f>
        <v/>
      </c>
      <c r="B373" s="14"/>
      <c r="C373" s="15"/>
      <c r="D373" s="16"/>
      <c r="E373" s="21"/>
      <c r="F373" s="18"/>
      <c r="G373" s="18"/>
      <c r="H373" s="15"/>
      <c r="I373" s="15"/>
      <c r="J373" s="18"/>
      <c r="K373" s="18"/>
      <c r="L373" s="19" t="str">
        <f aca="false">IF($E373="","",IF(OR($C373="",$D373=""),"",COUNTIFS($C$5:$C$404,$C373,$D$5:$D$404,$D373)))</f>
        <v/>
      </c>
      <c r="M373" s="20" t="str">
        <f aca="false">IF($E373="","",IF(OR($B373="",$C373="",$D373=""),"待补楼栋/房号/日期",SUBSTITUTE($C373,"栋","")&amp;"-"&amp;$D373&amp;"-"&amp;TEXT(MONTH($B373),"00")&amp;TEXT(DAY($B373),"00")&amp;IF(COUNTIFS($C$5:$C373,$C373,$D$5:$D373,$D373)&gt;1,"-"&amp;TEXT(COUNTIFS($C$5:$C373,$C373,$D$5:$D373,$D373),"00"),"")))</f>
        <v/>
      </c>
      <c r="N373" s="21"/>
      <c r="O373" s="18"/>
      <c r="P373" s="21"/>
    </row>
    <row r="374" customFormat="false" ht="21.75" hidden="false" customHeight="true" outlineLevel="0" collapsed="false">
      <c r="A374" s="13" t="str">
        <f aca="false">IF($E374="","",COUNTA($E$5:$E374))</f>
        <v/>
      </c>
      <c r="B374" s="14"/>
      <c r="C374" s="15"/>
      <c r="D374" s="16"/>
      <c r="E374" s="21"/>
      <c r="F374" s="18"/>
      <c r="G374" s="18"/>
      <c r="H374" s="15"/>
      <c r="I374" s="15"/>
      <c r="J374" s="18"/>
      <c r="K374" s="18"/>
      <c r="L374" s="19" t="str">
        <f aca="false">IF($E374="","",IF(OR($C374="",$D374=""),"",COUNTIFS($C$5:$C$404,$C374,$D$5:$D$404,$D374)))</f>
        <v/>
      </c>
      <c r="M374" s="20" t="str">
        <f aca="false">IF($E374="","",IF(OR($B374="",$C374="",$D374=""),"待补楼栋/房号/日期",SUBSTITUTE($C374,"栋","")&amp;"-"&amp;$D374&amp;"-"&amp;TEXT(MONTH($B374),"00")&amp;TEXT(DAY($B374),"00")&amp;IF(COUNTIFS($C$5:$C374,$C374,$D$5:$D374,$D374)&gt;1,"-"&amp;TEXT(COUNTIFS($C$5:$C374,$C374,$D$5:$D374,$D374),"00"),"")))</f>
        <v/>
      </c>
      <c r="N374" s="21"/>
      <c r="O374" s="18"/>
      <c r="P374" s="21"/>
    </row>
    <row r="375" customFormat="false" ht="21.75" hidden="false" customHeight="true" outlineLevel="0" collapsed="false">
      <c r="A375" s="13" t="str">
        <f aca="false">IF($E375="","",COUNTA($E$5:$E375))</f>
        <v/>
      </c>
      <c r="B375" s="14"/>
      <c r="C375" s="15"/>
      <c r="D375" s="16"/>
      <c r="E375" s="21"/>
      <c r="F375" s="18"/>
      <c r="G375" s="18"/>
      <c r="H375" s="15"/>
      <c r="I375" s="15"/>
      <c r="J375" s="18"/>
      <c r="K375" s="18"/>
      <c r="L375" s="19" t="str">
        <f aca="false">IF($E375="","",IF(OR($C375="",$D375=""),"",COUNTIFS($C$5:$C$404,$C375,$D$5:$D$404,$D375)))</f>
        <v/>
      </c>
      <c r="M375" s="20" t="str">
        <f aca="false">IF($E375="","",IF(OR($B375="",$C375="",$D375=""),"待补楼栋/房号/日期",SUBSTITUTE($C375,"栋","")&amp;"-"&amp;$D375&amp;"-"&amp;TEXT(MONTH($B375),"00")&amp;TEXT(DAY($B375),"00")&amp;IF(COUNTIFS($C$5:$C375,$C375,$D$5:$D375,$D375)&gt;1,"-"&amp;TEXT(COUNTIFS($C$5:$C375,$C375,$D$5:$D375,$D375),"00"),"")))</f>
        <v/>
      </c>
      <c r="N375" s="21"/>
      <c r="O375" s="18"/>
      <c r="P375" s="21"/>
    </row>
    <row r="376" customFormat="false" ht="21.75" hidden="false" customHeight="true" outlineLevel="0" collapsed="false">
      <c r="A376" s="13" t="str">
        <f aca="false">IF($E376="","",COUNTA($E$5:$E376))</f>
        <v/>
      </c>
      <c r="B376" s="14"/>
      <c r="C376" s="15"/>
      <c r="D376" s="16"/>
      <c r="E376" s="21"/>
      <c r="F376" s="18"/>
      <c r="G376" s="18"/>
      <c r="H376" s="15"/>
      <c r="I376" s="15"/>
      <c r="J376" s="18"/>
      <c r="K376" s="18"/>
      <c r="L376" s="19" t="str">
        <f aca="false">IF($E376="","",IF(OR($C376="",$D376=""),"",COUNTIFS($C$5:$C$404,$C376,$D$5:$D$404,$D376)))</f>
        <v/>
      </c>
      <c r="M376" s="20" t="str">
        <f aca="false">IF($E376="","",IF(OR($B376="",$C376="",$D376=""),"待补楼栋/房号/日期",SUBSTITUTE($C376,"栋","")&amp;"-"&amp;$D376&amp;"-"&amp;TEXT(MONTH($B376),"00")&amp;TEXT(DAY($B376),"00")&amp;IF(COUNTIFS($C$5:$C376,$C376,$D$5:$D376,$D376)&gt;1,"-"&amp;TEXT(COUNTIFS($C$5:$C376,$C376,$D$5:$D376,$D376),"00"),"")))</f>
        <v/>
      </c>
      <c r="N376" s="21"/>
      <c r="O376" s="18"/>
      <c r="P376" s="21"/>
    </row>
    <row r="377" customFormat="false" ht="21.75" hidden="false" customHeight="true" outlineLevel="0" collapsed="false">
      <c r="A377" s="13" t="str">
        <f aca="false">IF($E377="","",COUNTA($E$5:$E377))</f>
        <v/>
      </c>
      <c r="B377" s="14"/>
      <c r="C377" s="15"/>
      <c r="D377" s="16"/>
      <c r="E377" s="21"/>
      <c r="F377" s="18"/>
      <c r="G377" s="18"/>
      <c r="H377" s="15"/>
      <c r="I377" s="15"/>
      <c r="J377" s="18"/>
      <c r="K377" s="18"/>
      <c r="L377" s="19" t="str">
        <f aca="false">IF($E377="","",IF(OR($C377="",$D377=""),"",COUNTIFS($C$5:$C$404,$C377,$D$5:$D$404,$D377)))</f>
        <v/>
      </c>
      <c r="M377" s="20" t="str">
        <f aca="false">IF($E377="","",IF(OR($B377="",$C377="",$D377=""),"待补楼栋/房号/日期",SUBSTITUTE($C377,"栋","")&amp;"-"&amp;$D377&amp;"-"&amp;TEXT(MONTH($B377),"00")&amp;TEXT(DAY($B377),"00")&amp;IF(COUNTIFS($C$5:$C377,$C377,$D$5:$D377,$D377)&gt;1,"-"&amp;TEXT(COUNTIFS($C$5:$C377,$C377,$D$5:$D377,$D377),"00"),"")))</f>
        <v/>
      </c>
      <c r="N377" s="21"/>
      <c r="O377" s="18"/>
      <c r="P377" s="21"/>
    </row>
    <row r="378" customFormat="false" ht="21.75" hidden="false" customHeight="true" outlineLevel="0" collapsed="false">
      <c r="A378" s="13" t="str">
        <f aca="false">IF($E378="","",COUNTA($E$5:$E378))</f>
        <v/>
      </c>
      <c r="B378" s="14"/>
      <c r="C378" s="15"/>
      <c r="D378" s="16"/>
      <c r="E378" s="21"/>
      <c r="F378" s="18"/>
      <c r="G378" s="18"/>
      <c r="H378" s="15"/>
      <c r="I378" s="15"/>
      <c r="J378" s="18"/>
      <c r="K378" s="18"/>
      <c r="L378" s="19" t="str">
        <f aca="false">IF($E378="","",IF(OR($C378="",$D378=""),"",COUNTIFS($C$5:$C$404,$C378,$D$5:$D$404,$D378)))</f>
        <v/>
      </c>
      <c r="M378" s="20" t="str">
        <f aca="false">IF($E378="","",IF(OR($B378="",$C378="",$D378=""),"待补楼栋/房号/日期",SUBSTITUTE($C378,"栋","")&amp;"-"&amp;$D378&amp;"-"&amp;TEXT(MONTH($B378),"00")&amp;TEXT(DAY($B378),"00")&amp;IF(COUNTIFS($C$5:$C378,$C378,$D$5:$D378,$D378)&gt;1,"-"&amp;TEXT(COUNTIFS($C$5:$C378,$C378,$D$5:$D378,$D378),"00"),"")))</f>
        <v/>
      </c>
      <c r="N378" s="21"/>
      <c r="O378" s="18"/>
      <c r="P378" s="21"/>
    </row>
    <row r="379" customFormat="false" ht="21.75" hidden="false" customHeight="true" outlineLevel="0" collapsed="false">
      <c r="A379" s="13" t="str">
        <f aca="false">IF($E379="","",COUNTA($E$5:$E379))</f>
        <v/>
      </c>
      <c r="B379" s="14"/>
      <c r="C379" s="15"/>
      <c r="D379" s="16"/>
      <c r="E379" s="21"/>
      <c r="F379" s="18"/>
      <c r="G379" s="18"/>
      <c r="H379" s="15"/>
      <c r="I379" s="15"/>
      <c r="J379" s="18"/>
      <c r="K379" s="18"/>
      <c r="L379" s="19" t="str">
        <f aca="false">IF($E379="","",IF(OR($C379="",$D379=""),"",COUNTIFS($C$5:$C$404,$C379,$D$5:$D$404,$D379)))</f>
        <v/>
      </c>
      <c r="M379" s="20" t="str">
        <f aca="false">IF($E379="","",IF(OR($B379="",$C379="",$D379=""),"待补楼栋/房号/日期",SUBSTITUTE($C379,"栋","")&amp;"-"&amp;$D379&amp;"-"&amp;TEXT(MONTH($B379),"00")&amp;TEXT(DAY($B379),"00")&amp;IF(COUNTIFS($C$5:$C379,$C379,$D$5:$D379,$D379)&gt;1,"-"&amp;TEXT(COUNTIFS($C$5:$C379,$C379,$D$5:$D379,$D379),"00"),"")))</f>
        <v/>
      </c>
      <c r="N379" s="21"/>
      <c r="O379" s="18"/>
      <c r="P379" s="21"/>
    </row>
    <row r="380" customFormat="false" ht="21.75" hidden="false" customHeight="true" outlineLevel="0" collapsed="false">
      <c r="A380" s="13" t="str">
        <f aca="false">IF($E380="","",COUNTA($E$5:$E380))</f>
        <v/>
      </c>
      <c r="B380" s="14"/>
      <c r="C380" s="15"/>
      <c r="D380" s="16"/>
      <c r="E380" s="21"/>
      <c r="F380" s="18"/>
      <c r="G380" s="18"/>
      <c r="H380" s="15"/>
      <c r="I380" s="15"/>
      <c r="J380" s="18"/>
      <c r="K380" s="18"/>
      <c r="L380" s="19" t="str">
        <f aca="false">IF($E380="","",IF(OR($C380="",$D380=""),"",COUNTIFS($C$5:$C$404,$C380,$D$5:$D$404,$D380)))</f>
        <v/>
      </c>
      <c r="M380" s="20" t="str">
        <f aca="false">IF($E380="","",IF(OR($B380="",$C380="",$D380=""),"待补楼栋/房号/日期",SUBSTITUTE($C380,"栋","")&amp;"-"&amp;$D380&amp;"-"&amp;TEXT(MONTH($B380),"00")&amp;TEXT(DAY($B380),"00")&amp;IF(COUNTIFS($C$5:$C380,$C380,$D$5:$D380,$D380)&gt;1,"-"&amp;TEXT(COUNTIFS($C$5:$C380,$C380,$D$5:$D380,$D380),"00"),"")))</f>
        <v/>
      </c>
      <c r="N380" s="21"/>
      <c r="O380" s="18"/>
      <c r="P380" s="21"/>
    </row>
    <row r="381" customFormat="false" ht="21.75" hidden="false" customHeight="true" outlineLevel="0" collapsed="false">
      <c r="A381" s="13" t="str">
        <f aca="false">IF($E381="","",COUNTA($E$5:$E381))</f>
        <v/>
      </c>
      <c r="B381" s="14"/>
      <c r="C381" s="15"/>
      <c r="D381" s="16"/>
      <c r="E381" s="21"/>
      <c r="F381" s="18"/>
      <c r="G381" s="18"/>
      <c r="H381" s="15"/>
      <c r="I381" s="15"/>
      <c r="J381" s="18"/>
      <c r="K381" s="18"/>
      <c r="L381" s="19" t="str">
        <f aca="false">IF($E381="","",IF(OR($C381="",$D381=""),"",COUNTIFS($C$5:$C$404,$C381,$D$5:$D$404,$D381)))</f>
        <v/>
      </c>
      <c r="M381" s="20" t="str">
        <f aca="false">IF($E381="","",IF(OR($B381="",$C381="",$D381=""),"待补楼栋/房号/日期",SUBSTITUTE($C381,"栋","")&amp;"-"&amp;$D381&amp;"-"&amp;TEXT(MONTH($B381),"00")&amp;TEXT(DAY($B381),"00")&amp;IF(COUNTIFS($C$5:$C381,$C381,$D$5:$D381,$D381)&gt;1,"-"&amp;TEXT(COUNTIFS($C$5:$C381,$C381,$D$5:$D381,$D381),"00"),"")))</f>
        <v/>
      </c>
      <c r="N381" s="21"/>
      <c r="O381" s="18"/>
      <c r="P381" s="21"/>
    </row>
    <row r="382" customFormat="false" ht="21.75" hidden="false" customHeight="true" outlineLevel="0" collapsed="false">
      <c r="A382" s="13" t="str">
        <f aca="false">IF($E382="","",COUNTA($E$5:$E382))</f>
        <v/>
      </c>
      <c r="B382" s="14"/>
      <c r="C382" s="15"/>
      <c r="D382" s="16"/>
      <c r="E382" s="21"/>
      <c r="F382" s="18"/>
      <c r="G382" s="18"/>
      <c r="H382" s="15"/>
      <c r="I382" s="15"/>
      <c r="J382" s="18"/>
      <c r="K382" s="18"/>
      <c r="L382" s="19" t="str">
        <f aca="false">IF($E382="","",IF(OR($C382="",$D382=""),"",COUNTIFS($C$5:$C$404,$C382,$D$5:$D$404,$D382)))</f>
        <v/>
      </c>
      <c r="M382" s="20" t="str">
        <f aca="false">IF($E382="","",IF(OR($B382="",$C382="",$D382=""),"待补楼栋/房号/日期",SUBSTITUTE($C382,"栋","")&amp;"-"&amp;$D382&amp;"-"&amp;TEXT(MONTH($B382),"00")&amp;TEXT(DAY($B382),"00")&amp;IF(COUNTIFS($C$5:$C382,$C382,$D$5:$D382,$D382)&gt;1,"-"&amp;TEXT(COUNTIFS($C$5:$C382,$C382,$D$5:$D382,$D382),"00"),"")))</f>
        <v/>
      </c>
      <c r="N382" s="21"/>
      <c r="O382" s="18"/>
      <c r="P382" s="21"/>
    </row>
    <row r="383" customFormat="false" ht="21.75" hidden="false" customHeight="true" outlineLevel="0" collapsed="false">
      <c r="A383" s="13" t="str">
        <f aca="false">IF($E383="","",COUNTA($E$5:$E383))</f>
        <v/>
      </c>
      <c r="B383" s="14"/>
      <c r="C383" s="15"/>
      <c r="D383" s="16"/>
      <c r="E383" s="21"/>
      <c r="F383" s="18"/>
      <c r="G383" s="18"/>
      <c r="H383" s="15"/>
      <c r="I383" s="15"/>
      <c r="J383" s="18"/>
      <c r="K383" s="18"/>
      <c r="L383" s="19" t="str">
        <f aca="false">IF($E383="","",IF(OR($C383="",$D383=""),"",COUNTIFS($C$5:$C$404,$C383,$D$5:$D$404,$D383)))</f>
        <v/>
      </c>
      <c r="M383" s="20" t="str">
        <f aca="false">IF($E383="","",IF(OR($B383="",$C383="",$D383=""),"待补楼栋/房号/日期",SUBSTITUTE($C383,"栋","")&amp;"-"&amp;$D383&amp;"-"&amp;TEXT(MONTH($B383),"00")&amp;TEXT(DAY($B383),"00")&amp;IF(COUNTIFS($C$5:$C383,$C383,$D$5:$D383,$D383)&gt;1,"-"&amp;TEXT(COUNTIFS($C$5:$C383,$C383,$D$5:$D383,$D383),"00"),"")))</f>
        <v/>
      </c>
      <c r="N383" s="21"/>
      <c r="O383" s="18"/>
      <c r="P383" s="21"/>
    </row>
    <row r="384" customFormat="false" ht="21.75" hidden="false" customHeight="true" outlineLevel="0" collapsed="false">
      <c r="A384" s="13" t="str">
        <f aca="false">IF($E384="","",COUNTA($E$5:$E384))</f>
        <v/>
      </c>
      <c r="B384" s="14"/>
      <c r="C384" s="15"/>
      <c r="D384" s="16"/>
      <c r="E384" s="21"/>
      <c r="F384" s="18"/>
      <c r="G384" s="18"/>
      <c r="H384" s="15"/>
      <c r="I384" s="15"/>
      <c r="J384" s="18"/>
      <c r="K384" s="18"/>
      <c r="L384" s="19" t="str">
        <f aca="false">IF($E384="","",IF(OR($C384="",$D384=""),"",COUNTIFS($C$5:$C$404,$C384,$D$5:$D$404,$D384)))</f>
        <v/>
      </c>
      <c r="M384" s="20" t="str">
        <f aca="false">IF($E384="","",IF(OR($B384="",$C384="",$D384=""),"待补楼栋/房号/日期",SUBSTITUTE($C384,"栋","")&amp;"-"&amp;$D384&amp;"-"&amp;TEXT(MONTH($B384),"00")&amp;TEXT(DAY($B384),"00")&amp;IF(COUNTIFS($C$5:$C384,$C384,$D$5:$D384,$D384)&gt;1,"-"&amp;TEXT(COUNTIFS($C$5:$C384,$C384,$D$5:$D384,$D384),"00"),"")))</f>
        <v/>
      </c>
      <c r="N384" s="21"/>
      <c r="O384" s="18"/>
      <c r="P384" s="21"/>
    </row>
    <row r="385" customFormat="false" ht="21.75" hidden="false" customHeight="true" outlineLevel="0" collapsed="false">
      <c r="A385" s="13" t="str">
        <f aca="false">IF($E385="","",COUNTA($E$5:$E385))</f>
        <v/>
      </c>
      <c r="B385" s="14"/>
      <c r="C385" s="15"/>
      <c r="D385" s="16"/>
      <c r="E385" s="21"/>
      <c r="F385" s="18"/>
      <c r="G385" s="18"/>
      <c r="H385" s="15"/>
      <c r="I385" s="15"/>
      <c r="J385" s="18"/>
      <c r="K385" s="18"/>
      <c r="L385" s="19" t="str">
        <f aca="false">IF($E385="","",IF(OR($C385="",$D385=""),"",COUNTIFS($C$5:$C$404,$C385,$D$5:$D$404,$D385)))</f>
        <v/>
      </c>
      <c r="M385" s="20" t="str">
        <f aca="false">IF($E385="","",IF(OR($B385="",$C385="",$D385=""),"待补楼栋/房号/日期",SUBSTITUTE($C385,"栋","")&amp;"-"&amp;$D385&amp;"-"&amp;TEXT(MONTH($B385),"00")&amp;TEXT(DAY($B385),"00")&amp;IF(COUNTIFS($C$5:$C385,$C385,$D$5:$D385,$D385)&gt;1,"-"&amp;TEXT(COUNTIFS($C$5:$C385,$C385,$D$5:$D385,$D385),"00"),"")))</f>
        <v/>
      </c>
      <c r="N385" s="21"/>
      <c r="O385" s="18"/>
      <c r="P385" s="21"/>
    </row>
    <row r="386" customFormat="false" ht="21.75" hidden="false" customHeight="true" outlineLevel="0" collapsed="false">
      <c r="A386" s="13" t="str">
        <f aca="false">IF($E386="","",COUNTA($E$5:$E386))</f>
        <v/>
      </c>
      <c r="B386" s="14"/>
      <c r="C386" s="15"/>
      <c r="D386" s="16"/>
      <c r="E386" s="21"/>
      <c r="F386" s="18"/>
      <c r="G386" s="18"/>
      <c r="H386" s="15"/>
      <c r="I386" s="15"/>
      <c r="J386" s="18"/>
      <c r="K386" s="18"/>
      <c r="L386" s="19" t="str">
        <f aca="false">IF($E386="","",IF(OR($C386="",$D386=""),"",COUNTIFS($C$5:$C$404,$C386,$D$5:$D$404,$D386)))</f>
        <v/>
      </c>
      <c r="M386" s="20" t="str">
        <f aca="false">IF($E386="","",IF(OR($B386="",$C386="",$D386=""),"待补楼栋/房号/日期",SUBSTITUTE($C386,"栋","")&amp;"-"&amp;$D386&amp;"-"&amp;TEXT(MONTH($B386),"00")&amp;TEXT(DAY($B386),"00")&amp;IF(COUNTIFS($C$5:$C386,$C386,$D$5:$D386,$D386)&gt;1,"-"&amp;TEXT(COUNTIFS($C$5:$C386,$C386,$D$5:$D386,$D386),"00"),"")))</f>
        <v/>
      </c>
      <c r="N386" s="21"/>
      <c r="O386" s="18"/>
      <c r="P386" s="21"/>
    </row>
    <row r="387" customFormat="false" ht="21.75" hidden="false" customHeight="true" outlineLevel="0" collapsed="false">
      <c r="A387" s="13" t="str">
        <f aca="false">IF($E387="","",COUNTA($E$5:$E387))</f>
        <v/>
      </c>
      <c r="B387" s="14"/>
      <c r="C387" s="15"/>
      <c r="D387" s="16"/>
      <c r="E387" s="21"/>
      <c r="F387" s="18"/>
      <c r="G387" s="18"/>
      <c r="H387" s="15"/>
      <c r="I387" s="15"/>
      <c r="J387" s="18"/>
      <c r="K387" s="18"/>
      <c r="L387" s="19" t="str">
        <f aca="false">IF($E387="","",IF(OR($C387="",$D387=""),"",COUNTIFS($C$5:$C$404,$C387,$D$5:$D$404,$D387)))</f>
        <v/>
      </c>
      <c r="M387" s="20" t="str">
        <f aca="false">IF($E387="","",IF(OR($B387="",$C387="",$D387=""),"待补楼栋/房号/日期",SUBSTITUTE($C387,"栋","")&amp;"-"&amp;$D387&amp;"-"&amp;TEXT(MONTH($B387),"00")&amp;TEXT(DAY($B387),"00")&amp;IF(COUNTIFS($C$5:$C387,$C387,$D$5:$D387,$D387)&gt;1,"-"&amp;TEXT(COUNTIFS($C$5:$C387,$C387,$D$5:$D387,$D387),"00"),"")))</f>
        <v/>
      </c>
      <c r="N387" s="21"/>
      <c r="O387" s="18"/>
      <c r="P387" s="21"/>
    </row>
    <row r="388" customFormat="false" ht="21.75" hidden="false" customHeight="true" outlineLevel="0" collapsed="false">
      <c r="A388" s="13" t="str">
        <f aca="false">IF($E388="","",COUNTA($E$5:$E388))</f>
        <v/>
      </c>
      <c r="B388" s="14"/>
      <c r="C388" s="15"/>
      <c r="D388" s="16"/>
      <c r="E388" s="21"/>
      <c r="F388" s="18"/>
      <c r="G388" s="18"/>
      <c r="H388" s="15"/>
      <c r="I388" s="15"/>
      <c r="J388" s="18"/>
      <c r="K388" s="18"/>
      <c r="L388" s="19" t="str">
        <f aca="false">IF($E388="","",IF(OR($C388="",$D388=""),"",COUNTIFS($C$5:$C$404,$C388,$D$5:$D$404,$D388)))</f>
        <v/>
      </c>
      <c r="M388" s="20" t="str">
        <f aca="false">IF($E388="","",IF(OR($B388="",$C388="",$D388=""),"待补楼栋/房号/日期",SUBSTITUTE($C388,"栋","")&amp;"-"&amp;$D388&amp;"-"&amp;TEXT(MONTH($B388),"00")&amp;TEXT(DAY($B388),"00")&amp;IF(COUNTIFS($C$5:$C388,$C388,$D$5:$D388,$D388)&gt;1,"-"&amp;TEXT(COUNTIFS($C$5:$C388,$C388,$D$5:$D388,$D388),"00"),"")))</f>
        <v/>
      </c>
      <c r="N388" s="21"/>
      <c r="O388" s="18"/>
      <c r="P388" s="21"/>
    </row>
    <row r="389" customFormat="false" ht="21.75" hidden="false" customHeight="true" outlineLevel="0" collapsed="false">
      <c r="A389" s="13" t="str">
        <f aca="false">IF($E389="","",COUNTA($E$5:$E389))</f>
        <v/>
      </c>
      <c r="B389" s="14"/>
      <c r="C389" s="15"/>
      <c r="D389" s="16"/>
      <c r="E389" s="21"/>
      <c r="F389" s="18"/>
      <c r="G389" s="18"/>
      <c r="H389" s="15"/>
      <c r="I389" s="15"/>
      <c r="J389" s="18"/>
      <c r="K389" s="18"/>
      <c r="L389" s="19" t="str">
        <f aca="false">IF($E389="","",IF(OR($C389="",$D389=""),"",COUNTIFS($C$5:$C$404,$C389,$D$5:$D$404,$D389)))</f>
        <v/>
      </c>
      <c r="M389" s="20" t="str">
        <f aca="false">IF($E389="","",IF(OR($B389="",$C389="",$D389=""),"待补楼栋/房号/日期",SUBSTITUTE($C389,"栋","")&amp;"-"&amp;$D389&amp;"-"&amp;TEXT(MONTH($B389),"00")&amp;TEXT(DAY($B389),"00")&amp;IF(COUNTIFS($C$5:$C389,$C389,$D$5:$D389,$D389)&gt;1,"-"&amp;TEXT(COUNTIFS($C$5:$C389,$C389,$D$5:$D389,$D389),"00"),"")))</f>
        <v/>
      </c>
      <c r="N389" s="21"/>
      <c r="O389" s="18"/>
      <c r="P389" s="21"/>
    </row>
    <row r="390" customFormat="false" ht="21.75" hidden="false" customHeight="true" outlineLevel="0" collapsed="false">
      <c r="A390" s="13" t="str">
        <f aca="false">IF($E390="","",COUNTA($E$5:$E390))</f>
        <v/>
      </c>
      <c r="B390" s="14"/>
      <c r="C390" s="15"/>
      <c r="D390" s="16"/>
      <c r="E390" s="21"/>
      <c r="F390" s="18"/>
      <c r="G390" s="18"/>
      <c r="H390" s="15"/>
      <c r="I390" s="15"/>
      <c r="J390" s="18"/>
      <c r="K390" s="18"/>
      <c r="L390" s="19" t="str">
        <f aca="false">IF($E390="","",IF(OR($C390="",$D390=""),"",COUNTIFS($C$5:$C$404,$C390,$D$5:$D$404,$D390)))</f>
        <v/>
      </c>
      <c r="M390" s="20" t="str">
        <f aca="false">IF($E390="","",IF(OR($B390="",$C390="",$D390=""),"待补楼栋/房号/日期",SUBSTITUTE($C390,"栋","")&amp;"-"&amp;$D390&amp;"-"&amp;TEXT(MONTH($B390),"00")&amp;TEXT(DAY($B390),"00")&amp;IF(COUNTIFS($C$5:$C390,$C390,$D$5:$D390,$D390)&gt;1,"-"&amp;TEXT(COUNTIFS($C$5:$C390,$C390,$D$5:$D390,$D390),"00"),"")))</f>
        <v/>
      </c>
      <c r="N390" s="21"/>
      <c r="O390" s="18"/>
      <c r="P390" s="21"/>
    </row>
    <row r="391" customFormat="false" ht="21.75" hidden="false" customHeight="true" outlineLevel="0" collapsed="false">
      <c r="A391" s="13" t="str">
        <f aca="false">IF($E391="","",COUNTA($E$5:$E391))</f>
        <v/>
      </c>
      <c r="B391" s="14"/>
      <c r="C391" s="15"/>
      <c r="D391" s="16"/>
      <c r="E391" s="21"/>
      <c r="F391" s="18"/>
      <c r="G391" s="18"/>
      <c r="H391" s="15"/>
      <c r="I391" s="15"/>
      <c r="J391" s="18"/>
      <c r="K391" s="18"/>
      <c r="L391" s="19" t="str">
        <f aca="false">IF($E391="","",IF(OR($C391="",$D391=""),"",COUNTIFS($C$5:$C$404,$C391,$D$5:$D$404,$D391)))</f>
        <v/>
      </c>
      <c r="M391" s="20" t="str">
        <f aca="false">IF($E391="","",IF(OR($B391="",$C391="",$D391=""),"待补楼栋/房号/日期",SUBSTITUTE($C391,"栋","")&amp;"-"&amp;$D391&amp;"-"&amp;TEXT(MONTH($B391),"00")&amp;TEXT(DAY($B391),"00")&amp;IF(COUNTIFS($C$5:$C391,$C391,$D$5:$D391,$D391)&gt;1,"-"&amp;TEXT(COUNTIFS($C$5:$C391,$C391,$D$5:$D391,$D391),"00"),"")))</f>
        <v/>
      </c>
      <c r="N391" s="21"/>
      <c r="O391" s="18"/>
      <c r="P391" s="21"/>
    </row>
    <row r="392" customFormat="false" ht="21.75" hidden="false" customHeight="true" outlineLevel="0" collapsed="false">
      <c r="A392" s="13" t="str">
        <f aca="false">IF($E392="","",COUNTA($E$5:$E392))</f>
        <v/>
      </c>
      <c r="B392" s="14"/>
      <c r="C392" s="15"/>
      <c r="D392" s="16"/>
      <c r="E392" s="21"/>
      <c r="F392" s="18"/>
      <c r="G392" s="18"/>
      <c r="H392" s="15"/>
      <c r="I392" s="15"/>
      <c r="J392" s="18"/>
      <c r="K392" s="18"/>
      <c r="L392" s="19" t="str">
        <f aca="false">IF($E392="","",IF(OR($C392="",$D392=""),"",COUNTIFS($C$5:$C$404,$C392,$D$5:$D$404,$D392)))</f>
        <v/>
      </c>
      <c r="M392" s="20" t="str">
        <f aca="false">IF($E392="","",IF(OR($B392="",$C392="",$D392=""),"待补楼栋/房号/日期",SUBSTITUTE($C392,"栋","")&amp;"-"&amp;$D392&amp;"-"&amp;TEXT(MONTH($B392),"00")&amp;TEXT(DAY($B392),"00")&amp;IF(COUNTIFS($C$5:$C392,$C392,$D$5:$D392,$D392)&gt;1,"-"&amp;TEXT(COUNTIFS($C$5:$C392,$C392,$D$5:$D392,$D392),"00"),"")))</f>
        <v/>
      </c>
      <c r="N392" s="21"/>
      <c r="O392" s="18"/>
      <c r="P392" s="21"/>
    </row>
    <row r="393" customFormat="false" ht="21.75" hidden="false" customHeight="true" outlineLevel="0" collapsed="false">
      <c r="A393" s="13" t="str">
        <f aca="false">IF($E393="","",COUNTA($E$5:$E393))</f>
        <v/>
      </c>
      <c r="B393" s="14"/>
      <c r="C393" s="15"/>
      <c r="D393" s="16"/>
      <c r="E393" s="21"/>
      <c r="F393" s="18"/>
      <c r="G393" s="18"/>
      <c r="H393" s="15"/>
      <c r="I393" s="15"/>
      <c r="J393" s="18"/>
      <c r="K393" s="18"/>
      <c r="L393" s="19" t="str">
        <f aca="false">IF($E393="","",IF(OR($C393="",$D393=""),"",COUNTIFS($C$5:$C$404,$C393,$D$5:$D$404,$D393)))</f>
        <v/>
      </c>
      <c r="M393" s="20" t="str">
        <f aca="false">IF($E393="","",IF(OR($B393="",$C393="",$D393=""),"待补楼栋/房号/日期",SUBSTITUTE($C393,"栋","")&amp;"-"&amp;$D393&amp;"-"&amp;TEXT(MONTH($B393),"00")&amp;TEXT(DAY($B393),"00")&amp;IF(COUNTIFS($C$5:$C393,$C393,$D$5:$D393,$D393)&gt;1,"-"&amp;TEXT(COUNTIFS($C$5:$C393,$C393,$D$5:$D393,$D393),"00"),"")))</f>
        <v/>
      </c>
      <c r="N393" s="21"/>
      <c r="O393" s="18"/>
      <c r="P393" s="21"/>
    </row>
    <row r="394" customFormat="false" ht="21.75" hidden="false" customHeight="true" outlineLevel="0" collapsed="false">
      <c r="A394" s="13" t="str">
        <f aca="false">IF($E394="","",COUNTA($E$5:$E394))</f>
        <v/>
      </c>
      <c r="B394" s="14"/>
      <c r="C394" s="15"/>
      <c r="D394" s="16"/>
      <c r="E394" s="21"/>
      <c r="F394" s="18"/>
      <c r="G394" s="18"/>
      <c r="H394" s="15"/>
      <c r="I394" s="15"/>
      <c r="J394" s="18"/>
      <c r="K394" s="18"/>
      <c r="L394" s="19" t="str">
        <f aca="false">IF($E394="","",IF(OR($C394="",$D394=""),"",COUNTIFS($C$5:$C$404,$C394,$D$5:$D$404,$D394)))</f>
        <v/>
      </c>
      <c r="M394" s="20" t="str">
        <f aca="false">IF($E394="","",IF(OR($B394="",$C394="",$D394=""),"待补楼栋/房号/日期",SUBSTITUTE($C394,"栋","")&amp;"-"&amp;$D394&amp;"-"&amp;TEXT(MONTH($B394),"00")&amp;TEXT(DAY($B394),"00")&amp;IF(COUNTIFS($C$5:$C394,$C394,$D$5:$D394,$D394)&gt;1,"-"&amp;TEXT(COUNTIFS($C$5:$C394,$C394,$D$5:$D394,$D394),"00"),"")))</f>
        <v/>
      </c>
      <c r="N394" s="21"/>
      <c r="O394" s="18"/>
      <c r="P394" s="21"/>
    </row>
    <row r="395" customFormat="false" ht="21.75" hidden="false" customHeight="true" outlineLevel="0" collapsed="false">
      <c r="A395" s="13" t="str">
        <f aca="false">IF($E395="","",COUNTA($E$5:$E395))</f>
        <v/>
      </c>
      <c r="B395" s="14"/>
      <c r="C395" s="15"/>
      <c r="D395" s="16"/>
      <c r="E395" s="21"/>
      <c r="F395" s="18"/>
      <c r="G395" s="18"/>
      <c r="H395" s="15"/>
      <c r="I395" s="15"/>
      <c r="J395" s="18"/>
      <c r="K395" s="18"/>
      <c r="L395" s="19" t="str">
        <f aca="false">IF($E395="","",IF(OR($C395="",$D395=""),"",COUNTIFS($C$5:$C$404,$C395,$D$5:$D$404,$D395)))</f>
        <v/>
      </c>
      <c r="M395" s="20" t="str">
        <f aca="false">IF($E395="","",IF(OR($B395="",$C395="",$D395=""),"待补楼栋/房号/日期",SUBSTITUTE($C395,"栋","")&amp;"-"&amp;$D395&amp;"-"&amp;TEXT(MONTH($B395),"00")&amp;TEXT(DAY($B395),"00")&amp;IF(COUNTIFS($C$5:$C395,$C395,$D$5:$D395,$D395)&gt;1,"-"&amp;TEXT(COUNTIFS($C$5:$C395,$C395,$D$5:$D395,$D395),"00"),"")))</f>
        <v/>
      </c>
      <c r="N395" s="21"/>
      <c r="O395" s="18"/>
      <c r="P395" s="21"/>
    </row>
    <row r="396" customFormat="false" ht="21.75" hidden="false" customHeight="true" outlineLevel="0" collapsed="false">
      <c r="A396" s="13" t="str">
        <f aca="false">IF($E396="","",COUNTA($E$5:$E396))</f>
        <v/>
      </c>
      <c r="B396" s="14"/>
      <c r="C396" s="15"/>
      <c r="D396" s="16"/>
      <c r="E396" s="21"/>
      <c r="F396" s="18"/>
      <c r="G396" s="18"/>
      <c r="H396" s="15"/>
      <c r="I396" s="15"/>
      <c r="J396" s="18"/>
      <c r="K396" s="18"/>
      <c r="L396" s="19" t="str">
        <f aca="false">IF($E396="","",IF(OR($C396="",$D396=""),"",COUNTIFS($C$5:$C$404,$C396,$D$5:$D$404,$D396)))</f>
        <v/>
      </c>
      <c r="M396" s="20" t="str">
        <f aca="false">IF($E396="","",IF(OR($B396="",$C396="",$D396=""),"待补楼栋/房号/日期",SUBSTITUTE($C396,"栋","")&amp;"-"&amp;$D396&amp;"-"&amp;TEXT(MONTH($B396),"00")&amp;TEXT(DAY($B396),"00")&amp;IF(COUNTIFS($C$5:$C396,$C396,$D$5:$D396,$D396)&gt;1,"-"&amp;TEXT(COUNTIFS($C$5:$C396,$C396,$D$5:$D396,$D396),"00"),"")))</f>
        <v/>
      </c>
      <c r="N396" s="21"/>
      <c r="O396" s="18"/>
      <c r="P396" s="21"/>
    </row>
    <row r="397" customFormat="false" ht="21.75" hidden="false" customHeight="true" outlineLevel="0" collapsed="false">
      <c r="A397" s="13" t="str">
        <f aca="false">IF($E397="","",COUNTA($E$5:$E397))</f>
        <v/>
      </c>
      <c r="B397" s="14"/>
      <c r="C397" s="15"/>
      <c r="D397" s="16"/>
      <c r="E397" s="21"/>
      <c r="F397" s="18"/>
      <c r="G397" s="18"/>
      <c r="H397" s="15"/>
      <c r="I397" s="15"/>
      <c r="J397" s="18"/>
      <c r="K397" s="18"/>
      <c r="L397" s="19" t="str">
        <f aca="false">IF($E397="","",IF(OR($C397="",$D397=""),"",COUNTIFS($C$5:$C$404,$C397,$D$5:$D$404,$D397)))</f>
        <v/>
      </c>
      <c r="M397" s="20" t="str">
        <f aca="false">IF($E397="","",IF(OR($B397="",$C397="",$D397=""),"待补楼栋/房号/日期",SUBSTITUTE($C397,"栋","")&amp;"-"&amp;$D397&amp;"-"&amp;TEXT(MONTH($B397),"00")&amp;TEXT(DAY($B397),"00")&amp;IF(COUNTIFS($C$5:$C397,$C397,$D$5:$D397,$D397)&gt;1,"-"&amp;TEXT(COUNTIFS($C$5:$C397,$C397,$D$5:$D397,$D397),"00"),"")))</f>
        <v/>
      </c>
      <c r="N397" s="21"/>
      <c r="O397" s="18"/>
      <c r="P397" s="21"/>
    </row>
    <row r="398" customFormat="false" ht="21.75" hidden="false" customHeight="true" outlineLevel="0" collapsed="false">
      <c r="A398" s="13" t="str">
        <f aca="false">IF($E398="","",COUNTA($E$5:$E398))</f>
        <v/>
      </c>
      <c r="B398" s="14"/>
      <c r="C398" s="15"/>
      <c r="D398" s="16"/>
      <c r="E398" s="21"/>
      <c r="F398" s="18"/>
      <c r="G398" s="18"/>
      <c r="H398" s="15"/>
      <c r="I398" s="15"/>
      <c r="J398" s="18"/>
      <c r="K398" s="18"/>
      <c r="L398" s="19" t="str">
        <f aca="false">IF($E398="","",IF(OR($C398="",$D398=""),"",COUNTIFS($C$5:$C$404,$C398,$D$5:$D$404,$D398)))</f>
        <v/>
      </c>
      <c r="M398" s="20" t="str">
        <f aca="false">IF($E398="","",IF(OR($B398="",$C398="",$D398=""),"待补楼栋/房号/日期",SUBSTITUTE($C398,"栋","")&amp;"-"&amp;$D398&amp;"-"&amp;TEXT(MONTH($B398),"00")&amp;TEXT(DAY($B398),"00")&amp;IF(COUNTIFS($C$5:$C398,$C398,$D$5:$D398,$D398)&gt;1,"-"&amp;TEXT(COUNTIFS($C$5:$C398,$C398,$D$5:$D398,$D398),"00"),"")))</f>
        <v/>
      </c>
      <c r="N398" s="21"/>
      <c r="O398" s="18"/>
      <c r="P398" s="21"/>
    </row>
    <row r="399" customFormat="false" ht="21.75" hidden="false" customHeight="true" outlineLevel="0" collapsed="false">
      <c r="A399" s="13" t="str">
        <f aca="false">IF($E399="","",COUNTA($E$5:$E399))</f>
        <v/>
      </c>
      <c r="B399" s="14"/>
      <c r="C399" s="15"/>
      <c r="D399" s="16"/>
      <c r="E399" s="21"/>
      <c r="F399" s="18"/>
      <c r="G399" s="18"/>
      <c r="H399" s="15"/>
      <c r="I399" s="15"/>
      <c r="J399" s="18"/>
      <c r="K399" s="18"/>
      <c r="L399" s="19" t="str">
        <f aca="false">IF($E399="","",IF(OR($C399="",$D399=""),"",COUNTIFS($C$5:$C$404,$C399,$D$5:$D$404,$D399)))</f>
        <v/>
      </c>
      <c r="M399" s="20" t="str">
        <f aca="false">IF($E399="","",IF(OR($B399="",$C399="",$D399=""),"待补楼栋/房号/日期",SUBSTITUTE($C399,"栋","")&amp;"-"&amp;$D399&amp;"-"&amp;TEXT(MONTH($B399),"00")&amp;TEXT(DAY($B399),"00")&amp;IF(COUNTIFS($C$5:$C399,$C399,$D$5:$D399,$D399)&gt;1,"-"&amp;TEXT(COUNTIFS($C$5:$C399,$C399,$D$5:$D399,$D399),"00"),"")))</f>
        <v/>
      </c>
      <c r="N399" s="21"/>
      <c r="O399" s="18"/>
      <c r="P399" s="21"/>
    </row>
    <row r="400" customFormat="false" ht="21.75" hidden="false" customHeight="true" outlineLevel="0" collapsed="false">
      <c r="A400" s="13" t="str">
        <f aca="false">IF($E400="","",COUNTA($E$5:$E400))</f>
        <v/>
      </c>
      <c r="B400" s="14"/>
      <c r="C400" s="15"/>
      <c r="D400" s="16"/>
      <c r="E400" s="21"/>
      <c r="F400" s="18"/>
      <c r="G400" s="18"/>
      <c r="H400" s="15"/>
      <c r="I400" s="15"/>
      <c r="J400" s="18"/>
      <c r="K400" s="18"/>
      <c r="L400" s="19" t="str">
        <f aca="false">IF($E400="","",IF(OR($C400="",$D400=""),"",COUNTIFS($C$5:$C$404,$C400,$D$5:$D$404,$D400)))</f>
        <v/>
      </c>
      <c r="M400" s="20" t="str">
        <f aca="false">IF($E400="","",IF(OR($B400="",$C400="",$D400=""),"待补楼栋/房号/日期",SUBSTITUTE($C400,"栋","")&amp;"-"&amp;$D400&amp;"-"&amp;TEXT(MONTH($B400),"00")&amp;TEXT(DAY($B400),"00")&amp;IF(COUNTIFS($C$5:$C400,$C400,$D$5:$D400,$D400)&gt;1,"-"&amp;TEXT(COUNTIFS($C$5:$C400,$C400,$D$5:$D400,$D400),"00"),"")))</f>
        <v/>
      </c>
      <c r="N400" s="21"/>
      <c r="O400" s="18"/>
      <c r="P400" s="21"/>
    </row>
    <row r="401" customFormat="false" ht="21.75" hidden="false" customHeight="true" outlineLevel="0" collapsed="false">
      <c r="A401" s="13" t="str">
        <f aca="false">IF($E401="","",COUNTA($E$5:$E401))</f>
        <v/>
      </c>
      <c r="B401" s="14"/>
      <c r="C401" s="15"/>
      <c r="D401" s="16"/>
      <c r="E401" s="21"/>
      <c r="F401" s="18"/>
      <c r="G401" s="18"/>
      <c r="H401" s="15"/>
      <c r="I401" s="15"/>
      <c r="J401" s="18"/>
      <c r="K401" s="18"/>
      <c r="L401" s="19" t="str">
        <f aca="false">IF($E401="","",IF(OR($C401="",$D401=""),"",COUNTIFS($C$5:$C$404,$C401,$D$5:$D$404,$D401)))</f>
        <v/>
      </c>
      <c r="M401" s="20" t="str">
        <f aca="false">IF($E401="","",IF(OR($B401="",$C401="",$D401=""),"待补楼栋/房号/日期",SUBSTITUTE($C401,"栋","")&amp;"-"&amp;$D401&amp;"-"&amp;TEXT(MONTH($B401),"00")&amp;TEXT(DAY($B401),"00")&amp;IF(COUNTIFS($C$5:$C401,$C401,$D$5:$D401,$D401)&gt;1,"-"&amp;TEXT(COUNTIFS($C$5:$C401,$C401,$D$5:$D401,$D401),"00"),"")))</f>
        <v/>
      </c>
      <c r="N401" s="21"/>
      <c r="O401" s="18"/>
      <c r="P401" s="21"/>
    </row>
    <row r="402" customFormat="false" ht="21.75" hidden="false" customHeight="true" outlineLevel="0" collapsed="false">
      <c r="A402" s="13" t="str">
        <f aca="false">IF($E402="","",COUNTA($E$5:$E402))</f>
        <v/>
      </c>
      <c r="B402" s="14"/>
      <c r="C402" s="15"/>
      <c r="D402" s="16"/>
      <c r="E402" s="21"/>
      <c r="F402" s="18"/>
      <c r="G402" s="18"/>
      <c r="H402" s="15"/>
      <c r="I402" s="15"/>
      <c r="J402" s="18"/>
      <c r="K402" s="18"/>
      <c r="L402" s="19" t="str">
        <f aca="false">IF($E402="","",IF(OR($C402="",$D402=""),"",COUNTIFS($C$5:$C$404,$C402,$D$5:$D$404,$D402)))</f>
        <v/>
      </c>
      <c r="M402" s="20" t="str">
        <f aca="false">IF($E402="","",IF(OR($B402="",$C402="",$D402=""),"待补楼栋/房号/日期",SUBSTITUTE($C402,"栋","")&amp;"-"&amp;$D402&amp;"-"&amp;TEXT(MONTH($B402),"00")&amp;TEXT(DAY($B402),"00")&amp;IF(COUNTIFS($C$5:$C402,$C402,$D$5:$D402,$D402)&gt;1,"-"&amp;TEXT(COUNTIFS($C$5:$C402,$C402,$D$5:$D402,$D402),"00"),"")))</f>
        <v/>
      </c>
      <c r="N402" s="21"/>
      <c r="O402" s="18"/>
      <c r="P402" s="21"/>
    </row>
    <row r="403" customFormat="false" ht="21.75" hidden="false" customHeight="true" outlineLevel="0" collapsed="false">
      <c r="A403" s="13" t="str">
        <f aca="false">IF($E403="","",COUNTA($E$5:$E403))</f>
        <v/>
      </c>
      <c r="B403" s="14"/>
      <c r="C403" s="15"/>
      <c r="D403" s="16"/>
      <c r="E403" s="21"/>
      <c r="F403" s="18"/>
      <c r="G403" s="18"/>
      <c r="H403" s="15"/>
      <c r="I403" s="15"/>
      <c r="J403" s="18"/>
      <c r="K403" s="18"/>
      <c r="L403" s="19" t="str">
        <f aca="false">IF($E403="","",IF(OR($C403="",$D403=""),"",COUNTIFS($C$5:$C$404,$C403,$D$5:$D$404,$D403)))</f>
        <v/>
      </c>
      <c r="M403" s="20" t="str">
        <f aca="false">IF($E403="","",IF(OR($B403="",$C403="",$D403=""),"待补楼栋/房号/日期",SUBSTITUTE($C403,"栋","")&amp;"-"&amp;$D403&amp;"-"&amp;TEXT(MONTH($B403),"00")&amp;TEXT(DAY($B403),"00")&amp;IF(COUNTIFS($C$5:$C403,$C403,$D$5:$D403,$D403)&gt;1,"-"&amp;TEXT(COUNTIFS($C$5:$C403,$C403,$D$5:$D403,$D403),"00"),"")))</f>
        <v/>
      </c>
      <c r="N403" s="21"/>
      <c r="O403" s="18"/>
      <c r="P403" s="21"/>
    </row>
    <row r="404" customFormat="false" ht="21.75" hidden="false" customHeight="true" outlineLevel="0" collapsed="false">
      <c r="A404" s="13" t="str">
        <f aca="false">IF($E404="","",COUNTA($E$5:$E404))</f>
        <v/>
      </c>
      <c r="B404" s="14"/>
      <c r="C404" s="15"/>
      <c r="D404" s="16"/>
      <c r="E404" s="21"/>
      <c r="F404" s="18"/>
      <c r="G404" s="18"/>
      <c r="H404" s="15"/>
      <c r="I404" s="15"/>
      <c r="J404" s="18"/>
      <c r="K404" s="18"/>
      <c r="L404" s="19" t="str">
        <f aca="false">IF($E404="","",IF(OR($C404="",$D404=""),"",COUNTIFS($C$5:$C$404,$C404,$D$5:$D$404,$D404)))</f>
        <v/>
      </c>
      <c r="M404" s="20" t="str">
        <f aca="false">IF($E404="","",IF(OR($B404="",$C404="",$D404=""),"待补楼栋/房号/日期",SUBSTITUTE($C404,"栋","")&amp;"-"&amp;$D404&amp;"-"&amp;TEXT(MONTH($B404),"00")&amp;TEXT(DAY($B404),"00")&amp;IF(COUNTIFS($C$5:$C404,$C404,$D$5:$D404,$D404)&gt;1,"-"&amp;TEXT(COUNTIFS($C$5:$C404,$C404,$D$5:$D404,$D404),"00"),"")))</f>
        <v/>
      </c>
      <c r="N404" s="21"/>
      <c r="O404" s="18"/>
      <c r="P404" s="21"/>
    </row>
  </sheetData>
  <autoFilter ref="A4:P404"/>
  <mergeCells count="6">
    <mergeCell ref="A1:I1"/>
    <mergeCell ref="J1:P1"/>
    <mergeCell ref="A2:D2"/>
    <mergeCell ref="O2:P2"/>
    <mergeCell ref="A3:D3"/>
    <mergeCell ref="O3:P3"/>
  </mergeCells>
  <conditionalFormatting sqref="B5:B404">
    <cfRule type="expression" priority="2" aboveAverage="0" equalAverage="0" bottom="0" percent="0" rank="0" text="" dxfId="19">
      <formula>AND($E5&lt;&gt;"",$B5="")</formula>
    </cfRule>
  </conditionalFormatting>
  <conditionalFormatting sqref="F5:H404">
    <cfRule type="expression" priority="3" aboveAverage="0" equalAverage="0" bottom="0" percent="0" rank="0" text="" dxfId="20">
      <formula>F5="取消"</formula>
    </cfRule>
  </conditionalFormatting>
  <conditionalFormatting sqref="G5:G404">
    <cfRule type="expression" priority="4" aboveAverage="0" equalAverage="0" bottom="0" percent="0" rank="0" text="" dxfId="21">
      <formula>AND($G5&lt;&gt;"",$G5&lt;&gt;"取消",$G5=$F5)</formula>
    </cfRule>
  </conditionalFormatting>
  <conditionalFormatting sqref="H5:H404">
    <cfRule type="expression" priority="5" aboveAverage="0" equalAverage="0" bottom="0" percent="0" rank="0" text="" dxfId="21">
      <formula>AND($H5&lt;&gt;"",$H5&lt;&gt;"取消",OR($H5=$F5,$H5=$G5))</formula>
    </cfRule>
  </conditionalFormatting>
  <conditionalFormatting sqref="I5:I404">
    <cfRule type="expression" priority="6" aboveAverage="0" equalAverage="0" bottom="0" percent="0" rank="0" text="" dxfId="22">
      <formula>$K5="跟进中"</formula>
    </cfRule>
    <cfRule type="expression" priority="7" aboveAverage="0" equalAverage="0" bottom="0" percent="0" rank="0" text="" dxfId="23">
      <formula>$K5="需另约时间"</formula>
    </cfRule>
  </conditionalFormatting>
  <conditionalFormatting sqref="J5:J404">
    <cfRule type="expression" priority="8" aboveAverage="0" equalAverage="0" bottom="0" percent="0" rank="0" text="" dxfId="21">
      <formula>$J5="优先1"</formula>
    </cfRule>
    <cfRule type="expression" priority="9" aboveAverage="0" equalAverage="0" bottom="0" percent="0" rank="0" text="" dxfId="24">
      <formula>$J5="优先2"</formula>
    </cfRule>
    <cfRule type="expression" priority="10" aboveAverage="0" equalAverage="0" bottom="0" percent="0" rank="0" text="" dxfId="25">
      <formula>$J5="优先3"</formula>
    </cfRule>
    <cfRule type="expression" priority="11" aboveAverage="0" equalAverage="0" bottom="0" percent="0" rank="0" text="" dxfId="26">
      <formula>$J5="优先4"</formula>
    </cfRule>
    <cfRule type="expression" priority="12" aboveAverage="0" equalAverage="0" bottom="0" percent="0" rank="0" text="" dxfId="27">
      <formula>$J5="优先5"</formula>
    </cfRule>
    <cfRule type="expression" priority="13" aboveAverage="0" equalAverage="0" bottom="0" percent="0" rank="0" text="" dxfId="28">
      <formula>$J5="优先6"</formula>
    </cfRule>
  </conditionalFormatting>
  <conditionalFormatting sqref="K5:K404">
    <cfRule type="expression" priority="14" aboveAverage="0" equalAverage="0" bottom="0" percent="0" rank="0" text="" dxfId="29">
      <formula>$K5="已完成"</formula>
    </cfRule>
    <cfRule type="expression" priority="15" aboveAverage="0" equalAverage="0" bottom="0" percent="0" rank="0" text="" dxfId="30">
      <formula>$K5="跟进中"</formula>
    </cfRule>
    <cfRule type="expression" priority="16" aboveAverage="0" equalAverage="0" bottom="0" percent="0" rank="0" text="" dxfId="31">
      <formula>$K5="需另约时间"</formula>
    </cfRule>
  </conditionalFormatting>
  <conditionalFormatting sqref="L5:L404">
    <cfRule type="expression" priority="17" aboveAverage="0" equalAverage="0" bottom="0" percent="0" rank="0" text="" dxfId="31">
      <formula>AND($L5&lt;&gt;"",$L5&gt;=3)</formula>
    </cfRule>
    <cfRule type="expression" priority="18" aboveAverage="0" equalAverage="0" bottom="0" percent="0" rank="0" text="" dxfId="30">
      <formula>AND($L5&lt;&gt;"",$L5=2)</formula>
    </cfRule>
  </conditionalFormatting>
  <conditionalFormatting sqref="J2:N3">
    <cfRule type="expression" priority="19" aboveAverage="0" equalAverage="0" bottom="0" percent="0" rank="0" text="" dxfId="32">
      <formula>J$3="休息"</formula>
    </cfRule>
  </conditionalFormatting>
  <conditionalFormatting sqref="M5:M404">
    <cfRule type="expression" priority="20" aboveAverage="0" equalAverage="0" bottom="0" percent="0" rank="0" text="" dxfId="30">
      <formula>LEFT($M5,2)="待补"</formula>
    </cfRule>
    <cfRule type="expression" priority="21" aboveAverage="0" equalAverage="0" bottom="0" percent="0" rank="0" text="" dxfId="33">
      <formula>AND($M5&lt;&gt;"",COUNTIFS($C$5:$C5,$C5,$D$5:$D5,$D5)&gt;1)</formula>
    </cfRule>
  </conditionalFormatting>
  <conditionalFormatting sqref="O5:O404">
    <cfRule type="expression" priority="22" aboveAverage="0" equalAverage="0" bottom="0" percent="0" rank="0" text="" dxfId="34">
      <formula>$O5="非常满意"</formula>
    </cfRule>
    <cfRule type="expression" priority="23" aboveAverage="0" equalAverage="0" bottom="0" percent="0" rank="0" text="" dxfId="35">
      <formula>$O5="满意"</formula>
    </cfRule>
    <cfRule type="expression" priority="24" aboveAverage="0" equalAverage="0" bottom="0" percent="0" rank="0" text="" dxfId="30">
      <formula>$O5="一般"</formula>
    </cfRule>
    <cfRule type="expression" priority="25" aboveAverage="0" equalAverage="0" bottom="0" percent="0" rank="0" text="" dxfId="31">
      <formula>$O5="不满意"</formula>
    </cfRule>
  </conditionalFormatting>
  <conditionalFormatting sqref="A5:P404">
    <cfRule type="expression" priority="26" aboveAverage="0" equalAverage="0" bottom="0" percent="0" rank="0" text="" dxfId="36">
      <formula>AND($E5&lt;&gt;"",MOD(ROW(),2)=0)</formula>
    </cfRule>
  </conditionalFormatting>
  <dataValidations count="8">
    <dataValidation allowBlank="true" errorStyle="stop" operator="between" prompt="格式 2026-07-31；此列是日/周/月排行榜的统计依据，必须填写。" showDropDown="false" showErrorMessage="true" showInputMessage="true" sqref="B5:B404" type="date">
      <formula1>0</formula1>
      <formula2>0</formula2>
    </dataValidation>
    <dataValidation allowBlank="true" errorStyle="stop" operator="between" showDropDown="false" showErrorMessage="true" showInputMessage="true" sqref="C5:C404" type="list">
      <formula1>"1栋,2栋,3栋,4栋,5栋,6栋,7栋,8栋,9栋,10栋,11栋,商铺"</formula1>
      <formula2>0</formula2>
    </dataValidation>
    <dataValidation allowBlank="true" error="只能选「休息」或「上班」。" errorStyle="stop" errorTitle="休息中设置" operator="between" prompt="选「休息」＝该师傅今日休息，看板 / 派单下拉 / 仪表盘立即联动；选「上班」或按 Delete 清空即恢复。" promptTitle="休息中设置" showDropDown="false" showErrorMessage="true" showInputMessage="true" sqref="J3:N3" type="list">
      <formula1>"休息,上班"</formula1>
      <formula2>0</formula2>
    </dataValidation>
    <dataValidation allowBlank="true" errorStyle="stop" operator="between" showDropDown="false" showErrorMessage="true" showInputMessage="false" sqref="J5:J404" type="list">
      <formula1>"优先1,优先2,优先3,优先4,优先5,优先6"</formula1>
      <formula2>0</formula2>
    </dataValidation>
    <dataValidation allowBlank="true" errorStyle="stop" operator="between" showDropDown="false" showErrorMessage="true" showInputMessage="false" sqref="K5:K404" type="list">
      <formula1>"跟进中,已完成,需另约时间"</formula1>
      <formula2>0</formula2>
    </dataValidation>
    <dataValidation allowBlank="true" error="本列为公式自动统计，手工输入会覆盖公式、导致该户累计次数失真。确定仍要输入吗？" errorStyle="warning" errorTitle="请勿手工输入" operator="between" prompt="自动统计本表中「楼栋＋房号」完全相同的全部历史报修记录条数（含本单）。&#10;例：显示 3次 ＝ 该户累计已上门 3 次（本单为第 3 次）。&#10;≥3次 标红、=2次 标黄，便于识别重复报修户。&#10;本列公式自动计算，请勿手工输入。" promptTitle="该户累计次数" showDropDown="false" showErrorMessage="true" showInputMessage="true" sqref="L5:L404" type="custom">
      <formula1>FALSE()</formula1>
      <formula2>0</formula2>
    </dataValidation>
    <dataValidation allowBlank="true" error="本列为自动生成编号，手工输入会覆盖公式。确定仍要输入吗？" errorStyle="warning" errorTitle="请勿手工输入" operator="between" prompt="编号规则：楼栋-房号-月日&#10;例 5-201-0730 ＝ 5栋201房 / 上门时间 7月30日。&#10;本列公式自动出号，填好「报修日期」「楼栋」「房号」即生成，请勿手工输入。" promptTitle="单据编号（自动生成）" showDropDown="false" showErrorMessage="true" showInputMessage="true" sqref="M5:M404" type="custom">
      <formula1>FALSE()</formula1>
      <formula2>0</formula2>
    </dataValidation>
    <dataValidation allowBlank="true" errorStyle="stop" operator="between" showDropDown="false" showErrorMessage="true" showInputMessage="false" sqref="O5:O404" type="list">
      <formula1>"非常满意,满意,一般,不满意"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&amp;K6b7785单据编号规则：楼栋-房号（位置）-月日，同一户再次报修加序号，例 8-2001-0807-02&amp;C&amp;8 &amp;K6b7785&amp;A&amp;R&amp;8 &amp;K6b7785第 &amp;P 页 / 共 &amp;N 页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O4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E13" activeCellId="0" sqref="E13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1.5"/>
    <col collapsed="false" customWidth="true" hidden="false" outlineLevel="0" max="3" min="3" style="1" width="9"/>
    <col collapsed="false" customWidth="true" hidden="false" outlineLevel="0" max="4" min="4" style="1" width="14"/>
    <col collapsed="false" customWidth="true" hidden="false" outlineLevel="0" max="5" min="5" style="1" width="34"/>
    <col collapsed="false" customWidth="true" hidden="false" outlineLevel="0" max="8" min="6" style="1" width="9"/>
    <col collapsed="false" customWidth="true" hidden="false" outlineLevel="0" max="9" min="9" style="1" width="15"/>
    <col collapsed="false" customWidth="true" hidden="false" outlineLevel="0" max="10" min="10" style="1" width="8.5"/>
    <col collapsed="false" customWidth="true" hidden="false" outlineLevel="0" max="11" min="11" style="1" width="10"/>
    <col collapsed="false" customWidth="true" hidden="false" outlineLevel="0" max="12" min="12" style="1" width="21"/>
    <col collapsed="false" customWidth="true" hidden="false" outlineLevel="0" max="13" min="13" style="1" width="30"/>
    <col collapsed="false" customWidth="true" hidden="false" outlineLevel="0" max="14" min="14" style="1" width="10"/>
    <col collapsed="false" customWidth="true" hidden="false" outlineLevel="0" max="15" min="15" style="1" width="26"/>
  </cols>
  <sheetData>
    <row r="1" customFormat="false" ht="30" hidden="false" customHeight="true" outlineLevel="0" collapsed="false">
      <c r="A1" s="2" t="s">
        <v>379</v>
      </c>
      <c r="B1" s="2"/>
      <c r="C1" s="2"/>
      <c r="D1" s="2"/>
      <c r="E1" s="2"/>
      <c r="F1" s="2"/>
      <c r="G1" s="2"/>
      <c r="H1" s="2"/>
      <c r="I1" s="2"/>
      <c r="J1" s="3" t="str">
        <f aca="false">"休息中　"&amp;SUM(辅助数据!$BN$1:$BN$5)&amp;" 人"</f>
        <v>休息中　1 人</v>
      </c>
      <c r="K1" s="3"/>
      <c r="L1" s="3"/>
      <c r="M1" s="3"/>
      <c r="N1" s="3"/>
      <c r="O1" s="3"/>
    </row>
    <row r="2" customFormat="false" ht="24" hidden="false" customHeight="true" outlineLevel="0" collapsed="false">
      <c r="A2" s="4" t="str">
        <f aca="false">"工作中师傅（跟进中）　"&amp;SUM(辅助数据!$BO$1:$BO$5)&amp;" 人"</f>
        <v>工作中师傅（跟进中）　4 人</v>
      </c>
      <c r="B2" s="4"/>
      <c r="C2" s="4"/>
      <c r="D2" s="4"/>
      <c r="E2" s="5" t="str">
        <f aca="false">IFERROR(INDEX(辅助数据!$A$1:$A$5,MATCH(1,辅助数据!$C$1:$C$5,0)),"（全部空闲）")</f>
        <v>李师傅</v>
      </c>
      <c r="F2" s="5" t="str">
        <f aca="false">IFERROR(INDEX(辅助数据!$A$1:$A$5,MATCH(2,辅助数据!$C$1:$C$5,0)),"")</f>
        <v>王师傅</v>
      </c>
      <c r="G2" s="5" t="str">
        <f aca="false">IFERROR(INDEX(辅助数据!$A$1:$A$5,MATCH(3,辅助数据!$C$1:$C$5,0)),"")</f>
        <v>陈师傅</v>
      </c>
      <c r="H2" s="5" t="str">
        <f aca="false">IFERROR(INDEX(辅助数据!$A$1:$A$5,MATCH(4,辅助数据!$C$1:$C$5,0)),"")</f>
        <v>刘师傅</v>
      </c>
      <c r="I2" s="5" t="str">
        <f aca="false">IFERROR(INDEX(辅助数据!$A$1:$A$5,MATCH(5,辅助数据!$C$1:$C$5,0)),"")</f>
        <v/>
      </c>
      <c r="J2" s="22" t="str">
        <f aca="false">IF(SUM(辅助数据!$BN$1:$BN$5)=0,"（全员上班）",MID(辅助数据!$BE$1,2,200))</f>
        <v>张师傅</v>
      </c>
      <c r="K2" s="22"/>
      <c r="L2" s="22"/>
      <c r="M2" s="22"/>
      <c r="N2" s="22"/>
      <c r="O2" s="22"/>
    </row>
    <row r="3" customFormat="false" ht="24" hidden="false" customHeight="true" outlineLevel="0" collapsed="false">
      <c r="A3" s="8" t="str">
        <f aca="false">"空闲师傅（可派单）　"&amp;SUM(辅助数据!$BP$1:$BP$5)&amp;" 人"</f>
        <v>空闲师傅（可派单）　0 人</v>
      </c>
      <c r="B3" s="8"/>
      <c r="C3" s="8"/>
      <c r="D3" s="8"/>
      <c r="E3" s="9" t="str">
        <f aca="false">IFERROR(INDEX(辅助数据!$A$1:$A$5,MATCH(1,辅助数据!$D$1:$D$5,0)),"（全部在岗）")</f>
        <v>（全部在岗）</v>
      </c>
      <c r="F3" s="9" t="str">
        <f aca="false">IFERROR(INDEX(辅助数据!$A$1:$A$5,MATCH(2,辅助数据!$D$1:$D$5,0)),"")</f>
        <v/>
      </c>
      <c r="G3" s="9" t="str">
        <f aca="false">IFERROR(INDEX(辅助数据!$A$1:$A$5,MATCH(3,辅助数据!$D$1:$D$5,0)),"")</f>
        <v/>
      </c>
      <c r="H3" s="9" t="str">
        <f aca="false">IFERROR(INDEX(辅助数据!$A$1:$A$5,MATCH(4,辅助数据!$D$1:$D$5,0)),"")</f>
        <v/>
      </c>
      <c r="I3" s="9" t="str">
        <f aca="false">IFERROR(INDEX(辅助数据!$A$1:$A$5,MATCH(5,辅助数据!$D$1:$D$5,0)),"")</f>
        <v/>
      </c>
      <c r="J3" s="23" t="s">
        <v>380</v>
      </c>
      <c r="K3" s="23"/>
      <c r="L3" s="23"/>
      <c r="M3" s="23"/>
      <c r="N3" s="23"/>
      <c r="O3" s="23"/>
    </row>
    <row r="4" customFormat="false" ht="31.5" hidden="false" customHeight="true" outlineLevel="0" collapsed="false">
      <c r="A4" s="11" t="s">
        <v>5</v>
      </c>
      <c r="B4" s="12" t="s">
        <v>6</v>
      </c>
      <c r="C4" s="12" t="s">
        <v>7</v>
      </c>
      <c r="D4" s="12" t="s">
        <v>381</v>
      </c>
      <c r="E4" s="12" t="s">
        <v>9</v>
      </c>
      <c r="F4" s="12" t="s">
        <v>10</v>
      </c>
      <c r="G4" s="12" t="s">
        <v>11</v>
      </c>
      <c r="H4" s="12" t="s">
        <v>12</v>
      </c>
      <c r="I4" s="12" t="s">
        <v>13</v>
      </c>
      <c r="J4" s="12" t="s">
        <v>14</v>
      </c>
      <c r="K4" s="12" t="s">
        <v>15</v>
      </c>
      <c r="L4" s="11" t="s">
        <v>17</v>
      </c>
      <c r="M4" s="12" t="s">
        <v>382</v>
      </c>
      <c r="N4" s="12" t="s">
        <v>19</v>
      </c>
      <c r="O4" s="12" t="s">
        <v>20</v>
      </c>
    </row>
    <row r="5" customFormat="false" ht="21.75" hidden="false" customHeight="true" outlineLevel="0" collapsed="false">
      <c r="A5" s="13" t="n">
        <f aca="false">IF($E5="","",COUNTA($E$5:$E5))</f>
        <v>1</v>
      </c>
      <c r="B5" s="14" t="n">
        <v>46233</v>
      </c>
      <c r="C5" s="15" t="s">
        <v>79</v>
      </c>
      <c r="D5" s="24" t="s">
        <v>383</v>
      </c>
      <c r="E5" s="17" t="s">
        <v>384</v>
      </c>
      <c r="F5" s="18" t="s">
        <v>24</v>
      </c>
      <c r="G5" s="15"/>
      <c r="H5" s="15"/>
      <c r="I5" s="15" t="s">
        <v>46</v>
      </c>
      <c r="J5" s="15"/>
      <c r="K5" s="18" t="s">
        <v>28</v>
      </c>
      <c r="L5" s="20" t="str">
        <f aca="false">IF($E5="","",IF(OR($B5="",$C5="",$D5=""),"待补楼栋/位置/日期",IF($C5="公共区域","公",SUBSTITUTE($C5,"栋",""))&amp;"-"&amp;$D5&amp;"-"&amp;TEXT(MONTH($B5),"00")&amp;TEXT(DAY($B5),"00")&amp;IF(COUNTIFS($C$5:$C5,$C5,$D$5:$D5,$D5)&gt;1,"-"&amp;TEXT(COUNTIFS($C$5:$C5,$C5,$D$5:$D5,$D5),"00"),"")))</f>
        <v>9-乒乓球位置-0730</v>
      </c>
      <c r="M5" s="17"/>
      <c r="N5" s="15"/>
      <c r="O5" s="17"/>
    </row>
    <row r="6" customFormat="false" ht="21.75" hidden="false" customHeight="true" outlineLevel="0" collapsed="false">
      <c r="A6" s="13" t="n">
        <f aca="false">IF($E6="","",COUNTA($E$5:$E6))</f>
        <v>2</v>
      </c>
      <c r="B6" s="14" t="n">
        <v>46233</v>
      </c>
      <c r="C6" s="18" t="s">
        <v>385</v>
      </c>
      <c r="D6" s="24" t="s">
        <v>386</v>
      </c>
      <c r="E6" s="17" t="s">
        <v>387</v>
      </c>
      <c r="F6" s="18" t="s">
        <v>103</v>
      </c>
      <c r="G6" s="18" t="s">
        <v>169</v>
      </c>
      <c r="H6" s="15"/>
      <c r="I6" s="15" t="s">
        <v>46</v>
      </c>
      <c r="J6" s="15"/>
      <c r="K6" s="18" t="s">
        <v>28</v>
      </c>
      <c r="L6" s="20" t="str">
        <f aca="false">IF($E6="","",IF(OR($B6="",$C6="",$D6=""),"待补楼栋/位置/日期",IF($C6="公共区域","公",SUBSTITUTE($C6,"栋",""))&amp;"-"&amp;$D6&amp;"-"&amp;TEXT(MONTH($B6),"00")&amp;TEXT(DAY($B6),"00")&amp;IF(COUNTIFS($C$5:$C6,$C6,$D$5:$D6,$D6)&gt;1,"-"&amp;TEXT(COUNTIFS($C$5:$C6,$C6,$D$5:$D6,$D6),"00"),"")))</f>
        <v>公-东大门-0730</v>
      </c>
      <c r="M6" s="17"/>
      <c r="N6" s="15"/>
      <c r="O6" s="17"/>
    </row>
    <row r="7" customFormat="false" ht="21.75" hidden="false" customHeight="true" outlineLevel="0" collapsed="false">
      <c r="A7" s="13" t="n">
        <f aca="false">IF($E7="","",COUNTA($E$5:$E7))</f>
        <v>3</v>
      </c>
      <c r="B7" s="14" t="n">
        <v>46233</v>
      </c>
      <c r="C7" s="18" t="s">
        <v>385</v>
      </c>
      <c r="D7" s="24" t="s">
        <v>388</v>
      </c>
      <c r="E7" s="17" t="s">
        <v>389</v>
      </c>
      <c r="F7" s="18" t="s">
        <v>103</v>
      </c>
      <c r="G7" s="18" t="s">
        <v>169</v>
      </c>
      <c r="H7" s="15"/>
      <c r="I7" s="15" t="s">
        <v>46</v>
      </c>
      <c r="J7" s="15"/>
      <c r="K7" s="18" t="s">
        <v>28</v>
      </c>
      <c r="L7" s="20" t="str">
        <f aca="false">IF($E7="","",IF(OR($B7="",$C7="",$D7=""),"待补楼栋/位置/日期",IF($C7="公共区域","公",SUBSTITUTE($C7,"栋",""))&amp;"-"&amp;$D7&amp;"-"&amp;TEXT(MONTH($B7),"00")&amp;TEXT(DAY($B7),"00")&amp;IF(COUNTIFS($C$5:$C7,$C7,$D$5:$D7,$D7)&gt;1,"-"&amp;TEXT(COUNTIFS($C$5:$C7,$C7,$D$5:$D7,$D7),"00"),"")))</f>
        <v>公-西门车库出口-0730</v>
      </c>
      <c r="M7" s="17"/>
      <c r="N7" s="15"/>
      <c r="O7" s="17"/>
    </row>
    <row r="8" customFormat="false" ht="21.75" hidden="false" customHeight="true" outlineLevel="0" collapsed="false">
      <c r="A8" s="13" t="n">
        <f aca="false">IF($E8="","",COUNTA($E$5:$E8))</f>
        <v>4</v>
      </c>
      <c r="B8" s="14" t="n">
        <v>46233</v>
      </c>
      <c r="C8" s="15" t="s">
        <v>245</v>
      </c>
      <c r="D8" s="24" t="s">
        <v>390</v>
      </c>
      <c r="E8" s="17" t="s">
        <v>391</v>
      </c>
      <c r="F8" s="18" t="s">
        <v>103</v>
      </c>
      <c r="G8" s="15"/>
      <c r="H8" s="15"/>
      <c r="I8" s="15" t="s">
        <v>251</v>
      </c>
      <c r="J8" s="15"/>
      <c r="K8" s="18" t="s">
        <v>28</v>
      </c>
      <c r="L8" s="20" t="str">
        <f aca="false">IF($E8="","",IF(OR($B8="",$C8="",$D8=""),"待补楼栋/位置/日期",IF($C8="公共区域","公",SUBSTITUTE($C8,"栋",""))&amp;"-"&amp;$D8&amp;"-"&amp;TEXT(MONTH($B8),"00")&amp;TEXT(DAY($B8),"00")&amp;IF(COUNTIFS($C$5:$C8,$C8,$D$5:$D8,$D8)&gt;1,"-"&amp;TEXT(COUNTIFS($C$5:$C8,$C8,$D$5:$D8,$D8),"00"),"")))</f>
        <v>3-货梯-0730</v>
      </c>
      <c r="M8" s="17"/>
      <c r="N8" s="15"/>
      <c r="O8" s="17"/>
    </row>
    <row r="9" customFormat="false" ht="21.75" hidden="false" customHeight="true" outlineLevel="0" collapsed="false">
      <c r="A9" s="13" t="n">
        <f aca="false">IF($E9="","",COUNTA($E$5:$E9))</f>
        <v>5</v>
      </c>
      <c r="B9" s="14" t="n">
        <v>46233</v>
      </c>
      <c r="C9" s="15" t="s">
        <v>79</v>
      </c>
      <c r="D9" s="24" t="s">
        <v>392</v>
      </c>
      <c r="E9" s="17" t="s">
        <v>393</v>
      </c>
      <c r="F9" s="18" t="s">
        <v>34</v>
      </c>
      <c r="G9" s="15"/>
      <c r="H9" s="15"/>
      <c r="I9" s="15"/>
      <c r="J9" s="15"/>
      <c r="K9" s="18" t="s">
        <v>36</v>
      </c>
      <c r="L9" s="20" t="str">
        <f aca="false">IF($E9="","",IF(OR($B9="",$C9="",$D9=""),"待补楼栋/位置/日期",IF($C9="公共区域","公",SUBSTITUTE($C9,"栋",""))&amp;"-"&amp;$D9&amp;"-"&amp;TEXT(MONTH($B9),"00")&amp;TEXT(DAY($B9),"00")&amp;IF(COUNTIFS($C$5:$C9,$C9,$D$5:$D9,$D9)&gt;1,"-"&amp;TEXT(COUNTIFS($C$5:$C9,$C9,$D$5:$D9,$D9),"00"),"")))</f>
        <v>9-肉菜市场-0730</v>
      </c>
      <c r="M9" s="17" t="s">
        <v>394</v>
      </c>
      <c r="N9" s="15"/>
      <c r="O9" s="17"/>
    </row>
    <row r="10" customFormat="false" ht="21.75" hidden="false" customHeight="true" outlineLevel="0" collapsed="false">
      <c r="A10" s="13" t="n">
        <f aca="false">IF($E10="","",COUNTA($E$5:$E10))</f>
        <v>6</v>
      </c>
      <c r="B10" s="14" t="n">
        <v>46233</v>
      </c>
      <c r="C10" s="15" t="s">
        <v>76</v>
      </c>
      <c r="D10" s="25" t="s">
        <v>395</v>
      </c>
      <c r="E10" s="17" t="s">
        <v>396</v>
      </c>
      <c r="F10" s="18" t="s">
        <v>103</v>
      </c>
      <c r="G10" s="15"/>
      <c r="H10" s="15"/>
      <c r="I10" s="15" t="s">
        <v>51</v>
      </c>
      <c r="J10" s="15"/>
      <c r="K10" s="18" t="s">
        <v>28</v>
      </c>
      <c r="L10" s="20" t="str">
        <f aca="false">IF($E10="","",IF(OR($B10="",$C10="",$D10=""),"待补楼栋/位置/日期",IF($C10="公共区域","公",SUBSTITUTE($C10,"栋",""))&amp;"-"&amp;$D10&amp;"-"&amp;TEXT(MONTH($B10),"00")&amp;TEXT(DAY($B10),"00")&amp;IF(COUNTIFS($C$5:$C10,$C10,$D$5:$D10,$D10)&gt;1,"-"&amp;TEXT(COUNTIFS($C$5:$C10,$C10,$D$5:$D10,$D10),"00"),"")))</f>
        <v>10-1层-0730</v>
      </c>
      <c r="M10" s="17"/>
      <c r="N10" s="15"/>
      <c r="O10" s="17"/>
    </row>
    <row r="11" customFormat="false" ht="21.75" hidden="false" customHeight="true" outlineLevel="0" collapsed="false">
      <c r="A11" s="13" t="n">
        <f aca="false">IF($E11="","",COUNTA($E$5:$E11))</f>
        <v>7</v>
      </c>
      <c r="B11" s="14" t="n">
        <v>46233</v>
      </c>
      <c r="C11" s="18" t="s">
        <v>385</v>
      </c>
      <c r="D11" s="24" t="s">
        <v>397</v>
      </c>
      <c r="E11" s="17" t="s">
        <v>398</v>
      </c>
      <c r="F11" s="18" t="s">
        <v>24</v>
      </c>
      <c r="G11" s="15"/>
      <c r="H11" s="15"/>
      <c r="I11" s="15" t="s">
        <v>399</v>
      </c>
      <c r="J11" s="15"/>
      <c r="K11" s="18" t="s">
        <v>28</v>
      </c>
      <c r="L11" s="20" t="str">
        <f aca="false">IF($E11="","",IF(OR($B11="",$C11="",$D11=""),"待补楼栋/位置/日期",IF($C11="公共区域","公",SUBSTITUTE($C11,"栋",""))&amp;"-"&amp;$D11&amp;"-"&amp;TEXT(MONTH($B11),"00")&amp;TEXT(DAY($B11),"00")&amp;IF(COUNTIFS($C$5:$C11,$C11,$D$5:$D11,$D11)&gt;1,"-"&amp;TEXT(COUNTIFS($C$5:$C11,$C11,$D$5:$D11,$D11),"00"),"")))</f>
        <v>公-健身房旁-0730</v>
      </c>
      <c r="M11" s="17" t="s">
        <v>400</v>
      </c>
      <c r="N11" s="15"/>
      <c r="O11" s="17"/>
    </row>
    <row r="12" customFormat="false" ht="21.75" hidden="false" customHeight="true" outlineLevel="0" collapsed="false">
      <c r="A12" s="13" t="n">
        <f aca="false">IF($E12="","",COUNTA($E$5:$E12))</f>
        <v>8</v>
      </c>
      <c r="B12" s="14" t="n">
        <v>46233</v>
      </c>
      <c r="C12" s="15" t="s">
        <v>105</v>
      </c>
      <c r="D12" s="25" t="s">
        <v>401</v>
      </c>
      <c r="E12" s="17" t="s">
        <v>402</v>
      </c>
      <c r="F12" s="18" t="s">
        <v>103</v>
      </c>
      <c r="G12" s="18" t="s">
        <v>169</v>
      </c>
      <c r="H12" s="15"/>
      <c r="I12" s="15" t="s">
        <v>403</v>
      </c>
      <c r="J12" s="15"/>
      <c r="K12" s="18" t="s">
        <v>28</v>
      </c>
      <c r="L12" s="20" t="str">
        <f aca="false">IF($E12="","",IF(OR($B12="",$C12="",$D12=""),"待补楼栋/位置/日期",IF($C12="公共区域","公",SUBSTITUTE($C12,"栋",""))&amp;"-"&amp;$D12&amp;"-"&amp;TEXT(MONTH($B12),"00")&amp;TEXT(DAY($B12),"00")&amp;IF(COUNTIFS($C$5:$C12,$C12,$D$5:$D12,$D12)&gt;1,"-"&amp;TEXT(COUNTIFS($C$5:$C12,$C12,$D$5:$D12,$D12),"00"),"")))</f>
        <v>2-1楼-0730</v>
      </c>
      <c r="M12" s="17"/>
      <c r="N12" s="15"/>
      <c r="O12" s="17"/>
    </row>
    <row r="13" customFormat="false" ht="36" hidden="false" customHeight="true" outlineLevel="0" collapsed="false">
      <c r="A13" s="13" t="n">
        <f aca="false">IF($E13="","",COUNTA($E$5:$E13))</f>
        <v>9</v>
      </c>
      <c r="B13" s="14" t="n">
        <v>46233</v>
      </c>
      <c r="C13" s="18" t="s">
        <v>385</v>
      </c>
      <c r="D13" s="24" t="s">
        <v>386</v>
      </c>
      <c r="E13" s="17" t="s">
        <v>404</v>
      </c>
      <c r="F13" s="18" t="s">
        <v>34</v>
      </c>
      <c r="G13" s="15"/>
      <c r="H13" s="15"/>
      <c r="I13" s="15" t="s">
        <v>405</v>
      </c>
      <c r="J13" s="15"/>
      <c r="K13" s="18" t="s">
        <v>36</v>
      </c>
      <c r="L13" s="20" t="str">
        <f aca="false">IF($E13="","",IF(OR($B13="",$C13="",$D13=""),"待补楼栋/位置/日期",IF($C13="公共区域","公",SUBSTITUTE($C13,"栋",""))&amp;"-"&amp;$D13&amp;"-"&amp;TEXT(MONTH($B13),"00")&amp;TEXT(DAY($B13),"00")&amp;IF(COUNTIFS($C$5:$C13,$C13,$D$5:$D13,$D13)&gt;1,"-"&amp;TEXT(COUNTIFS($C$5:$C13,$C13,$D$5:$D13,$D13),"00"),"")))</f>
        <v>公-东大门-0730-02</v>
      </c>
      <c r="M13" s="17" t="s">
        <v>406</v>
      </c>
      <c r="N13" s="15"/>
      <c r="O13" s="17"/>
    </row>
    <row r="14" customFormat="false" ht="21.75" hidden="false" customHeight="true" outlineLevel="0" collapsed="false">
      <c r="A14" s="13" t="n">
        <f aca="false">IF($E14="","",COUNTA($E$5:$E14))</f>
        <v>10</v>
      </c>
      <c r="B14" s="14" t="n">
        <v>46233</v>
      </c>
      <c r="C14" s="15" t="s">
        <v>21</v>
      </c>
      <c r="D14" s="24" t="s">
        <v>407</v>
      </c>
      <c r="E14" s="21" t="s">
        <v>408</v>
      </c>
      <c r="F14" s="18" t="s">
        <v>103</v>
      </c>
      <c r="G14" s="15"/>
      <c r="H14" s="15"/>
      <c r="I14" s="15" t="s">
        <v>251</v>
      </c>
      <c r="J14" s="15"/>
      <c r="K14" s="18" t="s">
        <v>28</v>
      </c>
      <c r="L14" s="20" t="str">
        <f aca="false">IF($E14="","",IF(OR($B14="",$C14="",$D14=""),"待补楼栋/位置/日期",IF($C14="公共区域","公",SUBSTITUTE($C14,"栋",""))&amp;"-"&amp;$D14&amp;"-"&amp;TEXT(MONTH($B14),"00")&amp;TEXT(DAY($B14),"00")&amp;IF(COUNTIFS($C$5:$C14,$C14,$D$5:$D14,$D14)&gt;1,"-"&amp;TEXT(COUNTIFS($C$5:$C14,$C14,$D$5:$D14,$D14),"00"),"")))</f>
        <v>8-大堂-0730</v>
      </c>
      <c r="M14" s="21"/>
      <c r="N14" s="15"/>
      <c r="O14" s="21"/>
    </row>
    <row r="15" customFormat="false" ht="36" hidden="false" customHeight="true" outlineLevel="0" collapsed="false">
      <c r="A15" s="13" t="n">
        <f aca="false">IF($E15="","",COUNTA($E$5:$E15))</f>
        <v>11</v>
      </c>
      <c r="B15" s="14" t="n">
        <v>46233</v>
      </c>
      <c r="C15" s="15" t="s">
        <v>43</v>
      </c>
      <c r="D15" s="24" t="s">
        <v>409</v>
      </c>
      <c r="E15" s="17" t="s">
        <v>410</v>
      </c>
      <c r="F15" s="18" t="s">
        <v>103</v>
      </c>
      <c r="G15" s="18" t="s">
        <v>169</v>
      </c>
      <c r="H15" s="15"/>
      <c r="I15" s="15" t="s">
        <v>251</v>
      </c>
      <c r="J15" s="15"/>
      <c r="K15" s="18" t="s">
        <v>36</v>
      </c>
      <c r="L15" s="20" t="str">
        <f aca="false">IF($E15="","",IF(OR($B15="",$C15="",$D15=""),"待补楼栋/位置/日期",IF($C15="公共区域","公",SUBSTITUTE($C15,"栋",""))&amp;"-"&amp;$D15&amp;"-"&amp;TEXT(MONTH($B15),"00")&amp;TEXT(DAY($B15),"00")&amp;IF(COUNTIFS($C$5:$C15,$C15,$D$5:$D15,$D15)&gt;1,"-"&amp;TEXT(COUNTIFS($C$5:$C15,$C15,$D$5:$D15,$D15),"00"),"")))</f>
        <v>7-凉亭-0730</v>
      </c>
      <c r="M15" s="17" t="s">
        <v>411</v>
      </c>
      <c r="N15" s="15"/>
      <c r="O15" s="21"/>
    </row>
    <row r="16" customFormat="false" ht="21.75" hidden="false" customHeight="true" outlineLevel="0" collapsed="false">
      <c r="A16" s="13" t="n">
        <f aca="false">IF($E16="","",COUNTA($E$5:$E16))</f>
        <v>12</v>
      </c>
      <c r="B16" s="14" t="n">
        <v>46234</v>
      </c>
      <c r="C16" s="18" t="s">
        <v>385</v>
      </c>
      <c r="D16" s="25" t="s">
        <v>412</v>
      </c>
      <c r="E16" s="17" t="s">
        <v>413</v>
      </c>
      <c r="F16" s="18" t="s">
        <v>24</v>
      </c>
      <c r="G16" s="15"/>
      <c r="H16" s="15"/>
      <c r="I16" s="15" t="s">
        <v>116</v>
      </c>
      <c r="J16" s="15"/>
      <c r="K16" s="18" t="s">
        <v>28</v>
      </c>
      <c r="L16" s="20" t="str">
        <f aca="false">IF($E16="","",IF(OR($B16="",$C16="",$D16=""),"待补楼栋/位置/日期",IF($C16="公共区域","公",SUBSTITUTE($C16,"栋",""))&amp;"-"&amp;$D16&amp;"-"&amp;TEXT(MONTH($B16),"00")&amp;TEXT(DAY($B16),"00")&amp;IF(COUNTIFS($C$5:$C16,$C16,$D$5:$D16,$D16)&gt;1,"-"&amp;TEXT(COUNTIFS($C$5:$C16,$C16,$D$5:$D16,$D16),"00"),"")))</f>
        <v>公-946车位-0731</v>
      </c>
      <c r="M16" s="21"/>
      <c r="N16" s="15"/>
      <c r="O16" s="21"/>
    </row>
    <row r="17" customFormat="false" ht="21.75" hidden="false" customHeight="true" outlineLevel="0" collapsed="false">
      <c r="A17" s="13" t="n">
        <f aca="false">IF($E17="","",COUNTA($E$5:$E17))</f>
        <v>13</v>
      </c>
      <c r="B17" s="14" t="n">
        <v>46234</v>
      </c>
      <c r="C17" s="15" t="s">
        <v>93</v>
      </c>
      <c r="D17" s="24" t="s">
        <v>414</v>
      </c>
      <c r="E17" s="17" t="s">
        <v>415</v>
      </c>
      <c r="F17" s="18" t="s">
        <v>24</v>
      </c>
      <c r="G17" s="15"/>
      <c r="H17" s="15"/>
      <c r="I17" s="15" t="s">
        <v>116</v>
      </c>
      <c r="J17" s="15"/>
      <c r="K17" s="18" t="s">
        <v>28</v>
      </c>
      <c r="L17" s="20" t="str">
        <f aca="false">IF($E17="","",IF(OR($B17="",$C17="",$D17=""),"待补楼栋/位置/日期",IF($C17="公共区域","公",SUBSTITUTE($C17,"栋",""))&amp;"-"&amp;$D17&amp;"-"&amp;TEXT(MONTH($B17),"00")&amp;TEXT(DAY($B17),"00")&amp;IF(COUNTIFS($C$5:$C17,$C17,$D$5:$D17,$D17)&gt;1,"-"&amp;TEXT(COUNTIFS($C$5:$C17,$C17,$D$5:$D17,$D17),"00"),"")))</f>
        <v>11-负一-0731</v>
      </c>
      <c r="M17" s="21"/>
      <c r="N17" s="15"/>
      <c r="O17" s="21"/>
    </row>
    <row r="18" customFormat="false" ht="21.75" hidden="false" customHeight="true" outlineLevel="0" collapsed="false">
      <c r="A18" s="13" t="n">
        <f aca="false">IF($E18="","",COUNTA($E$5:$E18))</f>
        <v>14</v>
      </c>
      <c r="B18" s="14" t="n">
        <v>46234</v>
      </c>
      <c r="C18" s="15" t="s">
        <v>76</v>
      </c>
      <c r="D18" s="25" t="s">
        <v>401</v>
      </c>
      <c r="E18" s="17" t="s">
        <v>416</v>
      </c>
      <c r="F18" s="18" t="s">
        <v>24</v>
      </c>
      <c r="G18" s="15"/>
      <c r="H18" s="15"/>
      <c r="I18" s="15" t="s">
        <v>116</v>
      </c>
      <c r="J18" s="15"/>
      <c r="K18" s="18" t="s">
        <v>28</v>
      </c>
      <c r="L18" s="20" t="str">
        <f aca="false">IF($E18="","",IF(OR($B18="",$C18="",$D18=""),"待补楼栋/位置/日期",IF($C18="公共区域","公",SUBSTITUTE($C18,"栋",""))&amp;"-"&amp;$D18&amp;"-"&amp;TEXT(MONTH($B18),"00")&amp;TEXT(DAY($B18),"00")&amp;IF(COUNTIFS($C$5:$C18,$C18,$D$5:$D18,$D18)&gt;1,"-"&amp;TEXT(COUNTIFS($C$5:$C18,$C18,$D$5:$D18,$D18),"00"),"")))</f>
        <v>10-1楼-0731</v>
      </c>
      <c r="M18" s="17" t="s">
        <v>417</v>
      </c>
      <c r="N18" s="15"/>
      <c r="O18" s="21"/>
    </row>
    <row r="19" customFormat="false" ht="21.75" hidden="false" customHeight="true" outlineLevel="0" collapsed="false">
      <c r="A19" s="13" t="n">
        <f aca="false">IF($E19="","",COUNTA($E$5:$E19))</f>
        <v>15</v>
      </c>
      <c r="B19" s="14" t="n">
        <v>46234</v>
      </c>
      <c r="C19" s="15" t="s">
        <v>76</v>
      </c>
      <c r="D19" s="24" t="s">
        <v>407</v>
      </c>
      <c r="E19" s="17" t="s">
        <v>418</v>
      </c>
      <c r="F19" s="18" t="s">
        <v>24</v>
      </c>
      <c r="G19" s="15"/>
      <c r="H19" s="15"/>
      <c r="I19" s="15" t="s">
        <v>116</v>
      </c>
      <c r="J19" s="15"/>
      <c r="K19" s="18" t="s">
        <v>28</v>
      </c>
      <c r="L19" s="20" t="str">
        <f aca="false">IF($E19="","",IF(OR($B19="",$C19="",$D19=""),"待补楼栋/位置/日期",IF($C19="公共区域","公",SUBSTITUTE($C19,"栋",""))&amp;"-"&amp;$D19&amp;"-"&amp;TEXT(MONTH($B19),"00")&amp;TEXT(DAY($B19),"00")&amp;IF(COUNTIFS($C$5:$C19,$C19,$D$5:$D19,$D19)&gt;1,"-"&amp;TEXT(COUNTIFS($C$5:$C19,$C19,$D$5:$D19,$D19),"00"),"")))</f>
        <v>10-大堂-0731</v>
      </c>
      <c r="M19" s="21"/>
      <c r="N19" s="15"/>
      <c r="O19" s="21"/>
    </row>
    <row r="20" customFormat="false" ht="21.75" hidden="false" customHeight="true" outlineLevel="0" collapsed="false">
      <c r="A20" s="13" t="n">
        <f aca="false">IF($E20="","",COUNTA($E$5:$E20))</f>
        <v>16</v>
      </c>
      <c r="B20" s="14" t="n">
        <v>46234</v>
      </c>
      <c r="C20" s="18" t="s">
        <v>385</v>
      </c>
      <c r="D20" s="25" t="s">
        <v>419</v>
      </c>
      <c r="E20" s="17" t="s">
        <v>413</v>
      </c>
      <c r="F20" s="18" t="s">
        <v>24</v>
      </c>
      <c r="G20" s="15"/>
      <c r="H20" s="15"/>
      <c r="I20" s="15" t="s">
        <v>116</v>
      </c>
      <c r="J20" s="15"/>
      <c r="K20" s="18" t="s">
        <v>28</v>
      </c>
      <c r="L20" s="20" t="str">
        <f aca="false">IF($E20="","",IF(OR($B20="",$C20="",$D20=""),"待补楼栋/位置/日期",IF($C20="公共区域","公",SUBSTITUTE($C20,"栋",""))&amp;"-"&amp;$D20&amp;"-"&amp;TEXT(MONTH($B20),"00")&amp;TEXT(DAY($B20),"00")&amp;IF(COUNTIFS($C$5:$C20,$C20,$D$5:$D20,$D20)&gt;1,"-"&amp;TEXT(COUNTIFS($C$5:$C20,$C20,$D$5:$D20,$D20),"00"),"")))</f>
        <v>公-919车位-0731</v>
      </c>
      <c r="M20" s="21"/>
      <c r="N20" s="15"/>
      <c r="O20" s="21"/>
    </row>
    <row r="21" customFormat="false" ht="21.75" hidden="false" customHeight="true" outlineLevel="0" collapsed="false">
      <c r="A21" s="13" t="n">
        <f aca="false">IF($E21="","",COUNTA($E$5:$E21))</f>
        <v>17</v>
      </c>
      <c r="B21" s="14" t="n">
        <v>46235</v>
      </c>
      <c r="C21" s="15" t="s">
        <v>93</v>
      </c>
      <c r="D21" s="24" t="s">
        <v>420</v>
      </c>
      <c r="E21" s="17" t="s">
        <v>421</v>
      </c>
      <c r="F21" s="18" t="s">
        <v>103</v>
      </c>
      <c r="G21" s="18" t="s">
        <v>24</v>
      </c>
      <c r="H21" s="15"/>
      <c r="I21" s="15" t="s">
        <v>287</v>
      </c>
      <c r="J21" s="15"/>
      <c r="K21" s="18" t="s">
        <v>28</v>
      </c>
      <c r="L21" s="20" t="str">
        <f aca="false">IF($E21="","",IF(OR($B21="",$C21="",$D21=""),"待补楼栋/位置/日期",IF($C21="公共区域","公",SUBSTITUTE($C21,"栋",""))&amp;"-"&amp;$D21&amp;"-"&amp;TEXT(MONTH($B21),"00")&amp;TEXT(DAY($B21),"00")&amp;IF(COUNTIFS($C$5:$C21,$C21,$D$5:$D21,$D21)&gt;1,"-"&amp;TEXT(COUNTIFS($C$5:$C21,$C21,$D$5:$D21,$D21),"00"),"")))</f>
        <v>11-大门-0801</v>
      </c>
      <c r="M21" s="21"/>
      <c r="N21" s="15"/>
      <c r="O21" s="21"/>
    </row>
    <row r="22" customFormat="false" ht="21.75" hidden="false" customHeight="true" outlineLevel="0" collapsed="false">
      <c r="A22" s="13" t="n">
        <f aca="false">IF($E22="","",COUNTA($E$5:$E22))</f>
        <v>18</v>
      </c>
      <c r="B22" s="14" t="n">
        <v>46236</v>
      </c>
      <c r="C22" s="18" t="s">
        <v>385</v>
      </c>
      <c r="D22" s="25" t="s">
        <v>422</v>
      </c>
      <c r="E22" s="17" t="s">
        <v>423</v>
      </c>
      <c r="F22" s="18"/>
      <c r="G22" s="15"/>
      <c r="H22" s="15"/>
      <c r="I22" s="15" t="s">
        <v>179</v>
      </c>
      <c r="J22" s="15"/>
      <c r="K22" s="18"/>
      <c r="L22" s="20" t="str">
        <f aca="false">IF($E22="","",IF(OR($B22="",$C22="",$D22=""),"待补楼栋/位置/日期",IF($C22="公共区域","公",SUBSTITUTE($C22,"栋",""))&amp;"-"&amp;$D22&amp;"-"&amp;TEXT(MONTH($B22),"00")&amp;TEXT(DAY($B22),"00")&amp;IF(COUNTIFS($C$5:$C22,$C22,$D$5:$D22,$D22)&gt;1,"-"&amp;TEXT(COUNTIFS($C$5:$C22,$C22,$D$5:$D22,$D22),"00"),"")))</f>
        <v>公-254车位-0802</v>
      </c>
      <c r="M22" s="21"/>
      <c r="N22" s="15"/>
      <c r="O22" s="21"/>
    </row>
    <row r="23" customFormat="false" ht="21.75" hidden="false" customHeight="true" outlineLevel="0" collapsed="false">
      <c r="A23" s="13" t="n">
        <f aca="false">IF($E23="","",COUNTA($E$5:$E23))</f>
        <v>19</v>
      </c>
      <c r="B23" s="14" t="n">
        <v>46236</v>
      </c>
      <c r="C23" s="18" t="s">
        <v>385</v>
      </c>
      <c r="D23" s="25" t="s">
        <v>424</v>
      </c>
      <c r="E23" s="17" t="s">
        <v>425</v>
      </c>
      <c r="F23" s="18" t="s">
        <v>34</v>
      </c>
      <c r="G23" s="15"/>
      <c r="H23" s="15"/>
      <c r="I23" s="15" t="s">
        <v>156</v>
      </c>
      <c r="J23" s="15"/>
      <c r="K23" s="18" t="s">
        <v>28</v>
      </c>
      <c r="L23" s="20" t="str">
        <f aca="false">IF($E23="","",IF(OR($B23="",$C23="",$D23=""),"待补楼栋/位置/日期",IF($C23="公共区域","公",SUBSTITUTE($C23,"栋",""))&amp;"-"&amp;$D23&amp;"-"&amp;TEXT(MONTH($B23),"00")&amp;TEXT(DAY($B23),"00")&amp;IF(COUNTIFS($C$5:$C23,$C23,$D$5:$D23,$D23)&gt;1,"-"&amp;TEXT(COUNTIFS($C$5:$C23,$C23,$D$5:$D23,$D23),"00"),"")))</f>
        <v>公-557车位-0802</v>
      </c>
      <c r="M23" s="21"/>
      <c r="N23" s="15"/>
      <c r="O23" s="21"/>
    </row>
    <row r="24" customFormat="false" ht="21.75" hidden="false" customHeight="true" outlineLevel="0" collapsed="false">
      <c r="A24" s="13" t="n">
        <f aca="false">IF($E24="","",COUNTA($E$5:$E24))</f>
        <v>20</v>
      </c>
      <c r="B24" s="14" t="n">
        <v>46236</v>
      </c>
      <c r="C24" s="15" t="s">
        <v>38</v>
      </c>
      <c r="D24" s="24" t="s">
        <v>414</v>
      </c>
      <c r="E24" s="17" t="s">
        <v>426</v>
      </c>
      <c r="F24" s="18" t="s">
        <v>24</v>
      </c>
      <c r="G24" s="15"/>
      <c r="H24" s="15"/>
      <c r="I24" s="15" t="s">
        <v>156</v>
      </c>
      <c r="J24" s="15"/>
      <c r="K24" s="18" t="s">
        <v>28</v>
      </c>
      <c r="L24" s="20" t="str">
        <f aca="false">IF($E24="","",IF(OR($B24="",$C24="",$D24=""),"待补楼栋/位置/日期",IF($C24="公共区域","公",SUBSTITUTE($C24,"栋",""))&amp;"-"&amp;$D24&amp;"-"&amp;TEXT(MONTH($B24),"00")&amp;TEXT(DAY($B24),"00")&amp;IF(COUNTIFS($C$5:$C24,$C24,$D$5:$D24,$D24)&gt;1,"-"&amp;TEXT(COUNTIFS($C$5:$C24,$C24,$D$5:$D24,$D24),"00"),"")))</f>
        <v>5-负一-0802</v>
      </c>
      <c r="M24" s="21"/>
      <c r="N24" s="15"/>
      <c r="O24" s="21"/>
    </row>
    <row r="25" customFormat="false" ht="21.75" hidden="false" customHeight="true" outlineLevel="0" collapsed="false">
      <c r="A25" s="13" t="n">
        <f aca="false">IF($E25="","",COUNTA($E$5:$E25))</f>
        <v>21</v>
      </c>
      <c r="B25" s="14" t="n">
        <v>46236</v>
      </c>
      <c r="C25" s="15" t="s">
        <v>245</v>
      </c>
      <c r="D25" s="24" t="s">
        <v>407</v>
      </c>
      <c r="E25" s="21" t="s">
        <v>427</v>
      </c>
      <c r="F25" s="18" t="s">
        <v>24</v>
      </c>
      <c r="G25" s="15"/>
      <c r="H25" s="15"/>
      <c r="I25" s="15" t="s">
        <v>179</v>
      </c>
      <c r="J25" s="15"/>
      <c r="K25" s="18" t="s">
        <v>28</v>
      </c>
      <c r="L25" s="20" t="str">
        <f aca="false">IF($E25="","",IF(OR($B25="",$C25="",$D25=""),"待补楼栋/位置/日期",IF($C25="公共区域","公",SUBSTITUTE($C25,"栋",""))&amp;"-"&amp;$D25&amp;"-"&amp;TEXT(MONTH($B25),"00")&amp;TEXT(DAY($B25),"00")&amp;IF(COUNTIFS($C$5:$C25,$C25,$D$5:$D25,$D25)&gt;1,"-"&amp;TEXT(COUNTIFS($C$5:$C25,$C25,$D$5:$D25,$D25),"00"),"")))</f>
        <v>3-大堂-0802</v>
      </c>
      <c r="M25" s="21"/>
      <c r="N25" s="15"/>
      <c r="O25" s="21"/>
    </row>
    <row r="26" customFormat="false" ht="21.75" hidden="false" customHeight="true" outlineLevel="0" collapsed="false">
      <c r="A26" s="13" t="n">
        <f aca="false">IF($E26="","",COUNTA($E$5:$E26))</f>
        <v>22</v>
      </c>
      <c r="B26" s="14" t="n">
        <v>46238</v>
      </c>
      <c r="C26" s="15" t="s">
        <v>38</v>
      </c>
      <c r="D26" s="24" t="s">
        <v>390</v>
      </c>
      <c r="E26" s="21" t="s">
        <v>428</v>
      </c>
      <c r="F26" s="18"/>
      <c r="G26" s="15"/>
      <c r="H26" s="15"/>
      <c r="I26" s="15" t="s">
        <v>188</v>
      </c>
      <c r="J26" s="15"/>
      <c r="K26" s="18"/>
      <c r="L26" s="20" t="str">
        <f aca="false">IF($E26="","",IF(OR($B26="",$C26="",$D26=""),"待补楼栋/位置/日期",IF($C26="公共区域","公",SUBSTITUTE($C26,"栋",""))&amp;"-"&amp;$D26&amp;"-"&amp;TEXT(MONTH($B26),"00")&amp;TEXT(DAY($B26),"00")&amp;IF(COUNTIFS($C$5:$C26,$C26,$D$5:$D26,$D26)&gt;1,"-"&amp;TEXT(COUNTIFS($C$5:$C26,$C26,$D$5:$D26,$D26),"00"),"")))</f>
        <v>5-货梯-0804</v>
      </c>
      <c r="M26" s="21"/>
      <c r="N26" s="15"/>
      <c r="O26" s="21"/>
    </row>
    <row r="27" customFormat="false" ht="21.75" hidden="false" customHeight="true" outlineLevel="0" collapsed="false">
      <c r="A27" s="13" t="str">
        <f aca="false">IF($E27="","",COUNTA($E$5:$E27))</f>
        <v/>
      </c>
      <c r="B27" s="14"/>
      <c r="C27" s="15"/>
      <c r="D27" s="25"/>
      <c r="E27" s="21"/>
      <c r="F27" s="18"/>
      <c r="G27" s="15"/>
      <c r="H27" s="15"/>
      <c r="I27" s="15"/>
      <c r="J27" s="15"/>
      <c r="K27" s="18"/>
      <c r="L27" s="20" t="str">
        <f aca="false">IF($E27="","",IF(OR($B27="",$C27="",$D27=""),"待补楼栋/位置/日期",IF($C27="公共区域","公",SUBSTITUTE($C27,"栋",""))&amp;"-"&amp;$D27&amp;"-"&amp;TEXT(MONTH($B27),"00")&amp;TEXT(DAY($B27),"00")&amp;IF(COUNTIFS($C$5:$C27,$C27,$D$5:$D27,$D27)&gt;1,"-"&amp;TEXT(COUNTIFS($C$5:$C27,$C27,$D$5:$D27,$D27),"00"),"")))</f>
        <v/>
      </c>
      <c r="M27" s="21"/>
      <c r="N27" s="15"/>
      <c r="O27" s="21"/>
    </row>
    <row r="28" customFormat="false" ht="21.75" hidden="false" customHeight="true" outlineLevel="0" collapsed="false">
      <c r="A28" s="13" t="str">
        <f aca="false">IF($E28="","",COUNTA($E$5:$E28))</f>
        <v/>
      </c>
      <c r="B28" s="14"/>
      <c r="C28" s="15"/>
      <c r="D28" s="26"/>
      <c r="E28" s="21"/>
      <c r="F28" s="18"/>
      <c r="G28" s="15"/>
      <c r="H28" s="15"/>
      <c r="I28" s="15"/>
      <c r="J28" s="15"/>
      <c r="K28" s="18"/>
      <c r="L28" s="20" t="str">
        <f aca="false">IF($E28="","",IF(OR($B28="",$C28="",$D28=""),"待补楼栋/位置/日期",IF($C28="公共区域","公",SUBSTITUTE($C28,"栋",""))&amp;"-"&amp;$D28&amp;"-"&amp;TEXT(MONTH($B28),"00")&amp;TEXT(DAY($B28),"00")&amp;IF(COUNTIFS($C$5:$C28,$C28,$D$5:$D28,$D28)&gt;1,"-"&amp;TEXT(COUNTIFS($C$5:$C28,$C28,$D$5:$D28,$D28),"00"),"")))</f>
        <v/>
      </c>
      <c r="M28" s="21"/>
      <c r="N28" s="15"/>
      <c r="O28" s="21"/>
    </row>
    <row r="29" customFormat="false" ht="21.75" hidden="false" customHeight="true" outlineLevel="0" collapsed="false">
      <c r="A29" s="13" t="str">
        <f aca="false">IF($E29="","",COUNTA($E$5:$E29))</f>
        <v/>
      </c>
      <c r="B29" s="14"/>
      <c r="C29" s="15"/>
      <c r="D29" s="25"/>
      <c r="E29" s="21"/>
      <c r="F29" s="18"/>
      <c r="G29" s="15"/>
      <c r="H29" s="15"/>
      <c r="I29" s="15"/>
      <c r="J29" s="15"/>
      <c r="K29" s="18"/>
      <c r="L29" s="20" t="str">
        <f aca="false">IF($E29="","",IF(OR($B29="",$C29="",$D29=""),"待补楼栋/位置/日期",IF($C29="公共区域","公",SUBSTITUTE($C29,"栋",""))&amp;"-"&amp;$D29&amp;"-"&amp;TEXT(MONTH($B29),"00")&amp;TEXT(DAY($B29),"00")&amp;IF(COUNTIFS($C$5:$C29,$C29,$D$5:$D29,$D29)&gt;1,"-"&amp;TEXT(COUNTIFS($C$5:$C29,$C29,$D$5:$D29,$D29),"00"),"")))</f>
        <v/>
      </c>
      <c r="M29" s="21"/>
      <c r="N29" s="15"/>
      <c r="O29" s="21"/>
    </row>
    <row r="30" customFormat="false" ht="21.75" hidden="false" customHeight="true" outlineLevel="0" collapsed="false">
      <c r="A30" s="13" t="str">
        <f aca="false">IF($E30="","",COUNTA($E$5:$E30))</f>
        <v/>
      </c>
      <c r="B30" s="14"/>
      <c r="C30" s="15"/>
      <c r="D30" s="25"/>
      <c r="E30" s="21"/>
      <c r="F30" s="18"/>
      <c r="G30" s="15"/>
      <c r="H30" s="15"/>
      <c r="I30" s="15"/>
      <c r="J30" s="15"/>
      <c r="K30" s="18"/>
      <c r="L30" s="20" t="str">
        <f aca="false">IF($E30="","",IF(OR($B30="",$C30="",$D30=""),"待补楼栋/位置/日期",IF($C30="公共区域","公",SUBSTITUTE($C30,"栋",""))&amp;"-"&amp;$D30&amp;"-"&amp;TEXT(MONTH($B30),"00")&amp;TEXT(DAY($B30),"00")&amp;IF(COUNTIFS($C$5:$C30,$C30,$D$5:$D30,$D30)&gt;1,"-"&amp;TEXT(COUNTIFS($C$5:$C30,$C30,$D$5:$D30,$D30),"00"),"")))</f>
        <v/>
      </c>
      <c r="M30" s="21"/>
      <c r="N30" s="15"/>
      <c r="O30" s="21"/>
    </row>
    <row r="31" customFormat="false" ht="21.75" hidden="false" customHeight="true" outlineLevel="0" collapsed="false">
      <c r="A31" s="13" t="str">
        <f aca="false">IF($E31="","",COUNTA($E$5:$E31))</f>
        <v/>
      </c>
      <c r="B31" s="14"/>
      <c r="C31" s="15"/>
      <c r="D31" s="25"/>
      <c r="E31" s="21"/>
      <c r="F31" s="18"/>
      <c r="G31" s="15"/>
      <c r="H31" s="15"/>
      <c r="I31" s="15"/>
      <c r="J31" s="15"/>
      <c r="K31" s="18"/>
      <c r="L31" s="20" t="str">
        <f aca="false">IF($E31="","",IF(OR($B31="",$C31="",$D31=""),"待补楼栋/位置/日期",IF($C31="公共区域","公",SUBSTITUTE($C31,"栋",""))&amp;"-"&amp;$D31&amp;"-"&amp;TEXT(MONTH($B31),"00")&amp;TEXT(DAY($B31),"00")&amp;IF(COUNTIFS($C$5:$C31,$C31,$D$5:$D31,$D31)&gt;1,"-"&amp;TEXT(COUNTIFS($C$5:$C31,$C31,$D$5:$D31,$D31),"00"),"")))</f>
        <v/>
      </c>
      <c r="M31" s="21"/>
      <c r="N31" s="15"/>
      <c r="O31" s="21"/>
    </row>
    <row r="32" customFormat="false" ht="21.75" hidden="false" customHeight="true" outlineLevel="0" collapsed="false">
      <c r="A32" s="13" t="str">
        <f aca="false">IF($E32="","",COUNTA($E$5:$E32))</f>
        <v/>
      </c>
      <c r="B32" s="14"/>
      <c r="C32" s="15"/>
      <c r="D32" s="25"/>
      <c r="E32" s="21"/>
      <c r="F32" s="18"/>
      <c r="G32" s="15"/>
      <c r="H32" s="15"/>
      <c r="I32" s="15"/>
      <c r="J32" s="15"/>
      <c r="K32" s="18"/>
      <c r="L32" s="20" t="str">
        <f aca="false">IF($E32="","",IF(OR($B32="",$C32="",$D32=""),"待补楼栋/位置/日期",IF($C32="公共区域","公",SUBSTITUTE($C32,"栋",""))&amp;"-"&amp;$D32&amp;"-"&amp;TEXT(MONTH($B32),"00")&amp;TEXT(DAY($B32),"00")&amp;IF(COUNTIFS($C$5:$C32,$C32,$D$5:$D32,$D32)&gt;1,"-"&amp;TEXT(COUNTIFS($C$5:$C32,$C32,$D$5:$D32,$D32),"00"),"")))</f>
        <v/>
      </c>
      <c r="M32" s="21"/>
      <c r="N32" s="15"/>
      <c r="O32" s="21"/>
    </row>
    <row r="33" customFormat="false" ht="21.75" hidden="false" customHeight="true" outlineLevel="0" collapsed="false">
      <c r="A33" s="13" t="str">
        <f aca="false">IF($E33="","",COUNTA($E$5:$E33))</f>
        <v/>
      </c>
      <c r="B33" s="14"/>
      <c r="C33" s="15"/>
      <c r="D33" s="25"/>
      <c r="E33" s="21"/>
      <c r="F33" s="18"/>
      <c r="G33" s="15"/>
      <c r="H33" s="15"/>
      <c r="I33" s="15"/>
      <c r="J33" s="15"/>
      <c r="K33" s="18"/>
      <c r="L33" s="20" t="str">
        <f aca="false">IF($E33="","",IF(OR($B33="",$C33="",$D33=""),"待补楼栋/位置/日期",IF($C33="公共区域","公",SUBSTITUTE($C33,"栋",""))&amp;"-"&amp;$D33&amp;"-"&amp;TEXT(MONTH($B33),"00")&amp;TEXT(DAY($B33),"00")&amp;IF(COUNTIFS($C$5:$C33,$C33,$D$5:$D33,$D33)&gt;1,"-"&amp;TEXT(COUNTIFS($C$5:$C33,$C33,$D$5:$D33,$D33),"00"),"")))</f>
        <v/>
      </c>
      <c r="M33" s="21"/>
      <c r="N33" s="15"/>
      <c r="O33" s="21"/>
    </row>
    <row r="34" customFormat="false" ht="21.75" hidden="false" customHeight="true" outlineLevel="0" collapsed="false">
      <c r="A34" s="13" t="str">
        <f aca="false">IF($E34="","",COUNTA($E$5:$E34))</f>
        <v/>
      </c>
      <c r="B34" s="14"/>
      <c r="C34" s="15"/>
      <c r="D34" s="25"/>
      <c r="E34" s="21"/>
      <c r="F34" s="18"/>
      <c r="G34" s="15"/>
      <c r="H34" s="15"/>
      <c r="I34" s="15"/>
      <c r="J34" s="15"/>
      <c r="K34" s="18"/>
      <c r="L34" s="20" t="str">
        <f aca="false">IF($E34="","",IF(OR($B34="",$C34="",$D34=""),"待补楼栋/位置/日期",IF($C34="公共区域","公",SUBSTITUTE($C34,"栋",""))&amp;"-"&amp;$D34&amp;"-"&amp;TEXT(MONTH($B34),"00")&amp;TEXT(DAY($B34),"00")&amp;IF(COUNTIFS($C$5:$C34,$C34,$D$5:$D34,$D34)&gt;1,"-"&amp;TEXT(COUNTIFS($C$5:$C34,$C34,$D$5:$D34,$D34),"00"),"")))</f>
        <v/>
      </c>
      <c r="M34" s="21"/>
      <c r="N34" s="15"/>
      <c r="O34" s="21"/>
    </row>
    <row r="35" customFormat="false" ht="21.75" hidden="false" customHeight="true" outlineLevel="0" collapsed="false">
      <c r="A35" s="13" t="str">
        <f aca="false">IF($E35="","",COUNTA($E$5:$E35))</f>
        <v/>
      </c>
      <c r="B35" s="14"/>
      <c r="C35" s="15"/>
      <c r="D35" s="25"/>
      <c r="E35" s="21"/>
      <c r="F35" s="18"/>
      <c r="G35" s="15"/>
      <c r="H35" s="15"/>
      <c r="I35" s="15"/>
      <c r="J35" s="15"/>
      <c r="K35" s="18"/>
      <c r="L35" s="20" t="str">
        <f aca="false">IF($E35="","",IF(OR($B35="",$C35="",$D35=""),"待补楼栋/位置/日期",IF($C35="公共区域","公",SUBSTITUTE($C35,"栋",""))&amp;"-"&amp;$D35&amp;"-"&amp;TEXT(MONTH($B35),"00")&amp;TEXT(DAY($B35),"00")&amp;IF(COUNTIFS($C$5:$C35,$C35,$D$5:$D35,$D35)&gt;1,"-"&amp;TEXT(COUNTIFS($C$5:$C35,$C35,$D$5:$D35,$D35),"00"),"")))</f>
        <v/>
      </c>
      <c r="M35" s="21"/>
      <c r="N35" s="15"/>
      <c r="O35" s="21"/>
    </row>
    <row r="36" customFormat="false" ht="21.75" hidden="false" customHeight="true" outlineLevel="0" collapsed="false">
      <c r="A36" s="13" t="str">
        <f aca="false">IF($E36="","",COUNTA($E$5:$E36))</f>
        <v/>
      </c>
      <c r="B36" s="14"/>
      <c r="C36" s="15"/>
      <c r="D36" s="25"/>
      <c r="E36" s="21"/>
      <c r="F36" s="18"/>
      <c r="G36" s="15"/>
      <c r="H36" s="15"/>
      <c r="I36" s="15"/>
      <c r="J36" s="15"/>
      <c r="K36" s="18"/>
      <c r="L36" s="20" t="str">
        <f aca="false">IF($E36="","",IF(OR($B36="",$C36="",$D36=""),"待补楼栋/位置/日期",IF($C36="公共区域","公",SUBSTITUTE($C36,"栋",""))&amp;"-"&amp;$D36&amp;"-"&amp;TEXT(MONTH($B36),"00")&amp;TEXT(DAY($B36),"00")&amp;IF(COUNTIFS($C$5:$C36,$C36,$D$5:$D36,$D36)&gt;1,"-"&amp;TEXT(COUNTIFS($C$5:$C36,$C36,$D$5:$D36,$D36),"00"),"")))</f>
        <v/>
      </c>
      <c r="M36" s="21"/>
      <c r="N36" s="15"/>
      <c r="O36" s="21"/>
    </row>
    <row r="37" customFormat="false" ht="21.75" hidden="false" customHeight="true" outlineLevel="0" collapsed="false">
      <c r="A37" s="13" t="str">
        <f aca="false">IF($E37="","",COUNTA($E$5:$E37))</f>
        <v/>
      </c>
      <c r="B37" s="14"/>
      <c r="C37" s="15"/>
      <c r="D37" s="25"/>
      <c r="E37" s="21"/>
      <c r="F37" s="18"/>
      <c r="G37" s="15"/>
      <c r="H37" s="15"/>
      <c r="I37" s="15"/>
      <c r="J37" s="15"/>
      <c r="K37" s="18"/>
      <c r="L37" s="20" t="str">
        <f aca="false">IF($E37="","",IF(OR($B37="",$C37="",$D37=""),"待补楼栋/位置/日期",IF($C37="公共区域","公",SUBSTITUTE($C37,"栋",""))&amp;"-"&amp;$D37&amp;"-"&amp;TEXT(MONTH($B37),"00")&amp;TEXT(DAY($B37),"00")&amp;IF(COUNTIFS($C$5:$C37,$C37,$D$5:$D37,$D37)&gt;1,"-"&amp;TEXT(COUNTIFS($C$5:$C37,$C37,$D$5:$D37,$D37),"00"),"")))</f>
        <v/>
      </c>
      <c r="M37" s="21"/>
      <c r="N37" s="15"/>
      <c r="O37" s="21"/>
    </row>
    <row r="38" customFormat="false" ht="21.75" hidden="false" customHeight="true" outlineLevel="0" collapsed="false">
      <c r="A38" s="13" t="str">
        <f aca="false">IF($E38="","",COUNTA($E$5:$E38))</f>
        <v/>
      </c>
      <c r="B38" s="14"/>
      <c r="C38" s="15"/>
      <c r="D38" s="25"/>
      <c r="E38" s="21"/>
      <c r="F38" s="18"/>
      <c r="G38" s="15"/>
      <c r="H38" s="15"/>
      <c r="I38" s="15"/>
      <c r="J38" s="15"/>
      <c r="K38" s="18"/>
      <c r="L38" s="20" t="str">
        <f aca="false">IF($E38="","",IF(OR($B38="",$C38="",$D38=""),"待补楼栋/位置/日期",IF($C38="公共区域","公",SUBSTITUTE($C38,"栋",""))&amp;"-"&amp;$D38&amp;"-"&amp;TEXT(MONTH($B38),"00")&amp;TEXT(DAY($B38),"00")&amp;IF(COUNTIFS($C$5:$C38,$C38,$D$5:$D38,$D38)&gt;1,"-"&amp;TEXT(COUNTIFS($C$5:$C38,$C38,$D$5:$D38,$D38),"00"),"")))</f>
        <v/>
      </c>
      <c r="M38" s="21"/>
      <c r="N38" s="15"/>
      <c r="O38" s="21"/>
    </row>
    <row r="39" customFormat="false" ht="21.75" hidden="false" customHeight="true" outlineLevel="0" collapsed="false">
      <c r="A39" s="13" t="str">
        <f aca="false">IF($E39="","",COUNTA($E$5:$E39))</f>
        <v/>
      </c>
      <c r="B39" s="14"/>
      <c r="C39" s="15"/>
      <c r="D39" s="25"/>
      <c r="E39" s="21"/>
      <c r="F39" s="18"/>
      <c r="G39" s="15"/>
      <c r="H39" s="15"/>
      <c r="I39" s="15"/>
      <c r="J39" s="15"/>
      <c r="K39" s="18"/>
      <c r="L39" s="20" t="str">
        <f aca="false">IF($E39="","",IF(OR($B39="",$C39="",$D39=""),"待补楼栋/位置/日期",IF($C39="公共区域","公",SUBSTITUTE($C39,"栋",""))&amp;"-"&amp;$D39&amp;"-"&amp;TEXT(MONTH($B39),"00")&amp;TEXT(DAY($B39),"00")&amp;IF(COUNTIFS($C$5:$C39,$C39,$D$5:$D39,$D39)&gt;1,"-"&amp;TEXT(COUNTIFS($C$5:$C39,$C39,$D$5:$D39,$D39),"00"),"")))</f>
        <v/>
      </c>
      <c r="M39" s="21"/>
      <c r="N39" s="15"/>
      <c r="O39" s="21"/>
    </row>
    <row r="40" customFormat="false" ht="21.75" hidden="false" customHeight="true" outlineLevel="0" collapsed="false">
      <c r="A40" s="13" t="str">
        <f aca="false">IF($E40="","",COUNTA($E$5:$E40))</f>
        <v/>
      </c>
      <c r="B40" s="14"/>
      <c r="C40" s="15"/>
      <c r="D40" s="25"/>
      <c r="E40" s="21"/>
      <c r="F40" s="18"/>
      <c r="G40" s="15"/>
      <c r="H40" s="15"/>
      <c r="I40" s="15"/>
      <c r="J40" s="15"/>
      <c r="K40" s="18"/>
      <c r="L40" s="20" t="str">
        <f aca="false">IF($E40="","",IF(OR($B40="",$C40="",$D40=""),"待补楼栋/位置/日期",IF($C40="公共区域","公",SUBSTITUTE($C40,"栋",""))&amp;"-"&amp;$D40&amp;"-"&amp;TEXT(MONTH($B40),"00")&amp;TEXT(DAY($B40),"00")&amp;IF(COUNTIFS($C$5:$C40,$C40,$D$5:$D40,$D40)&gt;1,"-"&amp;TEXT(COUNTIFS($C$5:$C40,$C40,$D$5:$D40,$D40),"00"),"")))</f>
        <v/>
      </c>
      <c r="M40" s="21"/>
      <c r="N40" s="15"/>
      <c r="O40" s="21"/>
    </row>
    <row r="41" customFormat="false" ht="21.75" hidden="false" customHeight="true" outlineLevel="0" collapsed="false">
      <c r="A41" s="13" t="str">
        <f aca="false">IF($E41="","",COUNTA($E$5:$E41))</f>
        <v/>
      </c>
      <c r="B41" s="14"/>
      <c r="C41" s="15"/>
      <c r="D41" s="25"/>
      <c r="E41" s="21"/>
      <c r="F41" s="18"/>
      <c r="G41" s="15"/>
      <c r="H41" s="15"/>
      <c r="I41" s="15"/>
      <c r="J41" s="15"/>
      <c r="K41" s="18"/>
      <c r="L41" s="20" t="str">
        <f aca="false">IF($E41="","",IF(OR($B41="",$C41="",$D41=""),"待补楼栋/位置/日期",IF($C41="公共区域","公",SUBSTITUTE($C41,"栋",""))&amp;"-"&amp;$D41&amp;"-"&amp;TEXT(MONTH($B41),"00")&amp;TEXT(DAY($B41),"00")&amp;IF(COUNTIFS($C$5:$C41,$C41,$D$5:$D41,$D41)&gt;1,"-"&amp;TEXT(COUNTIFS($C$5:$C41,$C41,$D$5:$D41,$D41),"00"),"")))</f>
        <v/>
      </c>
      <c r="M41" s="21"/>
      <c r="N41" s="15"/>
      <c r="O41" s="21"/>
    </row>
    <row r="42" customFormat="false" ht="21.75" hidden="false" customHeight="true" outlineLevel="0" collapsed="false">
      <c r="A42" s="13" t="str">
        <f aca="false">IF($E42="","",COUNTA($E$5:$E42))</f>
        <v/>
      </c>
      <c r="B42" s="14"/>
      <c r="C42" s="15"/>
      <c r="D42" s="25"/>
      <c r="E42" s="21"/>
      <c r="F42" s="18"/>
      <c r="G42" s="15"/>
      <c r="H42" s="15"/>
      <c r="I42" s="15"/>
      <c r="J42" s="15"/>
      <c r="K42" s="18"/>
      <c r="L42" s="20" t="str">
        <f aca="false">IF($E42="","",IF(OR($B42="",$C42="",$D42=""),"待补楼栋/位置/日期",IF($C42="公共区域","公",SUBSTITUTE($C42,"栋",""))&amp;"-"&amp;$D42&amp;"-"&amp;TEXT(MONTH($B42),"00")&amp;TEXT(DAY($B42),"00")&amp;IF(COUNTIFS($C$5:$C42,$C42,$D$5:$D42,$D42)&gt;1,"-"&amp;TEXT(COUNTIFS($C$5:$C42,$C42,$D$5:$D42,$D42),"00"),"")))</f>
        <v/>
      </c>
      <c r="M42" s="21"/>
      <c r="N42" s="15"/>
      <c r="O42" s="21"/>
    </row>
    <row r="43" customFormat="false" ht="21.75" hidden="false" customHeight="true" outlineLevel="0" collapsed="false">
      <c r="A43" s="13" t="str">
        <f aca="false">IF($E43="","",COUNTA($E$5:$E43))</f>
        <v/>
      </c>
      <c r="B43" s="14"/>
      <c r="C43" s="15"/>
      <c r="D43" s="25"/>
      <c r="E43" s="21"/>
      <c r="F43" s="18"/>
      <c r="G43" s="15"/>
      <c r="H43" s="15"/>
      <c r="I43" s="15"/>
      <c r="J43" s="15"/>
      <c r="K43" s="18"/>
      <c r="L43" s="20" t="str">
        <f aca="false">IF($E43="","",IF(OR($B43="",$C43="",$D43=""),"待补楼栋/位置/日期",IF($C43="公共区域","公",SUBSTITUTE($C43,"栋",""))&amp;"-"&amp;$D43&amp;"-"&amp;TEXT(MONTH($B43),"00")&amp;TEXT(DAY($B43),"00")&amp;IF(COUNTIFS($C$5:$C43,$C43,$D$5:$D43,$D43)&gt;1,"-"&amp;TEXT(COUNTIFS($C$5:$C43,$C43,$D$5:$D43,$D43),"00"),"")))</f>
        <v/>
      </c>
      <c r="M43" s="21"/>
      <c r="N43" s="15"/>
      <c r="O43" s="21"/>
    </row>
    <row r="44" customFormat="false" ht="21.75" hidden="false" customHeight="true" outlineLevel="0" collapsed="false">
      <c r="A44" s="13" t="str">
        <f aca="false">IF($E44="","",COUNTA($E$5:$E44))</f>
        <v/>
      </c>
      <c r="B44" s="14"/>
      <c r="C44" s="15"/>
      <c r="D44" s="25"/>
      <c r="E44" s="21"/>
      <c r="F44" s="18"/>
      <c r="G44" s="15"/>
      <c r="H44" s="15"/>
      <c r="I44" s="15"/>
      <c r="J44" s="15"/>
      <c r="K44" s="18"/>
      <c r="L44" s="20" t="str">
        <f aca="false">IF($E44="","",IF(OR($B44="",$C44="",$D44=""),"待补楼栋/位置/日期",IF($C44="公共区域","公",SUBSTITUTE($C44,"栋",""))&amp;"-"&amp;$D44&amp;"-"&amp;TEXT(MONTH($B44),"00")&amp;TEXT(DAY($B44),"00")&amp;IF(COUNTIFS($C$5:$C44,$C44,$D$5:$D44,$D44)&gt;1,"-"&amp;TEXT(COUNTIFS($C$5:$C44,$C44,$D$5:$D44,$D44),"00"),"")))</f>
        <v/>
      </c>
      <c r="M44" s="21"/>
      <c r="N44" s="15"/>
      <c r="O44" s="21"/>
    </row>
    <row r="45" customFormat="false" ht="21.75" hidden="false" customHeight="true" outlineLevel="0" collapsed="false">
      <c r="A45" s="13" t="str">
        <f aca="false">IF($E45="","",COUNTA($E$5:$E45))</f>
        <v/>
      </c>
      <c r="B45" s="14"/>
      <c r="C45" s="15"/>
      <c r="D45" s="25"/>
      <c r="E45" s="21"/>
      <c r="F45" s="18"/>
      <c r="G45" s="15"/>
      <c r="H45" s="15"/>
      <c r="I45" s="15"/>
      <c r="J45" s="15"/>
      <c r="K45" s="18"/>
      <c r="L45" s="20" t="str">
        <f aca="false">IF($E45="","",IF(OR($B45="",$C45="",$D45=""),"待补楼栋/位置/日期",IF($C45="公共区域","公",SUBSTITUTE($C45,"栋",""))&amp;"-"&amp;$D45&amp;"-"&amp;TEXT(MONTH($B45),"00")&amp;TEXT(DAY($B45),"00")&amp;IF(COUNTIFS($C$5:$C45,$C45,$D$5:$D45,$D45)&gt;1,"-"&amp;TEXT(COUNTIFS($C$5:$C45,$C45,$D$5:$D45,$D45),"00"),"")))</f>
        <v/>
      </c>
      <c r="M45" s="21"/>
      <c r="N45" s="15"/>
      <c r="O45" s="21"/>
    </row>
    <row r="46" customFormat="false" ht="21.75" hidden="false" customHeight="true" outlineLevel="0" collapsed="false">
      <c r="A46" s="13" t="str">
        <f aca="false">IF($E46="","",COUNTA($E$5:$E46))</f>
        <v/>
      </c>
      <c r="B46" s="14"/>
      <c r="C46" s="15"/>
      <c r="D46" s="25"/>
      <c r="E46" s="21"/>
      <c r="F46" s="18"/>
      <c r="G46" s="15"/>
      <c r="H46" s="15"/>
      <c r="I46" s="15"/>
      <c r="J46" s="15"/>
      <c r="K46" s="18"/>
      <c r="L46" s="20" t="str">
        <f aca="false">IF($E46="","",IF(OR($B46="",$C46="",$D46=""),"待补楼栋/位置/日期",IF($C46="公共区域","公",SUBSTITUTE($C46,"栋",""))&amp;"-"&amp;$D46&amp;"-"&amp;TEXT(MONTH($B46),"00")&amp;TEXT(DAY($B46),"00")&amp;IF(COUNTIFS($C$5:$C46,$C46,$D$5:$D46,$D46)&gt;1,"-"&amp;TEXT(COUNTIFS($C$5:$C46,$C46,$D$5:$D46,$D46),"00"),"")))</f>
        <v/>
      </c>
      <c r="M46" s="21"/>
      <c r="N46" s="15"/>
      <c r="O46" s="21"/>
    </row>
    <row r="47" customFormat="false" ht="21.75" hidden="false" customHeight="true" outlineLevel="0" collapsed="false">
      <c r="A47" s="13" t="str">
        <f aca="false">IF($E47="","",COUNTA($E$5:$E47))</f>
        <v/>
      </c>
      <c r="B47" s="14"/>
      <c r="C47" s="15"/>
      <c r="D47" s="25"/>
      <c r="E47" s="21"/>
      <c r="F47" s="18"/>
      <c r="G47" s="15"/>
      <c r="H47" s="15"/>
      <c r="I47" s="15"/>
      <c r="J47" s="15"/>
      <c r="K47" s="18"/>
      <c r="L47" s="20" t="str">
        <f aca="false">IF($E47="","",IF(OR($B47="",$C47="",$D47=""),"待补楼栋/位置/日期",IF($C47="公共区域","公",SUBSTITUTE($C47,"栋",""))&amp;"-"&amp;$D47&amp;"-"&amp;TEXT(MONTH($B47),"00")&amp;TEXT(DAY($B47),"00")&amp;IF(COUNTIFS($C$5:$C47,$C47,$D$5:$D47,$D47)&gt;1,"-"&amp;TEXT(COUNTIFS($C$5:$C47,$C47,$D$5:$D47,$D47),"00"),"")))</f>
        <v/>
      </c>
      <c r="M47" s="21"/>
      <c r="N47" s="15"/>
      <c r="O47" s="21"/>
    </row>
    <row r="48" customFormat="false" ht="21.75" hidden="false" customHeight="true" outlineLevel="0" collapsed="false">
      <c r="A48" s="13" t="str">
        <f aca="false">IF($E48="","",COUNTA($E$5:$E48))</f>
        <v/>
      </c>
      <c r="B48" s="14"/>
      <c r="C48" s="15"/>
      <c r="D48" s="25"/>
      <c r="E48" s="21"/>
      <c r="F48" s="18"/>
      <c r="G48" s="15"/>
      <c r="H48" s="15"/>
      <c r="I48" s="15"/>
      <c r="J48" s="15"/>
      <c r="K48" s="18"/>
      <c r="L48" s="20" t="str">
        <f aca="false">IF($E48="","",IF(OR($B48="",$C48="",$D48=""),"待补楼栋/位置/日期",IF($C48="公共区域","公",SUBSTITUTE($C48,"栋",""))&amp;"-"&amp;$D48&amp;"-"&amp;TEXT(MONTH($B48),"00")&amp;TEXT(DAY($B48),"00")&amp;IF(COUNTIFS($C$5:$C48,$C48,$D$5:$D48,$D48)&gt;1,"-"&amp;TEXT(COUNTIFS($C$5:$C48,$C48,$D$5:$D48,$D48),"00"),"")))</f>
        <v/>
      </c>
      <c r="M48" s="21"/>
      <c r="N48" s="15"/>
      <c r="O48" s="21"/>
    </row>
    <row r="49" customFormat="false" ht="21.75" hidden="false" customHeight="true" outlineLevel="0" collapsed="false">
      <c r="A49" s="13" t="str">
        <f aca="false">IF($E49="","",COUNTA($E$5:$E49))</f>
        <v/>
      </c>
      <c r="B49" s="14"/>
      <c r="C49" s="15"/>
      <c r="D49" s="25"/>
      <c r="E49" s="21"/>
      <c r="F49" s="18"/>
      <c r="G49" s="15"/>
      <c r="H49" s="15"/>
      <c r="I49" s="15"/>
      <c r="J49" s="15"/>
      <c r="K49" s="18"/>
      <c r="L49" s="20" t="str">
        <f aca="false">IF($E49="","",IF(OR($B49="",$C49="",$D49=""),"待补楼栋/位置/日期",IF($C49="公共区域","公",SUBSTITUTE($C49,"栋",""))&amp;"-"&amp;$D49&amp;"-"&amp;TEXT(MONTH($B49),"00")&amp;TEXT(DAY($B49),"00")&amp;IF(COUNTIFS($C$5:$C49,$C49,$D$5:$D49,$D49)&gt;1,"-"&amp;TEXT(COUNTIFS($C$5:$C49,$C49,$D$5:$D49,$D49),"00"),"")))</f>
        <v/>
      </c>
      <c r="M49" s="21"/>
      <c r="N49" s="15"/>
      <c r="O49" s="21"/>
    </row>
    <row r="50" customFormat="false" ht="21.75" hidden="false" customHeight="true" outlineLevel="0" collapsed="false">
      <c r="A50" s="13" t="str">
        <f aca="false">IF($E50="","",COUNTA($E$5:$E50))</f>
        <v/>
      </c>
      <c r="B50" s="14"/>
      <c r="C50" s="15"/>
      <c r="D50" s="25"/>
      <c r="E50" s="21"/>
      <c r="F50" s="18"/>
      <c r="G50" s="15"/>
      <c r="H50" s="15"/>
      <c r="I50" s="15"/>
      <c r="J50" s="15"/>
      <c r="K50" s="18"/>
      <c r="L50" s="20" t="str">
        <f aca="false">IF($E50="","",IF(OR($B50="",$C50="",$D50=""),"待补楼栋/位置/日期",IF($C50="公共区域","公",SUBSTITUTE($C50,"栋",""))&amp;"-"&amp;$D50&amp;"-"&amp;TEXT(MONTH($B50),"00")&amp;TEXT(DAY($B50),"00")&amp;IF(COUNTIFS($C$5:$C50,$C50,$D$5:$D50,$D50)&gt;1,"-"&amp;TEXT(COUNTIFS($C$5:$C50,$C50,$D$5:$D50,$D50),"00"),"")))</f>
        <v/>
      </c>
      <c r="M50" s="21"/>
      <c r="N50" s="15"/>
      <c r="O50" s="21"/>
    </row>
    <row r="51" customFormat="false" ht="21.75" hidden="false" customHeight="true" outlineLevel="0" collapsed="false">
      <c r="A51" s="13" t="str">
        <f aca="false">IF($E51="","",COUNTA($E$5:$E51))</f>
        <v/>
      </c>
      <c r="B51" s="14"/>
      <c r="C51" s="15"/>
      <c r="D51" s="25"/>
      <c r="E51" s="21"/>
      <c r="F51" s="18"/>
      <c r="G51" s="15"/>
      <c r="H51" s="15"/>
      <c r="I51" s="15"/>
      <c r="J51" s="15"/>
      <c r="K51" s="18"/>
      <c r="L51" s="20" t="str">
        <f aca="false">IF($E51="","",IF(OR($B51="",$C51="",$D51=""),"待补楼栋/位置/日期",IF($C51="公共区域","公",SUBSTITUTE($C51,"栋",""))&amp;"-"&amp;$D51&amp;"-"&amp;TEXT(MONTH($B51),"00")&amp;TEXT(DAY($B51),"00")&amp;IF(COUNTIFS($C$5:$C51,$C51,$D$5:$D51,$D51)&gt;1,"-"&amp;TEXT(COUNTIFS($C$5:$C51,$C51,$D$5:$D51,$D51),"00"),"")))</f>
        <v/>
      </c>
      <c r="M51" s="21"/>
      <c r="N51" s="15"/>
      <c r="O51" s="21"/>
    </row>
    <row r="52" customFormat="false" ht="21.75" hidden="false" customHeight="true" outlineLevel="0" collapsed="false">
      <c r="A52" s="13" t="str">
        <f aca="false">IF($E52="","",COUNTA($E$5:$E52))</f>
        <v/>
      </c>
      <c r="B52" s="14"/>
      <c r="C52" s="15"/>
      <c r="D52" s="25"/>
      <c r="E52" s="21"/>
      <c r="F52" s="18"/>
      <c r="G52" s="15"/>
      <c r="H52" s="15"/>
      <c r="I52" s="15"/>
      <c r="J52" s="15"/>
      <c r="K52" s="18"/>
      <c r="L52" s="20" t="str">
        <f aca="false">IF($E52="","",IF(OR($B52="",$C52="",$D52=""),"待补楼栋/位置/日期",IF($C52="公共区域","公",SUBSTITUTE($C52,"栋",""))&amp;"-"&amp;$D52&amp;"-"&amp;TEXT(MONTH($B52),"00")&amp;TEXT(DAY($B52),"00")&amp;IF(COUNTIFS($C$5:$C52,$C52,$D$5:$D52,$D52)&gt;1,"-"&amp;TEXT(COUNTIFS($C$5:$C52,$C52,$D$5:$D52,$D52),"00"),"")))</f>
        <v/>
      </c>
      <c r="M52" s="21"/>
      <c r="N52" s="15"/>
      <c r="O52" s="21"/>
    </row>
    <row r="53" customFormat="false" ht="21.75" hidden="false" customHeight="true" outlineLevel="0" collapsed="false">
      <c r="A53" s="13" t="str">
        <f aca="false">IF($E53="","",COUNTA($E$5:$E53))</f>
        <v/>
      </c>
      <c r="B53" s="14"/>
      <c r="C53" s="15"/>
      <c r="D53" s="25"/>
      <c r="E53" s="21"/>
      <c r="F53" s="18"/>
      <c r="G53" s="15"/>
      <c r="H53" s="15"/>
      <c r="I53" s="15"/>
      <c r="J53" s="15"/>
      <c r="K53" s="18"/>
      <c r="L53" s="20" t="str">
        <f aca="false">IF($E53="","",IF(OR($B53="",$C53="",$D53=""),"待补楼栋/位置/日期",IF($C53="公共区域","公",SUBSTITUTE($C53,"栋",""))&amp;"-"&amp;$D53&amp;"-"&amp;TEXT(MONTH($B53),"00")&amp;TEXT(DAY($B53),"00")&amp;IF(COUNTIFS($C$5:$C53,$C53,$D$5:$D53,$D53)&gt;1,"-"&amp;TEXT(COUNTIFS($C$5:$C53,$C53,$D$5:$D53,$D53),"00"),"")))</f>
        <v/>
      </c>
      <c r="M53" s="21"/>
      <c r="N53" s="15"/>
      <c r="O53" s="21"/>
    </row>
    <row r="54" customFormat="false" ht="21.75" hidden="false" customHeight="true" outlineLevel="0" collapsed="false">
      <c r="A54" s="13" t="str">
        <f aca="false">IF($E54="","",COUNTA($E$5:$E54))</f>
        <v/>
      </c>
      <c r="B54" s="14"/>
      <c r="C54" s="15"/>
      <c r="D54" s="25"/>
      <c r="E54" s="21"/>
      <c r="F54" s="18"/>
      <c r="G54" s="15"/>
      <c r="H54" s="15"/>
      <c r="I54" s="15"/>
      <c r="J54" s="15"/>
      <c r="K54" s="18"/>
      <c r="L54" s="20" t="str">
        <f aca="false">IF($E54="","",IF(OR($B54="",$C54="",$D54=""),"待补楼栋/位置/日期",IF($C54="公共区域","公",SUBSTITUTE($C54,"栋",""))&amp;"-"&amp;$D54&amp;"-"&amp;TEXT(MONTH($B54),"00")&amp;TEXT(DAY($B54),"00")&amp;IF(COUNTIFS($C$5:$C54,$C54,$D$5:$D54,$D54)&gt;1,"-"&amp;TEXT(COUNTIFS($C$5:$C54,$C54,$D$5:$D54,$D54),"00"),"")))</f>
        <v/>
      </c>
      <c r="M54" s="21"/>
      <c r="N54" s="15"/>
      <c r="O54" s="21"/>
    </row>
    <row r="55" customFormat="false" ht="21.75" hidden="false" customHeight="true" outlineLevel="0" collapsed="false">
      <c r="A55" s="13" t="str">
        <f aca="false">IF($E55="","",COUNTA($E$5:$E55))</f>
        <v/>
      </c>
      <c r="B55" s="14"/>
      <c r="C55" s="15"/>
      <c r="D55" s="25"/>
      <c r="E55" s="21"/>
      <c r="F55" s="18"/>
      <c r="G55" s="15"/>
      <c r="H55" s="15"/>
      <c r="I55" s="15"/>
      <c r="J55" s="15"/>
      <c r="K55" s="18"/>
      <c r="L55" s="20" t="str">
        <f aca="false">IF($E55="","",IF(OR($B55="",$C55="",$D55=""),"待补楼栋/位置/日期",IF($C55="公共区域","公",SUBSTITUTE($C55,"栋",""))&amp;"-"&amp;$D55&amp;"-"&amp;TEXT(MONTH($B55),"00")&amp;TEXT(DAY($B55),"00")&amp;IF(COUNTIFS($C$5:$C55,$C55,$D$5:$D55,$D55)&gt;1,"-"&amp;TEXT(COUNTIFS($C$5:$C55,$C55,$D$5:$D55,$D55),"00"),"")))</f>
        <v/>
      </c>
      <c r="M55" s="21"/>
      <c r="N55" s="15"/>
      <c r="O55" s="21"/>
    </row>
    <row r="56" customFormat="false" ht="21.75" hidden="false" customHeight="true" outlineLevel="0" collapsed="false">
      <c r="A56" s="13" t="str">
        <f aca="false">IF($E56="","",COUNTA($E$5:$E56))</f>
        <v/>
      </c>
      <c r="B56" s="14"/>
      <c r="C56" s="15"/>
      <c r="D56" s="25"/>
      <c r="E56" s="21"/>
      <c r="F56" s="18"/>
      <c r="G56" s="15"/>
      <c r="H56" s="15"/>
      <c r="I56" s="15"/>
      <c r="J56" s="15"/>
      <c r="K56" s="18"/>
      <c r="L56" s="20" t="str">
        <f aca="false">IF($E56="","",IF(OR($B56="",$C56="",$D56=""),"待补楼栋/位置/日期",IF($C56="公共区域","公",SUBSTITUTE($C56,"栋",""))&amp;"-"&amp;$D56&amp;"-"&amp;TEXT(MONTH($B56),"00")&amp;TEXT(DAY($B56),"00")&amp;IF(COUNTIFS($C$5:$C56,$C56,$D$5:$D56,$D56)&gt;1,"-"&amp;TEXT(COUNTIFS($C$5:$C56,$C56,$D$5:$D56,$D56),"00"),"")))</f>
        <v/>
      </c>
      <c r="M56" s="21"/>
      <c r="N56" s="15"/>
      <c r="O56" s="21"/>
    </row>
    <row r="57" customFormat="false" ht="21.75" hidden="false" customHeight="true" outlineLevel="0" collapsed="false">
      <c r="A57" s="13" t="str">
        <f aca="false">IF($E57="","",COUNTA($E$5:$E57))</f>
        <v/>
      </c>
      <c r="B57" s="14"/>
      <c r="C57" s="15"/>
      <c r="D57" s="25"/>
      <c r="E57" s="21"/>
      <c r="F57" s="18"/>
      <c r="G57" s="15"/>
      <c r="H57" s="15"/>
      <c r="I57" s="15"/>
      <c r="J57" s="15"/>
      <c r="K57" s="18"/>
      <c r="L57" s="20" t="str">
        <f aca="false">IF($E57="","",IF(OR($B57="",$C57="",$D57=""),"待补楼栋/位置/日期",IF($C57="公共区域","公",SUBSTITUTE($C57,"栋",""))&amp;"-"&amp;$D57&amp;"-"&amp;TEXT(MONTH($B57),"00")&amp;TEXT(DAY($B57),"00")&amp;IF(COUNTIFS($C$5:$C57,$C57,$D$5:$D57,$D57)&gt;1,"-"&amp;TEXT(COUNTIFS($C$5:$C57,$C57,$D$5:$D57,$D57),"00"),"")))</f>
        <v/>
      </c>
      <c r="M57" s="21"/>
      <c r="N57" s="15"/>
      <c r="O57" s="21"/>
    </row>
    <row r="58" customFormat="false" ht="21.75" hidden="false" customHeight="true" outlineLevel="0" collapsed="false">
      <c r="A58" s="13" t="str">
        <f aca="false">IF($E58="","",COUNTA($E$5:$E58))</f>
        <v/>
      </c>
      <c r="B58" s="14"/>
      <c r="C58" s="15"/>
      <c r="D58" s="25"/>
      <c r="E58" s="21"/>
      <c r="F58" s="18"/>
      <c r="G58" s="15"/>
      <c r="H58" s="15"/>
      <c r="I58" s="15"/>
      <c r="J58" s="15"/>
      <c r="K58" s="18"/>
      <c r="L58" s="20" t="str">
        <f aca="false">IF($E58="","",IF(OR($B58="",$C58="",$D58=""),"待补楼栋/位置/日期",IF($C58="公共区域","公",SUBSTITUTE($C58,"栋",""))&amp;"-"&amp;$D58&amp;"-"&amp;TEXT(MONTH($B58),"00")&amp;TEXT(DAY($B58),"00")&amp;IF(COUNTIFS($C$5:$C58,$C58,$D$5:$D58,$D58)&gt;1,"-"&amp;TEXT(COUNTIFS($C$5:$C58,$C58,$D$5:$D58,$D58),"00"),"")))</f>
        <v/>
      </c>
      <c r="M58" s="21"/>
      <c r="N58" s="15"/>
      <c r="O58" s="21"/>
    </row>
    <row r="59" customFormat="false" ht="21.75" hidden="false" customHeight="true" outlineLevel="0" collapsed="false">
      <c r="A59" s="13" t="str">
        <f aca="false">IF($E59="","",COUNTA($E$5:$E59))</f>
        <v/>
      </c>
      <c r="B59" s="14"/>
      <c r="C59" s="15"/>
      <c r="D59" s="25"/>
      <c r="E59" s="21"/>
      <c r="F59" s="18"/>
      <c r="G59" s="15"/>
      <c r="H59" s="15"/>
      <c r="I59" s="15"/>
      <c r="J59" s="15"/>
      <c r="K59" s="18"/>
      <c r="L59" s="20" t="str">
        <f aca="false">IF($E59="","",IF(OR($B59="",$C59="",$D59=""),"待补楼栋/位置/日期",IF($C59="公共区域","公",SUBSTITUTE($C59,"栋",""))&amp;"-"&amp;$D59&amp;"-"&amp;TEXT(MONTH($B59),"00")&amp;TEXT(DAY($B59),"00")&amp;IF(COUNTIFS($C$5:$C59,$C59,$D$5:$D59,$D59)&gt;1,"-"&amp;TEXT(COUNTIFS($C$5:$C59,$C59,$D$5:$D59,$D59),"00"),"")))</f>
        <v/>
      </c>
      <c r="M59" s="21"/>
      <c r="N59" s="15"/>
      <c r="O59" s="21"/>
    </row>
    <row r="60" customFormat="false" ht="21.75" hidden="false" customHeight="true" outlineLevel="0" collapsed="false">
      <c r="A60" s="13" t="str">
        <f aca="false">IF($E60="","",COUNTA($E$5:$E60))</f>
        <v/>
      </c>
      <c r="B60" s="14"/>
      <c r="C60" s="15"/>
      <c r="D60" s="25"/>
      <c r="E60" s="21"/>
      <c r="F60" s="18"/>
      <c r="G60" s="15"/>
      <c r="H60" s="15"/>
      <c r="I60" s="15"/>
      <c r="J60" s="15"/>
      <c r="K60" s="18"/>
      <c r="L60" s="20" t="str">
        <f aca="false">IF($E60="","",IF(OR($B60="",$C60="",$D60=""),"待补楼栋/位置/日期",IF($C60="公共区域","公",SUBSTITUTE($C60,"栋",""))&amp;"-"&amp;$D60&amp;"-"&amp;TEXT(MONTH($B60),"00")&amp;TEXT(DAY($B60),"00")&amp;IF(COUNTIFS($C$5:$C60,$C60,$D$5:$D60,$D60)&gt;1,"-"&amp;TEXT(COUNTIFS($C$5:$C60,$C60,$D$5:$D60,$D60),"00"),"")))</f>
        <v/>
      </c>
      <c r="M60" s="21"/>
      <c r="N60" s="15"/>
      <c r="O60" s="21"/>
    </row>
    <row r="61" customFormat="false" ht="21.75" hidden="false" customHeight="true" outlineLevel="0" collapsed="false">
      <c r="A61" s="13" t="str">
        <f aca="false">IF($E61="","",COUNTA($E$5:$E61))</f>
        <v/>
      </c>
      <c r="B61" s="14"/>
      <c r="C61" s="15"/>
      <c r="D61" s="25"/>
      <c r="E61" s="21"/>
      <c r="F61" s="18"/>
      <c r="G61" s="15"/>
      <c r="H61" s="15"/>
      <c r="I61" s="15"/>
      <c r="J61" s="15"/>
      <c r="K61" s="18"/>
      <c r="L61" s="20" t="str">
        <f aca="false">IF($E61="","",IF(OR($B61="",$C61="",$D61=""),"待补楼栋/位置/日期",IF($C61="公共区域","公",SUBSTITUTE($C61,"栋",""))&amp;"-"&amp;$D61&amp;"-"&amp;TEXT(MONTH($B61),"00")&amp;TEXT(DAY($B61),"00")&amp;IF(COUNTIFS($C$5:$C61,$C61,$D$5:$D61,$D61)&gt;1,"-"&amp;TEXT(COUNTIFS($C$5:$C61,$C61,$D$5:$D61,$D61),"00"),"")))</f>
        <v/>
      </c>
      <c r="M61" s="21"/>
      <c r="N61" s="15"/>
      <c r="O61" s="21"/>
    </row>
    <row r="62" customFormat="false" ht="21.75" hidden="false" customHeight="true" outlineLevel="0" collapsed="false">
      <c r="A62" s="13" t="str">
        <f aca="false">IF($E62="","",COUNTA($E$5:$E62))</f>
        <v/>
      </c>
      <c r="B62" s="14"/>
      <c r="C62" s="15"/>
      <c r="D62" s="25"/>
      <c r="E62" s="21"/>
      <c r="F62" s="18"/>
      <c r="G62" s="15"/>
      <c r="H62" s="15"/>
      <c r="I62" s="15"/>
      <c r="J62" s="15"/>
      <c r="K62" s="18"/>
      <c r="L62" s="20" t="str">
        <f aca="false">IF($E62="","",IF(OR($B62="",$C62="",$D62=""),"待补楼栋/位置/日期",IF($C62="公共区域","公",SUBSTITUTE($C62,"栋",""))&amp;"-"&amp;$D62&amp;"-"&amp;TEXT(MONTH($B62),"00")&amp;TEXT(DAY($B62),"00")&amp;IF(COUNTIFS($C$5:$C62,$C62,$D$5:$D62,$D62)&gt;1,"-"&amp;TEXT(COUNTIFS($C$5:$C62,$C62,$D$5:$D62,$D62),"00"),"")))</f>
        <v/>
      </c>
      <c r="M62" s="21"/>
      <c r="N62" s="15"/>
      <c r="O62" s="21"/>
    </row>
    <row r="63" customFormat="false" ht="21.75" hidden="false" customHeight="true" outlineLevel="0" collapsed="false">
      <c r="A63" s="13" t="str">
        <f aca="false">IF($E63="","",COUNTA($E$5:$E63))</f>
        <v/>
      </c>
      <c r="B63" s="14"/>
      <c r="C63" s="15"/>
      <c r="D63" s="25"/>
      <c r="E63" s="21"/>
      <c r="F63" s="18"/>
      <c r="G63" s="15"/>
      <c r="H63" s="15"/>
      <c r="I63" s="15"/>
      <c r="J63" s="15"/>
      <c r="K63" s="18"/>
      <c r="L63" s="20" t="str">
        <f aca="false">IF($E63="","",IF(OR($B63="",$C63="",$D63=""),"待补楼栋/位置/日期",IF($C63="公共区域","公",SUBSTITUTE($C63,"栋",""))&amp;"-"&amp;$D63&amp;"-"&amp;TEXT(MONTH($B63),"00")&amp;TEXT(DAY($B63),"00")&amp;IF(COUNTIFS($C$5:$C63,$C63,$D$5:$D63,$D63)&gt;1,"-"&amp;TEXT(COUNTIFS($C$5:$C63,$C63,$D$5:$D63,$D63),"00"),"")))</f>
        <v/>
      </c>
      <c r="M63" s="21"/>
      <c r="N63" s="15"/>
      <c r="O63" s="21"/>
    </row>
    <row r="64" customFormat="false" ht="21.75" hidden="false" customHeight="true" outlineLevel="0" collapsed="false">
      <c r="A64" s="13" t="str">
        <f aca="false">IF($E64="","",COUNTA($E$5:$E64))</f>
        <v/>
      </c>
      <c r="B64" s="14"/>
      <c r="C64" s="15"/>
      <c r="D64" s="25"/>
      <c r="E64" s="21"/>
      <c r="F64" s="18"/>
      <c r="G64" s="15"/>
      <c r="H64" s="15"/>
      <c r="I64" s="15"/>
      <c r="J64" s="15"/>
      <c r="K64" s="18"/>
      <c r="L64" s="20" t="str">
        <f aca="false">IF($E64="","",IF(OR($B64="",$C64="",$D64=""),"待补楼栋/位置/日期",IF($C64="公共区域","公",SUBSTITUTE($C64,"栋",""))&amp;"-"&amp;$D64&amp;"-"&amp;TEXT(MONTH($B64),"00")&amp;TEXT(DAY($B64),"00")&amp;IF(COUNTIFS($C$5:$C64,$C64,$D$5:$D64,$D64)&gt;1,"-"&amp;TEXT(COUNTIFS($C$5:$C64,$C64,$D$5:$D64,$D64),"00"),"")))</f>
        <v/>
      </c>
      <c r="M64" s="21"/>
      <c r="N64" s="15"/>
      <c r="O64" s="21"/>
    </row>
    <row r="65" customFormat="false" ht="21.75" hidden="false" customHeight="true" outlineLevel="0" collapsed="false">
      <c r="A65" s="13" t="str">
        <f aca="false">IF($E65="","",COUNTA($E$5:$E65))</f>
        <v/>
      </c>
      <c r="B65" s="14"/>
      <c r="C65" s="15"/>
      <c r="D65" s="25"/>
      <c r="E65" s="21"/>
      <c r="F65" s="18"/>
      <c r="G65" s="15"/>
      <c r="H65" s="15"/>
      <c r="I65" s="15"/>
      <c r="J65" s="15"/>
      <c r="K65" s="18"/>
      <c r="L65" s="20" t="str">
        <f aca="false">IF($E65="","",IF(OR($B65="",$C65="",$D65=""),"待补楼栋/位置/日期",IF($C65="公共区域","公",SUBSTITUTE($C65,"栋",""))&amp;"-"&amp;$D65&amp;"-"&amp;TEXT(MONTH($B65),"00")&amp;TEXT(DAY($B65),"00")&amp;IF(COUNTIFS($C$5:$C65,$C65,$D$5:$D65,$D65)&gt;1,"-"&amp;TEXT(COUNTIFS($C$5:$C65,$C65,$D$5:$D65,$D65),"00"),"")))</f>
        <v/>
      </c>
      <c r="M65" s="21"/>
      <c r="N65" s="15"/>
      <c r="O65" s="21"/>
    </row>
    <row r="66" customFormat="false" ht="21.75" hidden="false" customHeight="true" outlineLevel="0" collapsed="false">
      <c r="A66" s="13" t="str">
        <f aca="false">IF($E66="","",COUNTA($E$5:$E66))</f>
        <v/>
      </c>
      <c r="B66" s="14"/>
      <c r="C66" s="15"/>
      <c r="D66" s="25"/>
      <c r="E66" s="21"/>
      <c r="F66" s="18"/>
      <c r="G66" s="15"/>
      <c r="H66" s="15"/>
      <c r="I66" s="15"/>
      <c r="J66" s="15"/>
      <c r="K66" s="18"/>
      <c r="L66" s="20" t="str">
        <f aca="false">IF($E66="","",IF(OR($B66="",$C66="",$D66=""),"待补楼栋/位置/日期",IF($C66="公共区域","公",SUBSTITUTE($C66,"栋",""))&amp;"-"&amp;$D66&amp;"-"&amp;TEXT(MONTH($B66),"00")&amp;TEXT(DAY($B66),"00")&amp;IF(COUNTIFS($C$5:$C66,$C66,$D$5:$D66,$D66)&gt;1,"-"&amp;TEXT(COUNTIFS($C$5:$C66,$C66,$D$5:$D66,$D66),"00"),"")))</f>
        <v/>
      </c>
      <c r="M66" s="21"/>
      <c r="N66" s="15"/>
      <c r="O66" s="21"/>
    </row>
    <row r="67" customFormat="false" ht="21.75" hidden="false" customHeight="true" outlineLevel="0" collapsed="false">
      <c r="A67" s="13" t="str">
        <f aca="false">IF($E67="","",COUNTA($E$5:$E67))</f>
        <v/>
      </c>
      <c r="B67" s="14"/>
      <c r="C67" s="15"/>
      <c r="D67" s="25"/>
      <c r="E67" s="21"/>
      <c r="F67" s="18"/>
      <c r="G67" s="15"/>
      <c r="H67" s="15"/>
      <c r="I67" s="15"/>
      <c r="J67" s="15"/>
      <c r="K67" s="18"/>
      <c r="L67" s="20" t="str">
        <f aca="false">IF($E67="","",IF(OR($B67="",$C67="",$D67=""),"待补楼栋/位置/日期",IF($C67="公共区域","公",SUBSTITUTE($C67,"栋",""))&amp;"-"&amp;$D67&amp;"-"&amp;TEXT(MONTH($B67),"00")&amp;TEXT(DAY($B67),"00")&amp;IF(COUNTIFS($C$5:$C67,$C67,$D$5:$D67,$D67)&gt;1,"-"&amp;TEXT(COUNTIFS($C$5:$C67,$C67,$D$5:$D67,$D67),"00"),"")))</f>
        <v/>
      </c>
      <c r="M67" s="21"/>
      <c r="N67" s="15"/>
      <c r="O67" s="21"/>
    </row>
    <row r="68" customFormat="false" ht="21.75" hidden="false" customHeight="true" outlineLevel="0" collapsed="false">
      <c r="A68" s="13" t="str">
        <f aca="false">IF($E68="","",COUNTA($E$5:$E68))</f>
        <v/>
      </c>
      <c r="B68" s="14"/>
      <c r="C68" s="15"/>
      <c r="D68" s="25"/>
      <c r="E68" s="21"/>
      <c r="F68" s="18"/>
      <c r="G68" s="15"/>
      <c r="H68" s="15"/>
      <c r="I68" s="15"/>
      <c r="J68" s="15"/>
      <c r="K68" s="18"/>
      <c r="L68" s="20" t="str">
        <f aca="false">IF($E68="","",IF(OR($B68="",$C68="",$D68=""),"待补楼栋/位置/日期",IF($C68="公共区域","公",SUBSTITUTE($C68,"栋",""))&amp;"-"&amp;$D68&amp;"-"&amp;TEXT(MONTH($B68),"00")&amp;TEXT(DAY($B68),"00")&amp;IF(COUNTIFS($C$5:$C68,$C68,$D$5:$D68,$D68)&gt;1,"-"&amp;TEXT(COUNTIFS($C$5:$C68,$C68,$D$5:$D68,$D68),"00"),"")))</f>
        <v/>
      </c>
      <c r="M68" s="21"/>
      <c r="N68" s="15"/>
      <c r="O68" s="21"/>
    </row>
    <row r="69" customFormat="false" ht="21.75" hidden="false" customHeight="true" outlineLevel="0" collapsed="false">
      <c r="A69" s="13" t="str">
        <f aca="false">IF($E69="","",COUNTA($E$5:$E69))</f>
        <v/>
      </c>
      <c r="B69" s="14"/>
      <c r="C69" s="15"/>
      <c r="D69" s="25"/>
      <c r="E69" s="21"/>
      <c r="F69" s="18"/>
      <c r="G69" s="15"/>
      <c r="H69" s="15"/>
      <c r="I69" s="15"/>
      <c r="J69" s="15"/>
      <c r="K69" s="18"/>
      <c r="L69" s="20" t="str">
        <f aca="false">IF($E69="","",IF(OR($B69="",$C69="",$D69=""),"待补楼栋/位置/日期",IF($C69="公共区域","公",SUBSTITUTE($C69,"栋",""))&amp;"-"&amp;$D69&amp;"-"&amp;TEXT(MONTH($B69),"00")&amp;TEXT(DAY($B69),"00")&amp;IF(COUNTIFS($C$5:$C69,$C69,$D$5:$D69,$D69)&gt;1,"-"&amp;TEXT(COUNTIFS($C$5:$C69,$C69,$D$5:$D69,$D69),"00"),"")))</f>
        <v/>
      </c>
      <c r="M69" s="21"/>
      <c r="N69" s="15"/>
      <c r="O69" s="21"/>
    </row>
    <row r="70" customFormat="false" ht="21.75" hidden="false" customHeight="true" outlineLevel="0" collapsed="false">
      <c r="A70" s="13" t="str">
        <f aca="false">IF($E70="","",COUNTA($E$5:$E70))</f>
        <v/>
      </c>
      <c r="B70" s="14"/>
      <c r="C70" s="15"/>
      <c r="D70" s="25"/>
      <c r="E70" s="21"/>
      <c r="F70" s="18"/>
      <c r="G70" s="15"/>
      <c r="H70" s="15"/>
      <c r="I70" s="15"/>
      <c r="J70" s="15"/>
      <c r="K70" s="18"/>
      <c r="L70" s="20" t="str">
        <f aca="false">IF($E70="","",IF(OR($B70="",$C70="",$D70=""),"待补楼栋/位置/日期",IF($C70="公共区域","公",SUBSTITUTE($C70,"栋",""))&amp;"-"&amp;$D70&amp;"-"&amp;TEXT(MONTH($B70),"00")&amp;TEXT(DAY($B70),"00")&amp;IF(COUNTIFS($C$5:$C70,$C70,$D$5:$D70,$D70)&gt;1,"-"&amp;TEXT(COUNTIFS($C$5:$C70,$C70,$D$5:$D70,$D70),"00"),"")))</f>
        <v/>
      </c>
      <c r="M70" s="21"/>
      <c r="N70" s="15"/>
      <c r="O70" s="21"/>
    </row>
    <row r="71" customFormat="false" ht="21.75" hidden="false" customHeight="true" outlineLevel="0" collapsed="false">
      <c r="A71" s="13" t="str">
        <f aca="false">IF($E71="","",COUNTA($E$5:$E71))</f>
        <v/>
      </c>
      <c r="B71" s="14"/>
      <c r="C71" s="15"/>
      <c r="D71" s="25"/>
      <c r="E71" s="21"/>
      <c r="F71" s="18"/>
      <c r="G71" s="15"/>
      <c r="H71" s="15"/>
      <c r="I71" s="15"/>
      <c r="J71" s="15"/>
      <c r="K71" s="18"/>
      <c r="L71" s="20" t="str">
        <f aca="false">IF($E71="","",IF(OR($B71="",$C71="",$D71=""),"待补楼栋/位置/日期",IF($C71="公共区域","公",SUBSTITUTE($C71,"栋",""))&amp;"-"&amp;$D71&amp;"-"&amp;TEXT(MONTH($B71),"00")&amp;TEXT(DAY($B71),"00")&amp;IF(COUNTIFS($C$5:$C71,$C71,$D$5:$D71,$D71)&gt;1,"-"&amp;TEXT(COUNTIFS($C$5:$C71,$C71,$D$5:$D71,$D71),"00"),"")))</f>
        <v/>
      </c>
      <c r="M71" s="21"/>
      <c r="N71" s="15"/>
      <c r="O71" s="21"/>
    </row>
    <row r="72" customFormat="false" ht="21.75" hidden="false" customHeight="true" outlineLevel="0" collapsed="false">
      <c r="A72" s="13" t="str">
        <f aca="false">IF($E72="","",COUNTA($E$5:$E72))</f>
        <v/>
      </c>
      <c r="B72" s="14"/>
      <c r="C72" s="15"/>
      <c r="D72" s="25"/>
      <c r="E72" s="21"/>
      <c r="F72" s="18"/>
      <c r="G72" s="15"/>
      <c r="H72" s="15"/>
      <c r="I72" s="15"/>
      <c r="J72" s="15"/>
      <c r="K72" s="18"/>
      <c r="L72" s="20" t="str">
        <f aca="false">IF($E72="","",IF(OR($B72="",$C72="",$D72=""),"待补楼栋/位置/日期",IF($C72="公共区域","公",SUBSTITUTE($C72,"栋",""))&amp;"-"&amp;$D72&amp;"-"&amp;TEXT(MONTH($B72),"00")&amp;TEXT(DAY($B72),"00")&amp;IF(COUNTIFS($C$5:$C72,$C72,$D$5:$D72,$D72)&gt;1,"-"&amp;TEXT(COUNTIFS($C$5:$C72,$C72,$D$5:$D72,$D72),"00"),"")))</f>
        <v/>
      </c>
      <c r="M72" s="21"/>
      <c r="N72" s="15"/>
      <c r="O72" s="21"/>
    </row>
    <row r="73" customFormat="false" ht="21.75" hidden="false" customHeight="true" outlineLevel="0" collapsed="false">
      <c r="A73" s="13" t="str">
        <f aca="false">IF($E73="","",COUNTA($E$5:$E73))</f>
        <v/>
      </c>
      <c r="B73" s="14"/>
      <c r="C73" s="15"/>
      <c r="D73" s="25"/>
      <c r="E73" s="21"/>
      <c r="F73" s="18"/>
      <c r="G73" s="15"/>
      <c r="H73" s="15"/>
      <c r="I73" s="15"/>
      <c r="J73" s="15"/>
      <c r="K73" s="18"/>
      <c r="L73" s="20" t="str">
        <f aca="false">IF($E73="","",IF(OR($B73="",$C73="",$D73=""),"待补楼栋/位置/日期",IF($C73="公共区域","公",SUBSTITUTE($C73,"栋",""))&amp;"-"&amp;$D73&amp;"-"&amp;TEXT(MONTH($B73),"00")&amp;TEXT(DAY($B73),"00")&amp;IF(COUNTIFS($C$5:$C73,$C73,$D$5:$D73,$D73)&gt;1,"-"&amp;TEXT(COUNTIFS($C$5:$C73,$C73,$D$5:$D73,$D73),"00"),"")))</f>
        <v/>
      </c>
      <c r="M73" s="21"/>
      <c r="N73" s="15"/>
      <c r="O73" s="21"/>
    </row>
    <row r="74" customFormat="false" ht="21.75" hidden="false" customHeight="true" outlineLevel="0" collapsed="false">
      <c r="A74" s="13" t="str">
        <f aca="false">IF($E74="","",COUNTA($E$5:$E74))</f>
        <v/>
      </c>
      <c r="B74" s="14"/>
      <c r="C74" s="15"/>
      <c r="D74" s="25"/>
      <c r="E74" s="21"/>
      <c r="F74" s="18"/>
      <c r="G74" s="15"/>
      <c r="H74" s="15"/>
      <c r="I74" s="15"/>
      <c r="J74" s="15"/>
      <c r="K74" s="18"/>
      <c r="L74" s="20" t="str">
        <f aca="false">IF($E74="","",IF(OR($B74="",$C74="",$D74=""),"待补楼栋/位置/日期",IF($C74="公共区域","公",SUBSTITUTE($C74,"栋",""))&amp;"-"&amp;$D74&amp;"-"&amp;TEXT(MONTH($B74),"00")&amp;TEXT(DAY($B74),"00")&amp;IF(COUNTIFS($C$5:$C74,$C74,$D$5:$D74,$D74)&gt;1,"-"&amp;TEXT(COUNTIFS($C$5:$C74,$C74,$D$5:$D74,$D74),"00"),"")))</f>
        <v/>
      </c>
      <c r="M74" s="21"/>
      <c r="N74" s="15"/>
      <c r="O74" s="21"/>
    </row>
    <row r="75" customFormat="false" ht="21.75" hidden="false" customHeight="true" outlineLevel="0" collapsed="false">
      <c r="A75" s="13" t="str">
        <f aca="false">IF($E75="","",COUNTA($E$5:$E75))</f>
        <v/>
      </c>
      <c r="B75" s="14"/>
      <c r="C75" s="15"/>
      <c r="D75" s="25"/>
      <c r="E75" s="21"/>
      <c r="F75" s="18"/>
      <c r="G75" s="15"/>
      <c r="H75" s="15"/>
      <c r="I75" s="15"/>
      <c r="J75" s="15"/>
      <c r="K75" s="18"/>
      <c r="L75" s="20" t="str">
        <f aca="false">IF($E75="","",IF(OR($B75="",$C75="",$D75=""),"待补楼栋/位置/日期",IF($C75="公共区域","公",SUBSTITUTE($C75,"栋",""))&amp;"-"&amp;$D75&amp;"-"&amp;TEXT(MONTH($B75),"00")&amp;TEXT(DAY($B75),"00")&amp;IF(COUNTIFS($C$5:$C75,$C75,$D$5:$D75,$D75)&gt;1,"-"&amp;TEXT(COUNTIFS($C$5:$C75,$C75,$D$5:$D75,$D75),"00"),"")))</f>
        <v/>
      </c>
      <c r="M75" s="21"/>
      <c r="N75" s="15"/>
      <c r="O75" s="21"/>
    </row>
    <row r="76" customFormat="false" ht="21.75" hidden="false" customHeight="true" outlineLevel="0" collapsed="false">
      <c r="A76" s="13" t="str">
        <f aca="false">IF($E76="","",COUNTA($E$5:$E76))</f>
        <v/>
      </c>
      <c r="B76" s="14"/>
      <c r="C76" s="15"/>
      <c r="D76" s="25"/>
      <c r="E76" s="21"/>
      <c r="F76" s="18"/>
      <c r="G76" s="15"/>
      <c r="H76" s="15"/>
      <c r="I76" s="15"/>
      <c r="J76" s="15"/>
      <c r="K76" s="18"/>
      <c r="L76" s="20" t="str">
        <f aca="false">IF($E76="","",IF(OR($B76="",$C76="",$D76=""),"待补楼栋/位置/日期",IF($C76="公共区域","公",SUBSTITUTE($C76,"栋",""))&amp;"-"&amp;$D76&amp;"-"&amp;TEXT(MONTH($B76),"00")&amp;TEXT(DAY($B76),"00")&amp;IF(COUNTIFS($C$5:$C76,$C76,$D$5:$D76,$D76)&gt;1,"-"&amp;TEXT(COUNTIFS($C$5:$C76,$C76,$D$5:$D76,$D76),"00"),"")))</f>
        <v/>
      </c>
      <c r="M76" s="21"/>
      <c r="N76" s="15"/>
      <c r="O76" s="21"/>
    </row>
    <row r="77" customFormat="false" ht="21.75" hidden="false" customHeight="true" outlineLevel="0" collapsed="false">
      <c r="A77" s="13" t="str">
        <f aca="false">IF($E77="","",COUNTA($E$5:$E77))</f>
        <v/>
      </c>
      <c r="B77" s="14"/>
      <c r="C77" s="15"/>
      <c r="D77" s="25"/>
      <c r="E77" s="21"/>
      <c r="F77" s="18"/>
      <c r="G77" s="15"/>
      <c r="H77" s="15"/>
      <c r="I77" s="15"/>
      <c r="J77" s="15"/>
      <c r="K77" s="18"/>
      <c r="L77" s="20" t="str">
        <f aca="false">IF($E77="","",IF(OR($B77="",$C77="",$D77=""),"待补楼栋/位置/日期",IF($C77="公共区域","公",SUBSTITUTE($C77,"栋",""))&amp;"-"&amp;$D77&amp;"-"&amp;TEXT(MONTH($B77),"00")&amp;TEXT(DAY($B77),"00")&amp;IF(COUNTIFS($C$5:$C77,$C77,$D$5:$D77,$D77)&gt;1,"-"&amp;TEXT(COUNTIFS($C$5:$C77,$C77,$D$5:$D77,$D77),"00"),"")))</f>
        <v/>
      </c>
      <c r="M77" s="21"/>
      <c r="N77" s="15"/>
      <c r="O77" s="21"/>
    </row>
    <row r="78" customFormat="false" ht="21.75" hidden="false" customHeight="true" outlineLevel="0" collapsed="false">
      <c r="A78" s="13" t="str">
        <f aca="false">IF($E78="","",COUNTA($E$5:$E78))</f>
        <v/>
      </c>
      <c r="B78" s="14"/>
      <c r="C78" s="15"/>
      <c r="D78" s="25"/>
      <c r="E78" s="21"/>
      <c r="F78" s="18"/>
      <c r="G78" s="15"/>
      <c r="H78" s="15"/>
      <c r="I78" s="15"/>
      <c r="J78" s="15"/>
      <c r="K78" s="18"/>
      <c r="L78" s="20" t="str">
        <f aca="false">IF($E78="","",IF(OR($B78="",$C78="",$D78=""),"待补楼栋/位置/日期",IF($C78="公共区域","公",SUBSTITUTE($C78,"栋",""))&amp;"-"&amp;$D78&amp;"-"&amp;TEXT(MONTH($B78),"00")&amp;TEXT(DAY($B78),"00")&amp;IF(COUNTIFS($C$5:$C78,$C78,$D$5:$D78,$D78)&gt;1,"-"&amp;TEXT(COUNTIFS($C$5:$C78,$C78,$D$5:$D78,$D78),"00"),"")))</f>
        <v/>
      </c>
      <c r="M78" s="21"/>
      <c r="N78" s="15"/>
      <c r="O78" s="21"/>
    </row>
    <row r="79" customFormat="false" ht="21.75" hidden="false" customHeight="true" outlineLevel="0" collapsed="false">
      <c r="A79" s="13" t="str">
        <f aca="false">IF($E79="","",COUNTA($E$5:$E79))</f>
        <v/>
      </c>
      <c r="B79" s="14"/>
      <c r="C79" s="15"/>
      <c r="D79" s="25"/>
      <c r="E79" s="21"/>
      <c r="F79" s="18"/>
      <c r="G79" s="15"/>
      <c r="H79" s="15"/>
      <c r="I79" s="15"/>
      <c r="J79" s="15"/>
      <c r="K79" s="18"/>
      <c r="L79" s="20" t="str">
        <f aca="false">IF($E79="","",IF(OR($B79="",$C79="",$D79=""),"待补楼栋/位置/日期",IF($C79="公共区域","公",SUBSTITUTE($C79,"栋",""))&amp;"-"&amp;$D79&amp;"-"&amp;TEXT(MONTH($B79),"00")&amp;TEXT(DAY($B79),"00")&amp;IF(COUNTIFS($C$5:$C79,$C79,$D$5:$D79,$D79)&gt;1,"-"&amp;TEXT(COUNTIFS($C$5:$C79,$C79,$D$5:$D79,$D79),"00"),"")))</f>
        <v/>
      </c>
      <c r="M79" s="21"/>
      <c r="N79" s="15"/>
      <c r="O79" s="21"/>
    </row>
    <row r="80" customFormat="false" ht="21.75" hidden="false" customHeight="true" outlineLevel="0" collapsed="false">
      <c r="A80" s="13" t="str">
        <f aca="false">IF($E80="","",COUNTA($E$5:$E80))</f>
        <v/>
      </c>
      <c r="B80" s="14"/>
      <c r="C80" s="15"/>
      <c r="D80" s="25"/>
      <c r="E80" s="21"/>
      <c r="F80" s="18"/>
      <c r="G80" s="15"/>
      <c r="H80" s="15"/>
      <c r="I80" s="15"/>
      <c r="J80" s="15"/>
      <c r="K80" s="18"/>
      <c r="L80" s="20" t="str">
        <f aca="false">IF($E80="","",IF(OR($B80="",$C80="",$D80=""),"待补楼栋/位置/日期",IF($C80="公共区域","公",SUBSTITUTE($C80,"栋",""))&amp;"-"&amp;$D80&amp;"-"&amp;TEXT(MONTH($B80),"00")&amp;TEXT(DAY($B80),"00")&amp;IF(COUNTIFS($C$5:$C80,$C80,$D$5:$D80,$D80)&gt;1,"-"&amp;TEXT(COUNTIFS($C$5:$C80,$C80,$D$5:$D80,$D80),"00"),"")))</f>
        <v/>
      </c>
      <c r="M80" s="21"/>
      <c r="N80" s="15"/>
      <c r="O80" s="21"/>
    </row>
    <row r="81" customFormat="false" ht="21.75" hidden="false" customHeight="true" outlineLevel="0" collapsed="false">
      <c r="A81" s="13" t="str">
        <f aca="false">IF($E81="","",COUNTA($E$5:$E81))</f>
        <v/>
      </c>
      <c r="B81" s="14"/>
      <c r="C81" s="15"/>
      <c r="D81" s="25"/>
      <c r="E81" s="21"/>
      <c r="F81" s="18"/>
      <c r="G81" s="15"/>
      <c r="H81" s="15"/>
      <c r="I81" s="15"/>
      <c r="J81" s="15"/>
      <c r="K81" s="18"/>
      <c r="L81" s="20" t="str">
        <f aca="false">IF($E81="","",IF(OR($B81="",$C81="",$D81=""),"待补楼栋/位置/日期",IF($C81="公共区域","公",SUBSTITUTE($C81,"栋",""))&amp;"-"&amp;$D81&amp;"-"&amp;TEXT(MONTH($B81),"00")&amp;TEXT(DAY($B81),"00")&amp;IF(COUNTIFS($C$5:$C81,$C81,$D$5:$D81,$D81)&gt;1,"-"&amp;TEXT(COUNTIFS($C$5:$C81,$C81,$D$5:$D81,$D81),"00"),"")))</f>
        <v/>
      </c>
      <c r="M81" s="21"/>
      <c r="N81" s="15"/>
      <c r="O81" s="21"/>
    </row>
    <row r="82" customFormat="false" ht="21.75" hidden="false" customHeight="true" outlineLevel="0" collapsed="false">
      <c r="A82" s="13" t="str">
        <f aca="false">IF($E82="","",COUNTA($E$5:$E82))</f>
        <v/>
      </c>
      <c r="B82" s="14"/>
      <c r="C82" s="15"/>
      <c r="D82" s="25"/>
      <c r="E82" s="21"/>
      <c r="F82" s="18"/>
      <c r="G82" s="15"/>
      <c r="H82" s="15"/>
      <c r="I82" s="15"/>
      <c r="J82" s="15"/>
      <c r="K82" s="18"/>
      <c r="L82" s="20" t="str">
        <f aca="false">IF($E82="","",IF(OR($B82="",$C82="",$D82=""),"待补楼栋/位置/日期",IF($C82="公共区域","公",SUBSTITUTE($C82,"栋",""))&amp;"-"&amp;$D82&amp;"-"&amp;TEXT(MONTH($B82),"00")&amp;TEXT(DAY($B82),"00")&amp;IF(COUNTIFS($C$5:$C82,$C82,$D$5:$D82,$D82)&gt;1,"-"&amp;TEXT(COUNTIFS($C$5:$C82,$C82,$D$5:$D82,$D82),"00"),"")))</f>
        <v/>
      </c>
      <c r="M82" s="21"/>
      <c r="N82" s="15"/>
      <c r="O82" s="21"/>
    </row>
    <row r="83" customFormat="false" ht="21.75" hidden="false" customHeight="true" outlineLevel="0" collapsed="false">
      <c r="A83" s="13" t="str">
        <f aca="false">IF($E83="","",COUNTA($E$5:$E83))</f>
        <v/>
      </c>
      <c r="B83" s="14"/>
      <c r="C83" s="15"/>
      <c r="D83" s="25"/>
      <c r="E83" s="21"/>
      <c r="F83" s="18"/>
      <c r="G83" s="15"/>
      <c r="H83" s="15"/>
      <c r="I83" s="15"/>
      <c r="J83" s="15"/>
      <c r="K83" s="18"/>
      <c r="L83" s="20" t="str">
        <f aca="false">IF($E83="","",IF(OR($B83="",$C83="",$D83=""),"待补楼栋/位置/日期",IF($C83="公共区域","公",SUBSTITUTE($C83,"栋",""))&amp;"-"&amp;$D83&amp;"-"&amp;TEXT(MONTH($B83),"00")&amp;TEXT(DAY($B83),"00")&amp;IF(COUNTIFS($C$5:$C83,$C83,$D$5:$D83,$D83)&gt;1,"-"&amp;TEXT(COUNTIFS($C$5:$C83,$C83,$D$5:$D83,$D83),"00"),"")))</f>
        <v/>
      </c>
      <c r="M83" s="21"/>
      <c r="N83" s="15"/>
      <c r="O83" s="21"/>
    </row>
    <row r="84" customFormat="false" ht="21.75" hidden="false" customHeight="true" outlineLevel="0" collapsed="false">
      <c r="A84" s="13" t="str">
        <f aca="false">IF($E84="","",COUNTA($E$5:$E84))</f>
        <v/>
      </c>
      <c r="B84" s="14"/>
      <c r="C84" s="15"/>
      <c r="D84" s="25"/>
      <c r="E84" s="21"/>
      <c r="F84" s="18"/>
      <c r="G84" s="15"/>
      <c r="H84" s="15"/>
      <c r="I84" s="15"/>
      <c r="J84" s="15"/>
      <c r="K84" s="18"/>
      <c r="L84" s="20" t="str">
        <f aca="false">IF($E84="","",IF(OR($B84="",$C84="",$D84=""),"待补楼栋/位置/日期",IF($C84="公共区域","公",SUBSTITUTE($C84,"栋",""))&amp;"-"&amp;$D84&amp;"-"&amp;TEXT(MONTH($B84),"00")&amp;TEXT(DAY($B84),"00")&amp;IF(COUNTIFS($C$5:$C84,$C84,$D$5:$D84,$D84)&gt;1,"-"&amp;TEXT(COUNTIFS($C$5:$C84,$C84,$D$5:$D84,$D84),"00"),"")))</f>
        <v/>
      </c>
      <c r="M84" s="21"/>
      <c r="N84" s="15"/>
      <c r="O84" s="21"/>
    </row>
    <row r="85" customFormat="false" ht="21.75" hidden="false" customHeight="true" outlineLevel="0" collapsed="false">
      <c r="A85" s="13" t="str">
        <f aca="false">IF($E85="","",COUNTA($E$5:$E85))</f>
        <v/>
      </c>
      <c r="B85" s="14"/>
      <c r="C85" s="15"/>
      <c r="D85" s="25"/>
      <c r="E85" s="21"/>
      <c r="F85" s="18"/>
      <c r="G85" s="15"/>
      <c r="H85" s="15"/>
      <c r="I85" s="15"/>
      <c r="J85" s="15"/>
      <c r="K85" s="18"/>
      <c r="L85" s="20" t="str">
        <f aca="false">IF($E85="","",IF(OR($B85="",$C85="",$D85=""),"待补楼栋/位置/日期",IF($C85="公共区域","公",SUBSTITUTE($C85,"栋",""))&amp;"-"&amp;$D85&amp;"-"&amp;TEXT(MONTH($B85),"00")&amp;TEXT(DAY($B85),"00")&amp;IF(COUNTIFS($C$5:$C85,$C85,$D$5:$D85,$D85)&gt;1,"-"&amp;TEXT(COUNTIFS($C$5:$C85,$C85,$D$5:$D85,$D85),"00"),"")))</f>
        <v/>
      </c>
      <c r="M85" s="21"/>
      <c r="N85" s="15"/>
      <c r="O85" s="21"/>
    </row>
    <row r="86" customFormat="false" ht="21.75" hidden="false" customHeight="true" outlineLevel="0" collapsed="false">
      <c r="A86" s="13" t="str">
        <f aca="false">IF($E86="","",COUNTA($E$5:$E86))</f>
        <v/>
      </c>
      <c r="B86" s="14"/>
      <c r="C86" s="15"/>
      <c r="D86" s="25"/>
      <c r="E86" s="21"/>
      <c r="F86" s="18"/>
      <c r="G86" s="15"/>
      <c r="H86" s="15"/>
      <c r="I86" s="15"/>
      <c r="J86" s="15"/>
      <c r="K86" s="18"/>
      <c r="L86" s="20" t="str">
        <f aca="false">IF($E86="","",IF(OR($B86="",$C86="",$D86=""),"待补楼栋/位置/日期",IF($C86="公共区域","公",SUBSTITUTE($C86,"栋",""))&amp;"-"&amp;$D86&amp;"-"&amp;TEXT(MONTH($B86),"00")&amp;TEXT(DAY($B86),"00")&amp;IF(COUNTIFS($C$5:$C86,$C86,$D$5:$D86,$D86)&gt;1,"-"&amp;TEXT(COUNTIFS($C$5:$C86,$C86,$D$5:$D86,$D86),"00"),"")))</f>
        <v/>
      </c>
      <c r="M86" s="21"/>
      <c r="N86" s="15"/>
      <c r="O86" s="21"/>
    </row>
    <row r="87" customFormat="false" ht="21.75" hidden="false" customHeight="true" outlineLevel="0" collapsed="false">
      <c r="A87" s="13" t="str">
        <f aca="false">IF($E87="","",COUNTA($E$5:$E87))</f>
        <v/>
      </c>
      <c r="B87" s="14"/>
      <c r="C87" s="15"/>
      <c r="D87" s="25"/>
      <c r="E87" s="21"/>
      <c r="F87" s="18"/>
      <c r="G87" s="15"/>
      <c r="H87" s="15"/>
      <c r="I87" s="15"/>
      <c r="J87" s="15"/>
      <c r="K87" s="18"/>
      <c r="L87" s="20" t="str">
        <f aca="false">IF($E87="","",IF(OR($B87="",$C87="",$D87=""),"待补楼栋/位置/日期",IF($C87="公共区域","公",SUBSTITUTE($C87,"栋",""))&amp;"-"&amp;$D87&amp;"-"&amp;TEXT(MONTH($B87),"00")&amp;TEXT(DAY($B87),"00")&amp;IF(COUNTIFS($C$5:$C87,$C87,$D$5:$D87,$D87)&gt;1,"-"&amp;TEXT(COUNTIFS($C$5:$C87,$C87,$D$5:$D87,$D87),"00"),"")))</f>
        <v/>
      </c>
      <c r="M87" s="21"/>
      <c r="N87" s="15"/>
      <c r="O87" s="21"/>
    </row>
    <row r="88" customFormat="false" ht="21.75" hidden="false" customHeight="true" outlineLevel="0" collapsed="false">
      <c r="A88" s="13" t="str">
        <f aca="false">IF($E88="","",COUNTA($E$5:$E88))</f>
        <v/>
      </c>
      <c r="B88" s="14"/>
      <c r="C88" s="15"/>
      <c r="D88" s="25"/>
      <c r="E88" s="21"/>
      <c r="F88" s="18"/>
      <c r="G88" s="15"/>
      <c r="H88" s="15"/>
      <c r="I88" s="15"/>
      <c r="J88" s="15"/>
      <c r="K88" s="18"/>
      <c r="L88" s="20" t="str">
        <f aca="false">IF($E88="","",IF(OR($B88="",$C88="",$D88=""),"待补楼栋/位置/日期",IF($C88="公共区域","公",SUBSTITUTE($C88,"栋",""))&amp;"-"&amp;$D88&amp;"-"&amp;TEXT(MONTH($B88),"00")&amp;TEXT(DAY($B88),"00")&amp;IF(COUNTIFS($C$5:$C88,$C88,$D$5:$D88,$D88)&gt;1,"-"&amp;TEXT(COUNTIFS($C$5:$C88,$C88,$D$5:$D88,$D88),"00"),"")))</f>
        <v/>
      </c>
      <c r="M88" s="21"/>
      <c r="N88" s="15"/>
      <c r="O88" s="21"/>
    </row>
    <row r="89" customFormat="false" ht="21.75" hidden="false" customHeight="true" outlineLevel="0" collapsed="false">
      <c r="A89" s="13" t="str">
        <f aca="false">IF($E89="","",COUNTA($E$5:$E89))</f>
        <v/>
      </c>
      <c r="B89" s="14"/>
      <c r="C89" s="15"/>
      <c r="D89" s="25"/>
      <c r="E89" s="21"/>
      <c r="F89" s="18"/>
      <c r="G89" s="15"/>
      <c r="H89" s="15"/>
      <c r="I89" s="15"/>
      <c r="J89" s="15"/>
      <c r="K89" s="18"/>
      <c r="L89" s="20" t="str">
        <f aca="false">IF($E89="","",IF(OR($B89="",$C89="",$D89=""),"待补楼栋/位置/日期",IF($C89="公共区域","公",SUBSTITUTE($C89,"栋",""))&amp;"-"&amp;$D89&amp;"-"&amp;TEXT(MONTH($B89),"00")&amp;TEXT(DAY($B89),"00")&amp;IF(COUNTIFS($C$5:$C89,$C89,$D$5:$D89,$D89)&gt;1,"-"&amp;TEXT(COUNTIFS($C$5:$C89,$C89,$D$5:$D89,$D89),"00"),"")))</f>
        <v/>
      </c>
      <c r="M89" s="21"/>
      <c r="N89" s="15"/>
      <c r="O89" s="21"/>
    </row>
    <row r="90" customFormat="false" ht="21.75" hidden="false" customHeight="true" outlineLevel="0" collapsed="false">
      <c r="A90" s="13" t="str">
        <f aca="false">IF($E90="","",COUNTA($E$5:$E90))</f>
        <v/>
      </c>
      <c r="B90" s="14"/>
      <c r="C90" s="15"/>
      <c r="D90" s="25"/>
      <c r="E90" s="21"/>
      <c r="F90" s="18"/>
      <c r="G90" s="15"/>
      <c r="H90" s="15"/>
      <c r="I90" s="15"/>
      <c r="J90" s="15"/>
      <c r="K90" s="18"/>
      <c r="L90" s="20" t="str">
        <f aca="false">IF($E90="","",IF(OR($B90="",$C90="",$D90=""),"待补楼栋/位置/日期",IF($C90="公共区域","公",SUBSTITUTE($C90,"栋",""))&amp;"-"&amp;$D90&amp;"-"&amp;TEXT(MONTH($B90),"00")&amp;TEXT(DAY($B90),"00")&amp;IF(COUNTIFS($C$5:$C90,$C90,$D$5:$D90,$D90)&gt;1,"-"&amp;TEXT(COUNTIFS($C$5:$C90,$C90,$D$5:$D90,$D90),"00"),"")))</f>
        <v/>
      </c>
      <c r="M90" s="21"/>
      <c r="N90" s="15"/>
      <c r="O90" s="21"/>
    </row>
    <row r="91" customFormat="false" ht="21.75" hidden="false" customHeight="true" outlineLevel="0" collapsed="false">
      <c r="A91" s="13" t="str">
        <f aca="false">IF($E91="","",COUNTA($E$5:$E91))</f>
        <v/>
      </c>
      <c r="B91" s="14"/>
      <c r="C91" s="15"/>
      <c r="D91" s="25"/>
      <c r="E91" s="21"/>
      <c r="F91" s="18"/>
      <c r="G91" s="15"/>
      <c r="H91" s="15"/>
      <c r="I91" s="15"/>
      <c r="J91" s="15"/>
      <c r="K91" s="18"/>
      <c r="L91" s="20" t="str">
        <f aca="false">IF($E91="","",IF(OR($B91="",$C91="",$D91=""),"待补楼栋/位置/日期",IF($C91="公共区域","公",SUBSTITUTE($C91,"栋",""))&amp;"-"&amp;$D91&amp;"-"&amp;TEXT(MONTH($B91),"00")&amp;TEXT(DAY($B91),"00")&amp;IF(COUNTIFS($C$5:$C91,$C91,$D$5:$D91,$D91)&gt;1,"-"&amp;TEXT(COUNTIFS($C$5:$C91,$C91,$D$5:$D91,$D91),"00"),"")))</f>
        <v/>
      </c>
      <c r="M91" s="21"/>
      <c r="N91" s="15"/>
      <c r="O91" s="21"/>
    </row>
    <row r="92" customFormat="false" ht="21.75" hidden="false" customHeight="true" outlineLevel="0" collapsed="false">
      <c r="A92" s="13" t="str">
        <f aca="false">IF($E92="","",COUNTA($E$5:$E92))</f>
        <v/>
      </c>
      <c r="B92" s="14"/>
      <c r="C92" s="15"/>
      <c r="D92" s="25"/>
      <c r="E92" s="21"/>
      <c r="F92" s="18"/>
      <c r="G92" s="15"/>
      <c r="H92" s="15"/>
      <c r="I92" s="15"/>
      <c r="J92" s="15"/>
      <c r="K92" s="18"/>
      <c r="L92" s="20" t="str">
        <f aca="false">IF($E92="","",IF(OR($B92="",$C92="",$D92=""),"待补楼栋/位置/日期",IF($C92="公共区域","公",SUBSTITUTE($C92,"栋",""))&amp;"-"&amp;$D92&amp;"-"&amp;TEXT(MONTH($B92),"00")&amp;TEXT(DAY($B92),"00")&amp;IF(COUNTIFS($C$5:$C92,$C92,$D$5:$D92,$D92)&gt;1,"-"&amp;TEXT(COUNTIFS($C$5:$C92,$C92,$D$5:$D92,$D92),"00"),"")))</f>
        <v/>
      </c>
      <c r="M92" s="21"/>
      <c r="N92" s="15"/>
      <c r="O92" s="21"/>
    </row>
    <row r="93" customFormat="false" ht="21.75" hidden="false" customHeight="true" outlineLevel="0" collapsed="false">
      <c r="A93" s="13" t="str">
        <f aca="false">IF($E93="","",COUNTA($E$5:$E93))</f>
        <v/>
      </c>
      <c r="B93" s="14"/>
      <c r="C93" s="15"/>
      <c r="D93" s="25"/>
      <c r="E93" s="21"/>
      <c r="F93" s="18"/>
      <c r="G93" s="15"/>
      <c r="H93" s="15"/>
      <c r="I93" s="15"/>
      <c r="J93" s="15"/>
      <c r="K93" s="18"/>
      <c r="L93" s="20" t="str">
        <f aca="false">IF($E93="","",IF(OR($B93="",$C93="",$D93=""),"待补楼栋/位置/日期",IF($C93="公共区域","公",SUBSTITUTE($C93,"栋",""))&amp;"-"&amp;$D93&amp;"-"&amp;TEXT(MONTH($B93),"00")&amp;TEXT(DAY($B93),"00")&amp;IF(COUNTIFS($C$5:$C93,$C93,$D$5:$D93,$D93)&gt;1,"-"&amp;TEXT(COUNTIFS($C$5:$C93,$C93,$D$5:$D93,$D93),"00"),"")))</f>
        <v/>
      </c>
      <c r="M93" s="21"/>
      <c r="N93" s="15"/>
      <c r="O93" s="21"/>
    </row>
    <row r="94" customFormat="false" ht="21.75" hidden="false" customHeight="true" outlineLevel="0" collapsed="false">
      <c r="A94" s="13" t="str">
        <f aca="false">IF($E94="","",COUNTA($E$5:$E94))</f>
        <v/>
      </c>
      <c r="B94" s="14"/>
      <c r="C94" s="15"/>
      <c r="D94" s="25"/>
      <c r="E94" s="21"/>
      <c r="F94" s="18"/>
      <c r="G94" s="15"/>
      <c r="H94" s="15"/>
      <c r="I94" s="15"/>
      <c r="J94" s="15"/>
      <c r="K94" s="18"/>
      <c r="L94" s="20" t="str">
        <f aca="false">IF($E94="","",IF(OR($B94="",$C94="",$D94=""),"待补楼栋/位置/日期",IF($C94="公共区域","公",SUBSTITUTE($C94,"栋",""))&amp;"-"&amp;$D94&amp;"-"&amp;TEXT(MONTH($B94),"00")&amp;TEXT(DAY($B94),"00")&amp;IF(COUNTIFS($C$5:$C94,$C94,$D$5:$D94,$D94)&gt;1,"-"&amp;TEXT(COUNTIFS($C$5:$C94,$C94,$D$5:$D94,$D94),"00"),"")))</f>
        <v/>
      </c>
      <c r="M94" s="21"/>
      <c r="N94" s="15"/>
      <c r="O94" s="21"/>
    </row>
    <row r="95" customFormat="false" ht="21.75" hidden="false" customHeight="true" outlineLevel="0" collapsed="false">
      <c r="A95" s="13" t="str">
        <f aca="false">IF($E95="","",COUNTA($E$5:$E95))</f>
        <v/>
      </c>
      <c r="B95" s="14"/>
      <c r="C95" s="15"/>
      <c r="D95" s="25"/>
      <c r="E95" s="21"/>
      <c r="F95" s="18"/>
      <c r="G95" s="15"/>
      <c r="H95" s="15"/>
      <c r="I95" s="15"/>
      <c r="J95" s="15"/>
      <c r="K95" s="18"/>
      <c r="L95" s="20" t="str">
        <f aca="false">IF($E95="","",IF(OR($B95="",$C95="",$D95=""),"待补楼栋/位置/日期",IF($C95="公共区域","公",SUBSTITUTE($C95,"栋",""))&amp;"-"&amp;$D95&amp;"-"&amp;TEXT(MONTH($B95),"00")&amp;TEXT(DAY($B95),"00")&amp;IF(COUNTIFS($C$5:$C95,$C95,$D$5:$D95,$D95)&gt;1,"-"&amp;TEXT(COUNTIFS($C$5:$C95,$C95,$D$5:$D95,$D95),"00"),"")))</f>
        <v/>
      </c>
      <c r="M95" s="21"/>
      <c r="N95" s="15"/>
      <c r="O95" s="21"/>
    </row>
    <row r="96" customFormat="false" ht="21.75" hidden="false" customHeight="true" outlineLevel="0" collapsed="false">
      <c r="A96" s="13" t="str">
        <f aca="false">IF($E96="","",COUNTA($E$5:$E96))</f>
        <v/>
      </c>
      <c r="B96" s="14"/>
      <c r="C96" s="15"/>
      <c r="D96" s="25"/>
      <c r="E96" s="21"/>
      <c r="F96" s="18"/>
      <c r="G96" s="15"/>
      <c r="H96" s="15"/>
      <c r="I96" s="15"/>
      <c r="J96" s="15"/>
      <c r="K96" s="18"/>
      <c r="L96" s="20" t="str">
        <f aca="false">IF($E96="","",IF(OR($B96="",$C96="",$D96=""),"待补楼栋/位置/日期",IF($C96="公共区域","公",SUBSTITUTE($C96,"栋",""))&amp;"-"&amp;$D96&amp;"-"&amp;TEXT(MONTH($B96),"00")&amp;TEXT(DAY($B96),"00")&amp;IF(COUNTIFS($C$5:$C96,$C96,$D$5:$D96,$D96)&gt;1,"-"&amp;TEXT(COUNTIFS($C$5:$C96,$C96,$D$5:$D96,$D96),"00"),"")))</f>
        <v/>
      </c>
      <c r="M96" s="21"/>
      <c r="N96" s="15"/>
      <c r="O96" s="21"/>
    </row>
    <row r="97" customFormat="false" ht="21.75" hidden="false" customHeight="true" outlineLevel="0" collapsed="false">
      <c r="A97" s="13" t="str">
        <f aca="false">IF($E97="","",COUNTA($E$5:$E97))</f>
        <v/>
      </c>
      <c r="B97" s="14"/>
      <c r="C97" s="15"/>
      <c r="D97" s="25"/>
      <c r="E97" s="21"/>
      <c r="F97" s="18"/>
      <c r="G97" s="15"/>
      <c r="H97" s="15"/>
      <c r="I97" s="15"/>
      <c r="J97" s="15"/>
      <c r="K97" s="18"/>
      <c r="L97" s="20" t="str">
        <f aca="false">IF($E97="","",IF(OR($B97="",$C97="",$D97=""),"待补楼栋/位置/日期",IF($C97="公共区域","公",SUBSTITUTE($C97,"栋",""))&amp;"-"&amp;$D97&amp;"-"&amp;TEXT(MONTH($B97),"00")&amp;TEXT(DAY($B97),"00")&amp;IF(COUNTIFS($C$5:$C97,$C97,$D$5:$D97,$D97)&gt;1,"-"&amp;TEXT(COUNTIFS($C$5:$C97,$C97,$D$5:$D97,$D97),"00"),"")))</f>
        <v/>
      </c>
      <c r="M97" s="21"/>
      <c r="N97" s="15"/>
      <c r="O97" s="21"/>
    </row>
    <row r="98" customFormat="false" ht="21.75" hidden="false" customHeight="true" outlineLevel="0" collapsed="false">
      <c r="A98" s="13" t="str">
        <f aca="false">IF($E98="","",COUNTA($E$5:$E98))</f>
        <v/>
      </c>
      <c r="B98" s="14"/>
      <c r="C98" s="15"/>
      <c r="D98" s="25"/>
      <c r="E98" s="21"/>
      <c r="F98" s="18"/>
      <c r="G98" s="15"/>
      <c r="H98" s="15"/>
      <c r="I98" s="15"/>
      <c r="J98" s="15"/>
      <c r="K98" s="18"/>
      <c r="L98" s="20" t="str">
        <f aca="false">IF($E98="","",IF(OR($B98="",$C98="",$D98=""),"待补楼栋/位置/日期",IF($C98="公共区域","公",SUBSTITUTE($C98,"栋",""))&amp;"-"&amp;$D98&amp;"-"&amp;TEXT(MONTH($B98),"00")&amp;TEXT(DAY($B98),"00")&amp;IF(COUNTIFS($C$5:$C98,$C98,$D$5:$D98,$D98)&gt;1,"-"&amp;TEXT(COUNTIFS($C$5:$C98,$C98,$D$5:$D98,$D98),"00"),"")))</f>
        <v/>
      </c>
      <c r="M98" s="21"/>
      <c r="N98" s="15"/>
      <c r="O98" s="21"/>
    </row>
    <row r="99" customFormat="false" ht="21.75" hidden="false" customHeight="true" outlineLevel="0" collapsed="false">
      <c r="A99" s="13" t="str">
        <f aca="false">IF($E99="","",COUNTA($E$5:$E99))</f>
        <v/>
      </c>
      <c r="B99" s="14"/>
      <c r="C99" s="15"/>
      <c r="D99" s="25"/>
      <c r="E99" s="21"/>
      <c r="F99" s="18"/>
      <c r="G99" s="15"/>
      <c r="H99" s="15"/>
      <c r="I99" s="15"/>
      <c r="J99" s="15"/>
      <c r="K99" s="18"/>
      <c r="L99" s="20" t="str">
        <f aca="false">IF($E99="","",IF(OR($B99="",$C99="",$D99=""),"待补楼栋/位置/日期",IF($C99="公共区域","公",SUBSTITUTE($C99,"栋",""))&amp;"-"&amp;$D99&amp;"-"&amp;TEXT(MONTH($B99),"00")&amp;TEXT(DAY($B99),"00")&amp;IF(COUNTIFS($C$5:$C99,$C99,$D$5:$D99,$D99)&gt;1,"-"&amp;TEXT(COUNTIFS($C$5:$C99,$C99,$D$5:$D99,$D99),"00"),"")))</f>
        <v/>
      </c>
      <c r="M99" s="21"/>
      <c r="N99" s="15"/>
      <c r="O99" s="21"/>
    </row>
    <row r="100" customFormat="false" ht="21.75" hidden="false" customHeight="true" outlineLevel="0" collapsed="false">
      <c r="A100" s="13" t="str">
        <f aca="false">IF($E100="","",COUNTA($E$5:$E100))</f>
        <v/>
      </c>
      <c r="B100" s="14"/>
      <c r="C100" s="15"/>
      <c r="D100" s="25"/>
      <c r="E100" s="21"/>
      <c r="F100" s="18"/>
      <c r="G100" s="15"/>
      <c r="H100" s="15"/>
      <c r="I100" s="15"/>
      <c r="J100" s="15"/>
      <c r="K100" s="18"/>
      <c r="L100" s="20" t="str">
        <f aca="false">IF($E100="","",IF(OR($B100="",$C100="",$D100=""),"待补楼栋/位置/日期",IF($C100="公共区域","公",SUBSTITUTE($C100,"栋",""))&amp;"-"&amp;$D100&amp;"-"&amp;TEXT(MONTH($B100),"00")&amp;TEXT(DAY($B100),"00")&amp;IF(COUNTIFS($C$5:$C100,$C100,$D$5:$D100,$D100)&gt;1,"-"&amp;TEXT(COUNTIFS($C$5:$C100,$C100,$D$5:$D100,$D100),"00"),"")))</f>
        <v/>
      </c>
      <c r="M100" s="21"/>
      <c r="N100" s="15"/>
      <c r="O100" s="21"/>
    </row>
    <row r="101" customFormat="false" ht="21.75" hidden="false" customHeight="true" outlineLevel="0" collapsed="false">
      <c r="A101" s="13" t="str">
        <f aca="false">IF($E101="","",COUNTA($E$5:$E101))</f>
        <v/>
      </c>
      <c r="B101" s="14"/>
      <c r="C101" s="15"/>
      <c r="D101" s="25"/>
      <c r="E101" s="21"/>
      <c r="F101" s="18"/>
      <c r="G101" s="15"/>
      <c r="H101" s="15"/>
      <c r="I101" s="15"/>
      <c r="J101" s="15"/>
      <c r="K101" s="18"/>
      <c r="L101" s="20" t="str">
        <f aca="false">IF($E101="","",IF(OR($B101="",$C101="",$D101=""),"待补楼栋/位置/日期",IF($C101="公共区域","公",SUBSTITUTE($C101,"栋",""))&amp;"-"&amp;$D101&amp;"-"&amp;TEXT(MONTH($B101),"00")&amp;TEXT(DAY($B101),"00")&amp;IF(COUNTIFS($C$5:$C101,$C101,$D$5:$D101,$D101)&gt;1,"-"&amp;TEXT(COUNTIFS($C$5:$C101,$C101,$D$5:$D101,$D101),"00"),"")))</f>
        <v/>
      </c>
      <c r="M101" s="21"/>
      <c r="N101" s="15"/>
      <c r="O101" s="21"/>
    </row>
    <row r="102" customFormat="false" ht="21.75" hidden="false" customHeight="true" outlineLevel="0" collapsed="false">
      <c r="A102" s="13" t="str">
        <f aca="false">IF($E102="","",COUNTA($E$5:$E102))</f>
        <v/>
      </c>
      <c r="B102" s="14"/>
      <c r="C102" s="15"/>
      <c r="D102" s="25"/>
      <c r="E102" s="21"/>
      <c r="F102" s="18"/>
      <c r="G102" s="15"/>
      <c r="H102" s="15"/>
      <c r="I102" s="15"/>
      <c r="J102" s="15"/>
      <c r="K102" s="18"/>
      <c r="L102" s="20" t="str">
        <f aca="false">IF($E102="","",IF(OR($B102="",$C102="",$D102=""),"待补楼栋/位置/日期",IF($C102="公共区域","公",SUBSTITUTE($C102,"栋",""))&amp;"-"&amp;$D102&amp;"-"&amp;TEXT(MONTH($B102),"00")&amp;TEXT(DAY($B102),"00")&amp;IF(COUNTIFS($C$5:$C102,$C102,$D$5:$D102,$D102)&gt;1,"-"&amp;TEXT(COUNTIFS($C$5:$C102,$C102,$D$5:$D102,$D102),"00"),"")))</f>
        <v/>
      </c>
      <c r="M102" s="21"/>
      <c r="N102" s="15"/>
      <c r="O102" s="21"/>
    </row>
    <row r="103" customFormat="false" ht="21.75" hidden="false" customHeight="true" outlineLevel="0" collapsed="false">
      <c r="A103" s="13" t="str">
        <f aca="false">IF($E103="","",COUNTA($E$5:$E103))</f>
        <v/>
      </c>
      <c r="B103" s="14"/>
      <c r="C103" s="15"/>
      <c r="D103" s="25"/>
      <c r="E103" s="21"/>
      <c r="F103" s="18"/>
      <c r="G103" s="15"/>
      <c r="H103" s="15"/>
      <c r="I103" s="15"/>
      <c r="J103" s="15"/>
      <c r="K103" s="18"/>
      <c r="L103" s="20" t="str">
        <f aca="false">IF($E103="","",IF(OR($B103="",$C103="",$D103=""),"待补楼栋/位置/日期",IF($C103="公共区域","公",SUBSTITUTE($C103,"栋",""))&amp;"-"&amp;$D103&amp;"-"&amp;TEXT(MONTH($B103),"00")&amp;TEXT(DAY($B103),"00")&amp;IF(COUNTIFS($C$5:$C103,$C103,$D$5:$D103,$D103)&gt;1,"-"&amp;TEXT(COUNTIFS($C$5:$C103,$C103,$D$5:$D103,$D103),"00"),"")))</f>
        <v/>
      </c>
      <c r="M103" s="21"/>
      <c r="N103" s="15"/>
      <c r="O103" s="21"/>
    </row>
    <row r="104" customFormat="false" ht="21.75" hidden="false" customHeight="true" outlineLevel="0" collapsed="false">
      <c r="A104" s="13" t="str">
        <f aca="false">IF($E104="","",COUNTA($E$5:$E104))</f>
        <v/>
      </c>
      <c r="B104" s="14"/>
      <c r="C104" s="15"/>
      <c r="D104" s="25"/>
      <c r="E104" s="21"/>
      <c r="F104" s="18"/>
      <c r="G104" s="15"/>
      <c r="H104" s="15"/>
      <c r="I104" s="15"/>
      <c r="J104" s="15"/>
      <c r="K104" s="18"/>
      <c r="L104" s="20" t="str">
        <f aca="false">IF($E104="","",IF(OR($B104="",$C104="",$D104=""),"待补楼栋/位置/日期",IF($C104="公共区域","公",SUBSTITUTE($C104,"栋",""))&amp;"-"&amp;$D104&amp;"-"&amp;TEXT(MONTH($B104),"00")&amp;TEXT(DAY($B104),"00")&amp;IF(COUNTIFS($C$5:$C104,$C104,$D$5:$D104,$D104)&gt;1,"-"&amp;TEXT(COUNTIFS($C$5:$C104,$C104,$D$5:$D104,$D104),"00"),"")))</f>
        <v/>
      </c>
      <c r="M104" s="21"/>
      <c r="N104" s="15"/>
      <c r="O104" s="21"/>
    </row>
    <row r="105" customFormat="false" ht="21.75" hidden="false" customHeight="true" outlineLevel="0" collapsed="false">
      <c r="A105" s="13" t="str">
        <f aca="false">IF($E105="","",COUNTA($E$5:$E105))</f>
        <v/>
      </c>
      <c r="B105" s="14"/>
      <c r="C105" s="15"/>
      <c r="D105" s="25"/>
      <c r="E105" s="21"/>
      <c r="F105" s="18"/>
      <c r="G105" s="15"/>
      <c r="H105" s="15"/>
      <c r="I105" s="15"/>
      <c r="J105" s="15"/>
      <c r="K105" s="18"/>
      <c r="L105" s="20" t="str">
        <f aca="false">IF($E105="","",IF(OR($B105="",$C105="",$D105=""),"待补楼栋/位置/日期",IF($C105="公共区域","公",SUBSTITUTE($C105,"栋",""))&amp;"-"&amp;$D105&amp;"-"&amp;TEXT(MONTH($B105),"00")&amp;TEXT(DAY($B105),"00")&amp;IF(COUNTIFS($C$5:$C105,$C105,$D$5:$D105,$D105)&gt;1,"-"&amp;TEXT(COUNTIFS($C$5:$C105,$C105,$D$5:$D105,$D105),"00"),"")))</f>
        <v/>
      </c>
      <c r="M105" s="21"/>
      <c r="N105" s="15"/>
      <c r="O105" s="21"/>
    </row>
    <row r="106" customFormat="false" ht="21.75" hidden="false" customHeight="true" outlineLevel="0" collapsed="false">
      <c r="A106" s="13" t="str">
        <f aca="false">IF($E106="","",COUNTA($E$5:$E106))</f>
        <v/>
      </c>
      <c r="B106" s="14"/>
      <c r="C106" s="15"/>
      <c r="D106" s="25"/>
      <c r="E106" s="21"/>
      <c r="F106" s="18"/>
      <c r="G106" s="15"/>
      <c r="H106" s="15"/>
      <c r="I106" s="15"/>
      <c r="J106" s="15"/>
      <c r="K106" s="18"/>
      <c r="L106" s="20" t="str">
        <f aca="false">IF($E106="","",IF(OR($B106="",$C106="",$D106=""),"待补楼栋/位置/日期",IF($C106="公共区域","公",SUBSTITUTE($C106,"栋",""))&amp;"-"&amp;$D106&amp;"-"&amp;TEXT(MONTH($B106),"00")&amp;TEXT(DAY($B106),"00")&amp;IF(COUNTIFS($C$5:$C106,$C106,$D$5:$D106,$D106)&gt;1,"-"&amp;TEXT(COUNTIFS($C$5:$C106,$C106,$D$5:$D106,$D106),"00"),"")))</f>
        <v/>
      </c>
      <c r="M106" s="21"/>
      <c r="N106" s="15"/>
      <c r="O106" s="21"/>
    </row>
    <row r="107" customFormat="false" ht="21.75" hidden="false" customHeight="true" outlineLevel="0" collapsed="false">
      <c r="A107" s="13" t="str">
        <f aca="false">IF($E107="","",COUNTA($E$5:$E107))</f>
        <v/>
      </c>
      <c r="B107" s="14"/>
      <c r="C107" s="15"/>
      <c r="D107" s="25"/>
      <c r="E107" s="21"/>
      <c r="F107" s="18"/>
      <c r="G107" s="15"/>
      <c r="H107" s="15"/>
      <c r="I107" s="15"/>
      <c r="J107" s="15"/>
      <c r="K107" s="18"/>
      <c r="L107" s="20" t="str">
        <f aca="false">IF($E107="","",IF(OR($B107="",$C107="",$D107=""),"待补楼栋/位置/日期",IF($C107="公共区域","公",SUBSTITUTE($C107,"栋",""))&amp;"-"&amp;$D107&amp;"-"&amp;TEXT(MONTH($B107),"00")&amp;TEXT(DAY($B107),"00")&amp;IF(COUNTIFS($C$5:$C107,$C107,$D$5:$D107,$D107)&gt;1,"-"&amp;TEXT(COUNTIFS($C$5:$C107,$C107,$D$5:$D107,$D107),"00"),"")))</f>
        <v/>
      </c>
      <c r="M107" s="21"/>
      <c r="N107" s="15"/>
      <c r="O107" s="21"/>
    </row>
    <row r="108" customFormat="false" ht="21.75" hidden="false" customHeight="true" outlineLevel="0" collapsed="false">
      <c r="A108" s="13" t="str">
        <f aca="false">IF($E108="","",COUNTA($E$5:$E108))</f>
        <v/>
      </c>
      <c r="B108" s="14"/>
      <c r="C108" s="15"/>
      <c r="D108" s="25"/>
      <c r="E108" s="21"/>
      <c r="F108" s="18"/>
      <c r="G108" s="15"/>
      <c r="H108" s="15"/>
      <c r="I108" s="15"/>
      <c r="J108" s="15"/>
      <c r="K108" s="18"/>
      <c r="L108" s="20" t="str">
        <f aca="false">IF($E108="","",IF(OR($B108="",$C108="",$D108=""),"待补楼栋/位置/日期",IF($C108="公共区域","公",SUBSTITUTE($C108,"栋",""))&amp;"-"&amp;$D108&amp;"-"&amp;TEXT(MONTH($B108),"00")&amp;TEXT(DAY($B108),"00")&amp;IF(COUNTIFS($C$5:$C108,$C108,$D$5:$D108,$D108)&gt;1,"-"&amp;TEXT(COUNTIFS($C$5:$C108,$C108,$D$5:$D108,$D108),"00"),"")))</f>
        <v/>
      </c>
      <c r="M108" s="21"/>
      <c r="N108" s="15"/>
      <c r="O108" s="21"/>
    </row>
    <row r="109" customFormat="false" ht="21.75" hidden="false" customHeight="true" outlineLevel="0" collapsed="false">
      <c r="A109" s="13" t="str">
        <f aca="false">IF($E109="","",COUNTA($E$5:$E109))</f>
        <v/>
      </c>
      <c r="B109" s="14"/>
      <c r="C109" s="15"/>
      <c r="D109" s="25"/>
      <c r="E109" s="21"/>
      <c r="F109" s="18"/>
      <c r="G109" s="15"/>
      <c r="H109" s="15"/>
      <c r="I109" s="15"/>
      <c r="J109" s="15"/>
      <c r="K109" s="18"/>
      <c r="L109" s="20" t="str">
        <f aca="false">IF($E109="","",IF(OR($B109="",$C109="",$D109=""),"待补楼栋/位置/日期",IF($C109="公共区域","公",SUBSTITUTE($C109,"栋",""))&amp;"-"&amp;$D109&amp;"-"&amp;TEXT(MONTH($B109),"00")&amp;TEXT(DAY($B109),"00")&amp;IF(COUNTIFS($C$5:$C109,$C109,$D$5:$D109,$D109)&gt;1,"-"&amp;TEXT(COUNTIFS($C$5:$C109,$C109,$D$5:$D109,$D109),"00"),"")))</f>
        <v/>
      </c>
      <c r="M109" s="21"/>
      <c r="N109" s="15"/>
      <c r="O109" s="21"/>
    </row>
    <row r="110" customFormat="false" ht="21.75" hidden="false" customHeight="true" outlineLevel="0" collapsed="false">
      <c r="A110" s="13" t="str">
        <f aca="false">IF($E110="","",COUNTA($E$5:$E110))</f>
        <v/>
      </c>
      <c r="B110" s="14"/>
      <c r="C110" s="15"/>
      <c r="D110" s="25"/>
      <c r="E110" s="21"/>
      <c r="F110" s="18"/>
      <c r="G110" s="15"/>
      <c r="H110" s="15"/>
      <c r="I110" s="15"/>
      <c r="J110" s="15"/>
      <c r="K110" s="18"/>
      <c r="L110" s="20" t="str">
        <f aca="false">IF($E110="","",IF(OR($B110="",$C110="",$D110=""),"待补楼栋/位置/日期",IF($C110="公共区域","公",SUBSTITUTE($C110,"栋",""))&amp;"-"&amp;$D110&amp;"-"&amp;TEXT(MONTH($B110),"00")&amp;TEXT(DAY($B110),"00")&amp;IF(COUNTIFS($C$5:$C110,$C110,$D$5:$D110,$D110)&gt;1,"-"&amp;TEXT(COUNTIFS($C$5:$C110,$C110,$D$5:$D110,$D110),"00"),"")))</f>
        <v/>
      </c>
      <c r="M110" s="21"/>
      <c r="N110" s="15"/>
      <c r="O110" s="21"/>
    </row>
    <row r="111" customFormat="false" ht="21.75" hidden="false" customHeight="true" outlineLevel="0" collapsed="false">
      <c r="A111" s="13" t="str">
        <f aca="false">IF($E111="","",COUNTA($E$5:$E111))</f>
        <v/>
      </c>
      <c r="B111" s="14"/>
      <c r="C111" s="15"/>
      <c r="D111" s="25"/>
      <c r="E111" s="21"/>
      <c r="F111" s="18"/>
      <c r="G111" s="15"/>
      <c r="H111" s="15"/>
      <c r="I111" s="15"/>
      <c r="J111" s="15"/>
      <c r="K111" s="18"/>
      <c r="L111" s="20" t="str">
        <f aca="false">IF($E111="","",IF(OR($B111="",$C111="",$D111=""),"待补楼栋/位置/日期",IF($C111="公共区域","公",SUBSTITUTE($C111,"栋",""))&amp;"-"&amp;$D111&amp;"-"&amp;TEXT(MONTH($B111),"00")&amp;TEXT(DAY($B111),"00")&amp;IF(COUNTIFS($C$5:$C111,$C111,$D$5:$D111,$D111)&gt;1,"-"&amp;TEXT(COUNTIFS($C$5:$C111,$C111,$D$5:$D111,$D111),"00"),"")))</f>
        <v/>
      </c>
      <c r="M111" s="21"/>
      <c r="N111" s="15"/>
      <c r="O111" s="21"/>
    </row>
    <row r="112" customFormat="false" ht="21.75" hidden="false" customHeight="true" outlineLevel="0" collapsed="false">
      <c r="A112" s="13" t="str">
        <f aca="false">IF($E112="","",COUNTA($E$5:$E112))</f>
        <v/>
      </c>
      <c r="B112" s="14"/>
      <c r="C112" s="15"/>
      <c r="D112" s="25"/>
      <c r="E112" s="21"/>
      <c r="F112" s="18"/>
      <c r="G112" s="15"/>
      <c r="H112" s="15"/>
      <c r="I112" s="15"/>
      <c r="J112" s="15"/>
      <c r="K112" s="18"/>
      <c r="L112" s="20" t="str">
        <f aca="false">IF($E112="","",IF(OR($B112="",$C112="",$D112=""),"待补楼栋/位置/日期",IF($C112="公共区域","公",SUBSTITUTE($C112,"栋",""))&amp;"-"&amp;$D112&amp;"-"&amp;TEXT(MONTH($B112),"00")&amp;TEXT(DAY($B112),"00")&amp;IF(COUNTIFS($C$5:$C112,$C112,$D$5:$D112,$D112)&gt;1,"-"&amp;TEXT(COUNTIFS($C$5:$C112,$C112,$D$5:$D112,$D112),"00"),"")))</f>
        <v/>
      </c>
      <c r="M112" s="21"/>
      <c r="N112" s="15"/>
      <c r="O112" s="21"/>
    </row>
    <row r="113" customFormat="false" ht="21.75" hidden="false" customHeight="true" outlineLevel="0" collapsed="false">
      <c r="A113" s="13" t="str">
        <f aca="false">IF($E113="","",COUNTA($E$5:$E113))</f>
        <v/>
      </c>
      <c r="B113" s="14"/>
      <c r="C113" s="15"/>
      <c r="D113" s="25"/>
      <c r="E113" s="21"/>
      <c r="F113" s="18"/>
      <c r="G113" s="15"/>
      <c r="H113" s="15"/>
      <c r="I113" s="15"/>
      <c r="J113" s="15"/>
      <c r="K113" s="18"/>
      <c r="L113" s="20" t="str">
        <f aca="false">IF($E113="","",IF(OR($B113="",$C113="",$D113=""),"待补楼栋/位置/日期",IF($C113="公共区域","公",SUBSTITUTE($C113,"栋",""))&amp;"-"&amp;$D113&amp;"-"&amp;TEXT(MONTH($B113),"00")&amp;TEXT(DAY($B113),"00")&amp;IF(COUNTIFS($C$5:$C113,$C113,$D$5:$D113,$D113)&gt;1,"-"&amp;TEXT(COUNTIFS($C$5:$C113,$C113,$D$5:$D113,$D113),"00"),"")))</f>
        <v/>
      </c>
      <c r="M113" s="21"/>
      <c r="N113" s="15"/>
      <c r="O113" s="21"/>
    </row>
    <row r="114" customFormat="false" ht="21.75" hidden="false" customHeight="true" outlineLevel="0" collapsed="false">
      <c r="A114" s="13" t="str">
        <f aca="false">IF($E114="","",COUNTA($E$5:$E114))</f>
        <v/>
      </c>
      <c r="B114" s="14"/>
      <c r="C114" s="15"/>
      <c r="D114" s="25"/>
      <c r="E114" s="21"/>
      <c r="F114" s="18"/>
      <c r="G114" s="15"/>
      <c r="H114" s="15"/>
      <c r="I114" s="15"/>
      <c r="J114" s="15"/>
      <c r="K114" s="18"/>
      <c r="L114" s="20" t="str">
        <f aca="false">IF($E114="","",IF(OR($B114="",$C114="",$D114=""),"待补楼栋/位置/日期",IF($C114="公共区域","公",SUBSTITUTE($C114,"栋",""))&amp;"-"&amp;$D114&amp;"-"&amp;TEXT(MONTH($B114),"00")&amp;TEXT(DAY($B114),"00")&amp;IF(COUNTIFS($C$5:$C114,$C114,$D$5:$D114,$D114)&gt;1,"-"&amp;TEXT(COUNTIFS($C$5:$C114,$C114,$D$5:$D114,$D114),"00"),"")))</f>
        <v/>
      </c>
      <c r="M114" s="21"/>
      <c r="N114" s="15"/>
      <c r="O114" s="21"/>
    </row>
    <row r="115" customFormat="false" ht="21.75" hidden="false" customHeight="true" outlineLevel="0" collapsed="false">
      <c r="A115" s="13" t="str">
        <f aca="false">IF($E115="","",COUNTA($E$5:$E115))</f>
        <v/>
      </c>
      <c r="B115" s="14"/>
      <c r="C115" s="15"/>
      <c r="D115" s="25"/>
      <c r="E115" s="21"/>
      <c r="F115" s="18"/>
      <c r="G115" s="15"/>
      <c r="H115" s="15"/>
      <c r="I115" s="15"/>
      <c r="J115" s="15"/>
      <c r="K115" s="18"/>
      <c r="L115" s="20" t="str">
        <f aca="false">IF($E115="","",IF(OR($B115="",$C115="",$D115=""),"待补楼栋/位置/日期",IF($C115="公共区域","公",SUBSTITUTE($C115,"栋",""))&amp;"-"&amp;$D115&amp;"-"&amp;TEXT(MONTH($B115),"00")&amp;TEXT(DAY($B115),"00")&amp;IF(COUNTIFS($C$5:$C115,$C115,$D$5:$D115,$D115)&gt;1,"-"&amp;TEXT(COUNTIFS($C$5:$C115,$C115,$D$5:$D115,$D115),"00"),"")))</f>
        <v/>
      </c>
      <c r="M115" s="21"/>
      <c r="N115" s="15"/>
      <c r="O115" s="21"/>
    </row>
    <row r="116" customFormat="false" ht="21.75" hidden="false" customHeight="true" outlineLevel="0" collapsed="false">
      <c r="A116" s="13" t="str">
        <f aca="false">IF($E116="","",COUNTA($E$5:$E116))</f>
        <v/>
      </c>
      <c r="B116" s="14"/>
      <c r="C116" s="15"/>
      <c r="D116" s="25"/>
      <c r="E116" s="21"/>
      <c r="F116" s="18"/>
      <c r="G116" s="15"/>
      <c r="H116" s="15"/>
      <c r="I116" s="15"/>
      <c r="J116" s="15"/>
      <c r="K116" s="18"/>
      <c r="L116" s="20" t="str">
        <f aca="false">IF($E116="","",IF(OR($B116="",$C116="",$D116=""),"待补楼栋/位置/日期",IF($C116="公共区域","公",SUBSTITUTE($C116,"栋",""))&amp;"-"&amp;$D116&amp;"-"&amp;TEXT(MONTH($B116),"00")&amp;TEXT(DAY($B116),"00")&amp;IF(COUNTIFS($C$5:$C116,$C116,$D$5:$D116,$D116)&gt;1,"-"&amp;TEXT(COUNTIFS($C$5:$C116,$C116,$D$5:$D116,$D116),"00"),"")))</f>
        <v/>
      </c>
      <c r="M116" s="21"/>
      <c r="N116" s="15"/>
      <c r="O116" s="21"/>
    </row>
    <row r="117" customFormat="false" ht="21.75" hidden="false" customHeight="true" outlineLevel="0" collapsed="false">
      <c r="A117" s="13" t="str">
        <f aca="false">IF($E117="","",COUNTA($E$5:$E117))</f>
        <v/>
      </c>
      <c r="B117" s="14"/>
      <c r="C117" s="15"/>
      <c r="D117" s="25"/>
      <c r="E117" s="21"/>
      <c r="F117" s="18"/>
      <c r="G117" s="15"/>
      <c r="H117" s="15"/>
      <c r="I117" s="15"/>
      <c r="J117" s="15"/>
      <c r="K117" s="18"/>
      <c r="L117" s="20" t="str">
        <f aca="false">IF($E117="","",IF(OR($B117="",$C117="",$D117=""),"待补楼栋/位置/日期",IF($C117="公共区域","公",SUBSTITUTE($C117,"栋",""))&amp;"-"&amp;$D117&amp;"-"&amp;TEXT(MONTH($B117),"00")&amp;TEXT(DAY($B117),"00")&amp;IF(COUNTIFS($C$5:$C117,$C117,$D$5:$D117,$D117)&gt;1,"-"&amp;TEXT(COUNTIFS($C$5:$C117,$C117,$D$5:$D117,$D117),"00"),"")))</f>
        <v/>
      </c>
      <c r="M117" s="21"/>
      <c r="N117" s="15"/>
      <c r="O117" s="21"/>
    </row>
    <row r="118" customFormat="false" ht="21.75" hidden="false" customHeight="true" outlineLevel="0" collapsed="false">
      <c r="A118" s="13" t="str">
        <f aca="false">IF($E118="","",COUNTA($E$5:$E118))</f>
        <v/>
      </c>
      <c r="B118" s="14"/>
      <c r="C118" s="15"/>
      <c r="D118" s="25"/>
      <c r="E118" s="21"/>
      <c r="F118" s="18"/>
      <c r="G118" s="15"/>
      <c r="H118" s="15"/>
      <c r="I118" s="15"/>
      <c r="J118" s="15"/>
      <c r="K118" s="18"/>
      <c r="L118" s="20" t="str">
        <f aca="false">IF($E118="","",IF(OR($B118="",$C118="",$D118=""),"待补楼栋/位置/日期",IF($C118="公共区域","公",SUBSTITUTE($C118,"栋",""))&amp;"-"&amp;$D118&amp;"-"&amp;TEXT(MONTH($B118),"00")&amp;TEXT(DAY($B118),"00")&amp;IF(COUNTIFS($C$5:$C118,$C118,$D$5:$D118,$D118)&gt;1,"-"&amp;TEXT(COUNTIFS($C$5:$C118,$C118,$D$5:$D118,$D118),"00"),"")))</f>
        <v/>
      </c>
      <c r="M118" s="21"/>
      <c r="N118" s="15"/>
      <c r="O118" s="21"/>
    </row>
    <row r="119" customFormat="false" ht="21.75" hidden="false" customHeight="true" outlineLevel="0" collapsed="false">
      <c r="A119" s="13" t="str">
        <f aca="false">IF($E119="","",COUNTA($E$5:$E119))</f>
        <v/>
      </c>
      <c r="B119" s="14"/>
      <c r="C119" s="15"/>
      <c r="D119" s="25"/>
      <c r="E119" s="21"/>
      <c r="F119" s="18"/>
      <c r="G119" s="15"/>
      <c r="H119" s="15"/>
      <c r="I119" s="15"/>
      <c r="J119" s="15"/>
      <c r="K119" s="18"/>
      <c r="L119" s="20" t="str">
        <f aca="false">IF($E119="","",IF(OR($B119="",$C119="",$D119=""),"待补楼栋/位置/日期",IF($C119="公共区域","公",SUBSTITUTE($C119,"栋",""))&amp;"-"&amp;$D119&amp;"-"&amp;TEXT(MONTH($B119),"00")&amp;TEXT(DAY($B119),"00")&amp;IF(COUNTIFS($C$5:$C119,$C119,$D$5:$D119,$D119)&gt;1,"-"&amp;TEXT(COUNTIFS($C$5:$C119,$C119,$D$5:$D119,$D119),"00"),"")))</f>
        <v/>
      </c>
      <c r="M119" s="21"/>
      <c r="N119" s="15"/>
      <c r="O119" s="21"/>
    </row>
    <row r="120" customFormat="false" ht="21.75" hidden="false" customHeight="true" outlineLevel="0" collapsed="false">
      <c r="A120" s="13" t="str">
        <f aca="false">IF($E120="","",COUNTA($E$5:$E120))</f>
        <v/>
      </c>
      <c r="B120" s="14"/>
      <c r="C120" s="15"/>
      <c r="D120" s="25"/>
      <c r="E120" s="21"/>
      <c r="F120" s="18"/>
      <c r="G120" s="15"/>
      <c r="H120" s="15"/>
      <c r="I120" s="15"/>
      <c r="J120" s="15"/>
      <c r="K120" s="18"/>
      <c r="L120" s="20" t="str">
        <f aca="false">IF($E120="","",IF(OR($B120="",$C120="",$D120=""),"待补楼栋/位置/日期",IF($C120="公共区域","公",SUBSTITUTE($C120,"栋",""))&amp;"-"&amp;$D120&amp;"-"&amp;TEXT(MONTH($B120),"00")&amp;TEXT(DAY($B120),"00")&amp;IF(COUNTIFS($C$5:$C120,$C120,$D$5:$D120,$D120)&gt;1,"-"&amp;TEXT(COUNTIFS($C$5:$C120,$C120,$D$5:$D120,$D120),"00"),"")))</f>
        <v/>
      </c>
      <c r="M120" s="21"/>
      <c r="N120" s="15"/>
      <c r="O120" s="21"/>
    </row>
    <row r="121" customFormat="false" ht="21.75" hidden="false" customHeight="true" outlineLevel="0" collapsed="false">
      <c r="A121" s="13" t="str">
        <f aca="false">IF($E121="","",COUNTA($E$5:$E121))</f>
        <v/>
      </c>
      <c r="B121" s="14"/>
      <c r="C121" s="15"/>
      <c r="D121" s="25"/>
      <c r="E121" s="21"/>
      <c r="F121" s="18"/>
      <c r="G121" s="15"/>
      <c r="H121" s="15"/>
      <c r="I121" s="15"/>
      <c r="J121" s="15"/>
      <c r="K121" s="18"/>
      <c r="L121" s="20" t="str">
        <f aca="false">IF($E121="","",IF(OR($B121="",$C121="",$D121=""),"待补楼栋/位置/日期",IF($C121="公共区域","公",SUBSTITUTE($C121,"栋",""))&amp;"-"&amp;$D121&amp;"-"&amp;TEXT(MONTH($B121),"00")&amp;TEXT(DAY($B121),"00")&amp;IF(COUNTIFS($C$5:$C121,$C121,$D$5:$D121,$D121)&gt;1,"-"&amp;TEXT(COUNTIFS($C$5:$C121,$C121,$D$5:$D121,$D121),"00"),"")))</f>
        <v/>
      </c>
      <c r="M121" s="21"/>
      <c r="N121" s="15"/>
      <c r="O121" s="21"/>
    </row>
    <row r="122" customFormat="false" ht="21.75" hidden="false" customHeight="true" outlineLevel="0" collapsed="false">
      <c r="A122" s="13" t="str">
        <f aca="false">IF($E122="","",COUNTA($E$5:$E122))</f>
        <v/>
      </c>
      <c r="B122" s="14"/>
      <c r="C122" s="15"/>
      <c r="D122" s="25"/>
      <c r="E122" s="21"/>
      <c r="F122" s="18"/>
      <c r="G122" s="15"/>
      <c r="H122" s="15"/>
      <c r="I122" s="15"/>
      <c r="J122" s="15"/>
      <c r="K122" s="18"/>
      <c r="L122" s="20" t="str">
        <f aca="false">IF($E122="","",IF(OR($B122="",$C122="",$D122=""),"待补楼栋/位置/日期",IF($C122="公共区域","公",SUBSTITUTE($C122,"栋",""))&amp;"-"&amp;$D122&amp;"-"&amp;TEXT(MONTH($B122),"00")&amp;TEXT(DAY($B122),"00")&amp;IF(COUNTIFS($C$5:$C122,$C122,$D$5:$D122,$D122)&gt;1,"-"&amp;TEXT(COUNTIFS($C$5:$C122,$C122,$D$5:$D122,$D122),"00"),"")))</f>
        <v/>
      </c>
      <c r="M122" s="21"/>
      <c r="N122" s="15"/>
      <c r="O122" s="21"/>
    </row>
    <row r="123" customFormat="false" ht="21.75" hidden="false" customHeight="true" outlineLevel="0" collapsed="false">
      <c r="A123" s="13" t="str">
        <f aca="false">IF($E123="","",COUNTA($E$5:$E123))</f>
        <v/>
      </c>
      <c r="B123" s="14"/>
      <c r="C123" s="15"/>
      <c r="D123" s="25"/>
      <c r="E123" s="21"/>
      <c r="F123" s="18"/>
      <c r="G123" s="15"/>
      <c r="H123" s="15"/>
      <c r="I123" s="15"/>
      <c r="J123" s="15"/>
      <c r="K123" s="18"/>
      <c r="L123" s="20" t="str">
        <f aca="false">IF($E123="","",IF(OR($B123="",$C123="",$D123=""),"待补楼栋/位置/日期",IF($C123="公共区域","公",SUBSTITUTE($C123,"栋",""))&amp;"-"&amp;$D123&amp;"-"&amp;TEXT(MONTH($B123),"00")&amp;TEXT(DAY($B123),"00")&amp;IF(COUNTIFS($C$5:$C123,$C123,$D$5:$D123,$D123)&gt;1,"-"&amp;TEXT(COUNTIFS($C$5:$C123,$C123,$D$5:$D123,$D123),"00"),"")))</f>
        <v/>
      </c>
      <c r="M123" s="21"/>
      <c r="N123" s="15"/>
      <c r="O123" s="21"/>
    </row>
    <row r="124" customFormat="false" ht="21.75" hidden="false" customHeight="true" outlineLevel="0" collapsed="false">
      <c r="A124" s="13" t="str">
        <f aca="false">IF($E124="","",COUNTA($E$5:$E124))</f>
        <v/>
      </c>
      <c r="B124" s="14"/>
      <c r="C124" s="15"/>
      <c r="D124" s="25"/>
      <c r="E124" s="21"/>
      <c r="F124" s="18"/>
      <c r="G124" s="15"/>
      <c r="H124" s="15"/>
      <c r="I124" s="15"/>
      <c r="J124" s="15"/>
      <c r="K124" s="18"/>
      <c r="L124" s="20" t="str">
        <f aca="false">IF($E124="","",IF(OR($B124="",$C124="",$D124=""),"待补楼栋/位置/日期",IF($C124="公共区域","公",SUBSTITUTE($C124,"栋",""))&amp;"-"&amp;$D124&amp;"-"&amp;TEXT(MONTH($B124),"00")&amp;TEXT(DAY($B124),"00")&amp;IF(COUNTIFS($C$5:$C124,$C124,$D$5:$D124,$D124)&gt;1,"-"&amp;TEXT(COUNTIFS($C$5:$C124,$C124,$D$5:$D124,$D124),"00"),"")))</f>
        <v/>
      </c>
      <c r="M124" s="21"/>
      <c r="N124" s="15"/>
      <c r="O124" s="21"/>
    </row>
    <row r="125" customFormat="false" ht="21.75" hidden="false" customHeight="true" outlineLevel="0" collapsed="false">
      <c r="A125" s="13" t="str">
        <f aca="false">IF($E125="","",COUNTA($E$5:$E125))</f>
        <v/>
      </c>
      <c r="B125" s="14"/>
      <c r="C125" s="15"/>
      <c r="D125" s="25"/>
      <c r="E125" s="21"/>
      <c r="F125" s="18"/>
      <c r="G125" s="15"/>
      <c r="H125" s="15"/>
      <c r="I125" s="15"/>
      <c r="J125" s="15"/>
      <c r="K125" s="18"/>
      <c r="L125" s="20" t="str">
        <f aca="false">IF($E125="","",IF(OR($B125="",$C125="",$D125=""),"待补楼栋/位置/日期",IF($C125="公共区域","公",SUBSTITUTE($C125,"栋",""))&amp;"-"&amp;$D125&amp;"-"&amp;TEXT(MONTH($B125),"00")&amp;TEXT(DAY($B125),"00")&amp;IF(COUNTIFS($C$5:$C125,$C125,$D$5:$D125,$D125)&gt;1,"-"&amp;TEXT(COUNTIFS($C$5:$C125,$C125,$D$5:$D125,$D125),"00"),"")))</f>
        <v/>
      </c>
      <c r="M125" s="21"/>
      <c r="N125" s="15"/>
      <c r="O125" s="21"/>
    </row>
    <row r="126" customFormat="false" ht="21.75" hidden="false" customHeight="true" outlineLevel="0" collapsed="false">
      <c r="A126" s="13" t="str">
        <f aca="false">IF($E126="","",COUNTA($E$5:$E126))</f>
        <v/>
      </c>
      <c r="B126" s="14"/>
      <c r="C126" s="15"/>
      <c r="D126" s="25"/>
      <c r="E126" s="21"/>
      <c r="F126" s="18"/>
      <c r="G126" s="15"/>
      <c r="H126" s="15"/>
      <c r="I126" s="15"/>
      <c r="J126" s="15"/>
      <c r="K126" s="18"/>
      <c r="L126" s="20" t="str">
        <f aca="false">IF($E126="","",IF(OR($B126="",$C126="",$D126=""),"待补楼栋/位置/日期",IF($C126="公共区域","公",SUBSTITUTE($C126,"栋",""))&amp;"-"&amp;$D126&amp;"-"&amp;TEXT(MONTH($B126),"00")&amp;TEXT(DAY($B126),"00")&amp;IF(COUNTIFS($C$5:$C126,$C126,$D$5:$D126,$D126)&gt;1,"-"&amp;TEXT(COUNTIFS($C$5:$C126,$C126,$D$5:$D126,$D126),"00"),"")))</f>
        <v/>
      </c>
      <c r="M126" s="21"/>
      <c r="N126" s="15"/>
      <c r="O126" s="21"/>
    </row>
    <row r="127" customFormat="false" ht="21.75" hidden="false" customHeight="true" outlineLevel="0" collapsed="false">
      <c r="A127" s="13" t="str">
        <f aca="false">IF($E127="","",COUNTA($E$5:$E127))</f>
        <v/>
      </c>
      <c r="B127" s="14"/>
      <c r="C127" s="15"/>
      <c r="D127" s="25"/>
      <c r="E127" s="21"/>
      <c r="F127" s="18"/>
      <c r="G127" s="15"/>
      <c r="H127" s="15"/>
      <c r="I127" s="15"/>
      <c r="J127" s="15"/>
      <c r="K127" s="18"/>
      <c r="L127" s="20" t="str">
        <f aca="false">IF($E127="","",IF(OR($B127="",$C127="",$D127=""),"待补楼栋/位置/日期",IF($C127="公共区域","公",SUBSTITUTE($C127,"栋",""))&amp;"-"&amp;$D127&amp;"-"&amp;TEXT(MONTH($B127),"00")&amp;TEXT(DAY($B127),"00")&amp;IF(COUNTIFS($C$5:$C127,$C127,$D$5:$D127,$D127)&gt;1,"-"&amp;TEXT(COUNTIFS($C$5:$C127,$C127,$D$5:$D127,$D127),"00"),"")))</f>
        <v/>
      </c>
      <c r="M127" s="21"/>
      <c r="N127" s="15"/>
      <c r="O127" s="21"/>
    </row>
    <row r="128" customFormat="false" ht="21.75" hidden="false" customHeight="true" outlineLevel="0" collapsed="false">
      <c r="A128" s="13" t="str">
        <f aca="false">IF($E128="","",COUNTA($E$5:$E128))</f>
        <v/>
      </c>
      <c r="B128" s="14"/>
      <c r="C128" s="15"/>
      <c r="D128" s="25"/>
      <c r="E128" s="21"/>
      <c r="F128" s="18"/>
      <c r="G128" s="15"/>
      <c r="H128" s="15"/>
      <c r="I128" s="15"/>
      <c r="J128" s="15"/>
      <c r="K128" s="18"/>
      <c r="L128" s="20" t="str">
        <f aca="false">IF($E128="","",IF(OR($B128="",$C128="",$D128=""),"待补楼栋/位置/日期",IF($C128="公共区域","公",SUBSTITUTE($C128,"栋",""))&amp;"-"&amp;$D128&amp;"-"&amp;TEXT(MONTH($B128),"00")&amp;TEXT(DAY($B128),"00")&amp;IF(COUNTIFS($C$5:$C128,$C128,$D$5:$D128,$D128)&gt;1,"-"&amp;TEXT(COUNTIFS($C$5:$C128,$C128,$D$5:$D128,$D128),"00"),"")))</f>
        <v/>
      </c>
      <c r="M128" s="21"/>
      <c r="N128" s="15"/>
      <c r="O128" s="21"/>
    </row>
    <row r="129" customFormat="false" ht="21.75" hidden="false" customHeight="true" outlineLevel="0" collapsed="false">
      <c r="A129" s="13" t="str">
        <f aca="false">IF($E129="","",COUNTA($E$5:$E129))</f>
        <v/>
      </c>
      <c r="B129" s="14"/>
      <c r="C129" s="15"/>
      <c r="D129" s="25"/>
      <c r="E129" s="21"/>
      <c r="F129" s="18"/>
      <c r="G129" s="15"/>
      <c r="H129" s="15"/>
      <c r="I129" s="15"/>
      <c r="J129" s="15"/>
      <c r="K129" s="18"/>
      <c r="L129" s="20" t="str">
        <f aca="false">IF($E129="","",IF(OR($B129="",$C129="",$D129=""),"待补楼栋/位置/日期",IF($C129="公共区域","公",SUBSTITUTE($C129,"栋",""))&amp;"-"&amp;$D129&amp;"-"&amp;TEXT(MONTH($B129),"00")&amp;TEXT(DAY($B129),"00")&amp;IF(COUNTIFS($C$5:$C129,$C129,$D$5:$D129,$D129)&gt;1,"-"&amp;TEXT(COUNTIFS($C$5:$C129,$C129,$D$5:$D129,$D129),"00"),"")))</f>
        <v/>
      </c>
      <c r="M129" s="21"/>
      <c r="N129" s="15"/>
      <c r="O129" s="21"/>
    </row>
    <row r="130" customFormat="false" ht="21.75" hidden="false" customHeight="true" outlineLevel="0" collapsed="false">
      <c r="A130" s="13" t="str">
        <f aca="false">IF($E130="","",COUNTA($E$5:$E130))</f>
        <v/>
      </c>
      <c r="B130" s="14"/>
      <c r="C130" s="15"/>
      <c r="D130" s="25"/>
      <c r="E130" s="21"/>
      <c r="F130" s="18"/>
      <c r="G130" s="15"/>
      <c r="H130" s="15"/>
      <c r="I130" s="15"/>
      <c r="J130" s="15"/>
      <c r="K130" s="18"/>
      <c r="L130" s="20" t="str">
        <f aca="false">IF($E130="","",IF(OR($B130="",$C130="",$D130=""),"待补楼栋/位置/日期",IF($C130="公共区域","公",SUBSTITUTE($C130,"栋",""))&amp;"-"&amp;$D130&amp;"-"&amp;TEXT(MONTH($B130),"00")&amp;TEXT(DAY($B130),"00")&amp;IF(COUNTIFS($C$5:$C130,$C130,$D$5:$D130,$D130)&gt;1,"-"&amp;TEXT(COUNTIFS($C$5:$C130,$C130,$D$5:$D130,$D130),"00"),"")))</f>
        <v/>
      </c>
      <c r="M130" s="21"/>
      <c r="N130" s="15"/>
      <c r="O130" s="21"/>
    </row>
    <row r="131" customFormat="false" ht="21.75" hidden="false" customHeight="true" outlineLevel="0" collapsed="false">
      <c r="A131" s="13" t="str">
        <f aca="false">IF($E131="","",COUNTA($E$5:$E131))</f>
        <v/>
      </c>
      <c r="B131" s="14"/>
      <c r="C131" s="15"/>
      <c r="D131" s="25"/>
      <c r="E131" s="21"/>
      <c r="F131" s="18"/>
      <c r="G131" s="15"/>
      <c r="H131" s="15"/>
      <c r="I131" s="15"/>
      <c r="J131" s="15"/>
      <c r="K131" s="18"/>
      <c r="L131" s="20" t="str">
        <f aca="false">IF($E131="","",IF(OR($B131="",$C131="",$D131=""),"待补楼栋/位置/日期",IF($C131="公共区域","公",SUBSTITUTE($C131,"栋",""))&amp;"-"&amp;$D131&amp;"-"&amp;TEXT(MONTH($B131),"00")&amp;TEXT(DAY($B131),"00")&amp;IF(COUNTIFS($C$5:$C131,$C131,$D$5:$D131,$D131)&gt;1,"-"&amp;TEXT(COUNTIFS($C$5:$C131,$C131,$D$5:$D131,$D131),"00"),"")))</f>
        <v/>
      </c>
      <c r="M131" s="21"/>
      <c r="N131" s="15"/>
      <c r="O131" s="21"/>
    </row>
    <row r="132" customFormat="false" ht="21.75" hidden="false" customHeight="true" outlineLevel="0" collapsed="false">
      <c r="A132" s="13" t="str">
        <f aca="false">IF($E132="","",COUNTA($E$5:$E132))</f>
        <v/>
      </c>
      <c r="B132" s="14"/>
      <c r="C132" s="15"/>
      <c r="D132" s="25"/>
      <c r="E132" s="21"/>
      <c r="F132" s="18"/>
      <c r="G132" s="15"/>
      <c r="H132" s="15"/>
      <c r="I132" s="15"/>
      <c r="J132" s="15"/>
      <c r="K132" s="18"/>
      <c r="L132" s="20" t="str">
        <f aca="false">IF($E132="","",IF(OR($B132="",$C132="",$D132=""),"待补楼栋/位置/日期",IF($C132="公共区域","公",SUBSTITUTE($C132,"栋",""))&amp;"-"&amp;$D132&amp;"-"&amp;TEXT(MONTH($B132),"00")&amp;TEXT(DAY($B132),"00")&amp;IF(COUNTIFS($C$5:$C132,$C132,$D$5:$D132,$D132)&gt;1,"-"&amp;TEXT(COUNTIFS($C$5:$C132,$C132,$D$5:$D132,$D132),"00"),"")))</f>
        <v/>
      </c>
      <c r="M132" s="21"/>
      <c r="N132" s="15"/>
      <c r="O132" s="21"/>
    </row>
    <row r="133" customFormat="false" ht="21.75" hidden="false" customHeight="true" outlineLevel="0" collapsed="false">
      <c r="A133" s="13" t="str">
        <f aca="false">IF($E133="","",COUNTA($E$5:$E133))</f>
        <v/>
      </c>
      <c r="B133" s="14"/>
      <c r="C133" s="15"/>
      <c r="D133" s="25"/>
      <c r="E133" s="21"/>
      <c r="F133" s="18"/>
      <c r="G133" s="15"/>
      <c r="H133" s="15"/>
      <c r="I133" s="15"/>
      <c r="J133" s="15"/>
      <c r="K133" s="18"/>
      <c r="L133" s="20" t="str">
        <f aca="false">IF($E133="","",IF(OR($B133="",$C133="",$D133=""),"待补楼栋/位置/日期",IF($C133="公共区域","公",SUBSTITUTE($C133,"栋",""))&amp;"-"&amp;$D133&amp;"-"&amp;TEXT(MONTH($B133),"00")&amp;TEXT(DAY($B133),"00")&amp;IF(COUNTIFS($C$5:$C133,$C133,$D$5:$D133,$D133)&gt;1,"-"&amp;TEXT(COUNTIFS($C$5:$C133,$C133,$D$5:$D133,$D133),"00"),"")))</f>
        <v/>
      </c>
      <c r="M133" s="21"/>
      <c r="N133" s="15"/>
      <c r="O133" s="21"/>
    </row>
    <row r="134" customFormat="false" ht="21.75" hidden="false" customHeight="true" outlineLevel="0" collapsed="false">
      <c r="A134" s="13" t="str">
        <f aca="false">IF($E134="","",COUNTA($E$5:$E134))</f>
        <v/>
      </c>
      <c r="B134" s="14"/>
      <c r="C134" s="15"/>
      <c r="D134" s="25"/>
      <c r="E134" s="21"/>
      <c r="F134" s="18"/>
      <c r="G134" s="15"/>
      <c r="H134" s="15"/>
      <c r="I134" s="15"/>
      <c r="J134" s="15"/>
      <c r="K134" s="18"/>
      <c r="L134" s="20" t="str">
        <f aca="false">IF($E134="","",IF(OR($B134="",$C134="",$D134=""),"待补楼栋/位置/日期",IF($C134="公共区域","公",SUBSTITUTE($C134,"栋",""))&amp;"-"&amp;$D134&amp;"-"&amp;TEXT(MONTH($B134),"00")&amp;TEXT(DAY($B134),"00")&amp;IF(COUNTIFS($C$5:$C134,$C134,$D$5:$D134,$D134)&gt;1,"-"&amp;TEXT(COUNTIFS($C$5:$C134,$C134,$D$5:$D134,$D134),"00"),"")))</f>
        <v/>
      </c>
      <c r="M134" s="21"/>
      <c r="N134" s="15"/>
      <c r="O134" s="21"/>
    </row>
    <row r="135" customFormat="false" ht="21.75" hidden="false" customHeight="true" outlineLevel="0" collapsed="false">
      <c r="A135" s="13" t="str">
        <f aca="false">IF($E135="","",COUNTA($E$5:$E135))</f>
        <v/>
      </c>
      <c r="B135" s="14"/>
      <c r="C135" s="15"/>
      <c r="D135" s="25"/>
      <c r="E135" s="21"/>
      <c r="F135" s="18"/>
      <c r="G135" s="15"/>
      <c r="H135" s="15"/>
      <c r="I135" s="15"/>
      <c r="J135" s="15"/>
      <c r="K135" s="18"/>
      <c r="L135" s="20" t="str">
        <f aca="false">IF($E135="","",IF(OR($B135="",$C135="",$D135=""),"待补楼栋/位置/日期",IF($C135="公共区域","公",SUBSTITUTE($C135,"栋",""))&amp;"-"&amp;$D135&amp;"-"&amp;TEXT(MONTH($B135),"00")&amp;TEXT(DAY($B135),"00")&amp;IF(COUNTIFS($C$5:$C135,$C135,$D$5:$D135,$D135)&gt;1,"-"&amp;TEXT(COUNTIFS($C$5:$C135,$C135,$D$5:$D135,$D135),"00"),"")))</f>
        <v/>
      </c>
      <c r="M135" s="21"/>
      <c r="N135" s="15"/>
      <c r="O135" s="21"/>
    </row>
    <row r="136" customFormat="false" ht="21.75" hidden="false" customHeight="true" outlineLevel="0" collapsed="false">
      <c r="A136" s="13" t="str">
        <f aca="false">IF($E136="","",COUNTA($E$5:$E136))</f>
        <v/>
      </c>
      <c r="B136" s="14"/>
      <c r="C136" s="15"/>
      <c r="D136" s="25"/>
      <c r="E136" s="21"/>
      <c r="F136" s="18"/>
      <c r="G136" s="15"/>
      <c r="H136" s="15"/>
      <c r="I136" s="15"/>
      <c r="J136" s="15"/>
      <c r="K136" s="18"/>
      <c r="L136" s="20" t="str">
        <f aca="false">IF($E136="","",IF(OR($B136="",$C136="",$D136=""),"待补楼栋/位置/日期",IF($C136="公共区域","公",SUBSTITUTE($C136,"栋",""))&amp;"-"&amp;$D136&amp;"-"&amp;TEXT(MONTH($B136),"00")&amp;TEXT(DAY($B136),"00")&amp;IF(COUNTIFS($C$5:$C136,$C136,$D$5:$D136,$D136)&gt;1,"-"&amp;TEXT(COUNTIFS($C$5:$C136,$C136,$D$5:$D136,$D136),"00"),"")))</f>
        <v/>
      </c>
      <c r="M136" s="21"/>
      <c r="N136" s="15"/>
      <c r="O136" s="21"/>
    </row>
    <row r="137" customFormat="false" ht="21.75" hidden="false" customHeight="true" outlineLevel="0" collapsed="false">
      <c r="A137" s="13" t="str">
        <f aca="false">IF($E137="","",COUNTA($E$5:$E137))</f>
        <v/>
      </c>
      <c r="B137" s="14"/>
      <c r="C137" s="15"/>
      <c r="D137" s="25"/>
      <c r="E137" s="21"/>
      <c r="F137" s="18"/>
      <c r="G137" s="15"/>
      <c r="H137" s="15"/>
      <c r="I137" s="15"/>
      <c r="J137" s="15"/>
      <c r="K137" s="18"/>
      <c r="L137" s="20" t="str">
        <f aca="false">IF($E137="","",IF(OR($B137="",$C137="",$D137=""),"待补楼栋/位置/日期",IF($C137="公共区域","公",SUBSTITUTE($C137,"栋",""))&amp;"-"&amp;$D137&amp;"-"&amp;TEXT(MONTH($B137),"00")&amp;TEXT(DAY($B137),"00")&amp;IF(COUNTIFS($C$5:$C137,$C137,$D$5:$D137,$D137)&gt;1,"-"&amp;TEXT(COUNTIFS($C$5:$C137,$C137,$D$5:$D137,$D137),"00"),"")))</f>
        <v/>
      </c>
      <c r="M137" s="21"/>
      <c r="N137" s="15"/>
      <c r="O137" s="21"/>
    </row>
    <row r="138" customFormat="false" ht="21.75" hidden="false" customHeight="true" outlineLevel="0" collapsed="false">
      <c r="A138" s="13" t="str">
        <f aca="false">IF($E138="","",COUNTA($E$5:$E138))</f>
        <v/>
      </c>
      <c r="B138" s="14"/>
      <c r="C138" s="15"/>
      <c r="D138" s="25"/>
      <c r="E138" s="21"/>
      <c r="F138" s="18"/>
      <c r="G138" s="15"/>
      <c r="H138" s="15"/>
      <c r="I138" s="15"/>
      <c r="J138" s="15"/>
      <c r="K138" s="18"/>
      <c r="L138" s="20" t="str">
        <f aca="false">IF($E138="","",IF(OR($B138="",$C138="",$D138=""),"待补楼栋/位置/日期",IF($C138="公共区域","公",SUBSTITUTE($C138,"栋",""))&amp;"-"&amp;$D138&amp;"-"&amp;TEXT(MONTH($B138),"00")&amp;TEXT(DAY($B138),"00")&amp;IF(COUNTIFS($C$5:$C138,$C138,$D$5:$D138,$D138)&gt;1,"-"&amp;TEXT(COUNTIFS($C$5:$C138,$C138,$D$5:$D138,$D138),"00"),"")))</f>
        <v/>
      </c>
      <c r="M138" s="21"/>
      <c r="N138" s="15"/>
      <c r="O138" s="21"/>
    </row>
    <row r="139" customFormat="false" ht="21.75" hidden="false" customHeight="true" outlineLevel="0" collapsed="false">
      <c r="A139" s="13" t="str">
        <f aca="false">IF($E139="","",COUNTA($E$5:$E139))</f>
        <v/>
      </c>
      <c r="B139" s="14"/>
      <c r="C139" s="15"/>
      <c r="D139" s="25"/>
      <c r="E139" s="21"/>
      <c r="F139" s="18"/>
      <c r="G139" s="15"/>
      <c r="H139" s="15"/>
      <c r="I139" s="15"/>
      <c r="J139" s="15"/>
      <c r="K139" s="18"/>
      <c r="L139" s="20" t="str">
        <f aca="false">IF($E139="","",IF(OR($B139="",$C139="",$D139=""),"待补楼栋/位置/日期",IF($C139="公共区域","公",SUBSTITUTE($C139,"栋",""))&amp;"-"&amp;$D139&amp;"-"&amp;TEXT(MONTH($B139),"00")&amp;TEXT(DAY($B139),"00")&amp;IF(COUNTIFS($C$5:$C139,$C139,$D$5:$D139,$D139)&gt;1,"-"&amp;TEXT(COUNTIFS($C$5:$C139,$C139,$D$5:$D139,$D139),"00"),"")))</f>
        <v/>
      </c>
      <c r="M139" s="21"/>
      <c r="N139" s="15"/>
      <c r="O139" s="21"/>
    </row>
    <row r="140" customFormat="false" ht="21.75" hidden="false" customHeight="true" outlineLevel="0" collapsed="false">
      <c r="A140" s="13" t="str">
        <f aca="false">IF($E140="","",COUNTA($E$5:$E140))</f>
        <v/>
      </c>
      <c r="B140" s="14"/>
      <c r="C140" s="15"/>
      <c r="D140" s="25"/>
      <c r="E140" s="21"/>
      <c r="F140" s="18"/>
      <c r="G140" s="15"/>
      <c r="H140" s="15"/>
      <c r="I140" s="15"/>
      <c r="J140" s="15"/>
      <c r="K140" s="18"/>
      <c r="L140" s="20" t="str">
        <f aca="false">IF($E140="","",IF(OR($B140="",$C140="",$D140=""),"待补楼栋/位置/日期",IF($C140="公共区域","公",SUBSTITUTE($C140,"栋",""))&amp;"-"&amp;$D140&amp;"-"&amp;TEXT(MONTH($B140),"00")&amp;TEXT(DAY($B140),"00")&amp;IF(COUNTIFS($C$5:$C140,$C140,$D$5:$D140,$D140)&gt;1,"-"&amp;TEXT(COUNTIFS($C$5:$C140,$C140,$D$5:$D140,$D140),"00"),"")))</f>
        <v/>
      </c>
      <c r="M140" s="21"/>
      <c r="N140" s="15"/>
      <c r="O140" s="21"/>
    </row>
    <row r="141" customFormat="false" ht="21.75" hidden="false" customHeight="true" outlineLevel="0" collapsed="false">
      <c r="A141" s="13" t="str">
        <f aca="false">IF($E141="","",COUNTA($E$5:$E141))</f>
        <v/>
      </c>
      <c r="B141" s="14"/>
      <c r="C141" s="15"/>
      <c r="D141" s="25"/>
      <c r="E141" s="21"/>
      <c r="F141" s="18"/>
      <c r="G141" s="15"/>
      <c r="H141" s="15"/>
      <c r="I141" s="15"/>
      <c r="J141" s="15"/>
      <c r="K141" s="18"/>
      <c r="L141" s="20" t="str">
        <f aca="false">IF($E141="","",IF(OR($B141="",$C141="",$D141=""),"待补楼栋/位置/日期",IF($C141="公共区域","公",SUBSTITUTE($C141,"栋",""))&amp;"-"&amp;$D141&amp;"-"&amp;TEXT(MONTH($B141),"00")&amp;TEXT(DAY($B141),"00")&amp;IF(COUNTIFS($C$5:$C141,$C141,$D$5:$D141,$D141)&gt;1,"-"&amp;TEXT(COUNTIFS($C$5:$C141,$C141,$D$5:$D141,$D141),"00"),"")))</f>
        <v/>
      </c>
      <c r="M141" s="21"/>
      <c r="N141" s="15"/>
      <c r="O141" s="21"/>
    </row>
    <row r="142" customFormat="false" ht="21.75" hidden="false" customHeight="true" outlineLevel="0" collapsed="false">
      <c r="A142" s="13" t="str">
        <f aca="false">IF($E142="","",COUNTA($E$5:$E142))</f>
        <v/>
      </c>
      <c r="B142" s="14"/>
      <c r="C142" s="15"/>
      <c r="D142" s="25"/>
      <c r="E142" s="21"/>
      <c r="F142" s="18"/>
      <c r="G142" s="15"/>
      <c r="H142" s="15"/>
      <c r="I142" s="15"/>
      <c r="J142" s="15"/>
      <c r="K142" s="18"/>
      <c r="L142" s="20" t="str">
        <f aca="false">IF($E142="","",IF(OR($B142="",$C142="",$D142=""),"待补楼栋/位置/日期",IF($C142="公共区域","公",SUBSTITUTE($C142,"栋",""))&amp;"-"&amp;$D142&amp;"-"&amp;TEXT(MONTH($B142),"00")&amp;TEXT(DAY($B142),"00")&amp;IF(COUNTIFS($C$5:$C142,$C142,$D$5:$D142,$D142)&gt;1,"-"&amp;TEXT(COUNTIFS($C$5:$C142,$C142,$D$5:$D142,$D142),"00"),"")))</f>
        <v/>
      </c>
      <c r="M142" s="21"/>
      <c r="N142" s="15"/>
      <c r="O142" s="21"/>
    </row>
    <row r="143" customFormat="false" ht="21.75" hidden="false" customHeight="true" outlineLevel="0" collapsed="false">
      <c r="A143" s="13" t="str">
        <f aca="false">IF($E143="","",COUNTA($E$5:$E143))</f>
        <v/>
      </c>
      <c r="B143" s="14"/>
      <c r="C143" s="15"/>
      <c r="D143" s="25"/>
      <c r="E143" s="21"/>
      <c r="F143" s="18"/>
      <c r="G143" s="15"/>
      <c r="H143" s="15"/>
      <c r="I143" s="15"/>
      <c r="J143" s="15"/>
      <c r="K143" s="18"/>
      <c r="L143" s="20" t="str">
        <f aca="false">IF($E143="","",IF(OR($B143="",$C143="",$D143=""),"待补楼栋/位置/日期",IF($C143="公共区域","公",SUBSTITUTE($C143,"栋",""))&amp;"-"&amp;$D143&amp;"-"&amp;TEXT(MONTH($B143),"00")&amp;TEXT(DAY($B143),"00")&amp;IF(COUNTIFS($C$5:$C143,$C143,$D$5:$D143,$D143)&gt;1,"-"&amp;TEXT(COUNTIFS($C$5:$C143,$C143,$D$5:$D143,$D143),"00"),"")))</f>
        <v/>
      </c>
      <c r="M143" s="21"/>
      <c r="N143" s="15"/>
      <c r="O143" s="21"/>
    </row>
    <row r="144" customFormat="false" ht="21.75" hidden="false" customHeight="true" outlineLevel="0" collapsed="false">
      <c r="A144" s="13" t="str">
        <f aca="false">IF($E144="","",COUNTA($E$5:$E144))</f>
        <v/>
      </c>
      <c r="B144" s="14"/>
      <c r="C144" s="15"/>
      <c r="D144" s="25"/>
      <c r="E144" s="21"/>
      <c r="F144" s="18"/>
      <c r="G144" s="15"/>
      <c r="H144" s="15"/>
      <c r="I144" s="15"/>
      <c r="J144" s="15"/>
      <c r="K144" s="18"/>
      <c r="L144" s="20" t="str">
        <f aca="false">IF($E144="","",IF(OR($B144="",$C144="",$D144=""),"待补楼栋/位置/日期",IF($C144="公共区域","公",SUBSTITUTE($C144,"栋",""))&amp;"-"&amp;$D144&amp;"-"&amp;TEXT(MONTH($B144),"00")&amp;TEXT(DAY($B144),"00")&amp;IF(COUNTIFS($C$5:$C144,$C144,$D$5:$D144,$D144)&gt;1,"-"&amp;TEXT(COUNTIFS($C$5:$C144,$C144,$D$5:$D144,$D144),"00"),"")))</f>
        <v/>
      </c>
      <c r="M144" s="21"/>
      <c r="N144" s="15"/>
      <c r="O144" s="21"/>
    </row>
    <row r="145" customFormat="false" ht="21.75" hidden="false" customHeight="true" outlineLevel="0" collapsed="false">
      <c r="A145" s="13" t="str">
        <f aca="false">IF($E145="","",COUNTA($E$5:$E145))</f>
        <v/>
      </c>
      <c r="B145" s="14"/>
      <c r="C145" s="15"/>
      <c r="D145" s="25"/>
      <c r="E145" s="21"/>
      <c r="F145" s="18"/>
      <c r="G145" s="15"/>
      <c r="H145" s="15"/>
      <c r="I145" s="15"/>
      <c r="J145" s="15"/>
      <c r="K145" s="18"/>
      <c r="L145" s="20" t="str">
        <f aca="false">IF($E145="","",IF(OR($B145="",$C145="",$D145=""),"待补楼栋/位置/日期",IF($C145="公共区域","公",SUBSTITUTE($C145,"栋",""))&amp;"-"&amp;$D145&amp;"-"&amp;TEXT(MONTH($B145),"00")&amp;TEXT(DAY($B145),"00")&amp;IF(COUNTIFS($C$5:$C145,$C145,$D$5:$D145,$D145)&gt;1,"-"&amp;TEXT(COUNTIFS($C$5:$C145,$C145,$D$5:$D145,$D145),"00"),"")))</f>
        <v/>
      </c>
      <c r="M145" s="21"/>
      <c r="N145" s="15"/>
      <c r="O145" s="21"/>
    </row>
    <row r="146" customFormat="false" ht="21.75" hidden="false" customHeight="true" outlineLevel="0" collapsed="false">
      <c r="A146" s="13" t="str">
        <f aca="false">IF($E146="","",COUNTA($E$5:$E146))</f>
        <v/>
      </c>
      <c r="B146" s="14"/>
      <c r="C146" s="15"/>
      <c r="D146" s="25"/>
      <c r="E146" s="21"/>
      <c r="F146" s="18"/>
      <c r="G146" s="15"/>
      <c r="H146" s="15"/>
      <c r="I146" s="15"/>
      <c r="J146" s="15"/>
      <c r="K146" s="18"/>
      <c r="L146" s="20" t="str">
        <f aca="false">IF($E146="","",IF(OR($B146="",$C146="",$D146=""),"待补楼栋/位置/日期",IF($C146="公共区域","公",SUBSTITUTE($C146,"栋",""))&amp;"-"&amp;$D146&amp;"-"&amp;TEXT(MONTH($B146),"00")&amp;TEXT(DAY($B146),"00")&amp;IF(COUNTIFS($C$5:$C146,$C146,$D$5:$D146,$D146)&gt;1,"-"&amp;TEXT(COUNTIFS($C$5:$C146,$C146,$D$5:$D146,$D146),"00"),"")))</f>
        <v/>
      </c>
      <c r="M146" s="21"/>
      <c r="N146" s="15"/>
      <c r="O146" s="21"/>
    </row>
    <row r="147" customFormat="false" ht="21.75" hidden="false" customHeight="true" outlineLevel="0" collapsed="false">
      <c r="A147" s="13" t="str">
        <f aca="false">IF($E147="","",COUNTA($E$5:$E147))</f>
        <v/>
      </c>
      <c r="B147" s="14"/>
      <c r="C147" s="15"/>
      <c r="D147" s="25"/>
      <c r="E147" s="21"/>
      <c r="F147" s="18"/>
      <c r="G147" s="15"/>
      <c r="H147" s="15"/>
      <c r="I147" s="15"/>
      <c r="J147" s="15"/>
      <c r="K147" s="18"/>
      <c r="L147" s="20" t="str">
        <f aca="false">IF($E147="","",IF(OR($B147="",$C147="",$D147=""),"待补楼栋/位置/日期",IF($C147="公共区域","公",SUBSTITUTE($C147,"栋",""))&amp;"-"&amp;$D147&amp;"-"&amp;TEXT(MONTH($B147),"00")&amp;TEXT(DAY($B147),"00")&amp;IF(COUNTIFS($C$5:$C147,$C147,$D$5:$D147,$D147)&gt;1,"-"&amp;TEXT(COUNTIFS($C$5:$C147,$C147,$D$5:$D147,$D147),"00"),"")))</f>
        <v/>
      </c>
      <c r="M147" s="21"/>
      <c r="N147" s="15"/>
      <c r="O147" s="21"/>
    </row>
    <row r="148" customFormat="false" ht="21.75" hidden="false" customHeight="true" outlineLevel="0" collapsed="false">
      <c r="A148" s="13" t="str">
        <f aca="false">IF($E148="","",COUNTA($E$5:$E148))</f>
        <v/>
      </c>
      <c r="B148" s="14"/>
      <c r="C148" s="15"/>
      <c r="D148" s="25"/>
      <c r="E148" s="21"/>
      <c r="F148" s="18"/>
      <c r="G148" s="15"/>
      <c r="H148" s="15"/>
      <c r="I148" s="15"/>
      <c r="J148" s="15"/>
      <c r="K148" s="18"/>
      <c r="L148" s="20" t="str">
        <f aca="false">IF($E148="","",IF(OR($B148="",$C148="",$D148=""),"待补楼栋/位置/日期",IF($C148="公共区域","公",SUBSTITUTE($C148,"栋",""))&amp;"-"&amp;$D148&amp;"-"&amp;TEXT(MONTH($B148),"00")&amp;TEXT(DAY($B148),"00")&amp;IF(COUNTIFS($C$5:$C148,$C148,$D$5:$D148,$D148)&gt;1,"-"&amp;TEXT(COUNTIFS($C$5:$C148,$C148,$D$5:$D148,$D148),"00"),"")))</f>
        <v/>
      </c>
      <c r="M148" s="21"/>
      <c r="N148" s="15"/>
      <c r="O148" s="21"/>
    </row>
    <row r="149" customFormat="false" ht="21.75" hidden="false" customHeight="true" outlineLevel="0" collapsed="false">
      <c r="A149" s="13" t="str">
        <f aca="false">IF($E149="","",COUNTA($E$5:$E149))</f>
        <v/>
      </c>
      <c r="B149" s="14"/>
      <c r="C149" s="15"/>
      <c r="D149" s="25"/>
      <c r="E149" s="21"/>
      <c r="F149" s="18"/>
      <c r="G149" s="15"/>
      <c r="H149" s="15"/>
      <c r="I149" s="15"/>
      <c r="J149" s="15"/>
      <c r="K149" s="18"/>
      <c r="L149" s="20" t="str">
        <f aca="false">IF($E149="","",IF(OR($B149="",$C149="",$D149=""),"待补楼栋/位置/日期",IF($C149="公共区域","公",SUBSTITUTE($C149,"栋",""))&amp;"-"&amp;$D149&amp;"-"&amp;TEXT(MONTH($B149),"00")&amp;TEXT(DAY($B149),"00")&amp;IF(COUNTIFS($C$5:$C149,$C149,$D$5:$D149,$D149)&gt;1,"-"&amp;TEXT(COUNTIFS($C$5:$C149,$C149,$D$5:$D149,$D149),"00"),"")))</f>
        <v/>
      </c>
      <c r="M149" s="21"/>
      <c r="N149" s="15"/>
      <c r="O149" s="21"/>
    </row>
    <row r="150" customFormat="false" ht="21.75" hidden="false" customHeight="true" outlineLevel="0" collapsed="false">
      <c r="A150" s="13" t="str">
        <f aca="false">IF($E150="","",COUNTA($E$5:$E150))</f>
        <v/>
      </c>
      <c r="B150" s="14"/>
      <c r="C150" s="15"/>
      <c r="D150" s="25"/>
      <c r="E150" s="21"/>
      <c r="F150" s="18"/>
      <c r="G150" s="15"/>
      <c r="H150" s="15"/>
      <c r="I150" s="15"/>
      <c r="J150" s="15"/>
      <c r="K150" s="18"/>
      <c r="L150" s="20" t="str">
        <f aca="false">IF($E150="","",IF(OR($B150="",$C150="",$D150=""),"待补楼栋/位置/日期",IF($C150="公共区域","公",SUBSTITUTE($C150,"栋",""))&amp;"-"&amp;$D150&amp;"-"&amp;TEXT(MONTH($B150),"00")&amp;TEXT(DAY($B150),"00")&amp;IF(COUNTIFS($C$5:$C150,$C150,$D$5:$D150,$D150)&gt;1,"-"&amp;TEXT(COUNTIFS($C$5:$C150,$C150,$D$5:$D150,$D150),"00"),"")))</f>
        <v/>
      </c>
      <c r="M150" s="21"/>
      <c r="N150" s="15"/>
      <c r="O150" s="21"/>
    </row>
    <row r="151" customFormat="false" ht="21.75" hidden="false" customHeight="true" outlineLevel="0" collapsed="false">
      <c r="A151" s="13" t="str">
        <f aca="false">IF($E151="","",COUNTA($E$5:$E151))</f>
        <v/>
      </c>
      <c r="B151" s="14"/>
      <c r="C151" s="15"/>
      <c r="D151" s="25"/>
      <c r="E151" s="21"/>
      <c r="F151" s="18"/>
      <c r="G151" s="15"/>
      <c r="H151" s="15"/>
      <c r="I151" s="15"/>
      <c r="J151" s="15"/>
      <c r="K151" s="18"/>
      <c r="L151" s="20" t="str">
        <f aca="false">IF($E151="","",IF(OR($B151="",$C151="",$D151=""),"待补楼栋/位置/日期",IF($C151="公共区域","公",SUBSTITUTE($C151,"栋",""))&amp;"-"&amp;$D151&amp;"-"&amp;TEXT(MONTH($B151),"00")&amp;TEXT(DAY($B151),"00")&amp;IF(COUNTIFS($C$5:$C151,$C151,$D$5:$D151,$D151)&gt;1,"-"&amp;TEXT(COUNTIFS($C$5:$C151,$C151,$D$5:$D151,$D151),"00"),"")))</f>
        <v/>
      </c>
      <c r="M151" s="21"/>
      <c r="N151" s="15"/>
      <c r="O151" s="21"/>
    </row>
    <row r="152" customFormat="false" ht="21.75" hidden="false" customHeight="true" outlineLevel="0" collapsed="false">
      <c r="A152" s="13" t="str">
        <f aca="false">IF($E152="","",COUNTA($E$5:$E152))</f>
        <v/>
      </c>
      <c r="B152" s="14"/>
      <c r="C152" s="15"/>
      <c r="D152" s="25"/>
      <c r="E152" s="21"/>
      <c r="F152" s="18"/>
      <c r="G152" s="15"/>
      <c r="H152" s="15"/>
      <c r="I152" s="15"/>
      <c r="J152" s="15"/>
      <c r="K152" s="18"/>
      <c r="L152" s="20" t="str">
        <f aca="false">IF($E152="","",IF(OR($B152="",$C152="",$D152=""),"待补楼栋/位置/日期",IF($C152="公共区域","公",SUBSTITUTE($C152,"栋",""))&amp;"-"&amp;$D152&amp;"-"&amp;TEXT(MONTH($B152),"00")&amp;TEXT(DAY($B152),"00")&amp;IF(COUNTIFS($C$5:$C152,$C152,$D$5:$D152,$D152)&gt;1,"-"&amp;TEXT(COUNTIFS($C$5:$C152,$C152,$D$5:$D152,$D152),"00"),"")))</f>
        <v/>
      </c>
      <c r="M152" s="21"/>
      <c r="N152" s="15"/>
      <c r="O152" s="21"/>
    </row>
    <row r="153" customFormat="false" ht="21.75" hidden="false" customHeight="true" outlineLevel="0" collapsed="false">
      <c r="A153" s="13" t="str">
        <f aca="false">IF($E153="","",COUNTA($E$5:$E153))</f>
        <v/>
      </c>
      <c r="B153" s="14"/>
      <c r="C153" s="15"/>
      <c r="D153" s="25"/>
      <c r="E153" s="21"/>
      <c r="F153" s="18"/>
      <c r="G153" s="15"/>
      <c r="H153" s="15"/>
      <c r="I153" s="15"/>
      <c r="J153" s="15"/>
      <c r="K153" s="18"/>
      <c r="L153" s="20" t="str">
        <f aca="false">IF($E153="","",IF(OR($B153="",$C153="",$D153=""),"待补楼栋/位置/日期",IF($C153="公共区域","公",SUBSTITUTE($C153,"栋",""))&amp;"-"&amp;$D153&amp;"-"&amp;TEXT(MONTH($B153),"00")&amp;TEXT(DAY($B153),"00")&amp;IF(COUNTIFS($C$5:$C153,$C153,$D$5:$D153,$D153)&gt;1,"-"&amp;TEXT(COUNTIFS($C$5:$C153,$C153,$D$5:$D153,$D153),"00"),"")))</f>
        <v/>
      </c>
      <c r="M153" s="21"/>
      <c r="N153" s="15"/>
      <c r="O153" s="21"/>
    </row>
    <row r="154" customFormat="false" ht="21.75" hidden="false" customHeight="true" outlineLevel="0" collapsed="false">
      <c r="A154" s="13" t="str">
        <f aca="false">IF($E154="","",COUNTA($E$5:$E154))</f>
        <v/>
      </c>
      <c r="B154" s="14"/>
      <c r="C154" s="15"/>
      <c r="D154" s="25"/>
      <c r="E154" s="21"/>
      <c r="F154" s="18"/>
      <c r="G154" s="15"/>
      <c r="H154" s="15"/>
      <c r="I154" s="15"/>
      <c r="J154" s="15"/>
      <c r="K154" s="18"/>
      <c r="L154" s="20" t="str">
        <f aca="false">IF($E154="","",IF(OR($B154="",$C154="",$D154=""),"待补楼栋/位置/日期",IF($C154="公共区域","公",SUBSTITUTE($C154,"栋",""))&amp;"-"&amp;$D154&amp;"-"&amp;TEXT(MONTH($B154),"00")&amp;TEXT(DAY($B154),"00")&amp;IF(COUNTIFS($C$5:$C154,$C154,$D$5:$D154,$D154)&gt;1,"-"&amp;TEXT(COUNTIFS($C$5:$C154,$C154,$D$5:$D154,$D154),"00"),"")))</f>
        <v/>
      </c>
      <c r="M154" s="21"/>
      <c r="N154" s="15"/>
      <c r="O154" s="21"/>
    </row>
    <row r="155" customFormat="false" ht="21.75" hidden="false" customHeight="true" outlineLevel="0" collapsed="false">
      <c r="A155" s="13" t="str">
        <f aca="false">IF($E155="","",COUNTA($E$5:$E155))</f>
        <v/>
      </c>
      <c r="B155" s="14"/>
      <c r="C155" s="15"/>
      <c r="D155" s="25"/>
      <c r="E155" s="21"/>
      <c r="F155" s="18"/>
      <c r="G155" s="15"/>
      <c r="H155" s="15"/>
      <c r="I155" s="15"/>
      <c r="J155" s="15"/>
      <c r="K155" s="18"/>
      <c r="L155" s="20" t="str">
        <f aca="false">IF($E155="","",IF(OR($B155="",$C155="",$D155=""),"待补楼栋/位置/日期",IF($C155="公共区域","公",SUBSTITUTE($C155,"栋",""))&amp;"-"&amp;$D155&amp;"-"&amp;TEXT(MONTH($B155),"00")&amp;TEXT(DAY($B155),"00")&amp;IF(COUNTIFS($C$5:$C155,$C155,$D$5:$D155,$D155)&gt;1,"-"&amp;TEXT(COUNTIFS($C$5:$C155,$C155,$D$5:$D155,$D155),"00"),"")))</f>
        <v/>
      </c>
      <c r="M155" s="21"/>
      <c r="N155" s="15"/>
      <c r="O155" s="21"/>
    </row>
    <row r="156" customFormat="false" ht="21.75" hidden="false" customHeight="true" outlineLevel="0" collapsed="false">
      <c r="A156" s="13" t="str">
        <f aca="false">IF($E156="","",COUNTA($E$5:$E156))</f>
        <v/>
      </c>
      <c r="B156" s="14"/>
      <c r="C156" s="15"/>
      <c r="D156" s="25"/>
      <c r="E156" s="21"/>
      <c r="F156" s="18"/>
      <c r="G156" s="15"/>
      <c r="H156" s="15"/>
      <c r="I156" s="15"/>
      <c r="J156" s="15"/>
      <c r="K156" s="18"/>
      <c r="L156" s="20" t="str">
        <f aca="false">IF($E156="","",IF(OR($B156="",$C156="",$D156=""),"待补楼栋/位置/日期",IF($C156="公共区域","公",SUBSTITUTE($C156,"栋",""))&amp;"-"&amp;$D156&amp;"-"&amp;TEXT(MONTH($B156),"00")&amp;TEXT(DAY($B156),"00")&amp;IF(COUNTIFS($C$5:$C156,$C156,$D$5:$D156,$D156)&gt;1,"-"&amp;TEXT(COUNTIFS($C$5:$C156,$C156,$D$5:$D156,$D156),"00"),"")))</f>
        <v/>
      </c>
      <c r="M156" s="21"/>
      <c r="N156" s="15"/>
      <c r="O156" s="21"/>
    </row>
    <row r="157" customFormat="false" ht="21.75" hidden="false" customHeight="true" outlineLevel="0" collapsed="false">
      <c r="A157" s="13" t="str">
        <f aca="false">IF($E157="","",COUNTA($E$5:$E157))</f>
        <v/>
      </c>
      <c r="B157" s="14"/>
      <c r="C157" s="15"/>
      <c r="D157" s="25"/>
      <c r="E157" s="21"/>
      <c r="F157" s="18"/>
      <c r="G157" s="15"/>
      <c r="H157" s="15"/>
      <c r="I157" s="15"/>
      <c r="J157" s="15"/>
      <c r="K157" s="18"/>
      <c r="L157" s="20" t="str">
        <f aca="false">IF($E157="","",IF(OR($B157="",$C157="",$D157=""),"待补楼栋/位置/日期",IF($C157="公共区域","公",SUBSTITUTE($C157,"栋",""))&amp;"-"&amp;$D157&amp;"-"&amp;TEXT(MONTH($B157),"00")&amp;TEXT(DAY($B157),"00")&amp;IF(COUNTIFS($C$5:$C157,$C157,$D$5:$D157,$D157)&gt;1,"-"&amp;TEXT(COUNTIFS($C$5:$C157,$C157,$D$5:$D157,$D157),"00"),"")))</f>
        <v/>
      </c>
      <c r="M157" s="21"/>
      <c r="N157" s="15"/>
      <c r="O157" s="21"/>
    </row>
    <row r="158" customFormat="false" ht="21.75" hidden="false" customHeight="true" outlineLevel="0" collapsed="false">
      <c r="A158" s="13" t="str">
        <f aca="false">IF($E158="","",COUNTA($E$5:$E158))</f>
        <v/>
      </c>
      <c r="B158" s="14"/>
      <c r="C158" s="15"/>
      <c r="D158" s="25"/>
      <c r="E158" s="21"/>
      <c r="F158" s="18"/>
      <c r="G158" s="15"/>
      <c r="H158" s="15"/>
      <c r="I158" s="15"/>
      <c r="J158" s="15"/>
      <c r="K158" s="18"/>
      <c r="L158" s="20" t="str">
        <f aca="false">IF($E158="","",IF(OR($B158="",$C158="",$D158=""),"待补楼栋/位置/日期",IF($C158="公共区域","公",SUBSTITUTE($C158,"栋",""))&amp;"-"&amp;$D158&amp;"-"&amp;TEXT(MONTH($B158),"00")&amp;TEXT(DAY($B158),"00")&amp;IF(COUNTIFS($C$5:$C158,$C158,$D$5:$D158,$D158)&gt;1,"-"&amp;TEXT(COUNTIFS($C$5:$C158,$C158,$D$5:$D158,$D158),"00"),"")))</f>
        <v/>
      </c>
      <c r="M158" s="21"/>
      <c r="N158" s="15"/>
      <c r="O158" s="21"/>
    </row>
    <row r="159" customFormat="false" ht="21.75" hidden="false" customHeight="true" outlineLevel="0" collapsed="false">
      <c r="A159" s="13" t="str">
        <f aca="false">IF($E159="","",COUNTA($E$5:$E159))</f>
        <v/>
      </c>
      <c r="B159" s="14"/>
      <c r="C159" s="15"/>
      <c r="D159" s="25"/>
      <c r="E159" s="21"/>
      <c r="F159" s="18"/>
      <c r="G159" s="15"/>
      <c r="H159" s="15"/>
      <c r="I159" s="15"/>
      <c r="J159" s="15"/>
      <c r="K159" s="18"/>
      <c r="L159" s="20" t="str">
        <f aca="false">IF($E159="","",IF(OR($B159="",$C159="",$D159=""),"待补楼栋/位置/日期",IF($C159="公共区域","公",SUBSTITUTE($C159,"栋",""))&amp;"-"&amp;$D159&amp;"-"&amp;TEXT(MONTH($B159),"00")&amp;TEXT(DAY($B159),"00")&amp;IF(COUNTIFS($C$5:$C159,$C159,$D$5:$D159,$D159)&gt;1,"-"&amp;TEXT(COUNTIFS($C$5:$C159,$C159,$D$5:$D159,$D159),"00"),"")))</f>
        <v/>
      </c>
      <c r="M159" s="21"/>
      <c r="N159" s="15"/>
      <c r="O159" s="21"/>
    </row>
    <row r="160" customFormat="false" ht="21.75" hidden="false" customHeight="true" outlineLevel="0" collapsed="false">
      <c r="A160" s="13" t="str">
        <f aca="false">IF($E160="","",COUNTA($E$5:$E160))</f>
        <v/>
      </c>
      <c r="B160" s="14"/>
      <c r="C160" s="15"/>
      <c r="D160" s="25"/>
      <c r="E160" s="21"/>
      <c r="F160" s="18"/>
      <c r="G160" s="15"/>
      <c r="H160" s="15"/>
      <c r="I160" s="15"/>
      <c r="J160" s="15"/>
      <c r="K160" s="18"/>
      <c r="L160" s="20" t="str">
        <f aca="false">IF($E160="","",IF(OR($B160="",$C160="",$D160=""),"待补楼栋/位置/日期",IF($C160="公共区域","公",SUBSTITUTE($C160,"栋",""))&amp;"-"&amp;$D160&amp;"-"&amp;TEXT(MONTH($B160),"00")&amp;TEXT(DAY($B160),"00")&amp;IF(COUNTIFS($C$5:$C160,$C160,$D$5:$D160,$D160)&gt;1,"-"&amp;TEXT(COUNTIFS($C$5:$C160,$C160,$D$5:$D160,$D160),"00"),"")))</f>
        <v/>
      </c>
      <c r="M160" s="21"/>
      <c r="N160" s="15"/>
      <c r="O160" s="21"/>
    </row>
    <row r="161" customFormat="false" ht="21.75" hidden="false" customHeight="true" outlineLevel="0" collapsed="false">
      <c r="A161" s="13" t="str">
        <f aca="false">IF($E161="","",COUNTA($E$5:$E161))</f>
        <v/>
      </c>
      <c r="B161" s="14"/>
      <c r="C161" s="15"/>
      <c r="D161" s="25"/>
      <c r="E161" s="21"/>
      <c r="F161" s="18"/>
      <c r="G161" s="15"/>
      <c r="H161" s="15"/>
      <c r="I161" s="15"/>
      <c r="J161" s="15"/>
      <c r="K161" s="18"/>
      <c r="L161" s="20" t="str">
        <f aca="false">IF($E161="","",IF(OR($B161="",$C161="",$D161=""),"待补楼栋/位置/日期",IF($C161="公共区域","公",SUBSTITUTE($C161,"栋",""))&amp;"-"&amp;$D161&amp;"-"&amp;TEXT(MONTH($B161),"00")&amp;TEXT(DAY($B161),"00")&amp;IF(COUNTIFS($C$5:$C161,$C161,$D$5:$D161,$D161)&gt;1,"-"&amp;TEXT(COUNTIFS($C$5:$C161,$C161,$D$5:$D161,$D161),"00"),"")))</f>
        <v/>
      </c>
      <c r="M161" s="21"/>
      <c r="N161" s="15"/>
      <c r="O161" s="21"/>
    </row>
    <row r="162" customFormat="false" ht="21.75" hidden="false" customHeight="true" outlineLevel="0" collapsed="false">
      <c r="A162" s="13" t="str">
        <f aca="false">IF($E162="","",COUNTA($E$5:$E162))</f>
        <v/>
      </c>
      <c r="B162" s="14"/>
      <c r="C162" s="15"/>
      <c r="D162" s="25"/>
      <c r="E162" s="21"/>
      <c r="F162" s="18"/>
      <c r="G162" s="15"/>
      <c r="H162" s="15"/>
      <c r="I162" s="15"/>
      <c r="J162" s="15"/>
      <c r="K162" s="18"/>
      <c r="L162" s="20" t="str">
        <f aca="false">IF($E162="","",IF(OR($B162="",$C162="",$D162=""),"待补楼栋/位置/日期",IF($C162="公共区域","公",SUBSTITUTE($C162,"栋",""))&amp;"-"&amp;$D162&amp;"-"&amp;TEXT(MONTH($B162),"00")&amp;TEXT(DAY($B162),"00")&amp;IF(COUNTIFS($C$5:$C162,$C162,$D$5:$D162,$D162)&gt;1,"-"&amp;TEXT(COUNTIFS($C$5:$C162,$C162,$D$5:$D162,$D162),"00"),"")))</f>
        <v/>
      </c>
      <c r="M162" s="21"/>
      <c r="N162" s="15"/>
      <c r="O162" s="21"/>
    </row>
    <row r="163" customFormat="false" ht="21.75" hidden="false" customHeight="true" outlineLevel="0" collapsed="false">
      <c r="A163" s="13" t="str">
        <f aca="false">IF($E163="","",COUNTA($E$5:$E163))</f>
        <v/>
      </c>
      <c r="B163" s="14"/>
      <c r="C163" s="15"/>
      <c r="D163" s="25"/>
      <c r="E163" s="21"/>
      <c r="F163" s="18"/>
      <c r="G163" s="15"/>
      <c r="H163" s="15"/>
      <c r="I163" s="15"/>
      <c r="J163" s="15"/>
      <c r="K163" s="18"/>
      <c r="L163" s="20" t="str">
        <f aca="false">IF($E163="","",IF(OR($B163="",$C163="",$D163=""),"待补楼栋/位置/日期",IF($C163="公共区域","公",SUBSTITUTE($C163,"栋",""))&amp;"-"&amp;$D163&amp;"-"&amp;TEXT(MONTH($B163),"00")&amp;TEXT(DAY($B163),"00")&amp;IF(COUNTIFS($C$5:$C163,$C163,$D$5:$D163,$D163)&gt;1,"-"&amp;TEXT(COUNTIFS($C$5:$C163,$C163,$D$5:$D163,$D163),"00"),"")))</f>
        <v/>
      </c>
      <c r="M163" s="21"/>
      <c r="N163" s="15"/>
      <c r="O163" s="21"/>
    </row>
    <row r="164" customFormat="false" ht="21.75" hidden="false" customHeight="true" outlineLevel="0" collapsed="false">
      <c r="A164" s="13" t="str">
        <f aca="false">IF($E164="","",COUNTA($E$5:$E164))</f>
        <v/>
      </c>
      <c r="B164" s="14"/>
      <c r="C164" s="15"/>
      <c r="D164" s="25"/>
      <c r="E164" s="21"/>
      <c r="F164" s="18"/>
      <c r="G164" s="15"/>
      <c r="H164" s="15"/>
      <c r="I164" s="15"/>
      <c r="J164" s="15"/>
      <c r="K164" s="18"/>
      <c r="L164" s="20" t="str">
        <f aca="false">IF($E164="","",IF(OR($B164="",$C164="",$D164=""),"待补楼栋/位置/日期",IF($C164="公共区域","公",SUBSTITUTE($C164,"栋",""))&amp;"-"&amp;$D164&amp;"-"&amp;TEXT(MONTH($B164),"00")&amp;TEXT(DAY($B164),"00")&amp;IF(COUNTIFS($C$5:$C164,$C164,$D$5:$D164,$D164)&gt;1,"-"&amp;TEXT(COUNTIFS($C$5:$C164,$C164,$D$5:$D164,$D164),"00"),"")))</f>
        <v/>
      </c>
      <c r="M164" s="21"/>
      <c r="N164" s="15"/>
      <c r="O164" s="21"/>
    </row>
    <row r="165" customFormat="false" ht="21.75" hidden="false" customHeight="true" outlineLevel="0" collapsed="false">
      <c r="A165" s="13" t="str">
        <f aca="false">IF($E165="","",COUNTA($E$5:$E165))</f>
        <v/>
      </c>
      <c r="B165" s="14"/>
      <c r="C165" s="15"/>
      <c r="D165" s="25"/>
      <c r="E165" s="21"/>
      <c r="F165" s="18"/>
      <c r="G165" s="15"/>
      <c r="H165" s="15"/>
      <c r="I165" s="15"/>
      <c r="J165" s="15"/>
      <c r="K165" s="18"/>
      <c r="L165" s="20" t="str">
        <f aca="false">IF($E165="","",IF(OR($B165="",$C165="",$D165=""),"待补楼栋/位置/日期",IF($C165="公共区域","公",SUBSTITUTE($C165,"栋",""))&amp;"-"&amp;$D165&amp;"-"&amp;TEXT(MONTH($B165),"00")&amp;TEXT(DAY($B165),"00")&amp;IF(COUNTIFS($C$5:$C165,$C165,$D$5:$D165,$D165)&gt;1,"-"&amp;TEXT(COUNTIFS($C$5:$C165,$C165,$D$5:$D165,$D165),"00"),"")))</f>
        <v/>
      </c>
      <c r="M165" s="21"/>
      <c r="N165" s="15"/>
      <c r="O165" s="21"/>
    </row>
    <row r="166" customFormat="false" ht="21.75" hidden="false" customHeight="true" outlineLevel="0" collapsed="false">
      <c r="A166" s="13" t="str">
        <f aca="false">IF($E166="","",COUNTA($E$5:$E166))</f>
        <v/>
      </c>
      <c r="B166" s="14"/>
      <c r="C166" s="15"/>
      <c r="D166" s="25"/>
      <c r="E166" s="21"/>
      <c r="F166" s="18"/>
      <c r="G166" s="15"/>
      <c r="H166" s="15"/>
      <c r="I166" s="15"/>
      <c r="J166" s="15"/>
      <c r="K166" s="18"/>
      <c r="L166" s="20" t="str">
        <f aca="false">IF($E166="","",IF(OR($B166="",$C166="",$D166=""),"待补楼栋/位置/日期",IF($C166="公共区域","公",SUBSTITUTE($C166,"栋",""))&amp;"-"&amp;$D166&amp;"-"&amp;TEXT(MONTH($B166),"00")&amp;TEXT(DAY($B166),"00")&amp;IF(COUNTIFS($C$5:$C166,$C166,$D$5:$D166,$D166)&gt;1,"-"&amp;TEXT(COUNTIFS($C$5:$C166,$C166,$D$5:$D166,$D166),"00"),"")))</f>
        <v/>
      </c>
      <c r="M166" s="21"/>
      <c r="N166" s="15"/>
      <c r="O166" s="21"/>
    </row>
    <row r="167" customFormat="false" ht="21.75" hidden="false" customHeight="true" outlineLevel="0" collapsed="false">
      <c r="A167" s="13" t="str">
        <f aca="false">IF($E167="","",COUNTA($E$5:$E167))</f>
        <v/>
      </c>
      <c r="B167" s="14"/>
      <c r="C167" s="15"/>
      <c r="D167" s="25"/>
      <c r="E167" s="21"/>
      <c r="F167" s="18"/>
      <c r="G167" s="15"/>
      <c r="H167" s="15"/>
      <c r="I167" s="15"/>
      <c r="J167" s="15"/>
      <c r="K167" s="18"/>
      <c r="L167" s="20" t="str">
        <f aca="false">IF($E167="","",IF(OR($B167="",$C167="",$D167=""),"待补楼栋/位置/日期",IF($C167="公共区域","公",SUBSTITUTE($C167,"栋",""))&amp;"-"&amp;$D167&amp;"-"&amp;TEXT(MONTH($B167),"00")&amp;TEXT(DAY($B167),"00")&amp;IF(COUNTIFS($C$5:$C167,$C167,$D$5:$D167,$D167)&gt;1,"-"&amp;TEXT(COUNTIFS($C$5:$C167,$C167,$D$5:$D167,$D167),"00"),"")))</f>
        <v/>
      </c>
      <c r="M167" s="21"/>
      <c r="N167" s="15"/>
      <c r="O167" s="21"/>
    </row>
    <row r="168" customFormat="false" ht="21.75" hidden="false" customHeight="true" outlineLevel="0" collapsed="false">
      <c r="A168" s="13" t="str">
        <f aca="false">IF($E168="","",COUNTA($E$5:$E168))</f>
        <v/>
      </c>
      <c r="B168" s="14"/>
      <c r="C168" s="15"/>
      <c r="D168" s="25"/>
      <c r="E168" s="21"/>
      <c r="F168" s="18"/>
      <c r="G168" s="15"/>
      <c r="H168" s="15"/>
      <c r="I168" s="15"/>
      <c r="J168" s="15"/>
      <c r="K168" s="18"/>
      <c r="L168" s="20" t="str">
        <f aca="false">IF($E168="","",IF(OR($B168="",$C168="",$D168=""),"待补楼栋/位置/日期",IF($C168="公共区域","公",SUBSTITUTE($C168,"栋",""))&amp;"-"&amp;$D168&amp;"-"&amp;TEXT(MONTH($B168),"00")&amp;TEXT(DAY($B168),"00")&amp;IF(COUNTIFS($C$5:$C168,$C168,$D$5:$D168,$D168)&gt;1,"-"&amp;TEXT(COUNTIFS($C$5:$C168,$C168,$D$5:$D168,$D168),"00"),"")))</f>
        <v/>
      </c>
      <c r="M168" s="21"/>
      <c r="N168" s="15"/>
      <c r="O168" s="21"/>
    </row>
    <row r="169" customFormat="false" ht="21.75" hidden="false" customHeight="true" outlineLevel="0" collapsed="false">
      <c r="A169" s="13" t="str">
        <f aca="false">IF($E169="","",COUNTA($E$5:$E169))</f>
        <v/>
      </c>
      <c r="B169" s="14"/>
      <c r="C169" s="15"/>
      <c r="D169" s="25"/>
      <c r="E169" s="21"/>
      <c r="F169" s="18"/>
      <c r="G169" s="15"/>
      <c r="H169" s="15"/>
      <c r="I169" s="15"/>
      <c r="J169" s="15"/>
      <c r="K169" s="18"/>
      <c r="L169" s="20" t="str">
        <f aca="false">IF($E169="","",IF(OR($B169="",$C169="",$D169=""),"待补楼栋/位置/日期",IF($C169="公共区域","公",SUBSTITUTE($C169,"栋",""))&amp;"-"&amp;$D169&amp;"-"&amp;TEXT(MONTH($B169),"00")&amp;TEXT(DAY($B169),"00")&amp;IF(COUNTIFS($C$5:$C169,$C169,$D$5:$D169,$D169)&gt;1,"-"&amp;TEXT(COUNTIFS($C$5:$C169,$C169,$D$5:$D169,$D169),"00"),"")))</f>
        <v/>
      </c>
      <c r="M169" s="21"/>
      <c r="N169" s="15"/>
      <c r="O169" s="21"/>
    </row>
    <row r="170" customFormat="false" ht="21.75" hidden="false" customHeight="true" outlineLevel="0" collapsed="false">
      <c r="A170" s="13" t="str">
        <f aca="false">IF($E170="","",COUNTA($E$5:$E170))</f>
        <v/>
      </c>
      <c r="B170" s="14"/>
      <c r="C170" s="15"/>
      <c r="D170" s="25"/>
      <c r="E170" s="21"/>
      <c r="F170" s="18"/>
      <c r="G170" s="15"/>
      <c r="H170" s="15"/>
      <c r="I170" s="15"/>
      <c r="J170" s="15"/>
      <c r="K170" s="18"/>
      <c r="L170" s="20" t="str">
        <f aca="false">IF($E170="","",IF(OR($B170="",$C170="",$D170=""),"待补楼栋/位置/日期",IF($C170="公共区域","公",SUBSTITUTE($C170,"栋",""))&amp;"-"&amp;$D170&amp;"-"&amp;TEXT(MONTH($B170),"00")&amp;TEXT(DAY($B170),"00")&amp;IF(COUNTIFS($C$5:$C170,$C170,$D$5:$D170,$D170)&gt;1,"-"&amp;TEXT(COUNTIFS($C$5:$C170,$C170,$D$5:$D170,$D170),"00"),"")))</f>
        <v/>
      </c>
      <c r="M170" s="21"/>
      <c r="N170" s="15"/>
      <c r="O170" s="21"/>
    </row>
    <row r="171" customFormat="false" ht="21.75" hidden="false" customHeight="true" outlineLevel="0" collapsed="false">
      <c r="A171" s="13" t="str">
        <f aca="false">IF($E171="","",COUNTA($E$5:$E171))</f>
        <v/>
      </c>
      <c r="B171" s="14"/>
      <c r="C171" s="15"/>
      <c r="D171" s="25"/>
      <c r="E171" s="21"/>
      <c r="F171" s="18"/>
      <c r="G171" s="15"/>
      <c r="H171" s="15"/>
      <c r="I171" s="15"/>
      <c r="J171" s="15"/>
      <c r="K171" s="18"/>
      <c r="L171" s="20" t="str">
        <f aca="false">IF($E171="","",IF(OR($B171="",$C171="",$D171=""),"待补楼栋/位置/日期",IF($C171="公共区域","公",SUBSTITUTE($C171,"栋",""))&amp;"-"&amp;$D171&amp;"-"&amp;TEXT(MONTH($B171),"00")&amp;TEXT(DAY($B171),"00")&amp;IF(COUNTIFS($C$5:$C171,$C171,$D$5:$D171,$D171)&gt;1,"-"&amp;TEXT(COUNTIFS($C$5:$C171,$C171,$D$5:$D171,$D171),"00"),"")))</f>
        <v/>
      </c>
      <c r="M171" s="21"/>
      <c r="N171" s="15"/>
      <c r="O171" s="21"/>
    </row>
    <row r="172" customFormat="false" ht="21.75" hidden="false" customHeight="true" outlineLevel="0" collapsed="false">
      <c r="A172" s="13" t="str">
        <f aca="false">IF($E172="","",COUNTA($E$5:$E172))</f>
        <v/>
      </c>
      <c r="B172" s="14"/>
      <c r="C172" s="15"/>
      <c r="D172" s="25"/>
      <c r="E172" s="21"/>
      <c r="F172" s="18"/>
      <c r="G172" s="15"/>
      <c r="H172" s="15"/>
      <c r="I172" s="15"/>
      <c r="J172" s="15"/>
      <c r="K172" s="18"/>
      <c r="L172" s="20" t="str">
        <f aca="false">IF($E172="","",IF(OR($B172="",$C172="",$D172=""),"待补楼栋/位置/日期",IF($C172="公共区域","公",SUBSTITUTE($C172,"栋",""))&amp;"-"&amp;$D172&amp;"-"&amp;TEXT(MONTH($B172),"00")&amp;TEXT(DAY($B172),"00")&amp;IF(COUNTIFS($C$5:$C172,$C172,$D$5:$D172,$D172)&gt;1,"-"&amp;TEXT(COUNTIFS($C$5:$C172,$C172,$D$5:$D172,$D172),"00"),"")))</f>
        <v/>
      </c>
      <c r="M172" s="21"/>
      <c r="N172" s="15"/>
      <c r="O172" s="21"/>
    </row>
    <row r="173" customFormat="false" ht="21.75" hidden="false" customHeight="true" outlineLevel="0" collapsed="false">
      <c r="A173" s="13" t="str">
        <f aca="false">IF($E173="","",COUNTA($E$5:$E173))</f>
        <v/>
      </c>
      <c r="B173" s="14"/>
      <c r="C173" s="15"/>
      <c r="D173" s="25"/>
      <c r="E173" s="21"/>
      <c r="F173" s="18"/>
      <c r="G173" s="15"/>
      <c r="H173" s="15"/>
      <c r="I173" s="15"/>
      <c r="J173" s="15"/>
      <c r="K173" s="18"/>
      <c r="L173" s="20" t="str">
        <f aca="false">IF($E173="","",IF(OR($B173="",$C173="",$D173=""),"待补楼栋/位置/日期",IF($C173="公共区域","公",SUBSTITUTE($C173,"栋",""))&amp;"-"&amp;$D173&amp;"-"&amp;TEXT(MONTH($B173),"00")&amp;TEXT(DAY($B173),"00")&amp;IF(COUNTIFS($C$5:$C173,$C173,$D$5:$D173,$D173)&gt;1,"-"&amp;TEXT(COUNTIFS($C$5:$C173,$C173,$D$5:$D173,$D173),"00"),"")))</f>
        <v/>
      </c>
      <c r="M173" s="21"/>
      <c r="N173" s="15"/>
      <c r="O173" s="21"/>
    </row>
    <row r="174" customFormat="false" ht="21.75" hidden="false" customHeight="true" outlineLevel="0" collapsed="false">
      <c r="A174" s="13" t="str">
        <f aca="false">IF($E174="","",COUNTA($E$5:$E174))</f>
        <v/>
      </c>
      <c r="B174" s="14"/>
      <c r="C174" s="15"/>
      <c r="D174" s="25"/>
      <c r="E174" s="21"/>
      <c r="F174" s="18"/>
      <c r="G174" s="15"/>
      <c r="H174" s="15"/>
      <c r="I174" s="15"/>
      <c r="J174" s="15"/>
      <c r="K174" s="18"/>
      <c r="L174" s="20" t="str">
        <f aca="false">IF($E174="","",IF(OR($B174="",$C174="",$D174=""),"待补楼栋/位置/日期",IF($C174="公共区域","公",SUBSTITUTE($C174,"栋",""))&amp;"-"&amp;$D174&amp;"-"&amp;TEXT(MONTH($B174),"00")&amp;TEXT(DAY($B174),"00")&amp;IF(COUNTIFS($C$5:$C174,$C174,$D$5:$D174,$D174)&gt;1,"-"&amp;TEXT(COUNTIFS($C$5:$C174,$C174,$D$5:$D174,$D174),"00"),"")))</f>
        <v/>
      </c>
      <c r="M174" s="21"/>
      <c r="N174" s="15"/>
      <c r="O174" s="21"/>
    </row>
    <row r="175" customFormat="false" ht="21.75" hidden="false" customHeight="true" outlineLevel="0" collapsed="false">
      <c r="A175" s="13" t="str">
        <f aca="false">IF($E175="","",COUNTA($E$5:$E175))</f>
        <v/>
      </c>
      <c r="B175" s="14"/>
      <c r="C175" s="15"/>
      <c r="D175" s="25"/>
      <c r="E175" s="21"/>
      <c r="F175" s="18"/>
      <c r="G175" s="15"/>
      <c r="H175" s="15"/>
      <c r="I175" s="15"/>
      <c r="J175" s="15"/>
      <c r="K175" s="18"/>
      <c r="L175" s="20" t="str">
        <f aca="false">IF($E175="","",IF(OR($B175="",$C175="",$D175=""),"待补楼栋/位置/日期",IF($C175="公共区域","公",SUBSTITUTE($C175,"栋",""))&amp;"-"&amp;$D175&amp;"-"&amp;TEXT(MONTH($B175),"00")&amp;TEXT(DAY($B175),"00")&amp;IF(COUNTIFS($C$5:$C175,$C175,$D$5:$D175,$D175)&gt;1,"-"&amp;TEXT(COUNTIFS($C$5:$C175,$C175,$D$5:$D175,$D175),"00"),"")))</f>
        <v/>
      </c>
      <c r="M175" s="21"/>
      <c r="N175" s="15"/>
      <c r="O175" s="21"/>
    </row>
    <row r="176" customFormat="false" ht="21.75" hidden="false" customHeight="true" outlineLevel="0" collapsed="false">
      <c r="A176" s="13" t="str">
        <f aca="false">IF($E176="","",COUNTA($E$5:$E176))</f>
        <v/>
      </c>
      <c r="B176" s="14"/>
      <c r="C176" s="15"/>
      <c r="D176" s="25"/>
      <c r="E176" s="21"/>
      <c r="F176" s="18"/>
      <c r="G176" s="15"/>
      <c r="H176" s="15"/>
      <c r="I176" s="15"/>
      <c r="J176" s="15"/>
      <c r="K176" s="18"/>
      <c r="L176" s="20" t="str">
        <f aca="false">IF($E176="","",IF(OR($B176="",$C176="",$D176=""),"待补楼栋/位置/日期",IF($C176="公共区域","公",SUBSTITUTE($C176,"栋",""))&amp;"-"&amp;$D176&amp;"-"&amp;TEXT(MONTH($B176),"00")&amp;TEXT(DAY($B176),"00")&amp;IF(COUNTIFS($C$5:$C176,$C176,$D$5:$D176,$D176)&gt;1,"-"&amp;TEXT(COUNTIFS($C$5:$C176,$C176,$D$5:$D176,$D176),"00"),"")))</f>
        <v/>
      </c>
      <c r="M176" s="21"/>
      <c r="N176" s="15"/>
      <c r="O176" s="21"/>
    </row>
    <row r="177" customFormat="false" ht="21.75" hidden="false" customHeight="true" outlineLevel="0" collapsed="false">
      <c r="A177" s="13" t="str">
        <f aca="false">IF($E177="","",COUNTA($E$5:$E177))</f>
        <v/>
      </c>
      <c r="B177" s="14"/>
      <c r="C177" s="15"/>
      <c r="D177" s="25"/>
      <c r="E177" s="21"/>
      <c r="F177" s="18"/>
      <c r="G177" s="15"/>
      <c r="H177" s="15"/>
      <c r="I177" s="15"/>
      <c r="J177" s="15"/>
      <c r="K177" s="18"/>
      <c r="L177" s="20" t="str">
        <f aca="false">IF($E177="","",IF(OR($B177="",$C177="",$D177=""),"待补楼栋/位置/日期",IF($C177="公共区域","公",SUBSTITUTE($C177,"栋",""))&amp;"-"&amp;$D177&amp;"-"&amp;TEXT(MONTH($B177),"00")&amp;TEXT(DAY($B177),"00")&amp;IF(COUNTIFS($C$5:$C177,$C177,$D$5:$D177,$D177)&gt;1,"-"&amp;TEXT(COUNTIFS($C$5:$C177,$C177,$D$5:$D177,$D177),"00"),"")))</f>
        <v/>
      </c>
      <c r="M177" s="21"/>
      <c r="N177" s="15"/>
      <c r="O177" s="21"/>
    </row>
    <row r="178" customFormat="false" ht="21.75" hidden="false" customHeight="true" outlineLevel="0" collapsed="false">
      <c r="A178" s="13" t="str">
        <f aca="false">IF($E178="","",COUNTA($E$5:$E178))</f>
        <v/>
      </c>
      <c r="B178" s="14"/>
      <c r="C178" s="15"/>
      <c r="D178" s="25"/>
      <c r="E178" s="21"/>
      <c r="F178" s="18"/>
      <c r="G178" s="15"/>
      <c r="H178" s="15"/>
      <c r="I178" s="15"/>
      <c r="J178" s="15"/>
      <c r="K178" s="18"/>
      <c r="L178" s="20" t="str">
        <f aca="false">IF($E178="","",IF(OR($B178="",$C178="",$D178=""),"待补楼栋/位置/日期",IF($C178="公共区域","公",SUBSTITUTE($C178,"栋",""))&amp;"-"&amp;$D178&amp;"-"&amp;TEXT(MONTH($B178),"00")&amp;TEXT(DAY($B178),"00")&amp;IF(COUNTIFS($C$5:$C178,$C178,$D$5:$D178,$D178)&gt;1,"-"&amp;TEXT(COUNTIFS($C$5:$C178,$C178,$D$5:$D178,$D178),"00"),"")))</f>
        <v/>
      </c>
      <c r="M178" s="21"/>
      <c r="N178" s="15"/>
      <c r="O178" s="21"/>
    </row>
    <row r="179" customFormat="false" ht="21.75" hidden="false" customHeight="true" outlineLevel="0" collapsed="false">
      <c r="A179" s="13" t="str">
        <f aca="false">IF($E179="","",COUNTA($E$5:$E179))</f>
        <v/>
      </c>
      <c r="B179" s="14"/>
      <c r="C179" s="15"/>
      <c r="D179" s="25"/>
      <c r="E179" s="21"/>
      <c r="F179" s="18"/>
      <c r="G179" s="15"/>
      <c r="H179" s="15"/>
      <c r="I179" s="15"/>
      <c r="J179" s="15"/>
      <c r="K179" s="18"/>
      <c r="L179" s="20" t="str">
        <f aca="false">IF($E179="","",IF(OR($B179="",$C179="",$D179=""),"待补楼栋/位置/日期",IF($C179="公共区域","公",SUBSTITUTE($C179,"栋",""))&amp;"-"&amp;$D179&amp;"-"&amp;TEXT(MONTH($B179),"00")&amp;TEXT(DAY($B179),"00")&amp;IF(COUNTIFS($C$5:$C179,$C179,$D$5:$D179,$D179)&gt;1,"-"&amp;TEXT(COUNTIFS($C$5:$C179,$C179,$D$5:$D179,$D179),"00"),"")))</f>
        <v/>
      </c>
      <c r="M179" s="21"/>
      <c r="N179" s="15"/>
      <c r="O179" s="21"/>
    </row>
    <row r="180" customFormat="false" ht="21.75" hidden="false" customHeight="true" outlineLevel="0" collapsed="false">
      <c r="A180" s="13" t="str">
        <f aca="false">IF($E180="","",COUNTA($E$5:$E180))</f>
        <v/>
      </c>
      <c r="B180" s="14"/>
      <c r="C180" s="15"/>
      <c r="D180" s="25"/>
      <c r="E180" s="21"/>
      <c r="F180" s="18"/>
      <c r="G180" s="15"/>
      <c r="H180" s="15"/>
      <c r="I180" s="15"/>
      <c r="J180" s="15"/>
      <c r="K180" s="18"/>
      <c r="L180" s="20" t="str">
        <f aca="false">IF($E180="","",IF(OR($B180="",$C180="",$D180=""),"待补楼栋/位置/日期",IF($C180="公共区域","公",SUBSTITUTE($C180,"栋",""))&amp;"-"&amp;$D180&amp;"-"&amp;TEXT(MONTH($B180),"00")&amp;TEXT(DAY($B180),"00")&amp;IF(COUNTIFS($C$5:$C180,$C180,$D$5:$D180,$D180)&gt;1,"-"&amp;TEXT(COUNTIFS($C$5:$C180,$C180,$D$5:$D180,$D180),"00"),"")))</f>
        <v/>
      </c>
      <c r="M180" s="21"/>
      <c r="N180" s="15"/>
      <c r="O180" s="21"/>
    </row>
    <row r="181" customFormat="false" ht="21.75" hidden="false" customHeight="true" outlineLevel="0" collapsed="false">
      <c r="A181" s="13" t="str">
        <f aca="false">IF($E181="","",COUNTA($E$5:$E181))</f>
        <v/>
      </c>
      <c r="B181" s="14"/>
      <c r="C181" s="15"/>
      <c r="D181" s="25"/>
      <c r="E181" s="21"/>
      <c r="F181" s="18"/>
      <c r="G181" s="15"/>
      <c r="H181" s="15"/>
      <c r="I181" s="15"/>
      <c r="J181" s="15"/>
      <c r="K181" s="18"/>
      <c r="L181" s="20" t="str">
        <f aca="false">IF($E181="","",IF(OR($B181="",$C181="",$D181=""),"待补楼栋/位置/日期",IF($C181="公共区域","公",SUBSTITUTE($C181,"栋",""))&amp;"-"&amp;$D181&amp;"-"&amp;TEXT(MONTH($B181),"00")&amp;TEXT(DAY($B181),"00")&amp;IF(COUNTIFS($C$5:$C181,$C181,$D$5:$D181,$D181)&gt;1,"-"&amp;TEXT(COUNTIFS($C$5:$C181,$C181,$D$5:$D181,$D181),"00"),"")))</f>
        <v/>
      </c>
      <c r="M181" s="21"/>
      <c r="N181" s="15"/>
      <c r="O181" s="21"/>
    </row>
    <row r="182" customFormat="false" ht="21.75" hidden="false" customHeight="true" outlineLevel="0" collapsed="false">
      <c r="A182" s="13" t="str">
        <f aca="false">IF($E182="","",COUNTA($E$5:$E182))</f>
        <v/>
      </c>
      <c r="B182" s="14"/>
      <c r="C182" s="15"/>
      <c r="D182" s="25"/>
      <c r="E182" s="21"/>
      <c r="F182" s="18"/>
      <c r="G182" s="15"/>
      <c r="H182" s="15"/>
      <c r="I182" s="15"/>
      <c r="J182" s="15"/>
      <c r="K182" s="18"/>
      <c r="L182" s="20" t="str">
        <f aca="false">IF($E182="","",IF(OR($B182="",$C182="",$D182=""),"待补楼栋/位置/日期",IF($C182="公共区域","公",SUBSTITUTE($C182,"栋",""))&amp;"-"&amp;$D182&amp;"-"&amp;TEXT(MONTH($B182),"00")&amp;TEXT(DAY($B182),"00")&amp;IF(COUNTIFS($C$5:$C182,$C182,$D$5:$D182,$D182)&gt;1,"-"&amp;TEXT(COUNTIFS($C$5:$C182,$C182,$D$5:$D182,$D182),"00"),"")))</f>
        <v/>
      </c>
      <c r="M182" s="21"/>
      <c r="N182" s="15"/>
      <c r="O182" s="21"/>
    </row>
    <row r="183" customFormat="false" ht="21.75" hidden="false" customHeight="true" outlineLevel="0" collapsed="false">
      <c r="A183" s="13" t="str">
        <f aca="false">IF($E183="","",COUNTA($E$5:$E183))</f>
        <v/>
      </c>
      <c r="B183" s="14"/>
      <c r="C183" s="15"/>
      <c r="D183" s="25"/>
      <c r="E183" s="21"/>
      <c r="F183" s="18"/>
      <c r="G183" s="15"/>
      <c r="H183" s="15"/>
      <c r="I183" s="15"/>
      <c r="J183" s="15"/>
      <c r="K183" s="18"/>
      <c r="L183" s="20" t="str">
        <f aca="false">IF($E183="","",IF(OR($B183="",$C183="",$D183=""),"待补楼栋/位置/日期",IF($C183="公共区域","公",SUBSTITUTE($C183,"栋",""))&amp;"-"&amp;$D183&amp;"-"&amp;TEXT(MONTH($B183),"00")&amp;TEXT(DAY($B183),"00")&amp;IF(COUNTIFS($C$5:$C183,$C183,$D$5:$D183,$D183)&gt;1,"-"&amp;TEXT(COUNTIFS($C$5:$C183,$C183,$D$5:$D183,$D183),"00"),"")))</f>
        <v/>
      </c>
      <c r="M183" s="21"/>
      <c r="N183" s="15"/>
      <c r="O183" s="21"/>
    </row>
    <row r="184" customFormat="false" ht="21.75" hidden="false" customHeight="true" outlineLevel="0" collapsed="false">
      <c r="A184" s="13" t="str">
        <f aca="false">IF($E184="","",COUNTA($E$5:$E184))</f>
        <v/>
      </c>
      <c r="B184" s="14"/>
      <c r="C184" s="15"/>
      <c r="D184" s="25"/>
      <c r="E184" s="21"/>
      <c r="F184" s="18"/>
      <c r="G184" s="15"/>
      <c r="H184" s="15"/>
      <c r="I184" s="15"/>
      <c r="J184" s="15"/>
      <c r="K184" s="18"/>
      <c r="L184" s="20" t="str">
        <f aca="false">IF($E184="","",IF(OR($B184="",$C184="",$D184=""),"待补楼栋/位置/日期",IF($C184="公共区域","公",SUBSTITUTE($C184,"栋",""))&amp;"-"&amp;$D184&amp;"-"&amp;TEXT(MONTH($B184),"00")&amp;TEXT(DAY($B184),"00")&amp;IF(COUNTIFS($C$5:$C184,$C184,$D$5:$D184,$D184)&gt;1,"-"&amp;TEXT(COUNTIFS($C$5:$C184,$C184,$D$5:$D184,$D184),"00"),"")))</f>
        <v/>
      </c>
      <c r="M184" s="21"/>
      <c r="N184" s="15"/>
      <c r="O184" s="21"/>
    </row>
    <row r="185" customFormat="false" ht="21.75" hidden="false" customHeight="true" outlineLevel="0" collapsed="false">
      <c r="A185" s="13" t="str">
        <f aca="false">IF($E185="","",COUNTA($E$5:$E185))</f>
        <v/>
      </c>
      <c r="B185" s="14"/>
      <c r="C185" s="15"/>
      <c r="D185" s="25"/>
      <c r="E185" s="21"/>
      <c r="F185" s="18"/>
      <c r="G185" s="15"/>
      <c r="H185" s="15"/>
      <c r="I185" s="15"/>
      <c r="J185" s="15"/>
      <c r="K185" s="18"/>
      <c r="L185" s="20" t="str">
        <f aca="false">IF($E185="","",IF(OR($B185="",$C185="",$D185=""),"待补楼栋/位置/日期",IF($C185="公共区域","公",SUBSTITUTE($C185,"栋",""))&amp;"-"&amp;$D185&amp;"-"&amp;TEXT(MONTH($B185),"00")&amp;TEXT(DAY($B185),"00")&amp;IF(COUNTIFS($C$5:$C185,$C185,$D$5:$D185,$D185)&gt;1,"-"&amp;TEXT(COUNTIFS($C$5:$C185,$C185,$D$5:$D185,$D185),"00"),"")))</f>
        <v/>
      </c>
      <c r="M185" s="21"/>
      <c r="N185" s="15"/>
      <c r="O185" s="21"/>
    </row>
    <row r="186" customFormat="false" ht="21.75" hidden="false" customHeight="true" outlineLevel="0" collapsed="false">
      <c r="A186" s="13" t="str">
        <f aca="false">IF($E186="","",COUNTA($E$5:$E186))</f>
        <v/>
      </c>
      <c r="B186" s="14"/>
      <c r="C186" s="15"/>
      <c r="D186" s="25"/>
      <c r="E186" s="21"/>
      <c r="F186" s="18"/>
      <c r="G186" s="15"/>
      <c r="H186" s="15"/>
      <c r="I186" s="15"/>
      <c r="J186" s="15"/>
      <c r="K186" s="18"/>
      <c r="L186" s="20" t="str">
        <f aca="false">IF($E186="","",IF(OR($B186="",$C186="",$D186=""),"待补楼栋/位置/日期",IF($C186="公共区域","公",SUBSTITUTE($C186,"栋",""))&amp;"-"&amp;$D186&amp;"-"&amp;TEXT(MONTH($B186),"00")&amp;TEXT(DAY($B186),"00")&amp;IF(COUNTIFS($C$5:$C186,$C186,$D$5:$D186,$D186)&gt;1,"-"&amp;TEXT(COUNTIFS($C$5:$C186,$C186,$D$5:$D186,$D186),"00"),"")))</f>
        <v/>
      </c>
      <c r="M186" s="21"/>
      <c r="N186" s="15"/>
      <c r="O186" s="21"/>
    </row>
    <row r="187" customFormat="false" ht="21.75" hidden="false" customHeight="true" outlineLevel="0" collapsed="false">
      <c r="A187" s="13" t="str">
        <f aca="false">IF($E187="","",COUNTA($E$5:$E187))</f>
        <v/>
      </c>
      <c r="B187" s="14"/>
      <c r="C187" s="15"/>
      <c r="D187" s="25"/>
      <c r="E187" s="21"/>
      <c r="F187" s="18"/>
      <c r="G187" s="15"/>
      <c r="H187" s="15"/>
      <c r="I187" s="15"/>
      <c r="J187" s="15"/>
      <c r="K187" s="18"/>
      <c r="L187" s="20" t="str">
        <f aca="false">IF($E187="","",IF(OR($B187="",$C187="",$D187=""),"待补楼栋/位置/日期",IF($C187="公共区域","公",SUBSTITUTE($C187,"栋",""))&amp;"-"&amp;$D187&amp;"-"&amp;TEXT(MONTH($B187),"00")&amp;TEXT(DAY($B187),"00")&amp;IF(COUNTIFS($C$5:$C187,$C187,$D$5:$D187,$D187)&gt;1,"-"&amp;TEXT(COUNTIFS($C$5:$C187,$C187,$D$5:$D187,$D187),"00"),"")))</f>
        <v/>
      </c>
      <c r="M187" s="21"/>
      <c r="N187" s="15"/>
      <c r="O187" s="21"/>
    </row>
    <row r="188" customFormat="false" ht="21.75" hidden="false" customHeight="true" outlineLevel="0" collapsed="false">
      <c r="A188" s="13" t="str">
        <f aca="false">IF($E188="","",COUNTA($E$5:$E188))</f>
        <v/>
      </c>
      <c r="B188" s="14"/>
      <c r="C188" s="15"/>
      <c r="D188" s="25"/>
      <c r="E188" s="21"/>
      <c r="F188" s="18"/>
      <c r="G188" s="15"/>
      <c r="H188" s="15"/>
      <c r="I188" s="15"/>
      <c r="J188" s="15"/>
      <c r="K188" s="18"/>
      <c r="L188" s="20" t="str">
        <f aca="false">IF($E188="","",IF(OR($B188="",$C188="",$D188=""),"待补楼栋/位置/日期",IF($C188="公共区域","公",SUBSTITUTE($C188,"栋",""))&amp;"-"&amp;$D188&amp;"-"&amp;TEXT(MONTH($B188),"00")&amp;TEXT(DAY($B188),"00")&amp;IF(COUNTIFS($C$5:$C188,$C188,$D$5:$D188,$D188)&gt;1,"-"&amp;TEXT(COUNTIFS($C$5:$C188,$C188,$D$5:$D188,$D188),"00"),"")))</f>
        <v/>
      </c>
      <c r="M188" s="21"/>
      <c r="N188" s="15"/>
      <c r="O188" s="21"/>
    </row>
    <row r="189" customFormat="false" ht="21.75" hidden="false" customHeight="true" outlineLevel="0" collapsed="false">
      <c r="A189" s="13" t="str">
        <f aca="false">IF($E189="","",COUNTA($E$5:$E189))</f>
        <v/>
      </c>
      <c r="B189" s="14"/>
      <c r="C189" s="15"/>
      <c r="D189" s="25"/>
      <c r="E189" s="21"/>
      <c r="F189" s="18"/>
      <c r="G189" s="15"/>
      <c r="H189" s="15"/>
      <c r="I189" s="15"/>
      <c r="J189" s="15"/>
      <c r="K189" s="18"/>
      <c r="L189" s="20" t="str">
        <f aca="false">IF($E189="","",IF(OR($B189="",$C189="",$D189=""),"待补楼栋/位置/日期",IF($C189="公共区域","公",SUBSTITUTE($C189,"栋",""))&amp;"-"&amp;$D189&amp;"-"&amp;TEXT(MONTH($B189),"00")&amp;TEXT(DAY($B189),"00")&amp;IF(COUNTIFS($C$5:$C189,$C189,$D$5:$D189,$D189)&gt;1,"-"&amp;TEXT(COUNTIFS($C$5:$C189,$C189,$D$5:$D189,$D189),"00"),"")))</f>
        <v/>
      </c>
      <c r="M189" s="21"/>
      <c r="N189" s="15"/>
      <c r="O189" s="21"/>
    </row>
    <row r="190" customFormat="false" ht="21.75" hidden="false" customHeight="true" outlineLevel="0" collapsed="false">
      <c r="A190" s="13" t="str">
        <f aca="false">IF($E190="","",COUNTA($E$5:$E190))</f>
        <v/>
      </c>
      <c r="B190" s="14"/>
      <c r="C190" s="15"/>
      <c r="D190" s="25"/>
      <c r="E190" s="21"/>
      <c r="F190" s="18"/>
      <c r="G190" s="15"/>
      <c r="H190" s="15"/>
      <c r="I190" s="15"/>
      <c r="J190" s="15"/>
      <c r="K190" s="18"/>
      <c r="L190" s="20" t="str">
        <f aca="false">IF($E190="","",IF(OR($B190="",$C190="",$D190=""),"待补楼栋/位置/日期",IF($C190="公共区域","公",SUBSTITUTE($C190,"栋",""))&amp;"-"&amp;$D190&amp;"-"&amp;TEXT(MONTH($B190),"00")&amp;TEXT(DAY($B190),"00")&amp;IF(COUNTIFS($C$5:$C190,$C190,$D$5:$D190,$D190)&gt;1,"-"&amp;TEXT(COUNTIFS($C$5:$C190,$C190,$D$5:$D190,$D190),"00"),"")))</f>
        <v/>
      </c>
      <c r="M190" s="21"/>
      <c r="N190" s="15"/>
      <c r="O190" s="21"/>
    </row>
    <row r="191" customFormat="false" ht="21.75" hidden="false" customHeight="true" outlineLevel="0" collapsed="false">
      <c r="A191" s="13" t="str">
        <f aca="false">IF($E191="","",COUNTA($E$5:$E191))</f>
        <v/>
      </c>
      <c r="B191" s="14"/>
      <c r="C191" s="15"/>
      <c r="D191" s="25"/>
      <c r="E191" s="21"/>
      <c r="F191" s="18"/>
      <c r="G191" s="15"/>
      <c r="H191" s="15"/>
      <c r="I191" s="15"/>
      <c r="J191" s="15"/>
      <c r="K191" s="18"/>
      <c r="L191" s="20" t="str">
        <f aca="false">IF($E191="","",IF(OR($B191="",$C191="",$D191=""),"待补楼栋/位置/日期",IF($C191="公共区域","公",SUBSTITUTE($C191,"栋",""))&amp;"-"&amp;$D191&amp;"-"&amp;TEXT(MONTH($B191),"00")&amp;TEXT(DAY($B191),"00")&amp;IF(COUNTIFS($C$5:$C191,$C191,$D$5:$D191,$D191)&gt;1,"-"&amp;TEXT(COUNTIFS($C$5:$C191,$C191,$D$5:$D191,$D191),"00"),"")))</f>
        <v/>
      </c>
      <c r="M191" s="21"/>
      <c r="N191" s="15"/>
      <c r="O191" s="21"/>
    </row>
    <row r="192" customFormat="false" ht="21.75" hidden="false" customHeight="true" outlineLevel="0" collapsed="false">
      <c r="A192" s="13" t="str">
        <f aca="false">IF($E192="","",COUNTA($E$5:$E192))</f>
        <v/>
      </c>
      <c r="B192" s="14"/>
      <c r="C192" s="15"/>
      <c r="D192" s="25"/>
      <c r="E192" s="21"/>
      <c r="F192" s="18"/>
      <c r="G192" s="15"/>
      <c r="H192" s="15"/>
      <c r="I192" s="15"/>
      <c r="J192" s="15"/>
      <c r="K192" s="18"/>
      <c r="L192" s="20" t="str">
        <f aca="false">IF($E192="","",IF(OR($B192="",$C192="",$D192=""),"待补楼栋/位置/日期",IF($C192="公共区域","公",SUBSTITUTE($C192,"栋",""))&amp;"-"&amp;$D192&amp;"-"&amp;TEXT(MONTH($B192),"00")&amp;TEXT(DAY($B192),"00")&amp;IF(COUNTIFS($C$5:$C192,$C192,$D$5:$D192,$D192)&gt;1,"-"&amp;TEXT(COUNTIFS($C$5:$C192,$C192,$D$5:$D192,$D192),"00"),"")))</f>
        <v/>
      </c>
      <c r="M192" s="21"/>
      <c r="N192" s="15"/>
      <c r="O192" s="21"/>
    </row>
    <row r="193" customFormat="false" ht="21.75" hidden="false" customHeight="true" outlineLevel="0" collapsed="false">
      <c r="A193" s="13" t="str">
        <f aca="false">IF($E193="","",COUNTA($E$5:$E193))</f>
        <v/>
      </c>
      <c r="B193" s="14"/>
      <c r="C193" s="15"/>
      <c r="D193" s="25"/>
      <c r="E193" s="21"/>
      <c r="F193" s="18"/>
      <c r="G193" s="15"/>
      <c r="H193" s="15"/>
      <c r="I193" s="15"/>
      <c r="J193" s="15"/>
      <c r="K193" s="18"/>
      <c r="L193" s="20" t="str">
        <f aca="false">IF($E193="","",IF(OR($B193="",$C193="",$D193=""),"待补楼栋/位置/日期",IF($C193="公共区域","公",SUBSTITUTE($C193,"栋",""))&amp;"-"&amp;$D193&amp;"-"&amp;TEXT(MONTH($B193),"00")&amp;TEXT(DAY($B193),"00")&amp;IF(COUNTIFS($C$5:$C193,$C193,$D$5:$D193,$D193)&gt;1,"-"&amp;TEXT(COUNTIFS($C$5:$C193,$C193,$D$5:$D193,$D193),"00"),"")))</f>
        <v/>
      </c>
      <c r="M193" s="21"/>
      <c r="N193" s="15"/>
      <c r="O193" s="21"/>
    </row>
    <row r="194" customFormat="false" ht="21.75" hidden="false" customHeight="true" outlineLevel="0" collapsed="false">
      <c r="A194" s="13" t="str">
        <f aca="false">IF($E194="","",COUNTA($E$5:$E194))</f>
        <v/>
      </c>
      <c r="B194" s="14"/>
      <c r="C194" s="15"/>
      <c r="D194" s="25"/>
      <c r="E194" s="21"/>
      <c r="F194" s="18"/>
      <c r="G194" s="15"/>
      <c r="H194" s="15"/>
      <c r="I194" s="15"/>
      <c r="J194" s="15"/>
      <c r="K194" s="18"/>
      <c r="L194" s="20" t="str">
        <f aca="false">IF($E194="","",IF(OR($B194="",$C194="",$D194=""),"待补楼栋/位置/日期",IF($C194="公共区域","公",SUBSTITUTE($C194,"栋",""))&amp;"-"&amp;$D194&amp;"-"&amp;TEXT(MONTH($B194),"00")&amp;TEXT(DAY($B194),"00")&amp;IF(COUNTIFS($C$5:$C194,$C194,$D$5:$D194,$D194)&gt;1,"-"&amp;TEXT(COUNTIFS($C$5:$C194,$C194,$D$5:$D194,$D194),"00"),"")))</f>
        <v/>
      </c>
      <c r="M194" s="21"/>
      <c r="N194" s="15"/>
      <c r="O194" s="21"/>
    </row>
    <row r="195" customFormat="false" ht="21.75" hidden="false" customHeight="true" outlineLevel="0" collapsed="false">
      <c r="A195" s="13" t="str">
        <f aca="false">IF($E195="","",COUNTA($E$5:$E195))</f>
        <v/>
      </c>
      <c r="B195" s="14"/>
      <c r="C195" s="15"/>
      <c r="D195" s="25"/>
      <c r="E195" s="21"/>
      <c r="F195" s="18"/>
      <c r="G195" s="15"/>
      <c r="H195" s="15"/>
      <c r="I195" s="15"/>
      <c r="J195" s="15"/>
      <c r="K195" s="18"/>
      <c r="L195" s="20" t="str">
        <f aca="false">IF($E195="","",IF(OR($B195="",$C195="",$D195=""),"待补楼栋/位置/日期",IF($C195="公共区域","公",SUBSTITUTE($C195,"栋",""))&amp;"-"&amp;$D195&amp;"-"&amp;TEXT(MONTH($B195),"00")&amp;TEXT(DAY($B195),"00")&amp;IF(COUNTIFS($C$5:$C195,$C195,$D$5:$D195,$D195)&gt;1,"-"&amp;TEXT(COUNTIFS($C$5:$C195,$C195,$D$5:$D195,$D195),"00"),"")))</f>
        <v/>
      </c>
      <c r="M195" s="21"/>
      <c r="N195" s="15"/>
      <c r="O195" s="21"/>
    </row>
    <row r="196" customFormat="false" ht="21.75" hidden="false" customHeight="true" outlineLevel="0" collapsed="false">
      <c r="A196" s="13" t="str">
        <f aca="false">IF($E196="","",COUNTA($E$5:$E196))</f>
        <v/>
      </c>
      <c r="B196" s="14"/>
      <c r="C196" s="15"/>
      <c r="D196" s="25"/>
      <c r="E196" s="21"/>
      <c r="F196" s="18"/>
      <c r="G196" s="15"/>
      <c r="H196" s="15"/>
      <c r="I196" s="15"/>
      <c r="J196" s="15"/>
      <c r="K196" s="18"/>
      <c r="L196" s="20" t="str">
        <f aca="false">IF($E196="","",IF(OR($B196="",$C196="",$D196=""),"待补楼栋/位置/日期",IF($C196="公共区域","公",SUBSTITUTE($C196,"栋",""))&amp;"-"&amp;$D196&amp;"-"&amp;TEXT(MONTH($B196),"00")&amp;TEXT(DAY($B196),"00")&amp;IF(COUNTIFS($C$5:$C196,$C196,$D$5:$D196,$D196)&gt;1,"-"&amp;TEXT(COUNTIFS($C$5:$C196,$C196,$D$5:$D196,$D196),"00"),"")))</f>
        <v/>
      </c>
      <c r="M196" s="21"/>
      <c r="N196" s="15"/>
      <c r="O196" s="21"/>
    </row>
    <row r="197" customFormat="false" ht="21.75" hidden="false" customHeight="true" outlineLevel="0" collapsed="false">
      <c r="A197" s="13" t="str">
        <f aca="false">IF($E197="","",COUNTA($E$5:$E197))</f>
        <v/>
      </c>
      <c r="B197" s="14"/>
      <c r="C197" s="15"/>
      <c r="D197" s="25"/>
      <c r="E197" s="21"/>
      <c r="F197" s="18"/>
      <c r="G197" s="15"/>
      <c r="H197" s="15"/>
      <c r="I197" s="15"/>
      <c r="J197" s="15"/>
      <c r="K197" s="18"/>
      <c r="L197" s="20" t="str">
        <f aca="false">IF($E197="","",IF(OR($B197="",$C197="",$D197=""),"待补楼栋/位置/日期",IF($C197="公共区域","公",SUBSTITUTE($C197,"栋",""))&amp;"-"&amp;$D197&amp;"-"&amp;TEXT(MONTH($B197),"00")&amp;TEXT(DAY($B197),"00")&amp;IF(COUNTIFS($C$5:$C197,$C197,$D$5:$D197,$D197)&gt;1,"-"&amp;TEXT(COUNTIFS($C$5:$C197,$C197,$D$5:$D197,$D197),"00"),"")))</f>
        <v/>
      </c>
      <c r="M197" s="21"/>
      <c r="N197" s="15"/>
      <c r="O197" s="21"/>
    </row>
    <row r="198" customFormat="false" ht="21.75" hidden="false" customHeight="true" outlineLevel="0" collapsed="false">
      <c r="A198" s="13" t="str">
        <f aca="false">IF($E198="","",COUNTA($E$5:$E198))</f>
        <v/>
      </c>
      <c r="B198" s="14"/>
      <c r="C198" s="15"/>
      <c r="D198" s="25"/>
      <c r="E198" s="21"/>
      <c r="F198" s="18"/>
      <c r="G198" s="15"/>
      <c r="H198" s="15"/>
      <c r="I198" s="15"/>
      <c r="J198" s="15"/>
      <c r="K198" s="18"/>
      <c r="L198" s="20" t="str">
        <f aca="false">IF($E198="","",IF(OR($B198="",$C198="",$D198=""),"待补楼栋/位置/日期",IF($C198="公共区域","公",SUBSTITUTE($C198,"栋",""))&amp;"-"&amp;$D198&amp;"-"&amp;TEXT(MONTH($B198),"00")&amp;TEXT(DAY($B198),"00")&amp;IF(COUNTIFS($C$5:$C198,$C198,$D$5:$D198,$D198)&gt;1,"-"&amp;TEXT(COUNTIFS($C$5:$C198,$C198,$D$5:$D198,$D198),"00"),"")))</f>
        <v/>
      </c>
      <c r="M198" s="21"/>
      <c r="N198" s="15"/>
      <c r="O198" s="21"/>
    </row>
    <row r="199" customFormat="false" ht="21.75" hidden="false" customHeight="true" outlineLevel="0" collapsed="false">
      <c r="A199" s="13" t="str">
        <f aca="false">IF($E199="","",COUNTA($E$5:$E199))</f>
        <v/>
      </c>
      <c r="B199" s="14"/>
      <c r="C199" s="15"/>
      <c r="D199" s="25"/>
      <c r="E199" s="21"/>
      <c r="F199" s="18"/>
      <c r="G199" s="15"/>
      <c r="H199" s="15"/>
      <c r="I199" s="15"/>
      <c r="J199" s="15"/>
      <c r="K199" s="18"/>
      <c r="L199" s="20" t="str">
        <f aca="false">IF($E199="","",IF(OR($B199="",$C199="",$D199=""),"待补楼栋/位置/日期",IF($C199="公共区域","公",SUBSTITUTE($C199,"栋",""))&amp;"-"&amp;$D199&amp;"-"&amp;TEXT(MONTH($B199),"00")&amp;TEXT(DAY($B199),"00")&amp;IF(COUNTIFS($C$5:$C199,$C199,$D$5:$D199,$D199)&gt;1,"-"&amp;TEXT(COUNTIFS($C$5:$C199,$C199,$D$5:$D199,$D199),"00"),"")))</f>
        <v/>
      </c>
      <c r="M199" s="21"/>
      <c r="N199" s="15"/>
      <c r="O199" s="21"/>
    </row>
    <row r="200" customFormat="false" ht="21.75" hidden="false" customHeight="true" outlineLevel="0" collapsed="false">
      <c r="A200" s="13" t="str">
        <f aca="false">IF($E200="","",COUNTA($E$5:$E200))</f>
        <v/>
      </c>
      <c r="B200" s="14"/>
      <c r="C200" s="15"/>
      <c r="D200" s="25"/>
      <c r="E200" s="21"/>
      <c r="F200" s="18"/>
      <c r="G200" s="15"/>
      <c r="H200" s="15"/>
      <c r="I200" s="15"/>
      <c r="J200" s="15"/>
      <c r="K200" s="18"/>
      <c r="L200" s="20" t="str">
        <f aca="false">IF($E200="","",IF(OR($B200="",$C200="",$D200=""),"待补楼栋/位置/日期",IF($C200="公共区域","公",SUBSTITUTE($C200,"栋",""))&amp;"-"&amp;$D200&amp;"-"&amp;TEXT(MONTH($B200),"00")&amp;TEXT(DAY($B200),"00")&amp;IF(COUNTIFS($C$5:$C200,$C200,$D$5:$D200,$D200)&gt;1,"-"&amp;TEXT(COUNTIFS($C$5:$C200,$C200,$D$5:$D200,$D200),"00"),"")))</f>
        <v/>
      </c>
      <c r="M200" s="21"/>
      <c r="N200" s="15"/>
      <c r="O200" s="21"/>
    </row>
    <row r="201" customFormat="false" ht="21.75" hidden="false" customHeight="true" outlineLevel="0" collapsed="false">
      <c r="A201" s="13" t="str">
        <f aca="false">IF($E201="","",COUNTA($E$5:$E201))</f>
        <v/>
      </c>
      <c r="B201" s="14"/>
      <c r="C201" s="15"/>
      <c r="D201" s="25"/>
      <c r="E201" s="21"/>
      <c r="F201" s="18"/>
      <c r="G201" s="15"/>
      <c r="H201" s="15"/>
      <c r="I201" s="15"/>
      <c r="J201" s="15"/>
      <c r="K201" s="18"/>
      <c r="L201" s="20" t="str">
        <f aca="false">IF($E201="","",IF(OR($B201="",$C201="",$D201=""),"待补楼栋/位置/日期",IF($C201="公共区域","公",SUBSTITUTE($C201,"栋",""))&amp;"-"&amp;$D201&amp;"-"&amp;TEXT(MONTH($B201),"00")&amp;TEXT(DAY($B201),"00")&amp;IF(COUNTIFS($C$5:$C201,$C201,$D$5:$D201,$D201)&gt;1,"-"&amp;TEXT(COUNTIFS($C$5:$C201,$C201,$D$5:$D201,$D201),"00"),"")))</f>
        <v/>
      </c>
      <c r="M201" s="21"/>
      <c r="N201" s="15"/>
      <c r="O201" s="21"/>
    </row>
    <row r="202" customFormat="false" ht="21.75" hidden="false" customHeight="true" outlineLevel="0" collapsed="false">
      <c r="A202" s="13" t="str">
        <f aca="false">IF($E202="","",COUNTA($E$5:$E202))</f>
        <v/>
      </c>
      <c r="B202" s="14"/>
      <c r="C202" s="15"/>
      <c r="D202" s="25"/>
      <c r="E202" s="21"/>
      <c r="F202" s="18"/>
      <c r="G202" s="15"/>
      <c r="H202" s="15"/>
      <c r="I202" s="15"/>
      <c r="J202" s="15"/>
      <c r="K202" s="18"/>
      <c r="L202" s="20" t="str">
        <f aca="false">IF($E202="","",IF(OR($B202="",$C202="",$D202=""),"待补楼栋/位置/日期",IF($C202="公共区域","公",SUBSTITUTE($C202,"栋",""))&amp;"-"&amp;$D202&amp;"-"&amp;TEXT(MONTH($B202),"00")&amp;TEXT(DAY($B202),"00")&amp;IF(COUNTIFS($C$5:$C202,$C202,$D$5:$D202,$D202)&gt;1,"-"&amp;TEXT(COUNTIFS($C$5:$C202,$C202,$D$5:$D202,$D202),"00"),"")))</f>
        <v/>
      </c>
      <c r="M202" s="21"/>
      <c r="N202" s="15"/>
      <c r="O202" s="21"/>
    </row>
    <row r="203" customFormat="false" ht="21.75" hidden="false" customHeight="true" outlineLevel="0" collapsed="false">
      <c r="A203" s="13" t="str">
        <f aca="false">IF($E203="","",COUNTA($E$5:$E203))</f>
        <v/>
      </c>
      <c r="B203" s="14"/>
      <c r="C203" s="15"/>
      <c r="D203" s="25"/>
      <c r="E203" s="21"/>
      <c r="F203" s="18"/>
      <c r="G203" s="15"/>
      <c r="H203" s="15"/>
      <c r="I203" s="15"/>
      <c r="J203" s="15"/>
      <c r="K203" s="18"/>
      <c r="L203" s="20" t="str">
        <f aca="false">IF($E203="","",IF(OR($B203="",$C203="",$D203=""),"待补楼栋/位置/日期",IF($C203="公共区域","公",SUBSTITUTE($C203,"栋",""))&amp;"-"&amp;$D203&amp;"-"&amp;TEXT(MONTH($B203),"00")&amp;TEXT(DAY($B203),"00")&amp;IF(COUNTIFS($C$5:$C203,$C203,$D$5:$D203,$D203)&gt;1,"-"&amp;TEXT(COUNTIFS($C$5:$C203,$C203,$D$5:$D203,$D203),"00"),"")))</f>
        <v/>
      </c>
      <c r="M203" s="21"/>
      <c r="N203" s="15"/>
      <c r="O203" s="21"/>
    </row>
    <row r="204" customFormat="false" ht="21.75" hidden="false" customHeight="true" outlineLevel="0" collapsed="false">
      <c r="A204" s="13" t="str">
        <f aca="false">IF($E204="","",COUNTA($E$5:$E204))</f>
        <v/>
      </c>
      <c r="B204" s="14"/>
      <c r="C204" s="15"/>
      <c r="D204" s="25"/>
      <c r="E204" s="21"/>
      <c r="F204" s="18"/>
      <c r="G204" s="15"/>
      <c r="H204" s="15"/>
      <c r="I204" s="15"/>
      <c r="J204" s="15"/>
      <c r="K204" s="18"/>
      <c r="L204" s="20" t="str">
        <f aca="false">IF($E204="","",IF(OR($B204="",$C204="",$D204=""),"待补楼栋/位置/日期",IF($C204="公共区域","公",SUBSTITUTE($C204,"栋",""))&amp;"-"&amp;$D204&amp;"-"&amp;TEXT(MONTH($B204),"00")&amp;TEXT(DAY($B204),"00")&amp;IF(COUNTIFS($C$5:$C204,$C204,$D$5:$D204,$D204)&gt;1,"-"&amp;TEXT(COUNTIFS($C$5:$C204,$C204,$D$5:$D204,$D204),"00"),"")))</f>
        <v/>
      </c>
      <c r="M204" s="21"/>
      <c r="N204" s="15"/>
      <c r="O204" s="21"/>
    </row>
    <row r="205" customFormat="false" ht="21.75" hidden="false" customHeight="true" outlineLevel="0" collapsed="false">
      <c r="A205" s="13" t="str">
        <f aca="false">IF($E205="","",COUNTA($E$5:$E205))</f>
        <v/>
      </c>
      <c r="B205" s="14"/>
      <c r="C205" s="15"/>
      <c r="D205" s="25"/>
      <c r="E205" s="21"/>
      <c r="F205" s="18"/>
      <c r="G205" s="15"/>
      <c r="H205" s="15"/>
      <c r="I205" s="15"/>
      <c r="J205" s="15"/>
      <c r="K205" s="18"/>
      <c r="L205" s="20" t="str">
        <f aca="false">IF($E205="","",IF(OR($B205="",$C205="",$D205=""),"待补楼栋/位置/日期",IF($C205="公共区域","公",SUBSTITUTE($C205,"栋",""))&amp;"-"&amp;$D205&amp;"-"&amp;TEXT(MONTH($B205),"00")&amp;TEXT(DAY($B205),"00")&amp;IF(COUNTIFS($C$5:$C205,$C205,$D$5:$D205,$D205)&gt;1,"-"&amp;TEXT(COUNTIFS($C$5:$C205,$C205,$D$5:$D205,$D205),"00"),"")))</f>
        <v/>
      </c>
      <c r="M205" s="21"/>
      <c r="N205" s="15"/>
      <c r="O205" s="21"/>
    </row>
    <row r="206" customFormat="false" ht="21.75" hidden="false" customHeight="true" outlineLevel="0" collapsed="false">
      <c r="A206" s="13" t="str">
        <f aca="false">IF($E206="","",COUNTA($E$5:$E206))</f>
        <v/>
      </c>
      <c r="B206" s="14"/>
      <c r="C206" s="15"/>
      <c r="D206" s="25"/>
      <c r="E206" s="21"/>
      <c r="F206" s="18"/>
      <c r="G206" s="15"/>
      <c r="H206" s="15"/>
      <c r="I206" s="15"/>
      <c r="J206" s="15"/>
      <c r="K206" s="18"/>
      <c r="L206" s="20" t="str">
        <f aca="false">IF($E206="","",IF(OR($B206="",$C206="",$D206=""),"待补楼栋/位置/日期",IF($C206="公共区域","公",SUBSTITUTE($C206,"栋",""))&amp;"-"&amp;$D206&amp;"-"&amp;TEXT(MONTH($B206),"00")&amp;TEXT(DAY($B206),"00")&amp;IF(COUNTIFS($C$5:$C206,$C206,$D$5:$D206,$D206)&gt;1,"-"&amp;TEXT(COUNTIFS($C$5:$C206,$C206,$D$5:$D206,$D206),"00"),"")))</f>
        <v/>
      </c>
      <c r="M206" s="21"/>
      <c r="N206" s="15"/>
      <c r="O206" s="21"/>
    </row>
    <row r="207" customFormat="false" ht="21.75" hidden="false" customHeight="true" outlineLevel="0" collapsed="false">
      <c r="A207" s="13" t="str">
        <f aca="false">IF($E207="","",COUNTA($E$5:$E207))</f>
        <v/>
      </c>
      <c r="B207" s="14"/>
      <c r="C207" s="15"/>
      <c r="D207" s="25"/>
      <c r="E207" s="21"/>
      <c r="F207" s="18"/>
      <c r="G207" s="15"/>
      <c r="H207" s="15"/>
      <c r="I207" s="15"/>
      <c r="J207" s="15"/>
      <c r="K207" s="18"/>
      <c r="L207" s="20" t="str">
        <f aca="false">IF($E207="","",IF(OR($B207="",$C207="",$D207=""),"待补楼栋/位置/日期",IF($C207="公共区域","公",SUBSTITUTE($C207,"栋",""))&amp;"-"&amp;$D207&amp;"-"&amp;TEXT(MONTH($B207),"00")&amp;TEXT(DAY($B207),"00")&amp;IF(COUNTIFS($C$5:$C207,$C207,$D$5:$D207,$D207)&gt;1,"-"&amp;TEXT(COUNTIFS($C$5:$C207,$C207,$D$5:$D207,$D207),"00"),"")))</f>
        <v/>
      </c>
      <c r="M207" s="21"/>
      <c r="N207" s="15"/>
      <c r="O207" s="21"/>
    </row>
    <row r="208" customFormat="false" ht="21.75" hidden="false" customHeight="true" outlineLevel="0" collapsed="false">
      <c r="A208" s="13" t="str">
        <f aca="false">IF($E208="","",COUNTA($E$5:$E208))</f>
        <v/>
      </c>
      <c r="B208" s="14"/>
      <c r="C208" s="15"/>
      <c r="D208" s="25"/>
      <c r="E208" s="21"/>
      <c r="F208" s="18"/>
      <c r="G208" s="15"/>
      <c r="H208" s="15"/>
      <c r="I208" s="15"/>
      <c r="J208" s="15"/>
      <c r="K208" s="18"/>
      <c r="L208" s="20" t="str">
        <f aca="false">IF($E208="","",IF(OR($B208="",$C208="",$D208=""),"待补楼栋/位置/日期",IF($C208="公共区域","公",SUBSTITUTE($C208,"栋",""))&amp;"-"&amp;$D208&amp;"-"&amp;TEXT(MONTH($B208),"00")&amp;TEXT(DAY($B208),"00")&amp;IF(COUNTIFS($C$5:$C208,$C208,$D$5:$D208,$D208)&gt;1,"-"&amp;TEXT(COUNTIFS($C$5:$C208,$C208,$D$5:$D208,$D208),"00"),"")))</f>
        <v/>
      </c>
      <c r="M208" s="21"/>
      <c r="N208" s="15"/>
      <c r="O208" s="21"/>
    </row>
    <row r="209" customFormat="false" ht="21.75" hidden="false" customHeight="true" outlineLevel="0" collapsed="false">
      <c r="A209" s="13" t="str">
        <f aca="false">IF($E209="","",COUNTA($E$5:$E209))</f>
        <v/>
      </c>
      <c r="B209" s="14"/>
      <c r="C209" s="15"/>
      <c r="D209" s="25"/>
      <c r="E209" s="21"/>
      <c r="F209" s="18"/>
      <c r="G209" s="15"/>
      <c r="H209" s="15"/>
      <c r="I209" s="15"/>
      <c r="J209" s="15"/>
      <c r="K209" s="18"/>
      <c r="L209" s="20" t="str">
        <f aca="false">IF($E209="","",IF(OR($B209="",$C209="",$D209=""),"待补楼栋/位置/日期",IF($C209="公共区域","公",SUBSTITUTE($C209,"栋",""))&amp;"-"&amp;$D209&amp;"-"&amp;TEXT(MONTH($B209),"00")&amp;TEXT(DAY($B209),"00")&amp;IF(COUNTIFS($C$5:$C209,$C209,$D$5:$D209,$D209)&gt;1,"-"&amp;TEXT(COUNTIFS($C$5:$C209,$C209,$D$5:$D209,$D209),"00"),"")))</f>
        <v/>
      </c>
      <c r="M209" s="21"/>
      <c r="N209" s="15"/>
      <c r="O209" s="21"/>
    </row>
    <row r="210" customFormat="false" ht="21.75" hidden="false" customHeight="true" outlineLevel="0" collapsed="false">
      <c r="A210" s="13" t="str">
        <f aca="false">IF($E210="","",COUNTA($E$5:$E210))</f>
        <v/>
      </c>
      <c r="B210" s="14"/>
      <c r="C210" s="15"/>
      <c r="D210" s="25"/>
      <c r="E210" s="21"/>
      <c r="F210" s="18"/>
      <c r="G210" s="15"/>
      <c r="H210" s="15"/>
      <c r="I210" s="15"/>
      <c r="J210" s="15"/>
      <c r="K210" s="18"/>
      <c r="L210" s="20" t="str">
        <f aca="false">IF($E210="","",IF(OR($B210="",$C210="",$D210=""),"待补楼栋/位置/日期",IF($C210="公共区域","公",SUBSTITUTE($C210,"栋",""))&amp;"-"&amp;$D210&amp;"-"&amp;TEXT(MONTH($B210),"00")&amp;TEXT(DAY($B210),"00")&amp;IF(COUNTIFS($C$5:$C210,$C210,$D$5:$D210,$D210)&gt;1,"-"&amp;TEXT(COUNTIFS($C$5:$C210,$C210,$D$5:$D210,$D210),"00"),"")))</f>
        <v/>
      </c>
      <c r="M210" s="21"/>
      <c r="N210" s="15"/>
      <c r="O210" s="21"/>
    </row>
    <row r="211" customFormat="false" ht="21.75" hidden="false" customHeight="true" outlineLevel="0" collapsed="false">
      <c r="A211" s="13" t="str">
        <f aca="false">IF($E211="","",COUNTA($E$5:$E211))</f>
        <v/>
      </c>
      <c r="B211" s="14"/>
      <c r="C211" s="15"/>
      <c r="D211" s="25"/>
      <c r="E211" s="21"/>
      <c r="F211" s="18"/>
      <c r="G211" s="15"/>
      <c r="H211" s="15"/>
      <c r="I211" s="15"/>
      <c r="J211" s="15"/>
      <c r="K211" s="18"/>
      <c r="L211" s="20" t="str">
        <f aca="false">IF($E211="","",IF(OR($B211="",$C211="",$D211=""),"待补楼栋/位置/日期",IF($C211="公共区域","公",SUBSTITUTE($C211,"栋",""))&amp;"-"&amp;$D211&amp;"-"&amp;TEXT(MONTH($B211),"00")&amp;TEXT(DAY($B211),"00")&amp;IF(COUNTIFS($C$5:$C211,$C211,$D$5:$D211,$D211)&gt;1,"-"&amp;TEXT(COUNTIFS($C$5:$C211,$C211,$D$5:$D211,$D211),"00"),"")))</f>
        <v/>
      </c>
      <c r="M211" s="21"/>
      <c r="N211" s="15"/>
      <c r="O211" s="21"/>
    </row>
    <row r="212" customFormat="false" ht="21.75" hidden="false" customHeight="true" outlineLevel="0" collapsed="false">
      <c r="A212" s="13" t="str">
        <f aca="false">IF($E212="","",COUNTA($E$5:$E212))</f>
        <v/>
      </c>
      <c r="B212" s="14"/>
      <c r="C212" s="15"/>
      <c r="D212" s="25"/>
      <c r="E212" s="21"/>
      <c r="F212" s="18"/>
      <c r="G212" s="15"/>
      <c r="H212" s="15"/>
      <c r="I212" s="15"/>
      <c r="J212" s="15"/>
      <c r="K212" s="18"/>
      <c r="L212" s="20" t="str">
        <f aca="false">IF($E212="","",IF(OR($B212="",$C212="",$D212=""),"待补楼栋/位置/日期",IF($C212="公共区域","公",SUBSTITUTE($C212,"栋",""))&amp;"-"&amp;$D212&amp;"-"&amp;TEXT(MONTH($B212),"00")&amp;TEXT(DAY($B212),"00")&amp;IF(COUNTIFS($C$5:$C212,$C212,$D$5:$D212,$D212)&gt;1,"-"&amp;TEXT(COUNTIFS($C$5:$C212,$C212,$D$5:$D212,$D212),"00"),"")))</f>
        <v/>
      </c>
      <c r="M212" s="21"/>
      <c r="N212" s="15"/>
      <c r="O212" s="21"/>
    </row>
    <row r="213" customFormat="false" ht="21.75" hidden="false" customHeight="true" outlineLevel="0" collapsed="false">
      <c r="A213" s="13" t="str">
        <f aca="false">IF($E213="","",COUNTA($E$5:$E213))</f>
        <v/>
      </c>
      <c r="B213" s="14"/>
      <c r="C213" s="15"/>
      <c r="D213" s="25"/>
      <c r="E213" s="21"/>
      <c r="F213" s="18"/>
      <c r="G213" s="15"/>
      <c r="H213" s="15"/>
      <c r="I213" s="15"/>
      <c r="J213" s="15"/>
      <c r="K213" s="18"/>
      <c r="L213" s="20" t="str">
        <f aca="false">IF($E213="","",IF(OR($B213="",$C213="",$D213=""),"待补楼栋/位置/日期",IF($C213="公共区域","公",SUBSTITUTE($C213,"栋",""))&amp;"-"&amp;$D213&amp;"-"&amp;TEXT(MONTH($B213),"00")&amp;TEXT(DAY($B213),"00")&amp;IF(COUNTIFS($C$5:$C213,$C213,$D$5:$D213,$D213)&gt;1,"-"&amp;TEXT(COUNTIFS($C$5:$C213,$C213,$D$5:$D213,$D213),"00"),"")))</f>
        <v/>
      </c>
      <c r="M213" s="21"/>
      <c r="N213" s="15"/>
      <c r="O213" s="21"/>
    </row>
    <row r="214" customFormat="false" ht="21.75" hidden="false" customHeight="true" outlineLevel="0" collapsed="false">
      <c r="A214" s="13" t="str">
        <f aca="false">IF($E214="","",COUNTA($E$5:$E214))</f>
        <v/>
      </c>
      <c r="B214" s="14"/>
      <c r="C214" s="15"/>
      <c r="D214" s="25"/>
      <c r="E214" s="21"/>
      <c r="F214" s="18"/>
      <c r="G214" s="15"/>
      <c r="H214" s="15"/>
      <c r="I214" s="15"/>
      <c r="J214" s="15"/>
      <c r="K214" s="18"/>
      <c r="L214" s="20" t="str">
        <f aca="false">IF($E214="","",IF(OR($B214="",$C214="",$D214=""),"待补楼栋/位置/日期",IF($C214="公共区域","公",SUBSTITUTE($C214,"栋",""))&amp;"-"&amp;$D214&amp;"-"&amp;TEXT(MONTH($B214),"00")&amp;TEXT(DAY($B214),"00")&amp;IF(COUNTIFS($C$5:$C214,$C214,$D$5:$D214,$D214)&gt;1,"-"&amp;TEXT(COUNTIFS($C$5:$C214,$C214,$D$5:$D214,$D214),"00"),"")))</f>
        <v/>
      </c>
      <c r="M214" s="21"/>
      <c r="N214" s="15"/>
      <c r="O214" s="21"/>
    </row>
    <row r="215" customFormat="false" ht="21.75" hidden="false" customHeight="true" outlineLevel="0" collapsed="false">
      <c r="A215" s="13" t="str">
        <f aca="false">IF($E215="","",COUNTA($E$5:$E215))</f>
        <v/>
      </c>
      <c r="B215" s="14"/>
      <c r="C215" s="15"/>
      <c r="D215" s="25"/>
      <c r="E215" s="21"/>
      <c r="F215" s="18"/>
      <c r="G215" s="15"/>
      <c r="H215" s="15"/>
      <c r="I215" s="15"/>
      <c r="J215" s="15"/>
      <c r="K215" s="18"/>
      <c r="L215" s="20" t="str">
        <f aca="false">IF($E215="","",IF(OR($B215="",$C215="",$D215=""),"待补楼栋/位置/日期",IF($C215="公共区域","公",SUBSTITUTE($C215,"栋",""))&amp;"-"&amp;$D215&amp;"-"&amp;TEXT(MONTH($B215),"00")&amp;TEXT(DAY($B215),"00")&amp;IF(COUNTIFS($C$5:$C215,$C215,$D$5:$D215,$D215)&gt;1,"-"&amp;TEXT(COUNTIFS($C$5:$C215,$C215,$D$5:$D215,$D215),"00"),"")))</f>
        <v/>
      </c>
      <c r="M215" s="21"/>
      <c r="N215" s="15"/>
      <c r="O215" s="21"/>
    </row>
    <row r="216" customFormat="false" ht="21.75" hidden="false" customHeight="true" outlineLevel="0" collapsed="false">
      <c r="A216" s="13" t="str">
        <f aca="false">IF($E216="","",COUNTA($E$5:$E216))</f>
        <v/>
      </c>
      <c r="B216" s="14"/>
      <c r="C216" s="15"/>
      <c r="D216" s="25"/>
      <c r="E216" s="21"/>
      <c r="F216" s="18"/>
      <c r="G216" s="15"/>
      <c r="H216" s="15"/>
      <c r="I216" s="15"/>
      <c r="J216" s="15"/>
      <c r="K216" s="18"/>
      <c r="L216" s="20" t="str">
        <f aca="false">IF($E216="","",IF(OR($B216="",$C216="",$D216=""),"待补楼栋/位置/日期",IF($C216="公共区域","公",SUBSTITUTE($C216,"栋",""))&amp;"-"&amp;$D216&amp;"-"&amp;TEXT(MONTH($B216),"00")&amp;TEXT(DAY($B216),"00")&amp;IF(COUNTIFS($C$5:$C216,$C216,$D$5:$D216,$D216)&gt;1,"-"&amp;TEXT(COUNTIFS($C$5:$C216,$C216,$D$5:$D216,$D216),"00"),"")))</f>
        <v/>
      </c>
      <c r="M216" s="21"/>
      <c r="N216" s="15"/>
      <c r="O216" s="21"/>
    </row>
    <row r="217" customFormat="false" ht="21.75" hidden="false" customHeight="true" outlineLevel="0" collapsed="false">
      <c r="A217" s="13" t="str">
        <f aca="false">IF($E217="","",COUNTA($E$5:$E217))</f>
        <v/>
      </c>
      <c r="B217" s="14"/>
      <c r="C217" s="15"/>
      <c r="D217" s="25"/>
      <c r="E217" s="21"/>
      <c r="F217" s="18"/>
      <c r="G217" s="15"/>
      <c r="H217" s="15"/>
      <c r="I217" s="15"/>
      <c r="J217" s="15"/>
      <c r="K217" s="18"/>
      <c r="L217" s="20" t="str">
        <f aca="false">IF($E217="","",IF(OR($B217="",$C217="",$D217=""),"待补楼栋/位置/日期",IF($C217="公共区域","公",SUBSTITUTE($C217,"栋",""))&amp;"-"&amp;$D217&amp;"-"&amp;TEXT(MONTH($B217),"00")&amp;TEXT(DAY($B217),"00")&amp;IF(COUNTIFS($C$5:$C217,$C217,$D$5:$D217,$D217)&gt;1,"-"&amp;TEXT(COUNTIFS($C$5:$C217,$C217,$D$5:$D217,$D217),"00"),"")))</f>
        <v/>
      </c>
      <c r="M217" s="21"/>
      <c r="N217" s="15"/>
      <c r="O217" s="21"/>
    </row>
    <row r="218" customFormat="false" ht="21.75" hidden="false" customHeight="true" outlineLevel="0" collapsed="false">
      <c r="A218" s="13" t="str">
        <f aca="false">IF($E218="","",COUNTA($E$5:$E218))</f>
        <v/>
      </c>
      <c r="B218" s="14"/>
      <c r="C218" s="15"/>
      <c r="D218" s="25"/>
      <c r="E218" s="21"/>
      <c r="F218" s="18"/>
      <c r="G218" s="15"/>
      <c r="H218" s="15"/>
      <c r="I218" s="15"/>
      <c r="J218" s="15"/>
      <c r="K218" s="18"/>
      <c r="L218" s="20" t="str">
        <f aca="false">IF($E218="","",IF(OR($B218="",$C218="",$D218=""),"待补楼栋/位置/日期",IF($C218="公共区域","公",SUBSTITUTE($C218,"栋",""))&amp;"-"&amp;$D218&amp;"-"&amp;TEXT(MONTH($B218),"00")&amp;TEXT(DAY($B218),"00")&amp;IF(COUNTIFS($C$5:$C218,$C218,$D$5:$D218,$D218)&gt;1,"-"&amp;TEXT(COUNTIFS($C$5:$C218,$C218,$D$5:$D218,$D218),"00"),"")))</f>
        <v/>
      </c>
      <c r="M218" s="21"/>
      <c r="N218" s="15"/>
      <c r="O218" s="21"/>
    </row>
    <row r="219" customFormat="false" ht="21.75" hidden="false" customHeight="true" outlineLevel="0" collapsed="false">
      <c r="A219" s="13" t="str">
        <f aca="false">IF($E219="","",COUNTA($E$5:$E219))</f>
        <v/>
      </c>
      <c r="B219" s="14"/>
      <c r="C219" s="15"/>
      <c r="D219" s="25"/>
      <c r="E219" s="21"/>
      <c r="F219" s="18"/>
      <c r="G219" s="15"/>
      <c r="H219" s="15"/>
      <c r="I219" s="15"/>
      <c r="J219" s="15"/>
      <c r="K219" s="18"/>
      <c r="L219" s="20" t="str">
        <f aca="false">IF($E219="","",IF(OR($B219="",$C219="",$D219=""),"待补楼栋/位置/日期",IF($C219="公共区域","公",SUBSTITUTE($C219,"栋",""))&amp;"-"&amp;$D219&amp;"-"&amp;TEXT(MONTH($B219),"00")&amp;TEXT(DAY($B219),"00")&amp;IF(COUNTIFS($C$5:$C219,$C219,$D$5:$D219,$D219)&gt;1,"-"&amp;TEXT(COUNTIFS($C$5:$C219,$C219,$D$5:$D219,$D219),"00"),"")))</f>
        <v/>
      </c>
      <c r="M219" s="21"/>
      <c r="N219" s="15"/>
      <c r="O219" s="21"/>
    </row>
    <row r="220" customFormat="false" ht="21.75" hidden="false" customHeight="true" outlineLevel="0" collapsed="false">
      <c r="A220" s="13" t="str">
        <f aca="false">IF($E220="","",COUNTA($E$5:$E220))</f>
        <v/>
      </c>
      <c r="B220" s="14"/>
      <c r="C220" s="15"/>
      <c r="D220" s="25"/>
      <c r="E220" s="21"/>
      <c r="F220" s="18"/>
      <c r="G220" s="15"/>
      <c r="H220" s="15"/>
      <c r="I220" s="15"/>
      <c r="J220" s="15"/>
      <c r="K220" s="18"/>
      <c r="L220" s="20" t="str">
        <f aca="false">IF($E220="","",IF(OR($B220="",$C220="",$D220=""),"待补楼栋/位置/日期",IF($C220="公共区域","公",SUBSTITUTE($C220,"栋",""))&amp;"-"&amp;$D220&amp;"-"&amp;TEXT(MONTH($B220),"00")&amp;TEXT(DAY($B220),"00")&amp;IF(COUNTIFS($C$5:$C220,$C220,$D$5:$D220,$D220)&gt;1,"-"&amp;TEXT(COUNTIFS($C$5:$C220,$C220,$D$5:$D220,$D220),"00"),"")))</f>
        <v/>
      </c>
      <c r="M220" s="21"/>
      <c r="N220" s="15"/>
      <c r="O220" s="21"/>
    </row>
    <row r="221" customFormat="false" ht="21.75" hidden="false" customHeight="true" outlineLevel="0" collapsed="false">
      <c r="A221" s="13" t="str">
        <f aca="false">IF($E221="","",COUNTA($E$5:$E221))</f>
        <v/>
      </c>
      <c r="B221" s="14"/>
      <c r="C221" s="15"/>
      <c r="D221" s="25"/>
      <c r="E221" s="21"/>
      <c r="F221" s="18"/>
      <c r="G221" s="15"/>
      <c r="H221" s="15"/>
      <c r="I221" s="15"/>
      <c r="J221" s="15"/>
      <c r="K221" s="18"/>
      <c r="L221" s="20" t="str">
        <f aca="false">IF($E221="","",IF(OR($B221="",$C221="",$D221=""),"待补楼栋/位置/日期",IF($C221="公共区域","公",SUBSTITUTE($C221,"栋",""))&amp;"-"&amp;$D221&amp;"-"&amp;TEXT(MONTH($B221),"00")&amp;TEXT(DAY($B221),"00")&amp;IF(COUNTIFS($C$5:$C221,$C221,$D$5:$D221,$D221)&gt;1,"-"&amp;TEXT(COUNTIFS($C$5:$C221,$C221,$D$5:$D221,$D221),"00"),"")))</f>
        <v/>
      </c>
      <c r="M221" s="21"/>
      <c r="N221" s="15"/>
      <c r="O221" s="21"/>
    </row>
    <row r="222" customFormat="false" ht="21.75" hidden="false" customHeight="true" outlineLevel="0" collapsed="false">
      <c r="A222" s="13" t="str">
        <f aca="false">IF($E222="","",COUNTA($E$5:$E222))</f>
        <v/>
      </c>
      <c r="B222" s="14"/>
      <c r="C222" s="15"/>
      <c r="D222" s="25"/>
      <c r="E222" s="21"/>
      <c r="F222" s="18"/>
      <c r="G222" s="15"/>
      <c r="H222" s="15"/>
      <c r="I222" s="15"/>
      <c r="J222" s="15"/>
      <c r="K222" s="18"/>
      <c r="L222" s="20" t="str">
        <f aca="false">IF($E222="","",IF(OR($B222="",$C222="",$D222=""),"待补楼栋/位置/日期",IF($C222="公共区域","公",SUBSTITUTE($C222,"栋",""))&amp;"-"&amp;$D222&amp;"-"&amp;TEXT(MONTH($B222),"00")&amp;TEXT(DAY($B222),"00")&amp;IF(COUNTIFS($C$5:$C222,$C222,$D$5:$D222,$D222)&gt;1,"-"&amp;TEXT(COUNTIFS($C$5:$C222,$C222,$D$5:$D222,$D222),"00"),"")))</f>
        <v/>
      </c>
      <c r="M222" s="21"/>
      <c r="N222" s="15"/>
      <c r="O222" s="21"/>
    </row>
    <row r="223" customFormat="false" ht="21.75" hidden="false" customHeight="true" outlineLevel="0" collapsed="false">
      <c r="A223" s="13" t="str">
        <f aca="false">IF($E223="","",COUNTA($E$5:$E223))</f>
        <v/>
      </c>
      <c r="B223" s="14"/>
      <c r="C223" s="15"/>
      <c r="D223" s="25"/>
      <c r="E223" s="21"/>
      <c r="F223" s="18"/>
      <c r="G223" s="15"/>
      <c r="H223" s="15"/>
      <c r="I223" s="15"/>
      <c r="J223" s="15"/>
      <c r="K223" s="18"/>
      <c r="L223" s="20" t="str">
        <f aca="false">IF($E223="","",IF(OR($B223="",$C223="",$D223=""),"待补楼栋/位置/日期",IF($C223="公共区域","公",SUBSTITUTE($C223,"栋",""))&amp;"-"&amp;$D223&amp;"-"&amp;TEXT(MONTH($B223),"00")&amp;TEXT(DAY($B223),"00")&amp;IF(COUNTIFS($C$5:$C223,$C223,$D$5:$D223,$D223)&gt;1,"-"&amp;TEXT(COUNTIFS($C$5:$C223,$C223,$D$5:$D223,$D223),"00"),"")))</f>
        <v/>
      </c>
      <c r="M223" s="21"/>
      <c r="N223" s="15"/>
      <c r="O223" s="21"/>
    </row>
    <row r="224" customFormat="false" ht="21.75" hidden="false" customHeight="true" outlineLevel="0" collapsed="false">
      <c r="A224" s="13" t="str">
        <f aca="false">IF($E224="","",COUNTA($E$5:$E224))</f>
        <v/>
      </c>
      <c r="B224" s="14"/>
      <c r="C224" s="15"/>
      <c r="D224" s="25"/>
      <c r="E224" s="21"/>
      <c r="F224" s="18"/>
      <c r="G224" s="15"/>
      <c r="H224" s="15"/>
      <c r="I224" s="15"/>
      <c r="J224" s="15"/>
      <c r="K224" s="18"/>
      <c r="L224" s="20" t="str">
        <f aca="false">IF($E224="","",IF(OR($B224="",$C224="",$D224=""),"待补楼栋/位置/日期",IF($C224="公共区域","公",SUBSTITUTE($C224,"栋",""))&amp;"-"&amp;$D224&amp;"-"&amp;TEXT(MONTH($B224),"00")&amp;TEXT(DAY($B224),"00")&amp;IF(COUNTIFS($C$5:$C224,$C224,$D$5:$D224,$D224)&gt;1,"-"&amp;TEXT(COUNTIFS($C$5:$C224,$C224,$D$5:$D224,$D224),"00"),"")))</f>
        <v/>
      </c>
      <c r="M224" s="21"/>
      <c r="N224" s="15"/>
      <c r="O224" s="21"/>
    </row>
    <row r="225" customFormat="false" ht="21.75" hidden="false" customHeight="true" outlineLevel="0" collapsed="false">
      <c r="A225" s="13" t="str">
        <f aca="false">IF($E225="","",COUNTA($E$5:$E225))</f>
        <v/>
      </c>
      <c r="B225" s="14"/>
      <c r="C225" s="15"/>
      <c r="D225" s="25"/>
      <c r="E225" s="21"/>
      <c r="F225" s="18"/>
      <c r="G225" s="15"/>
      <c r="H225" s="15"/>
      <c r="I225" s="15"/>
      <c r="J225" s="15"/>
      <c r="K225" s="18"/>
      <c r="L225" s="20" t="str">
        <f aca="false">IF($E225="","",IF(OR($B225="",$C225="",$D225=""),"待补楼栋/位置/日期",IF($C225="公共区域","公",SUBSTITUTE($C225,"栋",""))&amp;"-"&amp;$D225&amp;"-"&amp;TEXT(MONTH($B225),"00")&amp;TEXT(DAY($B225),"00")&amp;IF(COUNTIFS($C$5:$C225,$C225,$D$5:$D225,$D225)&gt;1,"-"&amp;TEXT(COUNTIFS($C$5:$C225,$C225,$D$5:$D225,$D225),"00"),"")))</f>
        <v/>
      </c>
      <c r="M225" s="21"/>
      <c r="N225" s="15"/>
      <c r="O225" s="21"/>
    </row>
    <row r="226" customFormat="false" ht="21.75" hidden="false" customHeight="true" outlineLevel="0" collapsed="false">
      <c r="A226" s="13" t="str">
        <f aca="false">IF($E226="","",COUNTA($E$5:$E226))</f>
        <v/>
      </c>
      <c r="B226" s="14"/>
      <c r="C226" s="15"/>
      <c r="D226" s="25"/>
      <c r="E226" s="21"/>
      <c r="F226" s="18"/>
      <c r="G226" s="15"/>
      <c r="H226" s="15"/>
      <c r="I226" s="15"/>
      <c r="J226" s="15"/>
      <c r="K226" s="18"/>
      <c r="L226" s="20" t="str">
        <f aca="false">IF($E226="","",IF(OR($B226="",$C226="",$D226=""),"待补楼栋/位置/日期",IF($C226="公共区域","公",SUBSTITUTE($C226,"栋",""))&amp;"-"&amp;$D226&amp;"-"&amp;TEXT(MONTH($B226),"00")&amp;TEXT(DAY($B226),"00")&amp;IF(COUNTIFS($C$5:$C226,$C226,$D$5:$D226,$D226)&gt;1,"-"&amp;TEXT(COUNTIFS($C$5:$C226,$C226,$D$5:$D226,$D226),"00"),"")))</f>
        <v/>
      </c>
      <c r="M226" s="21"/>
      <c r="N226" s="15"/>
      <c r="O226" s="21"/>
    </row>
    <row r="227" customFormat="false" ht="21.75" hidden="false" customHeight="true" outlineLevel="0" collapsed="false">
      <c r="A227" s="13" t="str">
        <f aca="false">IF($E227="","",COUNTA($E$5:$E227))</f>
        <v/>
      </c>
      <c r="B227" s="14"/>
      <c r="C227" s="15"/>
      <c r="D227" s="25"/>
      <c r="E227" s="21"/>
      <c r="F227" s="18"/>
      <c r="G227" s="15"/>
      <c r="H227" s="15"/>
      <c r="I227" s="15"/>
      <c r="J227" s="15"/>
      <c r="K227" s="18"/>
      <c r="L227" s="20" t="str">
        <f aca="false">IF($E227="","",IF(OR($B227="",$C227="",$D227=""),"待补楼栋/位置/日期",IF($C227="公共区域","公",SUBSTITUTE($C227,"栋",""))&amp;"-"&amp;$D227&amp;"-"&amp;TEXT(MONTH($B227),"00")&amp;TEXT(DAY($B227),"00")&amp;IF(COUNTIFS($C$5:$C227,$C227,$D$5:$D227,$D227)&gt;1,"-"&amp;TEXT(COUNTIFS($C$5:$C227,$C227,$D$5:$D227,$D227),"00"),"")))</f>
        <v/>
      </c>
      <c r="M227" s="21"/>
      <c r="N227" s="15"/>
      <c r="O227" s="21"/>
    </row>
    <row r="228" customFormat="false" ht="21.75" hidden="false" customHeight="true" outlineLevel="0" collapsed="false">
      <c r="A228" s="13" t="str">
        <f aca="false">IF($E228="","",COUNTA($E$5:$E228))</f>
        <v/>
      </c>
      <c r="B228" s="14"/>
      <c r="C228" s="15"/>
      <c r="D228" s="25"/>
      <c r="E228" s="21"/>
      <c r="F228" s="18"/>
      <c r="G228" s="15"/>
      <c r="H228" s="15"/>
      <c r="I228" s="15"/>
      <c r="J228" s="15"/>
      <c r="K228" s="18"/>
      <c r="L228" s="20" t="str">
        <f aca="false">IF($E228="","",IF(OR($B228="",$C228="",$D228=""),"待补楼栋/位置/日期",IF($C228="公共区域","公",SUBSTITUTE($C228,"栋",""))&amp;"-"&amp;$D228&amp;"-"&amp;TEXT(MONTH($B228),"00")&amp;TEXT(DAY($B228),"00")&amp;IF(COUNTIFS($C$5:$C228,$C228,$D$5:$D228,$D228)&gt;1,"-"&amp;TEXT(COUNTIFS($C$5:$C228,$C228,$D$5:$D228,$D228),"00"),"")))</f>
        <v/>
      </c>
      <c r="M228" s="21"/>
      <c r="N228" s="15"/>
      <c r="O228" s="21"/>
    </row>
    <row r="229" customFormat="false" ht="21.75" hidden="false" customHeight="true" outlineLevel="0" collapsed="false">
      <c r="A229" s="13" t="str">
        <f aca="false">IF($E229="","",COUNTA($E$5:$E229))</f>
        <v/>
      </c>
      <c r="B229" s="14"/>
      <c r="C229" s="15"/>
      <c r="D229" s="25"/>
      <c r="E229" s="21"/>
      <c r="F229" s="18"/>
      <c r="G229" s="15"/>
      <c r="H229" s="15"/>
      <c r="I229" s="15"/>
      <c r="J229" s="15"/>
      <c r="K229" s="18"/>
      <c r="L229" s="20" t="str">
        <f aca="false">IF($E229="","",IF(OR($B229="",$C229="",$D229=""),"待补楼栋/位置/日期",IF($C229="公共区域","公",SUBSTITUTE($C229,"栋",""))&amp;"-"&amp;$D229&amp;"-"&amp;TEXT(MONTH($B229),"00")&amp;TEXT(DAY($B229),"00")&amp;IF(COUNTIFS($C$5:$C229,$C229,$D$5:$D229,$D229)&gt;1,"-"&amp;TEXT(COUNTIFS($C$5:$C229,$C229,$D$5:$D229,$D229),"00"),"")))</f>
        <v/>
      </c>
      <c r="M229" s="21"/>
      <c r="N229" s="15"/>
      <c r="O229" s="21"/>
    </row>
    <row r="230" customFormat="false" ht="21.75" hidden="false" customHeight="true" outlineLevel="0" collapsed="false">
      <c r="A230" s="13" t="str">
        <f aca="false">IF($E230="","",COUNTA($E$5:$E230))</f>
        <v/>
      </c>
      <c r="B230" s="14"/>
      <c r="C230" s="15"/>
      <c r="D230" s="25"/>
      <c r="E230" s="21"/>
      <c r="F230" s="18"/>
      <c r="G230" s="15"/>
      <c r="H230" s="15"/>
      <c r="I230" s="15"/>
      <c r="J230" s="15"/>
      <c r="K230" s="18"/>
      <c r="L230" s="20" t="str">
        <f aca="false">IF($E230="","",IF(OR($B230="",$C230="",$D230=""),"待补楼栋/位置/日期",IF($C230="公共区域","公",SUBSTITUTE($C230,"栋",""))&amp;"-"&amp;$D230&amp;"-"&amp;TEXT(MONTH($B230),"00")&amp;TEXT(DAY($B230),"00")&amp;IF(COUNTIFS($C$5:$C230,$C230,$D$5:$D230,$D230)&gt;1,"-"&amp;TEXT(COUNTIFS($C$5:$C230,$C230,$D$5:$D230,$D230),"00"),"")))</f>
        <v/>
      </c>
      <c r="M230" s="21"/>
      <c r="N230" s="15"/>
      <c r="O230" s="21"/>
    </row>
    <row r="231" customFormat="false" ht="21.75" hidden="false" customHeight="true" outlineLevel="0" collapsed="false">
      <c r="A231" s="13" t="str">
        <f aca="false">IF($E231="","",COUNTA($E$5:$E231))</f>
        <v/>
      </c>
      <c r="B231" s="14"/>
      <c r="C231" s="15"/>
      <c r="D231" s="25"/>
      <c r="E231" s="21"/>
      <c r="F231" s="18"/>
      <c r="G231" s="15"/>
      <c r="H231" s="15"/>
      <c r="I231" s="15"/>
      <c r="J231" s="15"/>
      <c r="K231" s="18"/>
      <c r="L231" s="20" t="str">
        <f aca="false">IF($E231="","",IF(OR($B231="",$C231="",$D231=""),"待补楼栋/位置/日期",IF($C231="公共区域","公",SUBSTITUTE($C231,"栋",""))&amp;"-"&amp;$D231&amp;"-"&amp;TEXT(MONTH($B231),"00")&amp;TEXT(DAY($B231),"00")&amp;IF(COUNTIFS($C$5:$C231,$C231,$D$5:$D231,$D231)&gt;1,"-"&amp;TEXT(COUNTIFS($C$5:$C231,$C231,$D$5:$D231,$D231),"00"),"")))</f>
        <v/>
      </c>
      <c r="M231" s="21"/>
      <c r="N231" s="15"/>
      <c r="O231" s="21"/>
    </row>
    <row r="232" customFormat="false" ht="21.75" hidden="false" customHeight="true" outlineLevel="0" collapsed="false">
      <c r="A232" s="13" t="str">
        <f aca="false">IF($E232="","",COUNTA($E$5:$E232))</f>
        <v/>
      </c>
      <c r="B232" s="14"/>
      <c r="C232" s="15"/>
      <c r="D232" s="25"/>
      <c r="E232" s="21"/>
      <c r="F232" s="18"/>
      <c r="G232" s="15"/>
      <c r="H232" s="15"/>
      <c r="I232" s="15"/>
      <c r="J232" s="15"/>
      <c r="K232" s="18"/>
      <c r="L232" s="20" t="str">
        <f aca="false">IF($E232="","",IF(OR($B232="",$C232="",$D232=""),"待补楼栋/位置/日期",IF($C232="公共区域","公",SUBSTITUTE($C232,"栋",""))&amp;"-"&amp;$D232&amp;"-"&amp;TEXT(MONTH($B232),"00")&amp;TEXT(DAY($B232),"00")&amp;IF(COUNTIFS($C$5:$C232,$C232,$D$5:$D232,$D232)&gt;1,"-"&amp;TEXT(COUNTIFS($C$5:$C232,$C232,$D$5:$D232,$D232),"00"),"")))</f>
        <v/>
      </c>
      <c r="M232" s="21"/>
      <c r="N232" s="15"/>
      <c r="O232" s="21"/>
    </row>
    <row r="233" customFormat="false" ht="21.75" hidden="false" customHeight="true" outlineLevel="0" collapsed="false">
      <c r="A233" s="13" t="str">
        <f aca="false">IF($E233="","",COUNTA($E$5:$E233))</f>
        <v/>
      </c>
      <c r="B233" s="14"/>
      <c r="C233" s="15"/>
      <c r="D233" s="25"/>
      <c r="E233" s="21"/>
      <c r="F233" s="18"/>
      <c r="G233" s="15"/>
      <c r="H233" s="15"/>
      <c r="I233" s="15"/>
      <c r="J233" s="15"/>
      <c r="K233" s="18"/>
      <c r="L233" s="20" t="str">
        <f aca="false">IF($E233="","",IF(OR($B233="",$C233="",$D233=""),"待补楼栋/位置/日期",IF($C233="公共区域","公",SUBSTITUTE($C233,"栋",""))&amp;"-"&amp;$D233&amp;"-"&amp;TEXT(MONTH($B233),"00")&amp;TEXT(DAY($B233),"00")&amp;IF(COUNTIFS($C$5:$C233,$C233,$D$5:$D233,$D233)&gt;1,"-"&amp;TEXT(COUNTIFS($C$5:$C233,$C233,$D$5:$D233,$D233),"00"),"")))</f>
        <v/>
      </c>
      <c r="M233" s="21"/>
      <c r="N233" s="15"/>
      <c r="O233" s="21"/>
    </row>
    <row r="234" customFormat="false" ht="21.75" hidden="false" customHeight="true" outlineLevel="0" collapsed="false">
      <c r="A234" s="13" t="str">
        <f aca="false">IF($E234="","",COUNTA($E$5:$E234))</f>
        <v/>
      </c>
      <c r="B234" s="14"/>
      <c r="C234" s="15"/>
      <c r="D234" s="25"/>
      <c r="E234" s="21"/>
      <c r="F234" s="18"/>
      <c r="G234" s="15"/>
      <c r="H234" s="15"/>
      <c r="I234" s="15"/>
      <c r="J234" s="15"/>
      <c r="K234" s="18"/>
      <c r="L234" s="20" t="str">
        <f aca="false">IF($E234="","",IF(OR($B234="",$C234="",$D234=""),"待补楼栋/位置/日期",IF($C234="公共区域","公",SUBSTITUTE($C234,"栋",""))&amp;"-"&amp;$D234&amp;"-"&amp;TEXT(MONTH($B234),"00")&amp;TEXT(DAY($B234),"00")&amp;IF(COUNTIFS($C$5:$C234,$C234,$D$5:$D234,$D234)&gt;1,"-"&amp;TEXT(COUNTIFS($C$5:$C234,$C234,$D$5:$D234,$D234),"00"),"")))</f>
        <v/>
      </c>
      <c r="M234" s="21"/>
      <c r="N234" s="15"/>
      <c r="O234" s="21"/>
    </row>
    <row r="235" customFormat="false" ht="21.75" hidden="false" customHeight="true" outlineLevel="0" collapsed="false">
      <c r="A235" s="13" t="str">
        <f aca="false">IF($E235="","",COUNTA($E$5:$E235))</f>
        <v/>
      </c>
      <c r="B235" s="14"/>
      <c r="C235" s="15"/>
      <c r="D235" s="25"/>
      <c r="E235" s="21"/>
      <c r="F235" s="18"/>
      <c r="G235" s="15"/>
      <c r="H235" s="15"/>
      <c r="I235" s="15"/>
      <c r="J235" s="15"/>
      <c r="K235" s="18"/>
      <c r="L235" s="20" t="str">
        <f aca="false">IF($E235="","",IF(OR($B235="",$C235="",$D235=""),"待补楼栋/位置/日期",IF($C235="公共区域","公",SUBSTITUTE($C235,"栋",""))&amp;"-"&amp;$D235&amp;"-"&amp;TEXT(MONTH($B235),"00")&amp;TEXT(DAY($B235),"00")&amp;IF(COUNTIFS($C$5:$C235,$C235,$D$5:$D235,$D235)&gt;1,"-"&amp;TEXT(COUNTIFS($C$5:$C235,$C235,$D$5:$D235,$D235),"00"),"")))</f>
        <v/>
      </c>
      <c r="M235" s="21"/>
      <c r="N235" s="15"/>
      <c r="O235" s="21"/>
    </row>
    <row r="236" customFormat="false" ht="21.75" hidden="false" customHeight="true" outlineLevel="0" collapsed="false">
      <c r="A236" s="13" t="str">
        <f aca="false">IF($E236="","",COUNTA($E$5:$E236))</f>
        <v/>
      </c>
      <c r="B236" s="14"/>
      <c r="C236" s="15"/>
      <c r="D236" s="25"/>
      <c r="E236" s="21"/>
      <c r="F236" s="18"/>
      <c r="G236" s="15"/>
      <c r="H236" s="15"/>
      <c r="I236" s="15"/>
      <c r="J236" s="15"/>
      <c r="K236" s="18"/>
      <c r="L236" s="20" t="str">
        <f aca="false">IF($E236="","",IF(OR($B236="",$C236="",$D236=""),"待补楼栋/位置/日期",IF($C236="公共区域","公",SUBSTITUTE($C236,"栋",""))&amp;"-"&amp;$D236&amp;"-"&amp;TEXT(MONTH($B236),"00")&amp;TEXT(DAY($B236),"00")&amp;IF(COUNTIFS($C$5:$C236,$C236,$D$5:$D236,$D236)&gt;1,"-"&amp;TEXT(COUNTIFS($C$5:$C236,$C236,$D$5:$D236,$D236),"00"),"")))</f>
        <v/>
      </c>
      <c r="M236" s="21"/>
      <c r="N236" s="15"/>
      <c r="O236" s="21"/>
    </row>
    <row r="237" customFormat="false" ht="21.75" hidden="false" customHeight="true" outlineLevel="0" collapsed="false">
      <c r="A237" s="13" t="str">
        <f aca="false">IF($E237="","",COUNTA($E$5:$E237))</f>
        <v/>
      </c>
      <c r="B237" s="14"/>
      <c r="C237" s="15"/>
      <c r="D237" s="25"/>
      <c r="E237" s="21"/>
      <c r="F237" s="18"/>
      <c r="G237" s="15"/>
      <c r="H237" s="15"/>
      <c r="I237" s="15"/>
      <c r="J237" s="15"/>
      <c r="K237" s="18"/>
      <c r="L237" s="20" t="str">
        <f aca="false">IF($E237="","",IF(OR($B237="",$C237="",$D237=""),"待补楼栋/位置/日期",IF($C237="公共区域","公",SUBSTITUTE($C237,"栋",""))&amp;"-"&amp;$D237&amp;"-"&amp;TEXT(MONTH($B237),"00")&amp;TEXT(DAY($B237),"00")&amp;IF(COUNTIFS($C$5:$C237,$C237,$D$5:$D237,$D237)&gt;1,"-"&amp;TEXT(COUNTIFS($C$5:$C237,$C237,$D$5:$D237,$D237),"00"),"")))</f>
        <v/>
      </c>
      <c r="M237" s="21"/>
      <c r="N237" s="15"/>
      <c r="O237" s="21"/>
    </row>
    <row r="238" customFormat="false" ht="21.75" hidden="false" customHeight="true" outlineLevel="0" collapsed="false">
      <c r="A238" s="13" t="str">
        <f aca="false">IF($E238="","",COUNTA($E$5:$E238))</f>
        <v/>
      </c>
      <c r="B238" s="14"/>
      <c r="C238" s="15"/>
      <c r="D238" s="25"/>
      <c r="E238" s="21"/>
      <c r="F238" s="18"/>
      <c r="G238" s="15"/>
      <c r="H238" s="15"/>
      <c r="I238" s="15"/>
      <c r="J238" s="15"/>
      <c r="K238" s="18"/>
      <c r="L238" s="20" t="str">
        <f aca="false">IF($E238="","",IF(OR($B238="",$C238="",$D238=""),"待补楼栋/位置/日期",IF($C238="公共区域","公",SUBSTITUTE($C238,"栋",""))&amp;"-"&amp;$D238&amp;"-"&amp;TEXT(MONTH($B238),"00")&amp;TEXT(DAY($B238),"00")&amp;IF(COUNTIFS($C$5:$C238,$C238,$D$5:$D238,$D238)&gt;1,"-"&amp;TEXT(COUNTIFS($C$5:$C238,$C238,$D$5:$D238,$D238),"00"),"")))</f>
        <v/>
      </c>
      <c r="M238" s="21"/>
      <c r="N238" s="15"/>
      <c r="O238" s="21"/>
    </row>
    <row r="239" customFormat="false" ht="21.75" hidden="false" customHeight="true" outlineLevel="0" collapsed="false">
      <c r="A239" s="13" t="str">
        <f aca="false">IF($E239="","",COUNTA($E$5:$E239))</f>
        <v/>
      </c>
      <c r="B239" s="14"/>
      <c r="C239" s="15"/>
      <c r="D239" s="25"/>
      <c r="E239" s="21"/>
      <c r="F239" s="18"/>
      <c r="G239" s="15"/>
      <c r="H239" s="15"/>
      <c r="I239" s="15"/>
      <c r="J239" s="15"/>
      <c r="K239" s="18"/>
      <c r="L239" s="20" t="str">
        <f aca="false">IF($E239="","",IF(OR($B239="",$C239="",$D239=""),"待补楼栋/位置/日期",IF($C239="公共区域","公",SUBSTITUTE($C239,"栋",""))&amp;"-"&amp;$D239&amp;"-"&amp;TEXT(MONTH($B239),"00")&amp;TEXT(DAY($B239),"00")&amp;IF(COUNTIFS($C$5:$C239,$C239,$D$5:$D239,$D239)&gt;1,"-"&amp;TEXT(COUNTIFS($C$5:$C239,$C239,$D$5:$D239,$D239),"00"),"")))</f>
        <v/>
      </c>
      <c r="M239" s="21"/>
      <c r="N239" s="15"/>
      <c r="O239" s="21"/>
    </row>
    <row r="240" customFormat="false" ht="21.75" hidden="false" customHeight="true" outlineLevel="0" collapsed="false">
      <c r="A240" s="13" t="str">
        <f aca="false">IF($E240="","",COUNTA($E$5:$E240))</f>
        <v/>
      </c>
      <c r="B240" s="14"/>
      <c r="C240" s="15"/>
      <c r="D240" s="25"/>
      <c r="E240" s="21"/>
      <c r="F240" s="18"/>
      <c r="G240" s="15"/>
      <c r="H240" s="15"/>
      <c r="I240" s="15"/>
      <c r="J240" s="15"/>
      <c r="K240" s="18"/>
      <c r="L240" s="20" t="str">
        <f aca="false">IF($E240="","",IF(OR($B240="",$C240="",$D240=""),"待补楼栋/位置/日期",IF($C240="公共区域","公",SUBSTITUTE($C240,"栋",""))&amp;"-"&amp;$D240&amp;"-"&amp;TEXT(MONTH($B240),"00")&amp;TEXT(DAY($B240),"00")&amp;IF(COUNTIFS($C$5:$C240,$C240,$D$5:$D240,$D240)&gt;1,"-"&amp;TEXT(COUNTIFS($C$5:$C240,$C240,$D$5:$D240,$D240),"00"),"")))</f>
        <v/>
      </c>
      <c r="M240" s="21"/>
      <c r="N240" s="15"/>
      <c r="O240" s="21"/>
    </row>
    <row r="241" customFormat="false" ht="21.75" hidden="false" customHeight="true" outlineLevel="0" collapsed="false">
      <c r="A241" s="13" t="str">
        <f aca="false">IF($E241="","",COUNTA($E$5:$E241))</f>
        <v/>
      </c>
      <c r="B241" s="14"/>
      <c r="C241" s="15"/>
      <c r="D241" s="25"/>
      <c r="E241" s="21"/>
      <c r="F241" s="18"/>
      <c r="G241" s="15"/>
      <c r="H241" s="15"/>
      <c r="I241" s="15"/>
      <c r="J241" s="15"/>
      <c r="K241" s="18"/>
      <c r="L241" s="20" t="str">
        <f aca="false">IF($E241="","",IF(OR($B241="",$C241="",$D241=""),"待补楼栋/位置/日期",IF($C241="公共区域","公",SUBSTITUTE($C241,"栋",""))&amp;"-"&amp;$D241&amp;"-"&amp;TEXT(MONTH($B241),"00")&amp;TEXT(DAY($B241),"00")&amp;IF(COUNTIFS($C$5:$C241,$C241,$D$5:$D241,$D241)&gt;1,"-"&amp;TEXT(COUNTIFS($C$5:$C241,$C241,$D$5:$D241,$D241),"00"),"")))</f>
        <v/>
      </c>
      <c r="M241" s="21"/>
      <c r="N241" s="15"/>
      <c r="O241" s="21"/>
    </row>
    <row r="242" customFormat="false" ht="21.75" hidden="false" customHeight="true" outlineLevel="0" collapsed="false">
      <c r="A242" s="13" t="str">
        <f aca="false">IF($E242="","",COUNTA($E$5:$E242))</f>
        <v/>
      </c>
      <c r="B242" s="14"/>
      <c r="C242" s="15"/>
      <c r="D242" s="25"/>
      <c r="E242" s="21"/>
      <c r="F242" s="18"/>
      <c r="G242" s="15"/>
      <c r="H242" s="15"/>
      <c r="I242" s="15"/>
      <c r="J242" s="15"/>
      <c r="K242" s="18"/>
      <c r="L242" s="20" t="str">
        <f aca="false">IF($E242="","",IF(OR($B242="",$C242="",$D242=""),"待补楼栋/位置/日期",IF($C242="公共区域","公",SUBSTITUTE($C242,"栋",""))&amp;"-"&amp;$D242&amp;"-"&amp;TEXT(MONTH($B242),"00")&amp;TEXT(DAY($B242),"00")&amp;IF(COUNTIFS($C$5:$C242,$C242,$D$5:$D242,$D242)&gt;1,"-"&amp;TEXT(COUNTIFS($C$5:$C242,$C242,$D$5:$D242,$D242),"00"),"")))</f>
        <v/>
      </c>
      <c r="M242" s="21"/>
      <c r="N242" s="15"/>
      <c r="O242" s="21"/>
    </row>
    <row r="243" customFormat="false" ht="21.75" hidden="false" customHeight="true" outlineLevel="0" collapsed="false">
      <c r="A243" s="13" t="str">
        <f aca="false">IF($E243="","",COUNTA($E$5:$E243))</f>
        <v/>
      </c>
      <c r="B243" s="14"/>
      <c r="C243" s="15"/>
      <c r="D243" s="25"/>
      <c r="E243" s="21"/>
      <c r="F243" s="18"/>
      <c r="G243" s="15"/>
      <c r="H243" s="15"/>
      <c r="I243" s="15"/>
      <c r="J243" s="15"/>
      <c r="K243" s="18"/>
      <c r="L243" s="20" t="str">
        <f aca="false">IF($E243="","",IF(OR($B243="",$C243="",$D243=""),"待补楼栋/位置/日期",IF($C243="公共区域","公",SUBSTITUTE($C243,"栋",""))&amp;"-"&amp;$D243&amp;"-"&amp;TEXT(MONTH($B243),"00")&amp;TEXT(DAY($B243),"00")&amp;IF(COUNTIFS($C$5:$C243,$C243,$D$5:$D243,$D243)&gt;1,"-"&amp;TEXT(COUNTIFS($C$5:$C243,$C243,$D$5:$D243,$D243),"00"),"")))</f>
        <v/>
      </c>
      <c r="M243" s="21"/>
      <c r="N243" s="15"/>
      <c r="O243" s="21"/>
    </row>
    <row r="244" customFormat="false" ht="21.75" hidden="false" customHeight="true" outlineLevel="0" collapsed="false">
      <c r="A244" s="13" t="str">
        <f aca="false">IF($E244="","",COUNTA($E$5:$E244))</f>
        <v/>
      </c>
      <c r="B244" s="14"/>
      <c r="C244" s="15"/>
      <c r="D244" s="25"/>
      <c r="E244" s="21"/>
      <c r="F244" s="18"/>
      <c r="G244" s="15"/>
      <c r="H244" s="15"/>
      <c r="I244" s="15"/>
      <c r="J244" s="15"/>
      <c r="K244" s="18"/>
      <c r="L244" s="20" t="str">
        <f aca="false">IF($E244="","",IF(OR($B244="",$C244="",$D244=""),"待补楼栋/位置/日期",IF($C244="公共区域","公",SUBSTITUTE($C244,"栋",""))&amp;"-"&amp;$D244&amp;"-"&amp;TEXT(MONTH($B244),"00")&amp;TEXT(DAY($B244),"00")&amp;IF(COUNTIFS($C$5:$C244,$C244,$D$5:$D244,$D244)&gt;1,"-"&amp;TEXT(COUNTIFS($C$5:$C244,$C244,$D$5:$D244,$D244),"00"),"")))</f>
        <v/>
      </c>
      <c r="M244" s="21"/>
      <c r="N244" s="15"/>
      <c r="O244" s="21"/>
    </row>
    <row r="245" customFormat="false" ht="21.75" hidden="false" customHeight="true" outlineLevel="0" collapsed="false">
      <c r="A245" s="13" t="str">
        <f aca="false">IF($E245="","",COUNTA($E$5:$E245))</f>
        <v/>
      </c>
      <c r="B245" s="14"/>
      <c r="C245" s="15"/>
      <c r="D245" s="25"/>
      <c r="E245" s="21"/>
      <c r="F245" s="18"/>
      <c r="G245" s="15"/>
      <c r="H245" s="15"/>
      <c r="I245" s="15"/>
      <c r="J245" s="15"/>
      <c r="K245" s="18"/>
      <c r="L245" s="20" t="str">
        <f aca="false">IF($E245="","",IF(OR($B245="",$C245="",$D245=""),"待补楼栋/位置/日期",IF($C245="公共区域","公",SUBSTITUTE($C245,"栋",""))&amp;"-"&amp;$D245&amp;"-"&amp;TEXT(MONTH($B245),"00")&amp;TEXT(DAY($B245),"00")&amp;IF(COUNTIFS($C$5:$C245,$C245,$D$5:$D245,$D245)&gt;1,"-"&amp;TEXT(COUNTIFS($C$5:$C245,$C245,$D$5:$D245,$D245),"00"),"")))</f>
        <v/>
      </c>
      <c r="M245" s="21"/>
      <c r="N245" s="15"/>
      <c r="O245" s="21"/>
    </row>
    <row r="246" customFormat="false" ht="21.75" hidden="false" customHeight="true" outlineLevel="0" collapsed="false">
      <c r="A246" s="13" t="str">
        <f aca="false">IF($E246="","",COUNTA($E$5:$E246))</f>
        <v/>
      </c>
      <c r="B246" s="14"/>
      <c r="C246" s="15"/>
      <c r="D246" s="25"/>
      <c r="E246" s="21"/>
      <c r="F246" s="18"/>
      <c r="G246" s="15"/>
      <c r="H246" s="15"/>
      <c r="I246" s="15"/>
      <c r="J246" s="15"/>
      <c r="K246" s="18"/>
      <c r="L246" s="20" t="str">
        <f aca="false">IF($E246="","",IF(OR($B246="",$C246="",$D246=""),"待补楼栋/位置/日期",IF($C246="公共区域","公",SUBSTITUTE($C246,"栋",""))&amp;"-"&amp;$D246&amp;"-"&amp;TEXT(MONTH($B246),"00")&amp;TEXT(DAY($B246),"00")&amp;IF(COUNTIFS($C$5:$C246,$C246,$D$5:$D246,$D246)&gt;1,"-"&amp;TEXT(COUNTIFS($C$5:$C246,$C246,$D$5:$D246,$D246),"00"),"")))</f>
        <v/>
      </c>
      <c r="M246" s="21"/>
      <c r="N246" s="15"/>
      <c r="O246" s="21"/>
    </row>
    <row r="247" customFormat="false" ht="21.75" hidden="false" customHeight="true" outlineLevel="0" collapsed="false">
      <c r="A247" s="13" t="str">
        <f aca="false">IF($E247="","",COUNTA($E$5:$E247))</f>
        <v/>
      </c>
      <c r="B247" s="14"/>
      <c r="C247" s="15"/>
      <c r="D247" s="25"/>
      <c r="E247" s="21"/>
      <c r="F247" s="18"/>
      <c r="G247" s="15"/>
      <c r="H247" s="15"/>
      <c r="I247" s="15"/>
      <c r="J247" s="15"/>
      <c r="K247" s="18"/>
      <c r="L247" s="20" t="str">
        <f aca="false">IF($E247="","",IF(OR($B247="",$C247="",$D247=""),"待补楼栋/位置/日期",IF($C247="公共区域","公",SUBSTITUTE($C247,"栋",""))&amp;"-"&amp;$D247&amp;"-"&amp;TEXT(MONTH($B247),"00")&amp;TEXT(DAY($B247),"00")&amp;IF(COUNTIFS($C$5:$C247,$C247,$D$5:$D247,$D247)&gt;1,"-"&amp;TEXT(COUNTIFS($C$5:$C247,$C247,$D$5:$D247,$D247),"00"),"")))</f>
        <v/>
      </c>
      <c r="M247" s="21"/>
      <c r="N247" s="15"/>
      <c r="O247" s="21"/>
    </row>
    <row r="248" customFormat="false" ht="21.75" hidden="false" customHeight="true" outlineLevel="0" collapsed="false">
      <c r="A248" s="13" t="str">
        <f aca="false">IF($E248="","",COUNTA($E$5:$E248))</f>
        <v/>
      </c>
      <c r="B248" s="14"/>
      <c r="C248" s="15"/>
      <c r="D248" s="25"/>
      <c r="E248" s="21"/>
      <c r="F248" s="18"/>
      <c r="G248" s="15"/>
      <c r="H248" s="15"/>
      <c r="I248" s="15"/>
      <c r="J248" s="15"/>
      <c r="K248" s="18"/>
      <c r="L248" s="20" t="str">
        <f aca="false">IF($E248="","",IF(OR($B248="",$C248="",$D248=""),"待补楼栋/位置/日期",IF($C248="公共区域","公",SUBSTITUTE($C248,"栋",""))&amp;"-"&amp;$D248&amp;"-"&amp;TEXT(MONTH($B248),"00")&amp;TEXT(DAY($B248),"00")&amp;IF(COUNTIFS($C$5:$C248,$C248,$D$5:$D248,$D248)&gt;1,"-"&amp;TEXT(COUNTIFS($C$5:$C248,$C248,$D$5:$D248,$D248),"00"),"")))</f>
        <v/>
      </c>
      <c r="M248" s="21"/>
      <c r="N248" s="15"/>
      <c r="O248" s="21"/>
    </row>
    <row r="249" customFormat="false" ht="21.75" hidden="false" customHeight="true" outlineLevel="0" collapsed="false">
      <c r="A249" s="13" t="str">
        <f aca="false">IF($E249="","",COUNTA($E$5:$E249))</f>
        <v/>
      </c>
      <c r="B249" s="14"/>
      <c r="C249" s="15"/>
      <c r="D249" s="25"/>
      <c r="E249" s="21"/>
      <c r="F249" s="18"/>
      <c r="G249" s="15"/>
      <c r="H249" s="15"/>
      <c r="I249" s="15"/>
      <c r="J249" s="15"/>
      <c r="K249" s="18"/>
      <c r="L249" s="20" t="str">
        <f aca="false">IF($E249="","",IF(OR($B249="",$C249="",$D249=""),"待补楼栋/位置/日期",IF($C249="公共区域","公",SUBSTITUTE($C249,"栋",""))&amp;"-"&amp;$D249&amp;"-"&amp;TEXT(MONTH($B249),"00")&amp;TEXT(DAY($B249),"00")&amp;IF(COUNTIFS($C$5:$C249,$C249,$D$5:$D249,$D249)&gt;1,"-"&amp;TEXT(COUNTIFS($C$5:$C249,$C249,$D$5:$D249,$D249),"00"),"")))</f>
        <v/>
      </c>
      <c r="M249" s="21"/>
      <c r="N249" s="15"/>
      <c r="O249" s="21"/>
    </row>
    <row r="250" customFormat="false" ht="21.75" hidden="false" customHeight="true" outlineLevel="0" collapsed="false">
      <c r="A250" s="13" t="str">
        <f aca="false">IF($E250="","",COUNTA($E$5:$E250))</f>
        <v/>
      </c>
      <c r="B250" s="14"/>
      <c r="C250" s="15"/>
      <c r="D250" s="25"/>
      <c r="E250" s="21"/>
      <c r="F250" s="18"/>
      <c r="G250" s="15"/>
      <c r="H250" s="15"/>
      <c r="I250" s="15"/>
      <c r="J250" s="15"/>
      <c r="K250" s="18"/>
      <c r="L250" s="20" t="str">
        <f aca="false">IF($E250="","",IF(OR($B250="",$C250="",$D250=""),"待补楼栋/位置/日期",IF($C250="公共区域","公",SUBSTITUTE($C250,"栋",""))&amp;"-"&amp;$D250&amp;"-"&amp;TEXT(MONTH($B250),"00")&amp;TEXT(DAY($B250),"00")&amp;IF(COUNTIFS($C$5:$C250,$C250,$D$5:$D250,$D250)&gt;1,"-"&amp;TEXT(COUNTIFS($C$5:$C250,$C250,$D$5:$D250,$D250),"00"),"")))</f>
        <v/>
      </c>
      <c r="M250" s="21"/>
      <c r="N250" s="15"/>
      <c r="O250" s="21"/>
    </row>
    <row r="251" customFormat="false" ht="21.75" hidden="false" customHeight="true" outlineLevel="0" collapsed="false">
      <c r="A251" s="13" t="str">
        <f aca="false">IF($E251="","",COUNTA($E$5:$E251))</f>
        <v/>
      </c>
      <c r="B251" s="14"/>
      <c r="C251" s="15"/>
      <c r="D251" s="25"/>
      <c r="E251" s="21"/>
      <c r="F251" s="18"/>
      <c r="G251" s="15"/>
      <c r="H251" s="15"/>
      <c r="I251" s="15"/>
      <c r="J251" s="15"/>
      <c r="K251" s="18"/>
      <c r="L251" s="20" t="str">
        <f aca="false">IF($E251="","",IF(OR($B251="",$C251="",$D251=""),"待补楼栋/位置/日期",IF($C251="公共区域","公",SUBSTITUTE($C251,"栋",""))&amp;"-"&amp;$D251&amp;"-"&amp;TEXT(MONTH($B251),"00")&amp;TEXT(DAY($B251),"00")&amp;IF(COUNTIFS($C$5:$C251,$C251,$D$5:$D251,$D251)&gt;1,"-"&amp;TEXT(COUNTIFS($C$5:$C251,$C251,$D$5:$D251,$D251),"00"),"")))</f>
        <v/>
      </c>
      <c r="M251" s="21"/>
      <c r="N251" s="15"/>
      <c r="O251" s="21"/>
    </row>
    <row r="252" customFormat="false" ht="21.75" hidden="false" customHeight="true" outlineLevel="0" collapsed="false">
      <c r="A252" s="13" t="str">
        <f aca="false">IF($E252="","",COUNTA($E$5:$E252))</f>
        <v/>
      </c>
      <c r="B252" s="14"/>
      <c r="C252" s="15"/>
      <c r="D252" s="25"/>
      <c r="E252" s="21"/>
      <c r="F252" s="18"/>
      <c r="G252" s="15"/>
      <c r="H252" s="15"/>
      <c r="I252" s="15"/>
      <c r="J252" s="15"/>
      <c r="K252" s="18"/>
      <c r="L252" s="20" t="str">
        <f aca="false">IF($E252="","",IF(OR($B252="",$C252="",$D252=""),"待补楼栋/位置/日期",IF($C252="公共区域","公",SUBSTITUTE($C252,"栋",""))&amp;"-"&amp;$D252&amp;"-"&amp;TEXT(MONTH($B252),"00")&amp;TEXT(DAY($B252),"00")&amp;IF(COUNTIFS($C$5:$C252,$C252,$D$5:$D252,$D252)&gt;1,"-"&amp;TEXT(COUNTIFS($C$5:$C252,$C252,$D$5:$D252,$D252),"00"),"")))</f>
        <v/>
      </c>
      <c r="M252" s="21"/>
      <c r="N252" s="15"/>
      <c r="O252" s="21"/>
    </row>
    <row r="253" customFormat="false" ht="21.75" hidden="false" customHeight="true" outlineLevel="0" collapsed="false">
      <c r="A253" s="13" t="str">
        <f aca="false">IF($E253="","",COUNTA($E$5:$E253))</f>
        <v/>
      </c>
      <c r="B253" s="14"/>
      <c r="C253" s="15"/>
      <c r="D253" s="25"/>
      <c r="E253" s="21"/>
      <c r="F253" s="18"/>
      <c r="G253" s="15"/>
      <c r="H253" s="15"/>
      <c r="I253" s="15"/>
      <c r="J253" s="15"/>
      <c r="K253" s="18"/>
      <c r="L253" s="20" t="str">
        <f aca="false">IF($E253="","",IF(OR($B253="",$C253="",$D253=""),"待补楼栋/位置/日期",IF($C253="公共区域","公",SUBSTITUTE($C253,"栋",""))&amp;"-"&amp;$D253&amp;"-"&amp;TEXT(MONTH($B253),"00")&amp;TEXT(DAY($B253),"00")&amp;IF(COUNTIFS($C$5:$C253,$C253,$D$5:$D253,$D253)&gt;1,"-"&amp;TEXT(COUNTIFS($C$5:$C253,$C253,$D$5:$D253,$D253),"00"),"")))</f>
        <v/>
      </c>
      <c r="M253" s="21"/>
      <c r="N253" s="15"/>
      <c r="O253" s="21"/>
    </row>
    <row r="254" customFormat="false" ht="21.75" hidden="false" customHeight="true" outlineLevel="0" collapsed="false">
      <c r="A254" s="13" t="str">
        <f aca="false">IF($E254="","",COUNTA($E$5:$E254))</f>
        <v/>
      </c>
      <c r="B254" s="14"/>
      <c r="C254" s="15"/>
      <c r="D254" s="25"/>
      <c r="E254" s="21"/>
      <c r="F254" s="18"/>
      <c r="G254" s="15"/>
      <c r="H254" s="15"/>
      <c r="I254" s="15"/>
      <c r="J254" s="15"/>
      <c r="K254" s="18"/>
      <c r="L254" s="20" t="str">
        <f aca="false">IF($E254="","",IF(OR($B254="",$C254="",$D254=""),"待补楼栋/位置/日期",IF($C254="公共区域","公",SUBSTITUTE($C254,"栋",""))&amp;"-"&amp;$D254&amp;"-"&amp;TEXT(MONTH($B254),"00")&amp;TEXT(DAY($B254),"00")&amp;IF(COUNTIFS($C$5:$C254,$C254,$D$5:$D254,$D254)&gt;1,"-"&amp;TEXT(COUNTIFS($C$5:$C254,$C254,$D$5:$D254,$D254),"00"),"")))</f>
        <v/>
      </c>
      <c r="M254" s="21"/>
      <c r="N254" s="15"/>
      <c r="O254" s="21"/>
    </row>
    <row r="255" customFormat="false" ht="21.75" hidden="false" customHeight="true" outlineLevel="0" collapsed="false">
      <c r="A255" s="13" t="str">
        <f aca="false">IF($E255="","",COUNTA($E$5:$E255))</f>
        <v/>
      </c>
      <c r="B255" s="14"/>
      <c r="C255" s="15"/>
      <c r="D255" s="25"/>
      <c r="E255" s="21"/>
      <c r="F255" s="18"/>
      <c r="G255" s="15"/>
      <c r="H255" s="15"/>
      <c r="I255" s="15"/>
      <c r="J255" s="15"/>
      <c r="K255" s="18"/>
      <c r="L255" s="20" t="str">
        <f aca="false">IF($E255="","",IF(OR($B255="",$C255="",$D255=""),"待补楼栋/位置/日期",IF($C255="公共区域","公",SUBSTITUTE($C255,"栋",""))&amp;"-"&amp;$D255&amp;"-"&amp;TEXT(MONTH($B255),"00")&amp;TEXT(DAY($B255),"00")&amp;IF(COUNTIFS($C$5:$C255,$C255,$D$5:$D255,$D255)&gt;1,"-"&amp;TEXT(COUNTIFS($C$5:$C255,$C255,$D$5:$D255,$D255),"00"),"")))</f>
        <v/>
      </c>
      <c r="M255" s="21"/>
      <c r="N255" s="15"/>
      <c r="O255" s="21"/>
    </row>
    <row r="256" customFormat="false" ht="21.75" hidden="false" customHeight="true" outlineLevel="0" collapsed="false">
      <c r="A256" s="13" t="str">
        <f aca="false">IF($E256="","",COUNTA($E$5:$E256))</f>
        <v/>
      </c>
      <c r="B256" s="14"/>
      <c r="C256" s="15"/>
      <c r="D256" s="25"/>
      <c r="E256" s="21"/>
      <c r="F256" s="18"/>
      <c r="G256" s="15"/>
      <c r="H256" s="15"/>
      <c r="I256" s="15"/>
      <c r="J256" s="15"/>
      <c r="K256" s="18"/>
      <c r="L256" s="20" t="str">
        <f aca="false">IF($E256="","",IF(OR($B256="",$C256="",$D256=""),"待补楼栋/位置/日期",IF($C256="公共区域","公",SUBSTITUTE($C256,"栋",""))&amp;"-"&amp;$D256&amp;"-"&amp;TEXT(MONTH($B256),"00")&amp;TEXT(DAY($B256),"00")&amp;IF(COUNTIFS($C$5:$C256,$C256,$D$5:$D256,$D256)&gt;1,"-"&amp;TEXT(COUNTIFS($C$5:$C256,$C256,$D$5:$D256,$D256),"00"),"")))</f>
        <v/>
      </c>
      <c r="M256" s="21"/>
      <c r="N256" s="15"/>
      <c r="O256" s="21"/>
    </row>
    <row r="257" customFormat="false" ht="21.75" hidden="false" customHeight="true" outlineLevel="0" collapsed="false">
      <c r="A257" s="13" t="str">
        <f aca="false">IF($E257="","",COUNTA($E$5:$E257))</f>
        <v/>
      </c>
      <c r="B257" s="14"/>
      <c r="C257" s="15"/>
      <c r="D257" s="25"/>
      <c r="E257" s="21"/>
      <c r="F257" s="18"/>
      <c r="G257" s="15"/>
      <c r="H257" s="15"/>
      <c r="I257" s="15"/>
      <c r="J257" s="15"/>
      <c r="K257" s="18"/>
      <c r="L257" s="20" t="str">
        <f aca="false">IF($E257="","",IF(OR($B257="",$C257="",$D257=""),"待补楼栋/位置/日期",IF($C257="公共区域","公",SUBSTITUTE($C257,"栋",""))&amp;"-"&amp;$D257&amp;"-"&amp;TEXT(MONTH($B257),"00")&amp;TEXT(DAY($B257),"00")&amp;IF(COUNTIFS($C$5:$C257,$C257,$D$5:$D257,$D257)&gt;1,"-"&amp;TEXT(COUNTIFS($C$5:$C257,$C257,$D$5:$D257,$D257),"00"),"")))</f>
        <v/>
      </c>
      <c r="M257" s="21"/>
      <c r="N257" s="15"/>
      <c r="O257" s="21"/>
    </row>
    <row r="258" customFormat="false" ht="21.75" hidden="false" customHeight="true" outlineLevel="0" collapsed="false">
      <c r="A258" s="13" t="str">
        <f aca="false">IF($E258="","",COUNTA($E$5:$E258))</f>
        <v/>
      </c>
      <c r="B258" s="14"/>
      <c r="C258" s="15"/>
      <c r="D258" s="25"/>
      <c r="E258" s="21"/>
      <c r="F258" s="18"/>
      <c r="G258" s="15"/>
      <c r="H258" s="15"/>
      <c r="I258" s="15"/>
      <c r="J258" s="15"/>
      <c r="K258" s="18"/>
      <c r="L258" s="20" t="str">
        <f aca="false">IF($E258="","",IF(OR($B258="",$C258="",$D258=""),"待补楼栋/位置/日期",IF($C258="公共区域","公",SUBSTITUTE($C258,"栋",""))&amp;"-"&amp;$D258&amp;"-"&amp;TEXT(MONTH($B258),"00")&amp;TEXT(DAY($B258),"00")&amp;IF(COUNTIFS($C$5:$C258,$C258,$D$5:$D258,$D258)&gt;1,"-"&amp;TEXT(COUNTIFS($C$5:$C258,$C258,$D$5:$D258,$D258),"00"),"")))</f>
        <v/>
      </c>
      <c r="M258" s="21"/>
      <c r="N258" s="15"/>
      <c r="O258" s="21"/>
    </row>
    <row r="259" customFormat="false" ht="21.75" hidden="false" customHeight="true" outlineLevel="0" collapsed="false">
      <c r="A259" s="13" t="str">
        <f aca="false">IF($E259="","",COUNTA($E$5:$E259))</f>
        <v/>
      </c>
      <c r="B259" s="14"/>
      <c r="C259" s="15"/>
      <c r="D259" s="25"/>
      <c r="E259" s="21"/>
      <c r="F259" s="18"/>
      <c r="G259" s="15"/>
      <c r="H259" s="15"/>
      <c r="I259" s="15"/>
      <c r="J259" s="15"/>
      <c r="K259" s="18"/>
      <c r="L259" s="20" t="str">
        <f aca="false">IF($E259="","",IF(OR($B259="",$C259="",$D259=""),"待补楼栋/位置/日期",IF($C259="公共区域","公",SUBSTITUTE($C259,"栋",""))&amp;"-"&amp;$D259&amp;"-"&amp;TEXT(MONTH($B259),"00")&amp;TEXT(DAY($B259),"00")&amp;IF(COUNTIFS($C$5:$C259,$C259,$D$5:$D259,$D259)&gt;1,"-"&amp;TEXT(COUNTIFS($C$5:$C259,$C259,$D$5:$D259,$D259),"00"),"")))</f>
        <v/>
      </c>
      <c r="M259" s="21"/>
      <c r="N259" s="15"/>
      <c r="O259" s="21"/>
    </row>
    <row r="260" customFormat="false" ht="21.75" hidden="false" customHeight="true" outlineLevel="0" collapsed="false">
      <c r="A260" s="13" t="str">
        <f aca="false">IF($E260="","",COUNTA($E$5:$E260))</f>
        <v/>
      </c>
      <c r="B260" s="14"/>
      <c r="C260" s="15"/>
      <c r="D260" s="25"/>
      <c r="E260" s="21"/>
      <c r="F260" s="18"/>
      <c r="G260" s="15"/>
      <c r="H260" s="15"/>
      <c r="I260" s="15"/>
      <c r="J260" s="15"/>
      <c r="K260" s="18"/>
      <c r="L260" s="20" t="str">
        <f aca="false">IF($E260="","",IF(OR($B260="",$C260="",$D260=""),"待补楼栋/位置/日期",IF($C260="公共区域","公",SUBSTITUTE($C260,"栋",""))&amp;"-"&amp;$D260&amp;"-"&amp;TEXT(MONTH($B260),"00")&amp;TEXT(DAY($B260),"00")&amp;IF(COUNTIFS($C$5:$C260,$C260,$D$5:$D260,$D260)&gt;1,"-"&amp;TEXT(COUNTIFS($C$5:$C260,$C260,$D$5:$D260,$D260),"00"),"")))</f>
        <v/>
      </c>
      <c r="M260" s="21"/>
      <c r="N260" s="15"/>
      <c r="O260" s="21"/>
    </row>
    <row r="261" customFormat="false" ht="21.75" hidden="false" customHeight="true" outlineLevel="0" collapsed="false">
      <c r="A261" s="13" t="str">
        <f aca="false">IF($E261="","",COUNTA($E$5:$E261))</f>
        <v/>
      </c>
      <c r="B261" s="14"/>
      <c r="C261" s="15"/>
      <c r="D261" s="25"/>
      <c r="E261" s="21"/>
      <c r="F261" s="18"/>
      <c r="G261" s="15"/>
      <c r="H261" s="15"/>
      <c r="I261" s="15"/>
      <c r="J261" s="15"/>
      <c r="K261" s="18"/>
      <c r="L261" s="20" t="str">
        <f aca="false">IF($E261="","",IF(OR($B261="",$C261="",$D261=""),"待补楼栋/位置/日期",IF($C261="公共区域","公",SUBSTITUTE($C261,"栋",""))&amp;"-"&amp;$D261&amp;"-"&amp;TEXT(MONTH($B261),"00")&amp;TEXT(DAY($B261),"00")&amp;IF(COUNTIFS($C$5:$C261,$C261,$D$5:$D261,$D261)&gt;1,"-"&amp;TEXT(COUNTIFS($C$5:$C261,$C261,$D$5:$D261,$D261),"00"),"")))</f>
        <v/>
      </c>
      <c r="M261" s="21"/>
      <c r="N261" s="15"/>
      <c r="O261" s="21"/>
    </row>
    <row r="262" customFormat="false" ht="21.75" hidden="false" customHeight="true" outlineLevel="0" collapsed="false">
      <c r="A262" s="13" t="str">
        <f aca="false">IF($E262="","",COUNTA($E$5:$E262))</f>
        <v/>
      </c>
      <c r="B262" s="14"/>
      <c r="C262" s="15"/>
      <c r="D262" s="25"/>
      <c r="E262" s="21"/>
      <c r="F262" s="18"/>
      <c r="G262" s="15"/>
      <c r="H262" s="15"/>
      <c r="I262" s="15"/>
      <c r="J262" s="15"/>
      <c r="K262" s="18"/>
      <c r="L262" s="20" t="str">
        <f aca="false">IF($E262="","",IF(OR($B262="",$C262="",$D262=""),"待补楼栋/位置/日期",IF($C262="公共区域","公",SUBSTITUTE($C262,"栋",""))&amp;"-"&amp;$D262&amp;"-"&amp;TEXT(MONTH($B262),"00")&amp;TEXT(DAY($B262),"00")&amp;IF(COUNTIFS($C$5:$C262,$C262,$D$5:$D262,$D262)&gt;1,"-"&amp;TEXT(COUNTIFS($C$5:$C262,$C262,$D$5:$D262,$D262),"00"),"")))</f>
        <v/>
      </c>
      <c r="M262" s="21"/>
      <c r="N262" s="15"/>
      <c r="O262" s="21"/>
    </row>
    <row r="263" customFormat="false" ht="21.75" hidden="false" customHeight="true" outlineLevel="0" collapsed="false">
      <c r="A263" s="13" t="str">
        <f aca="false">IF($E263="","",COUNTA($E$5:$E263))</f>
        <v/>
      </c>
      <c r="B263" s="14"/>
      <c r="C263" s="15"/>
      <c r="D263" s="25"/>
      <c r="E263" s="21"/>
      <c r="F263" s="18"/>
      <c r="G263" s="15"/>
      <c r="H263" s="15"/>
      <c r="I263" s="15"/>
      <c r="J263" s="15"/>
      <c r="K263" s="18"/>
      <c r="L263" s="20" t="str">
        <f aca="false">IF($E263="","",IF(OR($B263="",$C263="",$D263=""),"待补楼栋/位置/日期",IF($C263="公共区域","公",SUBSTITUTE($C263,"栋",""))&amp;"-"&amp;$D263&amp;"-"&amp;TEXT(MONTH($B263),"00")&amp;TEXT(DAY($B263),"00")&amp;IF(COUNTIFS($C$5:$C263,$C263,$D$5:$D263,$D263)&gt;1,"-"&amp;TEXT(COUNTIFS($C$5:$C263,$C263,$D$5:$D263,$D263),"00"),"")))</f>
        <v/>
      </c>
      <c r="M263" s="21"/>
      <c r="N263" s="15"/>
      <c r="O263" s="21"/>
    </row>
    <row r="264" customFormat="false" ht="21.75" hidden="false" customHeight="true" outlineLevel="0" collapsed="false">
      <c r="A264" s="13" t="str">
        <f aca="false">IF($E264="","",COUNTA($E$5:$E264))</f>
        <v/>
      </c>
      <c r="B264" s="14"/>
      <c r="C264" s="15"/>
      <c r="D264" s="25"/>
      <c r="E264" s="21"/>
      <c r="F264" s="18"/>
      <c r="G264" s="15"/>
      <c r="H264" s="15"/>
      <c r="I264" s="15"/>
      <c r="J264" s="15"/>
      <c r="K264" s="18"/>
      <c r="L264" s="20" t="str">
        <f aca="false">IF($E264="","",IF(OR($B264="",$C264="",$D264=""),"待补楼栋/位置/日期",IF($C264="公共区域","公",SUBSTITUTE($C264,"栋",""))&amp;"-"&amp;$D264&amp;"-"&amp;TEXT(MONTH($B264),"00")&amp;TEXT(DAY($B264),"00")&amp;IF(COUNTIFS($C$5:$C264,$C264,$D$5:$D264,$D264)&gt;1,"-"&amp;TEXT(COUNTIFS($C$5:$C264,$C264,$D$5:$D264,$D264),"00"),"")))</f>
        <v/>
      </c>
      <c r="M264" s="21"/>
      <c r="N264" s="15"/>
      <c r="O264" s="21"/>
    </row>
    <row r="265" customFormat="false" ht="21.75" hidden="false" customHeight="true" outlineLevel="0" collapsed="false">
      <c r="A265" s="13" t="str">
        <f aca="false">IF($E265="","",COUNTA($E$5:$E265))</f>
        <v/>
      </c>
      <c r="B265" s="14"/>
      <c r="C265" s="15"/>
      <c r="D265" s="25"/>
      <c r="E265" s="21"/>
      <c r="F265" s="18"/>
      <c r="G265" s="15"/>
      <c r="H265" s="15"/>
      <c r="I265" s="15"/>
      <c r="J265" s="15"/>
      <c r="K265" s="18"/>
      <c r="L265" s="20" t="str">
        <f aca="false">IF($E265="","",IF(OR($B265="",$C265="",$D265=""),"待补楼栋/位置/日期",IF($C265="公共区域","公",SUBSTITUTE($C265,"栋",""))&amp;"-"&amp;$D265&amp;"-"&amp;TEXT(MONTH($B265),"00")&amp;TEXT(DAY($B265),"00")&amp;IF(COUNTIFS($C$5:$C265,$C265,$D$5:$D265,$D265)&gt;1,"-"&amp;TEXT(COUNTIFS($C$5:$C265,$C265,$D$5:$D265,$D265),"00"),"")))</f>
        <v/>
      </c>
      <c r="M265" s="21"/>
      <c r="N265" s="15"/>
      <c r="O265" s="21"/>
    </row>
    <row r="266" customFormat="false" ht="21.75" hidden="false" customHeight="true" outlineLevel="0" collapsed="false">
      <c r="A266" s="13" t="str">
        <f aca="false">IF($E266="","",COUNTA($E$5:$E266))</f>
        <v/>
      </c>
      <c r="B266" s="14"/>
      <c r="C266" s="15"/>
      <c r="D266" s="25"/>
      <c r="E266" s="21"/>
      <c r="F266" s="18"/>
      <c r="G266" s="15"/>
      <c r="H266" s="15"/>
      <c r="I266" s="15"/>
      <c r="J266" s="15"/>
      <c r="K266" s="18"/>
      <c r="L266" s="20" t="str">
        <f aca="false">IF($E266="","",IF(OR($B266="",$C266="",$D266=""),"待补楼栋/位置/日期",IF($C266="公共区域","公",SUBSTITUTE($C266,"栋",""))&amp;"-"&amp;$D266&amp;"-"&amp;TEXT(MONTH($B266),"00")&amp;TEXT(DAY($B266),"00")&amp;IF(COUNTIFS($C$5:$C266,$C266,$D$5:$D266,$D266)&gt;1,"-"&amp;TEXT(COUNTIFS($C$5:$C266,$C266,$D$5:$D266,$D266),"00"),"")))</f>
        <v/>
      </c>
      <c r="M266" s="21"/>
      <c r="N266" s="15"/>
      <c r="O266" s="21"/>
    </row>
    <row r="267" customFormat="false" ht="21.75" hidden="false" customHeight="true" outlineLevel="0" collapsed="false">
      <c r="A267" s="13" t="str">
        <f aca="false">IF($E267="","",COUNTA($E$5:$E267))</f>
        <v/>
      </c>
      <c r="B267" s="14"/>
      <c r="C267" s="15"/>
      <c r="D267" s="25"/>
      <c r="E267" s="21"/>
      <c r="F267" s="18"/>
      <c r="G267" s="15"/>
      <c r="H267" s="15"/>
      <c r="I267" s="15"/>
      <c r="J267" s="15"/>
      <c r="K267" s="18"/>
      <c r="L267" s="20" t="str">
        <f aca="false">IF($E267="","",IF(OR($B267="",$C267="",$D267=""),"待补楼栋/位置/日期",IF($C267="公共区域","公",SUBSTITUTE($C267,"栋",""))&amp;"-"&amp;$D267&amp;"-"&amp;TEXT(MONTH($B267),"00")&amp;TEXT(DAY($B267),"00")&amp;IF(COUNTIFS($C$5:$C267,$C267,$D$5:$D267,$D267)&gt;1,"-"&amp;TEXT(COUNTIFS($C$5:$C267,$C267,$D$5:$D267,$D267),"00"),"")))</f>
        <v/>
      </c>
      <c r="M267" s="21"/>
      <c r="N267" s="15"/>
      <c r="O267" s="21"/>
    </row>
    <row r="268" customFormat="false" ht="21.75" hidden="false" customHeight="true" outlineLevel="0" collapsed="false">
      <c r="A268" s="13" t="str">
        <f aca="false">IF($E268="","",COUNTA($E$5:$E268))</f>
        <v/>
      </c>
      <c r="B268" s="14"/>
      <c r="C268" s="15"/>
      <c r="D268" s="25"/>
      <c r="E268" s="21"/>
      <c r="F268" s="18"/>
      <c r="G268" s="15"/>
      <c r="H268" s="15"/>
      <c r="I268" s="15"/>
      <c r="J268" s="15"/>
      <c r="K268" s="18"/>
      <c r="L268" s="20" t="str">
        <f aca="false">IF($E268="","",IF(OR($B268="",$C268="",$D268=""),"待补楼栋/位置/日期",IF($C268="公共区域","公",SUBSTITUTE($C268,"栋",""))&amp;"-"&amp;$D268&amp;"-"&amp;TEXT(MONTH($B268),"00")&amp;TEXT(DAY($B268),"00")&amp;IF(COUNTIFS($C$5:$C268,$C268,$D$5:$D268,$D268)&gt;1,"-"&amp;TEXT(COUNTIFS($C$5:$C268,$C268,$D$5:$D268,$D268),"00"),"")))</f>
        <v/>
      </c>
      <c r="M268" s="21"/>
      <c r="N268" s="15"/>
      <c r="O268" s="21"/>
    </row>
    <row r="269" customFormat="false" ht="21.75" hidden="false" customHeight="true" outlineLevel="0" collapsed="false">
      <c r="A269" s="13" t="str">
        <f aca="false">IF($E269="","",COUNTA($E$5:$E269))</f>
        <v/>
      </c>
      <c r="B269" s="14"/>
      <c r="C269" s="15"/>
      <c r="D269" s="25"/>
      <c r="E269" s="21"/>
      <c r="F269" s="18"/>
      <c r="G269" s="15"/>
      <c r="H269" s="15"/>
      <c r="I269" s="15"/>
      <c r="J269" s="15"/>
      <c r="K269" s="18"/>
      <c r="L269" s="20" t="str">
        <f aca="false">IF($E269="","",IF(OR($B269="",$C269="",$D269=""),"待补楼栋/位置/日期",IF($C269="公共区域","公",SUBSTITUTE($C269,"栋",""))&amp;"-"&amp;$D269&amp;"-"&amp;TEXT(MONTH($B269),"00")&amp;TEXT(DAY($B269),"00")&amp;IF(COUNTIFS($C$5:$C269,$C269,$D$5:$D269,$D269)&gt;1,"-"&amp;TEXT(COUNTIFS($C$5:$C269,$C269,$D$5:$D269,$D269),"00"),"")))</f>
        <v/>
      </c>
      <c r="M269" s="21"/>
      <c r="N269" s="15"/>
      <c r="O269" s="21"/>
    </row>
    <row r="270" customFormat="false" ht="21.75" hidden="false" customHeight="true" outlineLevel="0" collapsed="false">
      <c r="A270" s="13" t="str">
        <f aca="false">IF($E270="","",COUNTA($E$5:$E270))</f>
        <v/>
      </c>
      <c r="B270" s="14"/>
      <c r="C270" s="15"/>
      <c r="D270" s="25"/>
      <c r="E270" s="21"/>
      <c r="F270" s="18"/>
      <c r="G270" s="15"/>
      <c r="H270" s="15"/>
      <c r="I270" s="15"/>
      <c r="J270" s="15"/>
      <c r="K270" s="18"/>
      <c r="L270" s="20" t="str">
        <f aca="false">IF($E270="","",IF(OR($B270="",$C270="",$D270=""),"待补楼栋/位置/日期",IF($C270="公共区域","公",SUBSTITUTE($C270,"栋",""))&amp;"-"&amp;$D270&amp;"-"&amp;TEXT(MONTH($B270),"00")&amp;TEXT(DAY($B270),"00")&amp;IF(COUNTIFS($C$5:$C270,$C270,$D$5:$D270,$D270)&gt;1,"-"&amp;TEXT(COUNTIFS($C$5:$C270,$C270,$D$5:$D270,$D270),"00"),"")))</f>
        <v/>
      </c>
      <c r="M270" s="21"/>
      <c r="N270" s="15"/>
      <c r="O270" s="21"/>
    </row>
    <row r="271" customFormat="false" ht="21.75" hidden="false" customHeight="true" outlineLevel="0" collapsed="false">
      <c r="A271" s="13" t="str">
        <f aca="false">IF($E271="","",COUNTA($E$5:$E271))</f>
        <v/>
      </c>
      <c r="B271" s="14"/>
      <c r="C271" s="15"/>
      <c r="D271" s="25"/>
      <c r="E271" s="21"/>
      <c r="F271" s="18"/>
      <c r="G271" s="15"/>
      <c r="H271" s="15"/>
      <c r="I271" s="15"/>
      <c r="J271" s="15"/>
      <c r="K271" s="18"/>
      <c r="L271" s="20" t="str">
        <f aca="false">IF($E271="","",IF(OR($B271="",$C271="",$D271=""),"待补楼栋/位置/日期",IF($C271="公共区域","公",SUBSTITUTE($C271,"栋",""))&amp;"-"&amp;$D271&amp;"-"&amp;TEXT(MONTH($B271),"00")&amp;TEXT(DAY($B271),"00")&amp;IF(COUNTIFS($C$5:$C271,$C271,$D$5:$D271,$D271)&gt;1,"-"&amp;TEXT(COUNTIFS($C$5:$C271,$C271,$D$5:$D271,$D271),"00"),"")))</f>
        <v/>
      </c>
      <c r="M271" s="21"/>
      <c r="N271" s="15"/>
      <c r="O271" s="21"/>
    </row>
    <row r="272" customFormat="false" ht="21.75" hidden="false" customHeight="true" outlineLevel="0" collapsed="false">
      <c r="A272" s="13" t="str">
        <f aca="false">IF($E272="","",COUNTA($E$5:$E272))</f>
        <v/>
      </c>
      <c r="B272" s="14"/>
      <c r="C272" s="15"/>
      <c r="D272" s="25"/>
      <c r="E272" s="21"/>
      <c r="F272" s="18"/>
      <c r="G272" s="15"/>
      <c r="H272" s="15"/>
      <c r="I272" s="15"/>
      <c r="J272" s="15"/>
      <c r="K272" s="18"/>
      <c r="L272" s="20" t="str">
        <f aca="false">IF($E272="","",IF(OR($B272="",$C272="",$D272=""),"待补楼栋/位置/日期",IF($C272="公共区域","公",SUBSTITUTE($C272,"栋",""))&amp;"-"&amp;$D272&amp;"-"&amp;TEXT(MONTH($B272),"00")&amp;TEXT(DAY($B272),"00")&amp;IF(COUNTIFS($C$5:$C272,$C272,$D$5:$D272,$D272)&gt;1,"-"&amp;TEXT(COUNTIFS($C$5:$C272,$C272,$D$5:$D272,$D272),"00"),"")))</f>
        <v/>
      </c>
      <c r="M272" s="21"/>
      <c r="N272" s="15"/>
      <c r="O272" s="21"/>
    </row>
    <row r="273" customFormat="false" ht="21.75" hidden="false" customHeight="true" outlineLevel="0" collapsed="false">
      <c r="A273" s="13" t="str">
        <f aca="false">IF($E273="","",COUNTA($E$5:$E273))</f>
        <v/>
      </c>
      <c r="B273" s="14"/>
      <c r="C273" s="15"/>
      <c r="D273" s="25"/>
      <c r="E273" s="21"/>
      <c r="F273" s="18"/>
      <c r="G273" s="15"/>
      <c r="H273" s="15"/>
      <c r="I273" s="15"/>
      <c r="J273" s="15"/>
      <c r="K273" s="18"/>
      <c r="L273" s="20" t="str">
        <f aca="false">IF($E273="","",IF(OR($B273="",$C273="",$D273=""),"待补楼栋/位置/日期",IF($C273="公共区域","公",SUBSTITUTE($C273,"栋",""))&amp;"-"&amp;$D273&amp;"-"&amp;TEXT(MONTH($B273),"00")&amp;TEXT(DAY($B273),"00")&amp;IF(COUNTIFS($C$5:$C273,$C273,$D$5:$D273,$D273)&gt;1,"-"&amp;TEXT(COUNTIFS($C$5:$C273,$C273,$D$5:$D273,$D273),"00"),"")))</f>
        <v/>
      </c>
      <c r="M273" s="21"/>
      <c r="N273" s="15"/>
      <c r="O273" s="21"/>
    </row>
    <row r="274" customFormat="false" ht="21.75" hidden="false" customHeight="true" outlineLevel="0" collapsed="false">
      <c r="A274" s="13" t="str">
        <f aca="false">IF($E274="","",COUNTA($E$5:$E274))</f>
        <v/>
      </c>
      <c r="B274" s="14"/>
      <c r="C274" s="15"/>
      <c r="D274" s="25"/>
      <c r="E274" s="21"/>
      <c r="F274" s="18"/>
      <c r="G274" s="15"/>
      <c r="H274" s="15"/>
      <c r="I274" s="15"/>
      <c r="J274" s="15"/>
      <c r="K274" s="18"/>
      <c r="L274" s="20" t="str">
        <f aca="false">IF($E274="","",IF(OR($B274="",$C274="",$D274=""),"待补楼栋/位置/日期",IF($C274="公共区域","公",SUBSTITUTE($C274,"栋",""))&amp;"-"&amp;$D274&amp;"-"&amp;TEXT(MONTH($B274),"00")&amp;TEXT(DAY($B274),"00")&amp;IF(COUNTIFS($C$5:$C274,$C274,$D$5:$D274,$D274)&gt;1,"-"&amp;TEXT(COUNTIFS($C$5:$C274,$C274,$D$5:$D274,$D274),"00"),"")))</f>
        <v/>
      </c>
      <c r="M274" s="21"/>
      <c r="N274" s="15"/>
      <c r="O274" s="21"/>
    </row>
    <row r="275" customFormat="false" ht="21.75" hidden="false" customHeight="true" outlineLevel="0" collapsed="false">
      <c r="A275" s="13" t="str">
        <f aca="false">IF($E275="","",COUNTA($E$5:$E275))</f>
        <v/>
      </c>
      <c r="B275" s="14"/>
      <c r="C275" s="15"/>
      <c r="D275" s="25"/>
      <c r="E275" s="21"/>
      <c r="F275" s="18"/>
      <c r="G275" s="15"/>
      <c r="H275" s="15"/>
      <c r="I275" s="15"/>
      <c r="J275" s="15"/>
      <c r="K275" s="18"/>
      <c r="L275" s="20" t="str">
        <f aca="false">IF($E275="","",IF(OR($B275="",$C275="",$D275=""),"待补楼栋/位置/日期",IF($C275="公共区域","公",SUBSTITUTE($C275,"栋",""))&amp;"-"&amp;$D275&amp;"-"&amp;TEXT(MONTH($B275),"00")&amp;TEXT(DAY($B275),"00")&amp;IF(COUNTIFS($C$5:$C275,$C275,$D$5:$D275,$D275)&gt;1,"-"&amp;TEXT(COUNTIFS($C$5:$C275,$C275,$D$5:$D275,$D275),"00"),"")))</f>
        <v/>
      </c>
      <c r="M275" s="21"/>
      <c r="N275" s="15"/>
      <c r="O275" s="21"/>
    </row>
    <row r="276" customFormat="false" ht="21.75" hidden="false" customHeight="true" outlineLevel="0" collapsed="false">
      <c r="A276" s="13" t="str">
        <f aca="false">IF($E276="","",COUNTA($E$5:$E276))</f>
        <v/>
      </c>
      <c r="B276" s="14"/>
      <c r="C276" s="15"/>
      <c r="D276" s="25"/>
      <c r="E276" s="21"/>
      <c r="F276" s="18"/>
      <c r="G276" s="15"/>
      <c r="H276" s="15"/>
      <c r="I276" s="15"/>
      <c r="J276" s="15"/>
      <c r="K276" s="18"/>
      <c r="L276" s="20" t="str">
        <f aca="false">IF($E276="","",IF(OR($B276="",$C276="",$D276=""),"待补楼栋/位置/日期",IF($C276="公共区域","公",SUBSTITUTE($C276,"栋",""))&amp;"-"&amp;$D276&amp;"-"&amp;TEXT(MONTH($B276),"00")&amp;TEXT(DAY($B276),"00")&amp;IF(COUNTIFS($C$5:$C276,$C276,$D$5:$D276,$D276)&gt;1,"-"&amp;TEXT(COUNTIFS($C$5:$C276,$C276,$D$5:$D276,$D276),"00"),"")))</f>
        <v/>
      </c>
      <c r="M276" s="21"/>
      <c r="N276" s="15"/>
      <c r="O276" s="21"/>
    </row>
    <row r="277" customFormat="false" ht="21.75" hidden="false" customHeight="true" outlineLevel="0" collapsed="false">
      <c r="A277" s="13" t="str">
        <f aca="false">IF($E277="","",COUNTA($E$5:$E277))</f>
        <v/>
      </c>
      <c r="B277" s="14"/>
      <c r="C277" s="15"/>
      <c r="D277" s="25"/>
      <c r="E277" s="21"/>
      <c r="F277" s="18"/>
      <c r="G277" s="15"/>
      <c r="H277" s="15"/>
      <c r="I277" s="15"/>
      <c r="J277" s="15"/>
      <c r="K277" s="18"/>
      <c r="L277" s="20" t="str">
        <f aca="false">IF($E277="","",IF(OR($B277="",$C277="",$D277=""),"待补楼栋/位置/日期",IF($C277="公共区域","公",SUBSTITUTE($C277,"栋",""))&amp;"-"&amp;$D277&amp;"-"&amp;TEXT(MONTH($B277),"00")&amp;TEXT(DAY($B277),"00")&amp;IF(COUNTIFS($C$5:$C277,$C277,$D$5:$D277,$D277)&gt;1,"-"&amp;TEXT(COUNTIFS($C$5:$C277,$C277,$D$5:$D277,$D277),"00"),"")))</f>
        <v/>
      </c>
      <c r="M277" s="21"/>
      <c r="N277" s="15"/>
      <c r="O277" s="21"/>
    </row>
    <row r="278" customFormat="false" ht="21.75" hidden="false" customHeight="true" outlineLevel="0" collapsed="false">
      <c r="A278" s="13" t="str">
        <f aca="false">IF($E278="","",COUNTA($E$5:$E278))</f>
        <v/>
      </c>
      <c r="B278" s="14"/>
      <c r="C278" s="15"/>
      <c r="D278" s="25"/>
      <c r="E278" s="21"/>
      <c r="F278" s="18"/>
      <c r="G278" s="15"/>
      <c r="H278" s="15"/>
      <c r="I278" s="15"/>
      <c r="J278" s="15"/>
      <c r="K278" s="18"/>
      <c r="L278" s="20" t="str">
        <f aca="false">IF($E278="","",IF(OR($B278="",$C278="",$D278=""),"待补楼栋/位置/日期",IF($C278="公共区域","公",SUBSTITUTE($C278,"栋",""))&amp;"-"&amp;$D278&amp;"-"&amp;TEXT(MONTH($B278),"00")&amp;TEXT(DAY($B278),"00")&amp;IF(COUNTIFS($C$5:$C278,$C278,$D$5:$D278,$D278)&gt;1,"-"&amp;TEXT(COUNTIFS($C$5:$C278,$C278,$D$5:$D278,$D278),"00"),"")))</f>
        <v/>
      </c>
      <c r="M278" s="21"/>
      <c r="N278" s="15"/>
      <c r="O278" s="21"/>
    </row>
    <row r="279" customFormat="false" ht="21.75" hidden="false" customHeight="true" outlineLevel="0" collapsed="false">
      <c r="A279" s="13" t="str">
        <f aca="false">IF($E279="","",COUNTA($E$5:$E279))</f>
        <v/>
      </c>
      <c r="B279" s="14"/>
      <c r="C279" s="15"/>
      <c r="D279" s="25"/>
      <c r="E279" s="21"/>
      <c r="F279" s="18"/>
      <c r="G279" s="15"/>
      <c r="H279" s="15"/>
      <c r="I279" s="15"/>
      <c r="J279" s="15"/>
      <c r="K279" s="18"/>
      <c r="L279" s="20" t="str">
        <f aca="false">IF($E279="","",IF(OR($B279="",$C279="",$D279=""),"待补楼栋/位置/日期",IF($C279="公共区域","公",SUBSTITUTE($C279,"栋",""))&amp;"-"&amp;$D279&amp;"-"&amp;TEXT(MONTH($B279),"00")&amp;TEXT(DAY($B279),"00")&amp;IF(COUNTIFS($C$5:$C279,$C279,$D$5:$D279,$D279)&gt;1,"-"&amp;TEXT(COUNTIFS($C$5:$C279,$C279,$D$5:$D279,$D279),"00"),"")))</f>
        <v/>
      </c>
      <c r="M279" s="21"/>
      <c r="N279" s="15"/>
      <c r="O279" s="21"/>
    </row>
    <row r="280" customFormat="false" ht="21.75" hidden="false" customHeight="true" outlineLevel="0" collapsed="false">
      <c r="A280" s="13" t="str">
        <f aca="false">IF($E280="","",COUNTA($E$5:$E280))</f>
        <v/>
      </c>
      <c r="B280" s="14"/>
      <c r="C280" s="15"/>
      <c r="D280" s="25"/>
      <c r="E280" s="21"/>
      <c r="F280" s="18"/>
      <c r="G280" s="15"/>
      <c r="H280" s="15"/>
      <c r="I280" s="15"/>
      <c r="J280" s="15"/>
      <c r="K280" s="18"/>
      <c r="L280" s="20" t="str">
        <f aca="false">IF($E280="","",IF(OR($B280="",$C280="",$D280=""),"待补楼栋/位置/日期",IF($C280="公共区域","公",SUBSTITUTE($C280,"栋",""))&amp;"-"&amp;$D280&amp;"-"&amp;TEXT(MONTH($B280),"00")&amp;TEXT(DAY($B280),"00")&amp;IF(COUNTIFS($C$5:$C280,$C280,$D$5:$D280,$D280)&gt;1,"-"&amp;TEXT(COUNTIFS($C$5:$C280,$C280,$D$5:$D280,$D280),"00"),"")))</f>
        <v/>
      </c>
      <c r="M280" s="21"/>
      <c r="N280" s="15"/>
      <c r="O280" s="21"/>
    </row>
    <row r="281" customFormat="false" ht="21.75" hidden="false" customHeight="true" outlineLevel="0" collapsed="false">
      <c r="A281" s="13" t="str">
        <f aca="false">IF($E281="","",COUNTA($E$5:$E281))</f>
        <v/>
      </c>
      <c r="B281" s="14"/>
      <c r="C281" s="15"/>
      <c r="D281" s="25"/>
      <c r="E281" s="21"/>
      <c r="F281" s="18"/>
      <c r="G281" s="15"/>
      <c r="H281" s="15"/>
      <c r="I281" s="15"/>
      <c r="J281" s="15"/>
      <c r="K281" s="18"/>
      <c r="L281" s="20" t="str">
        <f aca="false">IF($E281="","",IF(OR($B281="",$C281="",$D281=""),"待补楼栋/位置/日期",IF($C281="公共区域","公",SUBSTITUTE($C281,"栋",""))&amp;"-"&amp;$D281&amp;"-"&amp;TEXT(MONTH($B281),"00")&amp;TEXT(DAY($B281),"00")&amp;IF(COUNTIFS($C$5:$C281,$C281,$D$5:$D281,$D281)&gt;1,"-"&amp;TEXT(COUNTIFS($C$5:$C281,$C281,$D$5:$D281,$D281),"00"),"")))</f>
        <v/>
      </c>
      <c r="M281" s="21"/>
      <c r="N281" s="15"/>
      <c r="O281" s="21"/>
    </row>
    <row r="282" customFormat="false" ht="21.75" hidden="false" customHeight="true" outlineLevel="0" collapsed="false">
      <c r="A282" s="13" t="str">
        <f aca="false">IF($E282="","",COUNTA($E$5:$E282))</f>
        <v/>
      </c>
      <c r="B282" s="14"/>
      <c r="C282" s="15"/>
      <c r="D282" s="25"/>
      <c r="E282" s="21"/>
      <c r="F282" s="18"/>
      <c r="G282" s="15"/>
      <c r="H282" s="15"/>
      <c r="I282" s="15"/>
      <c r="J282" s="15"/>
      <c r="K282" s="18"/>
      <c r="L282" s="20" t="str">
        <f aca="false">IF($E282="","",IF(OR($B282="",$C282="",$D282=""),"待补楼栋/位置/日期",IF($C282="公共区域","公",SUBSTITUTE($C282,"栋",""))&amp;"-"&amp;$D282&amp;"-"&amp;TEXT(MONTH($B282),"00")&amp;TEXT(DAY($B282),"00")&amp;IF(COUNTIFS($C$5:$C282,$C282,$D$5:$D282,$D282)&gt;1,"-"&amp;TEXT(COUNTIFS($C$5:$C282,$C282,$D$5:$D282,$D282),"00"),"")))</f>
        <v/>
      </c>
      <c r="M282" s="21"/>
      <c r="N282" s="15"/>
      <c r="O282" s="21"/>
    </row>
    <row r="283" customFormat="false" ht="21.75" hidden="false" customHeight="true" outlineLevel="0" collapsed="false">
      <c r="A283" s="13" t="str">
        <f aca="false">IF($E283="","",COUNTA($E$5:$E283))</f>
        <v/>
      </c>
      <c r="B283" s="14"/>
      <c r="C283" s="15"/>
      <c r="D283" s="25"/>
      <c r="E283" s="21"/>
      <c r="F283" s="18"/>
      <c r="G283" s="15"/>
      <c r="H283" s="15"/>
      <c r="I283" s="15"/>
      <c r="J283" s="15"/>
      <c r="K283" s="18"/>
      <c r="L283" s="20" t="str">
        <f aca="false">IF($E283="","",IF(OR($B283="",$C283="",$D283=""),"待补楼栋/位置/日期",IF($C283="公共区域","公",SUBSTITUTE($C283,"栋",""))&amp;"-"&amp;$D283&amp;"-"&amp;TEXT(MONTH($B283),"00")&amp;TEXT(DAY($B283),"00")&amp;IF(COUNTIFS($C$5:$C283,$C283,$D$5:$D283,$D283)&gt;1,"-"&amp;TEXT(COUNTIFS($C$5:$C283,$C283,$D$5:$D283,$D283),"00"),"")))</f>
        <v/>
      </c>
      <c r="M283" s="21"/>
      <c r="N283" s="15"/>
      <c r="O283" s="21"/>
    </row>
    <row r="284" customFormat="false" ht="21.75" hidden="false" customHeight="true" outlineLevel="0" collapsed="false">
      <c r="A284" s="13" t="str">
        <f aca="false">IF($E284="","",COUNTA($E$5:$E284))</f>
        <v/>
      </c>
      <c r="B284" s="14"/>
      <c r="C284" s="15"/>
      <c r="D284" s="25"/>
      <c r="E284" s="21"/>
      <c r="F284" s="18"/>
      <c r="G284" s="15"/>
      <c r="H284" s="15"/>
      <c r="I284" s="15"/>
      <c r="J284" s="15"/>
      <c r="K284" s="18"/>
      <c r="L284" s="20" t="str">
        <f aca="false">IF($E284="","",IF(OR($B284="",$C284="",$D284=""),"待补楼栋/位置/日期",IF($C284="公共区域","公",SUBSTITUTE($C284,"栋",""))&amp;"-"&amp;$D284&amp;"-"&amp;TEXT(MONTH($B284),"00")&amp;TEXT(DAY($B284),"00")&amp;IF(COUNTIFS($C$5:$C284,$C284,$D$5:$D284,$D284)&gt;1,"-"&amp;TEXT(COUNTIFS($C$5:$C284,$C284,$D$5:$D284,$D284),"00"),"")))</f>
        <v/>
      </c>
      <c r="M284" s="21"/>
      <c r="N284" s="15"/>
      <c r="O284" s="21"/>
    </row>
    <row r="285" customFormat="false" ht="21.75" hidden="false" customHeight="true" outlineLevel="0" collapsed="false">
      <c r="A285" s="13" t="str">
        <f aca="false">IF($E285="","",COUNTA($E$5:$E285))</f>
        <v/>
      </c>
      <c r="B285" s="14"/>
      <c r="C285" s="15"/>
      <c r="D285" s="25"/>
      <c r="E285" s="21"/>
      <c r="F285" s="18"/>
      <c r="G285" s="15"/>
      <c r="H285" s="15"/>
      <c r="I285" s="15"/>
      <c r="J285" s="15"/>
      <c r="K285" s="18"/>
      <c r="L285" s="20" t="str">
        <f aca="false">IF($E285="","",IF(OR($B285="",$C285="",$D285=""),"待补楼栋/位置/日期",IF($C285="公共区域","公",SUBSTITUTE($C285,"栋",""))&amp;"-"&amp;$D285&amp;"-"&amp;TEXT(MONTH($B285),"00")&amp;TEXT(DAY($B285),"00")&amp;IF(COUNTIFS($C$5:$C285,$C285,$D$5:$D285,$D285)&gt;1,"-"&amp;TEXT(COUNTIFS($C$5:$C285,$C285,$D$5:$D285,$D285),"00"),"")))</f>
        <v/>
      </c>
      <c r="M285" s="21"/>
      <c r="N285" s="15"/>
      <c r="O285" s="21"/>
    </row>
    <row r="286" customFormat="false" ht="21.75" hidden="false" customHeight="true" outlineLevel="0" collapsed="false">
      <c r="A286" s="13" t="str">
        <f aca="false">IF($E286="","",COUNTA($E$5:$E286))</f>
        <v/>
      </c>
      <c r="B286" s="14"/>
      <c r="C286" s="15"/>
      <c r="D286" s="25"/>
      <c r="E286" s="21"/>
      <c r="F286" s="18"/>
      <c r="G286" s="15"/>
      <c r="H286" s="15"/>
      <c r="I286" s="15"/>
      <c r="J286" s="15"/>
      <c r="K286" s="18"/>
      <c r="L286" s="20" t="str">
        <f aca="false">IF($E286="","",IF(OR($B286="",$C286="",$D286=""),"待补楼栋/位置/日期",IF($C286="公共区域","公",SUBSTITUTE($C286,"栋",""))&amp;"-"&amp;$D286&amp;"-"&amp;TEXT(MONTH($B286),"00")&amp;TEXT(DAY($B286),"00")&amp;IF(COUNTIFS($C$5:$C286,$C286,$D$5:$D286,$D286)&gt;1,"-"&amp;TEXT(COUNTIFS($C$5:$C286,$C286,$D$5:$D286,$D286),"00"),"")))</f>
        <v/>
      </c>
      <c r="M286" s="21"/>
      <c r="N286" s="15"/>
      <c r="O286" s="21"/>
    </row>
    <row r="287" customFormat="false" ht="21.75" hidden="false" customHeight="true" outlineLevel="0" collapsed="false">
      <c r="A287" s="13" t="str">
        <f aca="false">IF($E287="","",COUNTA($E$5:$E287))</f>
        <v/>
      </c>
      <c r="B287" s="14"/>
      <c r="C287" s="15"/>
      <c r="D287" s="25"/>
      <c r="E287" s="21"/>
      <c r="F287" s="18"/>
      <c r="G287" s="15"/>
      <c r="H287" s="15"/>
      <c r="I287" s="15"/>
      <c r="J287" s="15"/>
      <c r="K287" s="18"/>
      <c r="L287" s="20" t="str">
        <f aca="false">IF($E287="","",IF(OR($B287="",$C287="",$D287=""),"待补楼栋/位置/日期",IF($C287="公共区域","公",SUBSTITUTE($C287,"栋",""))&amp;"-"&amp;$D287&amp;"-"&amp;TEXT(MONTH($B287),"00")&amp;TEXT(DAY($B287),"00")&amp;IF(COUNTIFS($C$5:$C287,$C287,$D$5:$D287,$D287)&gt;1,"-"&amp;TEXT(COUNTIFS($C$5:$C287,$C287,$D$5:$D287,$D287),"00"),"")))</f>
        <v/>
      </c>
      <c r="M287" s="21"/>
      <c r="N287" s="15"/>
      <c r="O287" s="21"/>
    </row>
    <row r="288" customFormat="false" ht="21.75" hidden="false" customHeight="true" outlineLevel="0" collapsed="false">
      <c r="A288" s="13" t="str">
        <f aca="false">IF($E288="","",COUNTA($E$5:$E288))</f>
        <v/>
      </c>
      <c r="B288" s="14"/>
      <c r="C288" s="15"/>
      <c r="D288" s="25"/>
      <c r="E288" s="21"/>
      <c r="F288" s="18"/>
      <c r="G288" s="15"/>
      <c r="H288" s="15"/>
      <c r="I288" s="15"/>
      <c r="J288" s="15"/>
      <c r="K288" s="18"/>
      <c r="L288" s="20" t="str">
        <f aca="false">IF($E288="","",IF(OR($B288="",$C288="",$D288=""),"待补楼栋/位置/日期",IF($C288="公共区域","公",SUBSTITUTE($C288,"栋",""))&amp;"-"&amp;$D288&amp;"-"&amp;TEXT(MONTH($B288),"00")&amp;TEXT(DAY($B288),"00")&amp;IF(COUNTIFS($C$5:$C288,$C288,$D$5:$D288,$D288)&gt;1,"-"&amp;TEXT(COUNTIFS($C$5:$C288,$C288,$D$5:$D288,$D288),"00"),"")))</f>
        <v/>
      </c>
      <c r="M288" s="21"/>
      <c r="N288" s="15"/>
      <c r="O288" s="21"/>
    </row>
    <row r="289" customFormat="false" ht="21.75" hidden="false" customHeight="true" outlineLevel="0" collapsed="false">
      <c r="A289" s="13" t="str">
        <f aca="false">IF($E289="","",COUNTA($E$5:$E289))</f>
        <v/>
      </c>
      <c r="B289" s="14"/>
      <c r="C289" s="15"/>
      <c r="D289" s="25"/>
      <c r="E289" s="21"/>
      <c r="F289" s="18"/>
      <c r="G289" s="15"/>
      <c r="H289" s="15"/>
      <c r="I289" s="15"/>
      <c r="J289" s="15"/>
      <c r="K289" s="18"/>
      <c r="L289" s="20" t="str">
        <f aca="false">IF($E289="","",IF(OR($B289="",$C289="",$D289=""),"待补楼栋/位置/日期",IF($C289="公共区域","公",SUBSTITUTE($C289,"栋",""))&amp;"-"&amp;$D289&amp;"-"&amp;TEXT(MONTH($B289),"00")&amp;TEXT(DAY($B289),"00")&amp;IF(COUNTIFS($C$5:$C289,$C289,$D$5:$D289,$D289)&gt;1,"-"&amp;TEXT(COUNTIFS($C$5:$C289,$C289,$D$5:$D289,$D289),"00"),"")))</f>
        <v/>
      </c>
      <c r="M289" s="21"/>
      <c r="N289" s="15"/>
      <c r="O289" s="21"/>
    </row>
    <row r="290" customFormat="false" ht="21.75" hidden="false" customHeight="true" outlineLevel="0" collapsed="false">
      <c r="A290" s="13" t="str">
        <f aca="false">IF($E290="","",COUNTA($E$5:$E290))</f>
        <v/>
      </c>
      <c r="B290" s="14"/>
      <c r="C290" s="15"/>
      <c r="D290" s="25"/>
      <c r="E290" s="21"/>
      <c r="F290" s="18"/>
      <c r="G290" s="15"/>
      <c r="H290" s="15"/>
      <c r="I290" s="15"/>
      <c r="J290" s="15"/>
      <c r="K290" s="18"/>
      <c r="L290" s="20" t="str">
        <f aca="false">IF($E290="","",IF(OR($B290="",$C290="",$D290=""),"待补楼栋/位置/日期",IF($C290="公共区域","公",SUBSTITUTE($C290,"栋",""))&amp;"-"&amp;$D290&amp;"-"&amp;TEXT(MONTH($B290),"00")&amp;TEXT(DAY($B290),"00")&amp;IF(COUNTIFS($C$5:$C290,$C290,$D$5:$D290,$D290)&gt;1,"-"&amp;TEXT(COUNTIFS($C$5:$C290,$C290,$D$5:$D290,$D290),"00"),"")))</f>
        <v/>
      </c>
      <c r="M290" s="21"/>
      <c r="N290" s="15"/>
      <c r="O290" s="21"/>
    </row>
    <row r="291" customFormat="false" ht="21.75" hidden="false" customHeight="true" outlineLevel="0" collapsed="false">
      <c r="A291" s="13" t="str">
        <f aca="false">IF($E291="","",COUNTA($E$5:$E291))</f>
        <v/>
      </c>
      <c r="B291" s="14"/>
      <c r="C291" s="15"/>
      <c r="D291" s="25"/>
      <c r="E291" s="21"/>
      <c r="F291" s="18"/>
      <c r="G291" s="15"/>
      <c r="H291" s="15"/>
      <c r="I291" s="15"/>
      <c r="J291" s="15"/>
      <c r="K291" s="18"/>
      <c r="L291" s="20" t="str">
        <f aca="false">IF($E291="","",IF(OR($B291="",$C291="",$D291=""),"待补楼栋/位置/日期",IF($C291="公共区域","公",SUBSTITUTE($C291,"栋",""))&amp;"-"&amp;$D291&amp;"-"&amp;TEXT(MONTH($B291),"00")&amp;TEXT(DAY($B291),"00")&amp;IF(COUNTIFS($C$5:$C291,$C291,$D$5:$D291,$D291)&gt;1,"-"&amp;TEXT(COUNTIFS($C$5:$C291,$C291,$D$5:$D291,$D291),"00"),"")))</f>
        <v/>
      </c>
      <c r="M291" s="21"/>
      <c r="N291" s="15"/>
      <c r="O291" s="21"/>
    </row>
    <row r="292" customFormat="false" ht="21.75" hidden="false" customHeight="true" outlineLevel="0" collapsed="false">
      <c r="A292" s="13" t="str">
        <f aca="false">IF($E292="","",COUNTA($E$5:$E292))</f>
        <v/>
      </c>
      <c r="B292" s="14"/>
      <c r="C292" s="15"/>
      <c r="D292" s="25"/>
      <c r="E292" s="21"/>
      <c r="F292" s="18"/>
      <c r="G292" s="15"/>
      <c r="H292" s="15"/>
      <c r="I292" s="15"/>
      <c r="J292" s="15"/>
      <c r="K292" s="18"/>
      <c r="L292" s="20" t="str">
        <f aca="false">IF($E292="","",IF(OR($B292="",$C292="",$D292=""),"待补楼栋/位置/日期",IF($C292="公共区域","公",SUBSTITUTE($C292,"栋",""))&amp;"-"&amp;$D292&amp;"-"&amp;TEXT(MONTH($B292),"00")&amp;TEXT(DAY($B292),"00")&amp;IF(COUNTIFS($C$5:$C292,$C292,$D$5:$D292,$D292)&gt;1,"-"&amp;TEXT(COUNTIFS($C$5:$C292,$C292,$D$5:$D292,$D292),"00"),"")))</f>
        <v/>
      </c>
      <c r="M292" s="21"/>
      <c r="N292" s="15"/>
      <c r="O292" s="21"/>
    </row>
    <row r="293" customFormat="false" ht="21.75" hidden="false" customHeight="true" outlineLevel="0" collapsed="false">
      <c r="A293" s="13" t="str">
        <f aca="false">IF($E293="","",COUNTA($E$5:$E293))</f>
        <v/>
      </c>
      <c r="B293" s="14"/>
      <c r="C293" s="15"/>
      <c r="D293" s="25"/>
      <c r="E293" s="21"/>
      <c r="F293" s="18"/>
      <c r="G293" s="15"/>
      <c r="H293" s="15"/>
      <c r="I293" s="15"/>
      <c r="J293" s="15"/>
      <c r="K293" s="18"/>
      <c r="L293" s="20" t="str">
        <f aca="false">IF($E293="","",IF(OR($B293="",$C293="",$D293=""),"待补楼栋/位置/日期",IF($C293="公共区域","公",SUBSTITUTE($C293,"栋",""))&amp;"-"&amp;$D293&amp;"-"&amp;TEXT(MONTH($B293),"00")&amp;TEXT(DAY($B293),"00")&amp;IF(COUNTIFS($C$5:$C293,$C293,$D$5:$D293,$D293)&gt;1,"-"&amp;TEXT(COUNTIFS($C$5:$C293,$C293,$D$5:$D293,$D293),"00"),"")))</f>
        <v/>
      </c>
      <c r="M293" s="21"/>
      <c r="N293" s="15"/>
      <c r="O293" s="21"/>
    </row>
    <row r="294" customFormat="false" ht="21.75" hidden="false" customHeight="true" outlineLevel="0" collapsed="false">
      <c r="A294" s="13" t="str">
        <f aca="false">IF($E294="","",COUNTA($E$5:$E294))</f>
        <v/>
      </c>
      <c r="B294" s="14"/>
      <c r="C294" s="15"/>
      <c r="D294" s="25"/>
      <c r="E294" s="21"/>
      <c r="F294" s="18"/>
      <c r="G294" s="15"/>
      <c r="H294" s="15"/>
      <c r="I294" s="15"/>
      <c r="J294" s="15"/>
      <c r="K294" s="18"/>
      <c r="L294" s="20" t="str">
        <f aca="false">IF($E294="","",IF(OR($B294="",$C294="",$D294=""),"待补楼栋/位置/日期",IF($C294="公共区域","公",SUBSTITUTE($C294,"栋",""))&amp;"-"&amp;$D294&amp;"-"&amp;TEXT(MONTH($B294),"00")&amp;TEXT(DAY($B294),"00")&amp;IF(COUNTIFS($C$5:$C294,$C294,$D$5:$D294,$D294)&gt;1,"-"&amp;TEXT(COUNTIFS($C$5:$C294,$C294,$D$5:$D294,$D294),"00"),"")))</f>
        <v/>
      </c>
      <c r="M294" s="21"/>
      <c r="N294" s="15"/>
      <c r="O294" s="21"/>
    </row>
    <row r="295" customFormat="false" ht="21.75" hidden="false" customHeight="true" outlineLevel="0" collapsed="false">
      <c r="A295" s="13" t="str">
        <f aca="false">IF($E295="","",COUNTA($E$5:$E295))</f>
        <v/>
      </c>
      <c r="B295" s="14"/>
      <c r="C295" s="15"/>
      <c r="D295" s="25"/>
      <c r="E295" s="21"/>
      <c r="F295" s="18"/>
      <c r="G295" s="15"/>
      <c r="H295" s="15"/>
      <c r="I295" s="15"/>
      <c r="J295" s="15"/>
      <c r="K295" s="18"/>
      <c r="L295" s="20" t="str">
        <f aca="false">IF($E295="","",IF(OR($B295="",$C295="",$D295=""),"待补楼栋/位置/日期",IF($C295="公共区域","公",SUBSTITUTE($C295,"栋",""))&amp;"-"&amp;$D295&amp;"-"&amp;TEXT(MONTH($B295),"00")&amp;TEXT(DAY($B295),"00")&amp;IF(COUNTIFS($C$5:$C295,$C295,$D$5:$D295,$D295)&gt;1,"-"&amp;TEXT(COUNTIFS($C$5:$C295,$C295,$D$5:$D295,$D295),"00"),"")))</f>
        <v/>
      </c>
      <c r="M295" s="21"/>
      <c r="N295" s="15"/>
      <c r="O295" s="21"/>
    </row>
    <row r="296" customFormat="false" ht="21.75" hidden="false" customHeight="true" outlineLevel="0" collapsed="false">
      <c r="A296" s="13" t="str">
        <f aca="false">IF($E296="","",COUNTA($E$5:$E296))</f>
        <v/>
      </c>
      <c r="B296" s="14"/>
      <c r="C296" s="15"/>
      <c r="D296" s="25"/>
      <c r="E296" s="21"/>
      <c r="F296" s="18"/>
      <c r="G296" s="15"/>
      <c r="H296" s="15"/>
      <c r="I296" s="15"/>
      <c r="J296" s="15"/>
      <c r="K296" s="18"/>
      <c r="L296" s="20" t="str">
        <f aca="false">IF($E296="","",IF(OR($B296="",$C296="",$D296=""),"待补楼栋/位置/日期",IF($C296="公共区域","公",SUBSTITUTE($C296,"栋",""))&amp;"-"&amp;$D296&amp;"-"&amp;TEXT(MONTH($B296),"00")&amp;TEXT(DAY($B296),"00")&amp;IF(COUNTIFS($C$5:$C296,$C296,$D$5:$D296,$D296)&gt;1,"-"&amp;TEXT(COUNTIFS($C$5:$C296,$C296,$D$5:$D296,$D296),"00"),"")))</f>
        <v/>
      </c>
      <c r="M296" s="21"/>
      <c r="N296" s="15"/>
      <c r="O296" s="21"/>
    </row>
    <row r="297" customFormat="false" ht="21.75" hidden="false" customHeight="true" outlineLevel="0" collapsed="false">
      <c r="A297" s="13" t="str">
        <f aca="false">IF($E297="","",COUNTA($E$5:$E297))</f>
        <v/>
      </c>
      <c r="B297" s="14"/>
      <c r="C297" s="15"/>
      <c r="D297" s="25"/>
      <c r="E297" s="21"/>
      <c r="F297" s="18"/>
      <c r="G297" s="15"/>
      <c r="H297" s="15"/>
      <c r="I297" s="15"/>
      <c r="J297" s="15"/>
      <c r="K297" s="18"/>
      <c r="L297" s="20" t="str">
        <f aca="false">IF($E297="","",IF(OR($B297="",$C297="",$D297=""),"待补楼栋/位置/日期",IF($C297="公共区域","公",SUBSTITUTE($C297,"栋",""))&amp;"-"&amp;$D297&amp;"-"&amp;TEXT(MONTH($B297),"00")&amp;TEXT(DAY($B297),"00")&amp;IF(COUNTIFS($C$5:$C297,$C297,$D$5:$D297,$D297)&gt;1,"-"&amp;TEXT(COUNTIFS($C$5:$C297,$C297,$D$5:$D297,$D297),"00"),"")))</f>
        <v/>
      </c>
      <c r="M297" s="21"/>
      <c r="N297" s="15"/>
      <c r="O297" s="21"/>
    </row>
    <row r="298" customFormat="false" ht="21.75" hidden="false" customHeight="true" outlineLevel="0" collapsed="false">
      <c r="A298" s="13" t="str">
        <f aca="false">IF($E298="","",COUNTA($E$5:$E298))</f>
        <v/>
      </c>
      <c r="B298" s="14"/>
      <c r="C298" s="15"/>
      <c r="D298" s="25"/>
      <c r="E298" s="21"/>
      <c r="F298" s="18"/>
      <c r="G298" s="15"/>
      <c r="H298" s="15"/>
      <c r="I298" s="15"/>
      <c r="J298" s="15"/>
      <c r="K298" s="18"/>
      <c r="L298" s="20" t="str">
        <f aca="false">IF($E298="","",IF(OR($B298="",$C298="",$D298=""),"待补楼栋/位置/日期",IF($C298="公共区域","公",SUBSTITUTE($C298,"栋",""))&amp;"-"&amp;$D298&amp;"-"&amp;TEXT(MONTH($B298),"00")&amp;TEXT(DAY($B298),"00")&amp;IF(COUNTIFS($C$5:$C298,$C298,$D$5:$D298,$D298)&gt;1,"-"&amp;TEXT(COUNTIFS($C$5:$C298,$C298,$D$5:$D298,$D298),"00"),"")))</f>
        <v/>
      </c>
      <c r="M298" s="21"/>
      <c r="N298" s="15"/>
      <c r="O298" s="21"/>
    </row>
    <row r="299" customFormat="false" ht="21.75" hidden="false" customHeight="true" outlineLevel="0" collapsed="false">
      <c r="A299" s="13" t="str">
        <f aca="false">IF($E299="","",COUNTA($E$5:$E299))</f>
        <v/>
      </c>
      <c r="B299" s="14"/>
      <c r="C299" s="15"/>
      <c r="D299" s="25"/>
      <c r="E299" s="21"/>
      <c r="F299" s="18"/>
      <c r="G299" s="15"/>
      <c r="H299" s="15"/>
      <c r="I299" s="15"/>
      <c r="J299" s="15"/>
      <c r="K299" s="18"/>
      <c r="L299" s="20" t="str">
        <f aca="false">IF($E299="","",IF(OR($B299="",$C299="",$D299=""),"待补楼栋/位置/日期",IF($C299="公共区域","公",SUBSTITUTE($C299,"栋",""))&amp;"-"&amp;$D299&amp;"-"&amp;TEXT(MONTH($B299),"00")&amp;TEXT(DAY($B299),"00")&amp;IF(COUNTIFS($C$5:$C299,$C299,$D$5:$D299,$D299)&gt;1,"-"&amp;TEXT(COUNTIFS($C$5:$C299,$C299,$D$5:$D299,$D299),"00"),"")))</f>
        <v/>
      </c>
      <c r="M299" s="21"/>
      <c r="N299" s="15"/>
      <c r="O299" s="21"/>
    </row>
    <row r="300" customFormat="false" ht="21.75" hidden="false" customHeight="true" outlineLevel="0" collapsed="false">
      <c r="A300" s="13" t="str">
        <f aca="false">IF($E300="","",COUNTA($E$5:$E300))</f>
        <v/>
      </c>
      <c r="B300" s="14"/>
      <c r="C300" s="15"/>
      <c r="D300" s="25"/>
      <c r="E300" s="21"/>
      <c r="F300" s="18"/>
      <c r="G300" s="15"/>
      <c r="H300" s="15"/>
      <c r="I300" s="15"/>
      <c r="J300" s="15"/>
      <c r="K300" s="18"/>
      <c r="L300" s="20" t="str">
        <f aca="false">IF($E300="","",IF(OR($B300="",$C300="",$D300=""),"待补楼栋/位置/日期",IF($C300="公共区域","公",SUBSTITUTE($C300,"栋",""))&amp;"-"&amp;$D300&amp;"-"&amp;TEXT(MONTH($B300),"00")&amp;TEXT(DAY($B300),"00")&amp;IF(COUNTIFS($C$5:$C300,$C300,$D$5:$D300,$D300)&gt;1,"-"&amp;TEXT(COUNTIFS($C$5:$C300,$C300,$D$5:$D300,$D300),"00"),"")))</f>
        <v/>
      </c>
      <c r="M300" s="21"/>
      <c r="N300" s="15"/>
      <c r="O300" s="21"/>
    </row>
    <row r="301" customFormat="false" ht="21.75" hidden="false" customHeight="true" outlineLevel="0" collapsed="false">
      <c r="A301" s="13" t="str">
        <f aca="false">IF($E301="","",COUNTA($E$5:$E301))</f>
        <v/>
      </c>
      <c r="B301" s="14"/>
      <c r="C301" s="15"/>
      <c r="D301" s="25"/>
      <c r="E301" s="21"/>
      <c r="F301" s="18"/>
      <c r="G301" s="15"/>
      <c r="H301" s="15"/>
      <c r="I301" s="15"/>
      <c r="J301" s="15"/>
      <c r="K301" s="18"/>
      <c r="L301" s="20" t="str">
        <f aca="false">IF($E301="","",IF(OR($B301="",$C301="",$D301=""),"待补楼栋/位置/日期",IF($C301="公共区域","公",SUBSTITUTE($C301,"栋",""))&amp;"-"&amp;$D301&amp;"-"&amp;TEXT(MONTH($B301),"00")&amp;TEXT(DAY($B301),"00")&amp;IF(COUNTIFS($C$5:$C301,$C301,$D$5:$D301,$D301)&gt;1,"-"&amp;TEXT(COUNTIFS($C$5:$C301,$C301,$D$5:$D301,$D301),"00"),"")))</f>
        <v/>
      </c>
      <c r="M301" s="21"/>
      <c r="N301" s="15"/>
      <c r="O301" s="21"/>
    </row>
    <row r="302" customFormat="false" ht="21.75" hidden="false" customHeight="true" outlineLevel="0" collapsed="false">
      <c r="A302" s="13" t="str">
        <f aca="false">IF($E302="","",COUNTA($E$5:$E302))</f>
        <v/>
      </c>
      <c r="B302" s="14"/>
      <c r="C302" s="15"/>
      <c r="D302" s="25"/>
      <c r="E302" s="21"/>
      <c r="F302" s="18"/>
      <c r="G302" s="15"/>
      <c r="H302" s="15"/>
      <c r="I302" s="15"/>
      <c r="J302" s="15"/>
      <c r="K302" s="18"/>
      <c r="L302" s="20" t="str">
        <f aca="false">IF($E302="","",IF(OR($B302="",$C302="",$D302=""),"待补楼栋/位置/日期",IF($C302="公共区域","公",SUBSTITUTE($C302,"栋",""))&amp;"-"&amp;$D302&amp;"-"&amp;TEXT(MONTH($B302),"00")&amp;TEXT(DAY($B302),"00")&amp;IF(COUNTIFS($C$5:$C302,$C302,$D$5:$D302,$D302)&gt;1,"-"&amp;TEXT(COUNTIFS($C$5:$C302,$C302,$D$5:$D302,$D302),"00"),"")))</f>
        <v/>
      </c>
      <c r="M302" s="21"/>
      <c r="N302" s="15"/>
      <c r="O302" s="21"/>
    </row>
    <row r="303" customFormat="false" ht="21.75" hidden="false" customHeight="true" outlineLevel="0" collapsed="false">
      <c r="A303" s="13" t="str">
        <f aca="false">IF($E303="","",COUNTA($E$5:$E303))</f>
        <v/>
      </c>
      <c r="B303" s="14"/>
      <c r="C303" s="15"/>
      <c r="D303" s="25"/>
      <c r="E303" s="21"/>
      <c r="F303" s="18"/>
      <c r="G303" s="15"/>
      <c r="H303" s="15"/>
      <c r="I303" s="15"/>
      <c r="J303" s="15"/>
      <c r="K303" s="18"/>
      <c r="L303" s="20" t="str">
        <f aca="false">IF($E303="","",IF(OR($B303="",$C303="",$D303=""),"待补楼栋/位置/日期",IF($C303="公共区域","公",SUBSTITUTE($C303,"栋",""))&amp;"-"&amp;$D303&amp;"-"&amp;TEXT(MONTH($B303),"00")&amp;TEXT(DAY($B303),"00")&amp;IF(COUNTIFS($C$5:$C303,$C303,$D$5:$D303,$D303)&gt;1,"-"&amp;TEXT(COUNTIFS($C$5:$C303,$C303,$D$5:$D303,$D303),"00"),"")))</f>
        <v/>
      </c>
      <c r="M303" s="21"/>
      <c r="N303" s="15"/>
      <c r="O303" s="21"/>
    </row>
    <row r="304" customFormat="false" ht="21.75" hidden="false" customHeight="true" outlineLevel="0" collapsed="false">
      <c r="A304" s="13" t="str">
        <f aca="false">IF($E304="","",COUNTA($E$5:$E304))</f>
        <v/>
      </c>
      <c r="B304" s="14"/>
      <c r="C304" s="15"/>
      <c r="D304" s="25"/>
      <c r="E304" s="21"/>
      <c r="F304" s="18"/>
      <c r="G304" s="15"/>
      <c r="H304" s="15"/>
      <c r="I304" s="15"/>
      <c r="J304" s="15"/>
      <c r="K304" s="18"/>
      <c r="L304" s="20" t="str">
        <f aca="false">IF($E304="","",IF(OR($B304="",$C304="",$D304=""),"待补楼栋/位置/日期",IF($C304="公共区域","公",SUBSTITUTE($C304,"栋",""))&amp;"-"&amp;$D304&amp;"-"&amp;TEXT(MONTH($B304),"00")&amp;TEXT(DAY($B304),"00")&amp;IF(COUNTIFS($C$5:$C304,$C304,$D$5:$D304,$D304)&gt;1,"-"&amp;TEXT(COUNTIFS($C$5:$C304,$C304,$D$5:$D304,$D304),"00"),"")))</f>
        <v/>
      </c>
      <c r="M304" s="21"/>
      <c r="N304" s="15"/>
      <c r="O304" s="21"/>
    </row>
    <row r="305" customFormat="false" ht="21.75" hidden="false" customHeight="true" outlineLevel="0" collapsed="false">
      <c r="A305" s="13" t="str">
        <f aca="false">IF($E305="","",COUNTA($E$5:$E305))</f>
        <v/>
      </c>
      <c r="B305" s="14"/>
      <c r="C305" s="15"/>
      <c r="D305" s="25"/>
      <c r="E305" s="21"/>
      <c r="F305" s="18"/>
      <c r="G305" s="15"/>
      <c r="H305" s="15"/>
      <c r="I305" s="15"/>
      <c r="J305" s="15"/>
      <c r="K305" s="18"/>
      <c r="L305" s="20" t="str">
        <f aca="false">IF($E305="","",IF(OR($B305="",$C305="",$D305=""),"待补楼栋/位置/日期",IF($C305="公共区域","公",SUBSTITUTE($C305,"栋",""))&amp;"-"&amp;$D305&amp;"-"&amp;TEXT(MONTH($B305),"00")&amp;TEXT(DAY($B305),"00")&amp;IF(COUNTIFS($C$5:$C305,$C305,$D$5:$D305,$D305)&gt;1,"-"&amp;TEXT(COUNTIFS($C$5:$C305,$C305,$D$5:$D305,$D305),"00"),"")))</f>
        <v/>
      </c>
      <c r="M305" s="21"/>
      <c r="N305" s="15"/>
      <c r="O305" s="21"/>
    </row>
    <row r="306" customFormat="false" ht="21.75" hidden="false" customHeight="true" outlineLevel="0" collapsed="false">
      <c r="A306" s="13" t="str">
        <f aca="false">IF($E306="","",COUNTA($E$5:$E306))</f>
        <v/>
      </c>
      <c r="B306" s="14"/>
      <c r="C306" s="15"/>
      <c r="D306" s="25"/>
      <c r="E306" s="21"/>
      <c r="F306" s="18"/>
      <c r="G306" s="15"/>
      <c r="H306" s="15"/>
      <c r="I306" s="15"/>
      <c r="J306" s="15"/>
      <c r="K306" s="18"/>
      <c r="L306" s="20" t="str">
        <f aca="false">IF($E306="","",IF(OR($B306="",$C306="",$D306=""),"待补楼栋/位置/日期",IF($C306="公共区域","公",SUBSTITUTE($C306,"栋",""))&amp;"-"&amp;$D306&amp;"-"&amp;TEXT(MONTH($B306),"00")&amp;TEXT(DAY($B306),"00")&amp;IF(COUNTIFS($C$5:$C306,$C306,$D$5:$D306,$D306)&gt;1,"-"&amp;TEXT(COUNTIFS($C$5:$C306,$C306,$D$5:$D306,$D306),"00"),"")))</f>
        <v/>
      </c>
      <c r="M306" s="21"/>
      <c r="N306" s="15"/>
      <c r="O306" s="21"/>
    </row>
    <row r="307" customFormat="false" ht="21.75" hidden="false" customHeight="true" outlineLevel="0" collapsed="false">
      <c r="A307" s="13" t="str">
        <f aca="false">IF($E307="","",COUNTA($E$5:$E307))</f>
        <v/>
      </c>
      <c r="B307" s="14"/>
      <c r="C307" s="15"/>
      <c r="D307" s="25"/>
      <c r="E307" s="21"/>
      <c r="F307" s="18"/>
      <c r="G307" s="15"/>
      <c r="H307" s="15"/>
      <c r="I307" s="15"/>
      <c r="J307" s="15"/>
      <c r="K307" s="18"/>
      <c r="L307" s="20" t="str">
        <f aca="false">IF($E307="","",IF(OR($B307="",$C307="",$D307=""),"待补楼栋/位置/日期",IF($C307="公共区域","公",SUBSTITUTE($C307,"栋",""))&amp;"-"&amp;$D307&amp;"-"&amp;TEXT(MONTH($B307),"00")&amp;TEXT(DAY($B307),"00")&amp;IF(COUNTIFS($C$5:$C307,$C307,$D$5:$D307,$D307)&gt;1,"-"&amp;TEXT(COUNTIFS($C$5:$C307,$C307,$D$5:$D307,$D307),"00"),"")))</f>
        <v/>
      </c>
      <c r="M307" s="21"/>
      <c r="N307" s="15"/>
      <c r="O307" s="21"/>
    </row>
    <row r="308" customFormat="false" ht="21.75" hidden="false" customHeight="true" outlineLevel="0" collapsed="false">
      <c r="A308" s="13" t="str">
        <f aca="false">IF($E308="","",COUNTA($E$5:$E308))</f>
        <v/>
      </c>
      <c r="B308" s="14"/>
      <c r="C308" s="15"/>
      <c r="D308" s="25"/>
      <c r="E308" s="21"/>
      <c r="F308" s="18"/>
      <c r="G308" s="15"/>
      <c r="H308" s="15"/>
      <c r="I308" s="15"/>
      <c r="J308" s="15"/>
      <c r="K308" s="18"/>
      <c r="L308" s="20" t="str">
        <f aca="false">IF($E308="","",IF(OR($B308="",$C308="",$D308=""),"待补楼栋/位置/日期",IF($C308="公共区域","公",SUBSTITUTE($C308,"栋",""))&amp;"-"&amp;$D308&amp;"-"&amp;TEXT(MONTH($B308),"00")&amp;TEXT(DAY($B308),"00")&amp;IF(COUNTIFS($C$5:$C308,$C308,$D$5:$D308,$D308)&gt;1,"-"&amp;TEXT(COUNTIFS($C$5:$C308,$C308,$D$5:$D308,$D308),"00"),"")))</f>
        <v/>
      </c>
      <c r="M308" s="21"/>
      <c r="N308" s="15"/>
      <c r="O308" s="21"/>
    </row>
    <row r="309" customFormat="false" ht="21.75" hidden="false" customHeight="true" outlineLevel="0" collapsed="false">
      <c r="A309" s="13" t="str">
        <f aca="false">IF($E309="","",COUNTA($E$5:$E309))</f>
        <v/>
      </c>
      <c r="B309" s="14"/>
      <c r="C309" s="15"/>
      <c r="D309" s="25"/>
      <c r="E309" s="21"/>
      <c r="F309" s="18"/>
      <c r="G309" s="15"/>
      <c r="H309" s="15"/>
      <c r="I309" s="15"/>
      <c r="J309" s="15"/>
      <c r="K309" s="18"/>
      <c r="L309" s="20" t="str">
        <f aca="false">IF($E309="","",IF(OR($B309="",$C309="",$D309=""),"待补楼栋/位置/日期",IF($C309="公共区域","公",SUBSTITUTE($C309,"栋",""))&amp;"-"&amp;$D309&amp;"-"&amp;TEXT(MONTH($B309),"00")&amp;TEXT(DAY($B309),"00")&amp;IF(COUNTIFS($C$5:$C309,$C309,$D$5:$D309,$D309)&gt;1,"-"&amp;TEXT(COUNTIFS($C$5:$C309,$C309,$D$5:$D309,$D309),"00"),"")))</f>
        <v/>
      </c>
      <c r="M309" s="21"/>
      <c r="N309" s="15"/>
      <c r="O309" s="21"/>
    </row>
    <row r="310" customFormat="false" ht="21.75" hidden="false" customHeight="true" outlineLevel="0" collapsed="false">
      <c r="A310" s="13" t="str">
        <f aca="false">IF($E310="","",COUNTA($E$5:$E310))</f>
        <v/>
      </c>
      <c r="B310" s="14"/>
      <c r="C310" s="15"/>
      <c r="D310" s="25"/>
      <c r="E310" s="21"/>
      <c r="F310" s="18"/>
      <c r="G310" s="15"/>
      <c r="H310" s="15"/>
      <c r="I310" s="15"/>
      <c r="J310" s="15"/>
      <c r="K310" s="18"/>
      <c r="L310" s="20" t="str">
        <f aca="false">IF($E310="","",IF(OR($B310="",$C310="",$D310=""),"待补楼栋/位置/日期",IF($C310="公共区域","公",SUBSTITUTE($C310,"栋",""))&amp;"-"&amp;$D310&amp;"-"&amp;TEXT(MONTH($B310),"00")&amp;TEXT(DAY($B310),"00")&amp;IF(COUNTIFS($C$5:$C310,$C310,$D$5:$D310,$D310)&gt;1,"-"&amp;TEXT(COUNTIFS($C$5:$C310,$C310,$D$5:$D310,$D310),"00"),"")))</f>
        <v/>
      </c>
      <c r="M310" s="21"/>
      <c r="N310" s="15"/>
      <c r="O310" s="21"/>
    </row>
    <row r="311" customFormat="false" ht="21.75" hidden="false" customHeight="true" outlineLevel="0" collapsed="false">
      <c r="A311" s="13" t="str">
        <f aca="false">IF($E311="","",COUNTA($E$5:$E311))</f>
        <v/>
      </c>
      <c r="B311" s="14"/>
      <c r="C311" s="15"/>
      <c r="D311" s="25"/>
      <c r="E311" s="21"/>
      <c r="F311" s="18"/>
      <c r="G311" s="15"/>
      <c r="H311" s="15"/>
      <c r="I311" s="15"/>
      <c r="J311" s="15"/>
      <c r="K311" s="18"/>
      <c r="L311" s="20" t="str">
        <f aca="false">IF($E311="","",IF(OR($B311="",$C311="",$D311=""),"待补楼栋/位置/日期",IF($C311="公共区域","公",SUBSTITUTE($C311,"栋",""))&amp;"-"&amp;$D311&amp;"-"&amp;TEXT(MONTH($B311),"00")&amp;TEXT(DAY($B311),"00")&amp;IF(COUNTIFS($C$5:$C311,$C311,$D$5:$D311,$D311)&gt;1,"-"&amp;TEXT(COUNTIFS($C$5:$C311,$C311,$D$5:$D311,$D311),"00"),"")))</f>
        <v/>
      </c>
      <c r="M311" s="21"/>
      <c r="N311" s="15"/>
      <c r="O311" s="21"/>
    </row>
    <row r="312" customFormat="false" ht="21.75" hidden="false" customHeight="true" outlineLevel="0" collapsed="false">
      <c r="A312" s="13" t="str">
        <f aca="false">IF($E312="","",COUNTA($E$5:$E312))</f>
        <v/>
      </c>
      <c r="B312" s="14"/>
      <c r="C312" s="15"/>
      <c r="D312" s="25"/>
      <c r="E312" s="21"/>
      <c r="F312" s="18"/>
      <c r="G312" s="15"/>
      <c r="H312" s="15"/>
      <c r="I312" s="15"/>
      <c r="J312" s="15"/>
      <c r="K312" s="18"/>
      <c r="L312" s="20" t="str">
        <f aca="false">IF($E312="","",IF(OR($B312="",$C312="",$D312=""),"待补楼栋/位置/日期",IF($C312="公共区域","公",SUBSTITUTE($C312,"栋",""))&amp;"-"&amp;$D312&amp;"-"&amp;TEXT(MONTH($B312),"00")&amp;TEXT(DAY($B312),"00")&amp;IF(COUNTIFS($C$5:$C312,$C312,$D$5:$D312,$D312)&gt;1,"-"&amp;TEXT(COUNTIFS($C$5:$C312,$C312,$D$5:$D312,$D312),"00"),"")))</f>
        <v/>
      </c>
      <c r="M312" s="21"/>
      <c r="N312" s="15"/>
      <c r="O312" s="21"/>
    </row>
    <row r="313" customFormat="false" ht="21.75" hidden="false" customHeight="true" outlineLevel="0" collapsed="false">
      <c r="A313" s="13" t="str">
        <f aca="false">IF($E313="","",COUNTA($E$5:$E313))</f>
        <v/>
      </c>
      <c r="B313" s="14"/>
      <c r="C313" s="15"/>
      <c r="D313" s="25"/>
      <c r="E313" s="21"/>
      <c r="F313" s="18"/>
      <c r="G313" s="15"/>
      <c r="H313" s="15"/>
      <c r="I313" s="15"/>
      <c r="J313" s="15"/>
      <c r="K313" s="18"/>
      <c r="L313" s="20" t="str">
        <f aca="false">IF($E313="","",IF(OR($B313="",$C313="",$D313=""),"待补楼栋/位置/日期",IF($C313="公共区域","公",SUBSTITUTE($C313,"栋",""))&amp;"-"&amp;$D313&amp;"-"&amp;TEXT(MONTH($B313),"00")&amp;TEXT(DAY($B313),"00")&amp;IF(COUNTIFS($C$5:$C313,$C313,$D$5:$D313,$D313)&gt;1,"-"&amp;TEXT(COUNTIFS($C$5:$C313,$C313,$D$5:$D313,$D313),"00"),"")))</f>
        <v/>
      </c>
      <c r="M313" s="21"/>
      <c r="N313" s="15"/>
      <c r="O313" s="21"/>
    </row>
    <row r="314" customFormat="false" ht="21.75" hidden="false" customHeight="true" outlineLevel="0" collapsed="false">
      <c r="A314" s="13" t="str">
        <f aca="false">IF($E314="","",COUNTA($E$5:$E314))</f>
        <v/>
      </c>
      <c r="B314" s="14"/>
      <c r="C314" s="15"/>
      <c r="D314" s="25"/>
      <c r="E314" s="21"/>
      <c r="F314" s="18"/>
      <c r="G314" s="15"/>
      <c r="H314" s="15"/>
      <c r="I314" s="15"/>
      <c r="J314" s="15"/>
      <c r="K314" s="18"/>
      <c r="L314" s="20" t="str">
        <f aca="false">IF($E314="","",IF(OR($B314="",$C314="",$D314=""),"待补楼栋/位置/日期",IF($C314="公共区域","公",SUBSTITUTE($C314,"栋",""))&amp;"-"&amp;$D314&amp;"-"&amp;TEXT(MONTH($B314),"00")&amp;TEXT(DAY($B314),"00")&amp;IF(COUNTIFS($C$5:$C314,$C314,$D$5:$D314,$D314)&gt;1,"-"&amp;TEXT(COUNTIFS($C$5:$C314,$C314,$D$5:$D314,$D314),"00"),"")))</f>
        <v/>
      </c>
      <c r="M314" s="21"/>
      <c r="N314" s="15"/>
      <c r="O314" s="21"/>
    </row>
    <row r="315" customFormat="false" ht="21.75" hidden="false" customHeight="true" outlineLevel="0" collapsed="false">
      <c r="A315" s="13" t="str">
        <f aca="false">IF($E315="","",COUNTA($E$5:$E315))</f>
        <v/>
      </c>
      <c r="B315" s="14"/>
      <c r="C315" s="15"/>
      <c r="D315" s="25"/>
      <c r="E315" s="21"/>
      <c r="F315" s="18"/>
      <c r="G315" s="15"/>
      <c r="H315" s="15"/>
      <c r="I315" s="15"/>
      <c r="J315" s="15"/>
      <c r="K315" s="18"/>
      <c r="L315" s="20" t="str">
        <f aca="false">IF($E315="","",IF(OR($B315="",$C315="",$D315=""),"待补楼栋/位置/日期",IF($C315="公共区域","公",SUBSTITUTE($C315,"栋",""))&amp;"-"&amp;$D315&amp;"-"&amp;TEXT(MONTH($B315),"00")&amp;TEXT(DAY($B315),"00")&amp;IF(COUNTIFS($C$5:$C315,$C315,$D$5:$D315,$D315)&gt;1,"-"&amp;TEXT(COUNTIFS($C$5:$C315,$C315,$D$5:$D315,$D315),"00"),"")))</f>
        <v/>
      </c>
      <c r="M315" s="21"/>
      <c r="N315" s="15"/>
      <c r="O315" s="21"/>
    </row>
    <row r="316" customFormat="false" ht="21.75" hidden="false" customHeight="true" outlineLevel="0" collapsed="false">
      <c r="A316" s="13" t="str">
        <f aca="false">IF($E316="","",COUNTA($E$5:$E316))</f>
        <v/>
      </c>
      <c r="B316" s="14"/>
      <c r="C316" s="15"/>
      <c r="D316" s="25"/>
      <c r="E316" s="21"/>
      <c r="F316" s="18"/>
      <c r="G316" s="15"/>
      <c r="H316" s="15"/>
      <c r="I316" s="15"/>
      <c r="J316" s="15"/>
      <c r="K316" s="18"/>
      <c r="L316" s="20" t="str">
        <f aca="false">IF($E316="","",IF(OR($B316="",$C316="",$D316=""),"待补楼栋/位置/日期",IF($C316="公共区域","公",SUBSTITUTE($C316,"栋",""))&amp;"-"&amp;$D316&amp;"-"&amp;TEXT(MONTH($B316),"00")&amp;TEXT(DAY($B316),"00")&amp;IF(COUNTIFS($C$5:$C316,$C316,$D$5:$D316,$D316)&gt;1,"-"&amp;TEXT(COUNTIFS($C$5:$C316,$C316,$D$5:$D316,$D316),"00"),"")))</f>
        <v/>
      </c>
      <c r="M316" s="21"/>
      <c r="N316" s="15"/>
      <c r="O316" s="21"/>
    </row>
    <row r="317" customFormat="false" ht="21.75" hidden="false" customHeight="true" outlineLevel="0" collapsed="false">
      <c r="A317" s="13" t="str">
        <f aca="false">IF($E317="","",COUNTA($E$5:$E317))</f>
        <v/>
      </c>
      <c r="B317" s="14"/>
      <c r="C317" s="15"/>
      <c r="D317" s="25"/>
      <c r="E317" s="21"/>
      <c r="F317" s="18"/>
      <c r="G317" s="15"/>
      <c r="H317" s="15"/>
      <c r="I317" s="15"/>
      <c r="J317" s="15"/>
      <c r="K317" s="18"/>
      <c r="L317" s="20" t="str">
        <f aca="false">IF($E317="","",IF(OR($B317="",$C317="",$D317=""),"待补楼栋/位置/日期",IF($C317="公共区域","公",SUBSTITUTE($C317,"栋",""))&amp;"-"&amp;$D317&amp;"-"&amp;TEXT(MONTH($B317),"00")&amp;TEXT(DAY($B317),"00")&amp;IF(COUNTIFS($C$5:$C317,$C317,$D$5:$D317,$D317)&gt;1,"-"&amp;TEXT(COUNTIFS($C$5:$C317,$C317,$D$5:$D317,$D317),"00"),"")))</f>
        <v/>
      </c>
      <c r="M317" s="21"/>
      <c r="N317" s="15"/>
      <c r="O317" s="21"/>
    </row>
    <row r="318" customFormat="false" ht="21.75" hidden="false" customHeight="true" outlineLevel="0" collapsed="false">
      <c r="A318" s="13" t="str">
        <f aca="false">IF($E318="","",COUNTA($E$5:$E318))</f>
        <v/>
      </c>
      <c r="B318" s="14"/>
      <c r="C318" s="15"/>
      <c r="D318" s="25"/>
      <c r="E318" s="21"/>
      <c r="F318" s="18"/>
      <c r="G318" s="15"/>
      <c r="H318" s="15"/>
      <c r="I318" s="15"/>
      <c r="J318" s="15"/>
      <c r="K318" s="18"/>
      <c r="L318" s="20" t="str">
        <f aca="false">IF($E318="","",IF(OR($B318="",$C318="",$D318=""),"待补楼栋/位置/日期",IF($C318="公共区域","公",SUBSTITUTE($C318,"栋",""))&amp;"-"&amp;$D318&amp;"-"&amp;TEXT(MONTH($B318),"00")&amp;TEXT(DAY($B318),"00")&amp;IF(COUNTIFS($C$5:$C318,$C318,$D$5:$D318,$D318)&gt;1,"-"&amp;TEXT(COUNTIFS($C$5:$C318,$C318,$D$5:$D318,$D318),"00"),"")))</f>
        <v/>
      </c>
      <c r="M318" s="21"/>
      <c r="N318" s="15"/>
      <c r="O318" s="21"/>
    </row>
    <row r="319" customFormat="false" ht="21.75" hidden="false" customHeight="true" outlineLevel="0" collapsed="false">
      <c r="A319" s="13" t="str">
        <f aca="false">IF($E319="","",COUNTA($E$5:$E319))</f>
        <v/>
      </c>
      <c r="B319" s="14"/>
      <c r="C319" s="15"/>
      <c r="D319" s="25"/>
      <c r="E319" s="21"/>
      <c r="F319" s="18"/>
      <c r="G319" s="15"/>
      <c r="H319" s="15"/>
      <c r="I319" s="15"/>
      <c r="J319" s="15"/>
      <c r="K319" s="18"/>
      <c r="L319" s="20" t="str">
        <f aca="false">IF($E319="","",IF(OR($B319="",$C319="",$D319=""),"待补楼栋/位置/日期",IF($C319="公共区域","公",SUBSTITUTE($C319,"栋",""))&amp;"-"&amp;$D319&amp;"-"&amp;TEXT(MONTH($B319),"00")&amp;TEXT(DAY($B319),"00")&amp;IF(COUNTIFS($C$5:$C319,$C319,$D$5:$D319,$D319)&gt;1,"-"&amp;TEXT(COUNTIFS($C$5:$C319,$C319,$D$5:$D319,$D319),"00"),"")))</f>
        <v/>
      </c>
      <c r="M319" s="21"/>
      <c r="N319" s="15"/>
      <c r="O319" s="21"/>
    </row>
    <row r="320" customFormat="false" ht="21.75" hidden="false" customHeight="true" outlineLevel="0" collapsed="false">
      <c r="A320" s="13" t="str">
        <f aca="false">IF($E320="","",COUNTA($E$5:$E320))</f>
        <v/>
      </c>
      <c r="B320" s="14"/>
      <c r="C320" s="15"/>
      <c r="D320" s="25"/>
      <c r="E320" s="21"/>
      <c r="F320" s="18"/>
      <c r="G320" s="15"/>
      <c r="H320" s="15"/>
      <c r="I320" s="15"/>
      <c r="J320" s="15"/>
      <c r="K320" s="18"/>
      <c r="L320" s="20" t="str">
        <f aca="false">IF($E320="","",IF(OR($B320="",$C320="",$D320=""),"待补楼栋/位置/日期",IF($C320="公共区域","公",SUBSTITUTE($C320,"栋",""))&amp;"-"&amp;$D320&amp;"-"&amp;TEXT(MONTH($B320),"00")&amp;TEXT(DAY($B320),"00")&amp;IF(COUNTIFS($C$5:$C320,$C320,$D$5:$D320,$D320)&gt;1,"-"&amp;TEXT(COUNTIFS($C$5:$C320,$C320,$D$5:$D320,$D320),"00"),"")))</f>
        <v/>
      </c>
      <c r="M320" s="21"/>
      <c r="N320" s="15"/>
      <c r="O320" s="21"/>
    </row>
    <row r="321" customFormat="false" ht="21.75" hidden="false" customHeight="true" outlineLevel="0" collapsed="false">
      <c r="A321" s="13" t="str">
        <f aca="false">IF($E321="","",COUNTA($E$5:$E321))</f>
        <v/>
      </c>
      <c r="B321" s="14"/>
      <c r="C321" s="15"/>
      <c r="D321" s="25"/>
      <c r="E321" s="21"/>
      <c r="F321" s="18"/>
      <c r="G321" s="15"/>
      <c r="H321" s="15"/>
      <c r="I321" s="15"/>
      <c r="J321" s="15"/>
      <c r="K321" s="18"/>
      <c r="L321" s="20" t="str">
        <f aca="false">IF($E321="","",IF(OR($B321="",$C321="",$D321=""),"待补楼栋/位置/日期",IF($C321="公共区域","公",SUBSTITUTE($C321,"栋",""))&amp;"-"&amp;$D321&amp;"-"&amp;TEXT(MONTH($B321),"00")&amp;TEXT(DAY($B321),"00")&amp;IF(COUNTIFS($C$5:$C321,$C321,$D$5:$D321,$D321)&gt;1,"-"&amp;TEXT(COUNTIFS($C$5:$C321,$C321,$D$5:$D321,$D321),"00"),"")))</f>
        <v/>
      </c>
      <c r="M321" s="21"/>
      <c r="N321" s="15"/>
      <c r="O321" s="21"/>
    </row>
    <row r="322" customFormat="false" ht="21.75" hidden="false" customHeight="true" outlineLevel="0" collapsed="false">
      <c r="A322" s="13" t="str">
        <f aca="false">IF($E322="","",COUNTA($E$5:$E322))</f>
        <v/>
      </c>
      <c r="B322" s="14"/>
      <c r="C322" s="15"/>
      <c r="D322" s="25"/>
      <c r="E322" s="21"/>
      <c r="F322" s="18"/>
      <c r="G322" s="15"/>
      <c r="H322" s="15"/>
      <c r="I322" s="15"/>
      <c r="J322" s="15"/>
      <c r="K322" s="18"/>
      <c r="L322" s="20" t="str">
        <f aca="false">IF($E322="","",IF(OR($B322="",$C322="",$D322=""),"待补楼栋/位置/日期",IF($C322="公共区域","公",SUBSTITUTE($C322,"栋",""))&amp;"-"&amp;$D322&amp;"-"&amp;TEXT(MONTH($B322),"00")&amp;TEXT(DAY($B322),"00")&amp;IF(COUNTIFS($C$5:$C322,$C322,$D$5:$D322,$D322)&gt;1,"-"&amp;TEXT(COUNTIFS($C$5:$C322,$C322,$D$5:$D322,$D322),"00"),"")))</f>
        <v/>
      </c>
      <c r="M322" s="21"/>
      <c r="N322" s="15"/>
      <c r="O322" s="21"/>
    </row>
    <row r="323" customFormat="false" ht="21.75" hidden="false" customHeight="true" outlineLevel="0" collapsed="false">
      <c r="A323" s="13" t="str">
        <f aca="false">IF($E323="","",COUNTA($E$5:$E323))</f>
        <v/>
      </c>
      <c r="B323" s="14"/>
      <c r="C323" s="15"/>
      <c r="D323" s="25"/>
      <c r="E323" s="21"/>
      <c r="F323" s="18"/>
      <c r="G323" s="15"/>
      <c r="H323" s="15"/>
      <c r="I323" s="15"/>
      <c r="J323" s="15"/>
      <c r="K323" s="18"/>
      <c r="L323" s="20" t="str">
        <f aca="false">IF($E323="","",IF(OR($B323="",$C323="",$D323=""),"待补楼栋/位置/日期",IF($C323="公共区域","公",SUBSTITUTE($C323,"栋",""))&amp;"-"&amp;$D323&amp;"-"&amp;TEXT(MONTH($B323),"00")&amp;TEXT(DAY($B323),"00")&amp;IF(COUNTIFS($C$5:$C323,$C323,$D$5:$D323,$D323)&gt;1,"-"&amp;TEXT(COUNTIFS($C$5:$C323,$C323,$D$5:$D323,$D323),"00"),"")))</f>
        <v/>
      </c>
      <c r="M323" s="21"/>
      <c r="N323" s="15"/>
      <c r="O323" s="21"/>
    </row>
    <row r="324" customFormat="false" ht="21.75" hidden="false" customHeight="true" outlineLevel="0" collapsed="false">
      <c r="A324" s="13" t="str">
        <f aca="false">IF($E324="","",COUNTA($E$5:$E324))</f>
        <v/>
      </c>
      <c r="B324" s="14"/>
      <c r="C324" s="15"/>
      <c r="D324" s="25"/>
      <c r="E324" s="21"/>
      <c r="F324" s="18"/>
      <c r="G324" s="15"/>
      <c r="H324" s="15"/>
      <c r="I324" s="15"/>
      <c r="J324" s="15"/>
      <c r="K324" s="18"/>
      <c r="L324" s="20" t="str">
        <f aca="false">IF($E324="","",IF(OR($B324="",$C324="",$D324=""),"待补楼栋/位置/日期",IF($C324="公共区域","公",SUBSTITUTE($C324,"栋",""))&amp;"-"&amp;$D324&amp;"-"&amp;TEXT(MONTH($B324),"00")&amp;TEXT(DAY($B324),"00")&amp;IF(COUNTIFS($C$5:$C324,$C324,$D$5:$D324,$D324)&gt;1,"-"&amp;TEXT(COUNTIFS($C$5:$C324,$C324,$D$5:$D324,$D324),"00"),"")))</f>
        <v/>
      </c>
      <c r="M324" s="21"/>
      <c r="N324" s="15"/>
      <c r="O324" s="21"/>
    </row>
    <row r="325" customFormat="false" ht="21.75" hidden="false" customHeight="true" outlineLevel="0" collapsed="false">
      <c r="A325" s="13" t="str">
        <f aca="false">IF($E325="","",COUNTA($E$5:$E325))</f>
        <v/>
      </c>
      <c r="B325" s="14"/>
      <c r="C325" s="15"/>
      <c r="D325" s="25"/>
      <c r="E325" s="21"/>
      <c r="F325" s="18"/>
      <c r="G325" s="15"/>
      <c r="H325" s="15"/>
      <c r="I325" s="15"/>
      <c r="J325" s="15"/>
      <c r="K325" s="18"/>
      <c r="L325" s="20" t="str">
        <f aca="false">IF($E325="","",IF(OR($B325="",$C325="",$D325=""),"待补楼栋/位置/日期",IF($C325="公共区域","公",SUBSTITUTE($C325,"栋",""))&amp;"-"&amp;$D325&amp;"-"&amp;TEXT(MONTH($B325),"00")&amp;TEXT(DAY($B325),"00")&amp;IF(COUNTIFS($C$5:$C325,$C325,$D$5:$D325,$D325)&gt;1,"-"&amp;TEXT(COUNTIFS($C$5:$C325,$C325,$D$5:$D325,$D325),"00"),"")))</f>
        <v/>
      </c>
      <c r="M325" s="21"/>
      <c r="N325" s="15"/>
      <c r="O325" s="21"/>
    </row>
    <row r="326" customFormat="false" ht="21.75" hidden="false" customHeight="true" outlineLevel="0" collapsed="false">
      <c r="A326" s="13" t="str">
        <f aca="false">IF($E326="","",COUNTA($E$5:$E326))</f>
        <v/>
      </c>
      <c r="B326" s="14"/>
      <c r="C326" s="15"/>
      <c r="D326" s="25"/>
      <c r="E326" s="21"/>
      <c r="F326" s="18"/>
      <c r="G326" s="15"/>
      <c r="H326" s="15"/>
      <c r="I326" s="15"/>
      <c r="J326" s="15"/>
      <c r="K326" s="18"/>
      <c r="L326" s="20" t="str">
        <f aca="false">IF($E326="","",IF(OR($B326="",$C326="",$D326=""),"待补楼栋/位置/日期",IF($C326="公共区域","公",SUBSTITUTE($C326,"栋",""))&amp;"-"&amp;$D326&amp;"-"&amp;TEXT(MONTH($B326),"00")&amp;TEXT(DAY($B326),"00")&amp;IF(COUNTIFS($C$5:$C326,$C326,$D$5:$D326,$D326)&gt;1,"-"&amp;TEXT(COUNTIFS($C$5:$C326,$C326,$D$5:$D326,$D326),"00"),"")))</f>
        <v/>
      </c>
      <c r="M326" s="21"/>
      <c r="N326" s="15"/>
      <c r="O326" s="21"/>
    </row>
    <row r="327" customFormat="false" ht="21.75" hidden="false" customHeight="true" outlineLevel="0" collapsed="false">
      <c r="A327" s="13" t="str">
        <f aca="false">IF($E327="","",COUNTA($E$5:$E327))</f>
        <v/>
      </c>
      <c r="B327" s="14"/>
      <c r="C327" s="15"/>
      <c r="D327" s="25"/>
      <c r="E327" s="21"/>
      <c r="F327" s="18"/>
      <c r="G327" s="15"/>
      <c r="H327" s="15"/>
      <c r="I327" s="15"/>
      <c r="J327" s="15"/>
      <c r="K327" s="18"/>
      <c r="L327" s="20" t="str">
        <f aca="false">IF($E327="","",IF(OR($B327="",$C327="",$D327=""),"待补楼栋/位置/日期",IF($C327="公共区域","公",SUBSTITUTE($C327,"栋",""))&amp;"-"&amp;$D327&amp;"-"&amp;TEXT(MONTH($B327),"00")&amp;TEXT(DAY($B327),"00")&amp;IF(COUNTIFS($C$5:$C327,$C327,$D$5:$D327,$D327)&gt;1,"-"&amp;TEXT(COUNTIFS($C$5:$C327,$C327,$D$5:$D327,$D327),"00"),"")))</f>
        <v/>
      </c>
      <c r="M327" s="21"/>
      <c r="N327" s="15"/>
      <c r="O327" s="21"/>
    </row>
    <row r="328" customFormat="false" ht="21.75" hidden="false" customHeight="true" outlineLevel="0" collapsed="false">
      <c r="A328" s="13" t="str">
        <f aca="false">IF($E328="","",COUNTA($E$5:$E328))</f>
        <v/>
      </c>
      <c r="B328" s="14"/>
      <c r="C328" s="15"/>
      <c r="D328" s="25"/>
      <c r="E328" s="21"/>
      <c r="F328" s="18"/>
      <c r="G328" s="15"/>
      <c r="H328" s="15"/>
      <c r="I328" s="15"/>
      <c r="J328" s="15"/>
      <c r="K328" s="18"/>
      <c r="L328" s="20" t="str">
        <f aca="false">IF($E328="","",IF(OR($B328="",$C328="",$D328=""),"待补楼栋/位置/日期",IF($C328="公共区域","公",SUBSTITUTE($C328,"栋",""))&amp;"-"&amp;$D328&amp;"-"&amp;TEXT(MONTH($B328),"00")&amp;TEXT(DAY($B328),"00")&amp;IF(COUNTIFS($C$5:$C328,$C328,$D$5:$D328,$D328)&gt;1,"-"&amp;TEXT(COUNTIFS($C$5:$C328,$C328,$D$5:$D328,$D328),"00"),"")))</f>
        <v/>
      </c>
      <c r="M328" s="21"/>
      <c r="N328" s="15"/>
      <c r="O328" s="21"/>
    </row>
    <row r="329" customFormat="false" ht="21.75" hidden="false" customHeight="true" outlineLevel="0" collapsed="false">
      <c r="A329" s="13" t="str">
        <f aca="false">IF($E329="","",COUNTA($E$5:$E329))</f>
        <v/>
      </c>
      <c r="B329" s="14"/>
      <c r="C329" s="15"/>
      <c r="D329" s="25"/>
      <c r="E329" s="21"/>
      <c r="F329" s="18"/>
      <c r="G329" s="15"/>
      <c r="H329" s="15"/>
      <c r="I329" s="15"/>
      <c r="J329" s="15"/>
      <c r="K329" s="18"/>
      <c r="L329" s="20" t="str">
        <f aca="false">IF($E329="","",IF(OR($B329="",$C329="",$D329=""),"待补楼栋/位置/日期",IF($C329="公共区域","公",SUBSTITUTE($C329,"栋",""))&amp;"-"&amp;$D329&amp;"-"&amp;TEXT(MONTH($B329),"00")&amp;TEXT(DAY($B329),"00")&amp;IF(COUNTIFS($C$5:$C329,$C329,$D$5:$D329,$D329)&gt;1,"-"&amp;TEXT(COUNTIFS($C$5:$C329,$C329,$D$5:$D329,$D329),"00"),"")))</f>
        <v/>
      </c>
      <c r="M329" s="21"/>
      <c r="N329" s="15"/>
      <c r="O329" s="21"/>
    </row>
    <row r="330" customFormat="false" ht="21.75" hidden="false" customHeight="true" outlineLevel="0" collapsed="false">
      <c r="A330" s="13" t="str">
        <f aca="false">IF($E330="","",COUNTA($E$5:$E330))</f>
        <v/>
      </c>
      <c r="B330" s="14"/>
      <c r="C330" s="15"/>
      <c r="D330" s="25"/>
      <c r="E330" s="21"/>
      <c r="F330" s="18"/>
      <c r="G330" s="15"/>
      <c r="H330" s="15"/>
      <c r="I330" s="15"/>
      <c r="J330" s="15"/>
      <c r="K330" s="18"/>
      <c r="L330" s="20" t="str">
        <f aca="false">IF($E330="","",IF(OR($B330="",$C330="",$D330=""),"待补楼栋/位置/日期",IF($C330="公共区域","公",SUBSTITUTE($C330,"栋",""))&amp;"-"&amp;$D330&amp;"-"&amp;TEXT(MONTH($B330),"00")&amp;TEXT(DAY($B330),"00")&amp;IF(COUNTIFS($C$5:$C330,$C330,$D$5:$D330,$D330)&gt;1,"-"&amp;TEXT(COUNTIFS($C$5:$C330,$C330,$D$5:$D330,$D330),"00"),"")))</f>
        <v/>
      </c>
      <c r="M330" s="21"/>
      <c r="N330" s="15"/>
      <c r="O330" s="21"/>
    </row>
    <row r="331" customFormat="false" ht="21.75" hidden="false" customHeight="true" outlineLevel="0" collapsed="false">
      <c r="A331" s="13" t="str">
        <f aca="false">IF($E331="","",COUNTA($E$5:$E331))</f>
        <v/>
      </c>
      <c r="B331" s="14"/>
      <c r="C331" s="15"/>
      <c r="D331" s="25"/>
      <c r="E331" s="21"/>
      <c r="F331" s="18"/>
      <c r="G331" s="15"/>
      <c r="H331" s="15"/>
      <c r="I331" s="15"/>
      <c r="J331" s="15"/>
      <c r="K331" s="18"/>
      <c r="L331" s="20" t="str">
        <f aca="false">IF($E331="","",IF(OR($B331="",$C331="",$D331=""),"待补楼栋/位置/日期",IF($C331="公共区域","公",SUBSTITUTE($C331,"栋",""))&amp;"-"&amp;$D331&amp;"-"&amp;TEXT(MONTH($B331),"00")&amp;TEXT(DAY($B331),"00")&amp;IF(COUNTIFS($C$5:$C331,$C331,$D$5:$D331,$D331)&gt;1,"-"&amp;TEXT(COUNTIFS($C$5:$C331,$C331,$D$5:$D331,$D331),"00"),"")))</f>
        <v/>
      </c>
      <c r="M331" s="21"/>
      <c r="N331" s="15"/>
      <c r="O331" s="21"/>
    </row>
    <row r="332" customFormat="false" ht="21.75" hidden="false" customHeight="true" outlineLevel="0" collapsed="false">
      <c r="A332" s="13" t="str">
        <f aca="false">IF($E332="","",COUNTA($E$5:$E332))</f>
        <v/>
      </c>
      <c r="B332" s="14"/>
      <c r="C332" s="15"/>
      <c r="D332" s="25"/>
      <c r="E332" s="21"/>
      <c r="F332" s="18"/>
      <c r="G332" s="15"/>
      <c r="H332" s="15"/>
      <c r="I332" s="15"/>
      <c r="J332" s="15"/>
      <c r="K332" s="18"/>
      <c r="L332" s="20" t="str">
        <f aca="false">IF($E332="","",IF(OR($B332="",$C332="",$D332=""),"待补楼栋/位置/日期",IF($C332="公共区域","公",SUBSTITUTE($C332,"栋",""))&amp;"-"&amp;$D332&amp;"-"&amp;TEXT(MONTH($B332),"00")&amp;TEXT(DAY($B332),"00")&amp;IF(COUNTIFS($C$5:$C332,$C332,$D$5:$D332,$D332)&gt;1,"-"&amp;TEXT(COUNTIFS($C$5:$C332,$C332,$D$5:$D332,$D332),"00"),"")))</f>
        <v/>
      </c>
      <c r="M332" s="21"/>
      <c r="N332" s="15"/>
      <c r="O332" s="21"/>
    </row>
    <row r="333" customFormat="false" ht="21.75" hidden="false" customHeight="true" outlineLevel="0" collapsed="false">
      <c r="A333" s="13" t="str">
        <f aca="false">IF($E333="","",COUNTA($E$5:$E333))</f>
        <v/>
      </c>
      <c r="B333" s="14"/>
      <c r="C333" s="15"/>
      <c r="D333" s="25"/>
      <c r="E333" s="21"/>
      <c r="F333" s="18"/>
      <c r="G333" s="15"/>
      <c r="H333" s="15"/>
      <c r="I333" s="15"/>
      <c r="J333" s="15"/>
      <c r="K333" s="18"/>
      <c r="L333" s="20" t="str">
        <f aca="false">IF($E333="","",IF(OR($B333="",$C333="",$D333=""),"待补楼栋/位置/日期",IF($C333="公共区域","公",SUBSTITUTE($C333,"栋",""))&amp;"-"&amp;$D333&amp;"-"&amp;TEXT(MONTH($B333),"00")&amp;TEXT(DAY($B333),"00")&amp;IF(COUNTIFS($C$5:$C333,$C333,$D$5:$D333,$D333)&gt;1,"-"&amp;TEXT(COUNTIFS($C$5:$C333,$C333,$D$5:$D333,$D333),"00"),"")))</f>
        <v/>
      </c>
      <c r="M333" s="21"/>
      <c r="N333" s="15"/>
      <c r="O333" s="21"/>
    </row>
    <row r="334" customFormat="false" ht="21.75" hidden="false" customHeight="true" outlineLevel="0" collapsed="false">
      <c r="A334" s="13" t="str">
        <f aca="false">IF($E334="","",COUNTA($E$5:$E334))</f>
        <v/>
      </c>
      <c r="B334" s="14"/>
      <c r="C334" s="15"/>
      <c r="D334" s="25"/>
      <c r="E334" s="21"/>
      <c r="F334" s="18"/>
      <c r="G334" s="15"/>
      <c r="H334" s="15"/>
      <c r="I334" s="15"/>
      <c r="J334" s="15"/>
      <c r="K334" s="18"/>
      <c r="L334" s="20" t="str">
        <f aca="false">IF($E334="","",IF(OR($B334="",$C334="",$D334=""),"待补楼栋/位置/日期",IF($C334="公共区域","公",SUBSTITUTE($C334,"栋",""))&amp;"-"&amp;$D334&amp;"-"&amp;TEXT(MONTH($B334),"00")&amp;TEXT(DAY($B334),"00")&amp;IF(COUNTIFS($C$5:$C334,$C334,$D$5:$D334,$D334)&gt;1,"-"&amp;TEXT(COUNTIFS($C$5:$C334,$C334,$D$5:$D334,$D334),"00"),"")))</f>
        <v/>
      </c>
      <c r="M334" s="21"/>
      <c r="N334" s="15"/>
      <c r="O334" s="21"/>
    </row>
    <row r="335" customFormat="false" ht="21.75" hidden="false" customHeight="true" outlineLevel="0" collapsed="false">
      <c r="A335" s="13" t="str">
        <f aca="false">IF($E335="","",COUNTA($E$5:$E335))</f>
        <v/>
      </c>
      <c r="B335" s="14"/>
      <c r="C335" s="15"/>
      <c r="D335" s="25"/>
      <c r="E335" s="21"/>
      <c r="F335" s="18"/>
      <c r="G335" s="15"/>
      <c r="H335" s="15"/>
      <c r="I335" s="15"/>
      <c r="J335" s="15"/>
      <c r="K335" s="18"/>
      <c r="L335" s="20" t="str">
        <f aca="false">IF($E335="","",IF(OR($B335="",$C335="",$D335=""),"待补楼栋/位置/日期",IF($C335="公共区域","公",SUBSTITUTE($C335,"栋",""))&amp;"-"&amp;$D335&amp;"-"&amp;TEXT(MONTH($B335),"00")&amp;TEXT(DAY($B335),"00")&amp;IF(COUNTIFS($C$5:$C335,$C335,$D$5:$D335,$D335)&gt;1,"-"&amp;TEXT(COUNTIFS($C$5:$C335,$C335,$D$5:$D335,$D335),"00"),"")))</f>
        <v/>
      </c>
      <c r="M335" s="21"/>
      <c r="N335" s="15"/>
      <c r="O335" s="21"/>
    </row>
    <row r="336" customFormat="false" ht="21.75" hidden="false" customHeight="true" outlineLevel="0" collapsed="false">
      <c r="A336" s="13" t="str">
        <f aca="false">IF($E336="","",COUNTA($E$5:$E336))</f>
        <v/>
      </c>
      <c r="B336" s="14"/>
      <c r="C336" s="15"/>
      <c r="D336" s="25"/>
      <c r="E336" s="21"/>
      <c r="F336" s="18"/>
      <c r="G336" s="15"/>
      <c r="H336" s="15"/>
      <c r="I336" s="15"/>
      <c r="J336" s="15"/>
      <c r="K336" s="18"/>
      <c r="L336" s="20" t="str">
        <f aca="false">IF($E336="","",IF(OR($B336="",$C336="",$D336=""),"待补楼栋/位置/日期",IF($C336="公共区域","公",SUBSTITUTE($C336,"栋",""))&amp;"-"&amp;$D336&amp;"-"&amp;TEXT(MONTH($B336),"00")&amp;TEXT(DAY($B336),"00")&amp;IF(COUNTIFS($C$5:$C336,$C336,$D$5:$D336,$D336)&gt;1,"-"&amp;TEXT(COUNTIFS($C$5:$C336,$C336,$D$5:$D336,$D336),"00"),"")))</f>
        <v/>
      </c>
      <c r="M336" s="21"/>
      <c r="N336" s="15"/>
      <c r="O336" s="21"/>
    </row>
    <row r="337" customFormat="false" ht="21.75" hidden="false" customHeight="true" outlineLevel="0" collapsed="false">
      <c r="A337" s="13" t="str">
        <f aca="false">IF($E337="","",COUNTA($E$5:$E337))</f>
        <v/>
      </c>
      <c r="B337" s="14"/>
      <c r="C337" s="15"/>
      <c r="D337" s="25"/>
      <c r="E337" s="21"/>
      <c r="F337" s="18"/>
      <c r="G337" s="15"/>
      <c r="H337" s="15"/>
      <c r="I337" s="15"/>
      <c r="J337" s="15"/>
      <c r="K337" s="18"/>
      <c r="L337" s="20" t="str">
        <f aca="false">IF($E337="","",IF(OR($B337="",$C337="",$D337=""),"待补楼栋/位置/日期",IF($C337="公共区域","公",SUBSTITUTE($C337,"栋",""))&amp;"-"&amp;$D337&amp;"-"&amp;TEXT(MONTH($B337),"00")&amp;TEXT(DAY($B337),"00")&amp;IF(COUNTIFS($C$5:$C337,$C337,$D$5:$D337,$D337)&gt;1,"-"&amp;TEXT(COUNTIFS($C$5:$C337,$C337,$D$5:$D337,$D337),"00"),"")))</f>
        <v/>
      </c>
      <c r="M337" s="21"/>
      <c r="N337" s="15"/>
      <c r="O337" s="21"/>
    </row>
    <row r="338" customFormat="false" ht="21.75" hidden="false" customHeight="true" outlineLevel="0" collapsed="false">
      <c r="A338" s="13" t="str">
        <f aca="false">IF($E338="","",COUNTA($E$5:$E338))</f>
        <v/>
      </c>
      <c r="B338" s="14"/>
      <c r="C338" s="15"/>
      <c r="D338" s="25"/>
      <c r="E338" s="21"/>
      <c r="F338" s="18"/>
      <c r="G338" s="15"/>
      <c r="H338" s="15"/>
      <c r="I338" s="15"/>
      <c r="J338" s="15"/>
      <c r="K338" s="18"/>
      <c r="L338" s="20" t="str">
        <f aca="false">IF($E338="","",IF(OR($B338="",$C338="",$D338=""),"待补楼栋/位置/日期",IF($C338="公共区域","公",SUBSTITUTE($C338,"栋",""))&amp;"-"&amp;$D338&amp;"-"&amp;TEXT(MONTH($B338),"00")&amp;TEXT(DAY($B338),"00")&amp;IF(COUNTIFS($C$5:$C338,$C338,$D$5:$D338,$D338)&gt;1,"-"&amp;TEXT(COUNTIFS($C$5:$C338,$C338,$D$5:$D338,$D338),"00"),"")))</f>
        <v/>
      </c>
      <c r="M338" s="21"/>
      <c r="N338" s="15"/>
      <c r="O338" s="21"/>
    </row>
    <row r="339" customFormat="false" ht="21.75" hidden="false" customHeight="true" outlineLevel="0" collapsed="false">
      <c r="A339" s="13" t="str">
        <f aca="false">IF($E339="","",COUNTA($E$5:$E339))</f>
        <v/>
      </c>
      <c r="B339" s="14"/>
      <c r="C339" s="15"/>
      <c r="D339" s="25"/>
      <c r="E339" s="21"/>
      <c r="F339" s="18"/>
      <c r="G339" s="15"/>
      <c r="H339" s="15"/>
      <c r="I339" s="15"/>
      <c r="J339" s="15"/>
      <c r="K339" s="18"/>
      <c r="L339" s="20" t="str">
        <f aca="false">IF($E339="","",IF(OR($B339="",$C339="",$D339=""),"待补楼栋/位置/日期",IF($C339="公共区域","公",SUBSTITUTE($C339,"栋",""))&amp;"-"&amp;$D339&amp;"-"&amp;TEXT(MONTH($B339),"00")&amp;TEXT(DAY($B339),"00")&amp;IF(COUNTIFS($C$5:$C339,$C339,$D$5:$D339,$D339)&gt;1,"-"&amp;TEXT(COUNTIFS($C$5:$C339,$C339,$D$5:$D339,$D339),"00"),"")))</f>
        <v/>
      </c>
      <c r="M339" s="21"/>
      <c r="N339" s="15"/>
      <c r="O339" s="21"/>
    </row>
    <row r="340" customFormat="false" ht="21.75" hidden="false" customHeight="true" outlineLevel="0" collapsed="false">
      <c r="A340" s="13" t="str">
        <f aca="false">IF($E340="","",COUNTA($E$5:$E340))</f>
        <v/>
      </c>
      <c r="B340" s="14"/>
      <c r="C340" s="15"/>
      <c r="D340" s="25"/>
      <c r="E340" s="21"/>
      <c r="F340" s="18"/>
      <c r="G340" s="15"/>
      <c r="H340" s="15"/>
      <c r="I340" s="15"/>
      <c r="J340" s="15"/>
      <c r="K340" s="18"/>
      <c r="L340" s="20" t="str">
        <f aca="false">IF($E340="","",IF(OR($B340="",$C340="",$D340=""),"待补楼栋/位置/日期",IF($C340="公共区域","公",SUBSTITUTE($C340,"栋",""))&amp;"-"&amp;$D340&amp;"-"&amp;TEXT(MONTH($B340),"00")&amp;TEXT(DAY($B340),"00")&amp;IF(COUNTIFS($C$5:$C340,$C340,$D$5:$D340,$D340)&gt;1,"-"&amp;TEXT(COUNTIFS($C$5:$C340,$C340,$D$5:$D340,$D340),"00"),"")))</f>
        <v/>
      </c>
      <c r="M340" s="21"/>
      <c r="N340" s="15"/>
      <c r="O340" s="21"/>
    </row>
    <row r="341" customFormat="false" ht="21.75" hidden="false" customHeight="true" outlineLevel="0" collapsed="false">
      <c r="A341" s="13" t="str">
        <f aca="false">IF($E341="","",COUNTA($E$5:$E341))</f>
        <v/>
      </c>
      <c r="B341" s="14"/>
      <c r="C341" s="15"/>
      <c r="D341" s="25"/>
      <c r="E341" s="21"/>
      <c r="F341" s="18"/>
      <c r="G341" s="15"/>
      <c r="H341" s="15"/>
      <c r="I341" s="15"/>
      <c r="J341" s="15"/>
      <c r="K341" s="18"/>
      <c r="L341" s="20" t="str">
        <f aca="false">IF($E341="","",IF(OR($B341="",$C341="",$D341=""),"待补楼栋/位置/日期",IF($C341="公共区域","公",SUBSTITUTE($C341,"栋",""))&amp;"-"&amp;$D341&amp;"-"&amp;TEXT(MONTH($B341),"00")&amp;TEXT(DAY($B341),"00")&amp;IF(COUNTIFS($C$5:$C341,$C341,$D$5:$D341,$D341)&gt;1,"-"&amp;TEXT(COUNTIFS($C$5:$C341,$C341,$D$5:$D341,$D341),"00"),"")))</f>
        <v/>
      </c>
      <c r="M341" s="21"/>
      <c r="N341" s="15"/>
      <c r="O341" s="21"/>
    </row>
    <row r="342" customFormat="false" ht="21.75" hidden="false" customHeight="true" outlineLevel="0" collapsed="false">
      <c r="A342" s="13" t="str">
        <f aca="false">IF($E342="","",COUNTA($E$5:$E342))</f>
        <v/>
      </c>
      <c r="B342" s="14"/>
      <c r="C342" s="15"/>
      <c r="D342" s="25"/>
      <c r="E342" s="21"/>
      <c r="F342" s="18"/>
      <c r="G342" s="15"/>
      <c r="H342" s="15"/>
      <c r="I342" s="15"/>
      <c r="J342" s="15"/>
      <c r="K342" s="18"/>
      <c r="L342" s="20" t="str">
        <f aca="false">IF($E342="","",IF(OR($B342="",$C342="",$D342=""),"待补楼栋/位置/日期",IF($C342="公共区域","公",SUBSTITUTE($C342,"栋",""))&amp;"-"&amp;$D342&amp;"-"&amp;TEXT(MONTH($B342),"00")&amp;TEXT(DAY($B342),"00")&amp;IF(COUNTIFS($C$5:$C342,$C342,$D$5:$D342,$D342)&gt;1,"-"&amp;TEXT(COUNTIFS($C$5:$C342,$C342,$D$5:$D342,$D342),"00"),"")))</f>
        <v/>
      </c>
      <c r="M342" s="21"/>
      <c r="N342" s="15"/>
      <c r="O342" s="21"/>
    </row>
    <row r="343" customFormat="false" ht="21.75" hidden="false" customHeight="true" outlineLevel="0" collapsed="false">
      <c r="A343" s="13" t="str">
        <f aca="false">IF($E343="","",COUNTA($E$5:$E343))</f>
        <v/>
      </c>
      <c r="B343" s="14"/>
      <c r="C343" s="15"/>
      <c r="D343" s="25"/>
      <c r="E343" s="21"/>
      <c r="F343" s="18"/>
      <c r="G343" s="15"/>
      <c r="H343" s="15"/>
      <c r="I343" s="15"/>
      <c r="J343" s="15"/>
      <c r="K343" s="18"/>
      <c r="L343" s="20" t="str">
        <f aca="false">IF($E343="","",IF(OR($B343="",$C343="",$D343=""),"待补楼栋/位置/日期",IF($C343="公共区域","公",SUBSTITUTE($C343,"栋",""))&amp;"-"&amp;$D343&amp;"-"&amp;TEXT(MONTH($B343),"00")&amp;TEXT(DAY($B343),"00")&amp;IF(COUNTIFS($C$5:$C343,$C343,$D$5:$D343,$D343)&gt;1,"-"&amp;TEXT(COUNTIFS($C$5:$C343,$C343,$D$5:$D343,$D343),"00"),"")))</f>
        <v/>
      </c>
      <c r="M343" s="21"/>
      <c r="N343" s="15"/>
      <c r="O343" s="21"/>
    </row>
    <row r="344" customFormat="false" ht="21.75" hidden="false" customHeight="true" outlineLevel="0" collapsed="false">
      <c r="A344" s="13" t="str">
        <f aca="false">IF($E344="","",COUNTA($E$5:$E344))</f>
        <v/>
      </c>
      <c r="B344" s="14"/>
      <c r="C344" s="15"/>
      <c r="D344" s="25"/>
      <c r="E344" s="21"/>
      <c r="F344" s="18"/>
      <c r="G344" s="15"/>
      <c r="H344" s="15"/>
      <c r="I344" s="15"/>
      <c r="J344" s="15"/>
      <c r="K344" s="18"/>
      <c r="L344" s="20" t="str">
        <f aca="false">IF($E344="","",IF(OR($B344="",$C344="",$D344=""),"待补楼栋/位置/日期",IF($C344="公共区域","公",SUBSTITUTE($C344,"栋",""))&amp;"-"&amp;$D344&amp;"-"&amp;TEXT(MONTH($B344),"00")&amp;TEXT(DAY($B344),"00")&amp;IF(COUNTIFS($C$5:$C344,$C344,$D$5:$D344,$D344)&gt;1,"-"&amp;TEXT(COUNTIFS($C$5:$C344,$C344,$D$5:$D344,$D344),"00"),"")))</f>
        <v/>
      </c>
      <c r="M344" s="21"/>
      <c r="N344" s="15"/>
      <c r="O344" s="21"/>
    </row>
    <row r="345" customFormat="false" ht="21.75" hidden="false" customHeight="true" outlineLevel="0" collapsed="false">
      <c r="A345" s="13" t="str">
        <f aca="false">IF($E345="","",COUNTA($E$5:$E345))</f>
        <v/>
      </c>
      <c r="B345" s="14"/>
      <c r="C345" s="15"/>
      <c r="D345" s="25"/>
      <c r="E345" s="21"/>
      <c r="F345" s="18"/>
      <c r="G345" s="15"/>
      <c r="H345" s="15"/>
      <c r="I345" s="15"/>
      <c r="J345" s="15"/>
      <c r="K345" s="18"/>
      <c r="L345" s="20" t="str">
        <f aca="false">IF($E345="","",IF(OR($B345="",$C345="",$D345=""),"待补楼栋/位置/日期",IF($C345="公共区域","公",SUBSTITUTE($C345,"栋",""))&amp;"-"&amp;$D345&amp;"-"&amp;TEXT(MONTH($B345),"00")&amp;TEXT(DAY($B345),"00")&amp;IF(COUNTIFS($C$5:$C345,$C345,$D$5:$D345,$D345)&gt;1,"-"&amp;TEXT(COUNTIFS($C$5:$C345,$C345,$D$5:$D345,$D345),"00"),"")))</f>
        <v/>
      </c>
      <c r="M345" s="21"/>
      <c r="N345" s="15"/>
      <c r="O345" s="21"/>
    </row>
    <row r="346" customFormat="false" ht="21.75" hidden="false" customHeight="true" outlineLevel="0" collapsed="false">
      <c r="A346" s="13" t="str">
        <f aca="false">IF($E346="","",COUNTA($E$5:$E346))</f>
        <v/>
      </c>
      <c r="B346" s="14"/>
      <c r="C346" s="15"/>
      <c r="D346" s="25"/>
      <c r="E346" s="21"/>
      <c r="F346" s="18"/>
      <c r="G346" s="15"/>
      <c r="H346" s="15"/>
      <c r="I346" s="15"/>
      <c r="J346" s="15"/>
      <c r="K346" s="18"/>
      <c r="L346" s="20" t="str">
        <f aca="false">IF($E346="","",IF(OR($B346="",$C346="",$D346=""),"待补楼栋/位置/日期",IF($C346="公共区域","公",SUBSTITUTE($C346,"栋",""))&amp;"-"&amp;$D346&amp;"-"&amp;TEXT(MONTH($B346),"00")&amp;TEXT(DAY($B346),"00")&amp;IF(COUNTIFS($C$5:$C346,$C346,$D$5:$D346,$D346)&gt;1,"-"&amp;TEXT(COUNTIFS($C$5:$C346,$C346,$D$5:$D346,$D346),"00"),"")))</f>
        <v/>
      </c>
      <c r="M346" s="21"/>
      <c r="N346" s="15"/>
      <c r="O346" s="21"/>
    </row>
    <row r="347" customFormat="false" ht="21.75" hidden="false" customHeight="true" outlineLevel="0" collapsed="false">
      <c r="A347" s="13" t="str">
        <f aca="false">IF($E347="","",COUNTA($E$5:$E347))</f>
        <v/>
      </c>
      <c r="B347" s="14"/>
      <c r="C347" s="15"/>
      <c r="D347" s="25"/>
      <c r="E347" s="21"/>
      <c r="F347" s="18"/>
      <c r="G347" s="15"/>
      <c r="H347" s="15"/>
      <c r="I347" s="15"/>
      <c r="J347" s="15"/>
      <c r="K347" s="18"/>
      <c r="L347" s="20" t="str">
        <f aca="false">IF($E347="","",IF(OR($B347="",$C347="",$D347=""),"待补楼栋/位置/日期",IF($C347="公共区域","公",SUBSTITUTE($C347,"栋",""))&amp;"-"&amp;$D347&amp;"-"&amp;TEXT(MONTH($B347),"00")&amp;TEXT(DAY($B347),"00")&amp;IF(COUNTIFS($C$5:$C347,$C347,$D$5:$D347,$D347)&gt;1,"-"&amp;TEXT(COUNTIFS($C$5:$C347,$C347,$D$5:$D347,$D347),"00"),"")))</f>
        <v/>
      </c>
      <c r="M347" s="21"/>
      <c r="N347" s="15"/>
      <c r="O347" s="21"/>
    </row>
    <row r="348" customFormat="false" ht="21.75" hidden="false" customHeight="true" outlineLevel="0" collapsed="false">
      <c r="A348" s="13" t="str">
        <f aca="false">IF($E348="","",COUNTA($E$5:$E348))</f>
        <v/>
      </c>
      <c r="B348" s="14"/>
      <c r="C348" s="15"/>
      <c r="D348" s="25"/>
      <c r="E348" s="21"/>
      <c r="F348" s="18"/>
      <c r="G348" s="15"/>
      <c r="H348" s="15"/>
      <c r="I348" s="15"/>
      <c r="J348" s="15"/>
      <c r="K348" s="18"/>
      <c r="L348" s="20" t="str">
        <f aca="false">IF($E348="","",IF(OR($B348="",$C348="",$D348=""),"待补楼栋/位置/日期",IF($C348="公共区域","公",SUBSTITUTE($C348,"栋",""))&amp;"-"&amp;$D348&amp;"-"&amp;TEXT(MONTH($B348),"00")&amp;TEXT(DAY($B348),"00")&amp;IF(COUNTIFS($C$5:$C348,$C348,$D$5:$D348,$D348)&gt;1,"-"&amp;TEXT(COUNTIFS($C$5:$C348,$C348,$D$5:$D348,$D348),"00"),"")))</f>
        <v/>
      </c>
      <c r="M348" s="21"/>
      <c r="N348" s="15"/>
      <c r="O348" s="21"/>
    </row>
    <row r="349" customFormat="false" ht="21.75" hidden="false" customHeight="true" outlineLevel="0" collapsed="false">
      <c r="A349" s="13" t="str">
        <f aca="false">IF($E349="","",COUNTA($E$5:$E349))</f>
        <v/>
      </c>
      <c r="B349" s="14"/>
      <c r="C349" s="15"/>
      <c r="D349" s="25"/>
      <c r="E349" s="21"/>
      <c r="F349" s="18"/>
      <c r="G349" s="15"/>
      <c r="H349" s="15"/>
      <c r="I349" s="15"/>
      <c r="J349" s="15"/>
      <c r="K349" s="18"/>
      <c r="L349" s="20" t="str">
        <f aca="false">IF($E349="","",IF(OR($B349="",$C349="",$D349=""),"待补楼栋/位置/日期",IF($C349="公共区域","公",SUBSTITUTE($C349,"栋",""))&amp;"-"&amp;$D349&amp;"-"&amp;TEXT(MONTH($B349),"00")&amp;TEXT(DAY($B349),"00")&amp;IF(COUNTIFS($C$5:$C349,$C349,$D$5:$D349,$D349)&gt;1,"-"&amp;TEXT(COUNTIFS($C$5:$C349,$C349,$D$5:$D349,$D349),"00"),"")))</f>
        <v/>
      </c>
      <c r="M349" s="21"/>
      <c r="N349" s="15"/>
      <c r="O349" s="21"/>
    </row>
    <row r="350" customFormat="false" ht="21.75" hidden="false" customHeight="true" outlineLevel="0" collapsed="false">
      <c r="A350" s="13" t="str">
        <f aca="false">IF($E350="","",COUNTA($E$5:$E350))</f>
        <v/>
      </c>
      <c r="B350" s="14"/>
      <c r="C350" s="15"/>
      <c r="D350" s="25"/>
      <c r="E350" s="21"/>
      <c r="F350" s="18"/>
      <c r="G350" s="15"/>
      <c r="H350" s="15"/>
      <c r="I350" s="15"/>
      <c r="J350" s="15"/>
      <c r="K350" s="18"/>
      <c r="L350" s="20" t="str">
        <f aca="false">IF($E350="","",IF(OR($B350="",$C350="",$D350=""),"待补楼栋/位置/日期",IF($C350="公共区域","公",SUBSTITUTE($C350,"栋",""))&amp;"-"&amp;$D350&amp;"-"&amp;TEXT(MONTH($B350),"00")&amp;TEXT(DAY($B350),"00")&amp;IF(COUNTIFS($C$5:$C350,$C350,$D$5:$D350,$D350)&gt;1,"-"&amp;TEXT(COUNTIFS($C$5:$C350,$C350,$D$5:$D350,$D350),"00"),"")))</f>
        <v/>
      </c>
      <c r="M350" s="21"/>
      <c r="N350" s="15"/>
      <c r="O350" s="21"/>
    </row>
    <row r="351" customFormat="false" ht="21.75" hidden="false" customHeight="true" outlineLevel="0" collapsed="false">
      <c r="A351" s="13" t="str">
        <f aca="false">IF($E351="","",COUNTA($E$5:$E351))</f>
        <v/>
      </c>
      <c r="B351" s="14"/>
      <c r="C351" s="15"/>
      <c r="D351" s="25"/>
      <c r="E351" s="21"/>
      <c r="F351" s="18"/>
      <c r="G351" s="15"/>
      <c r="H351" s="15"/>
      <c r="I351" s="15"/>
      <c r="J351" s="15"/>
      <c r="K351" s="18"/>
      <c r="L351" s="20" t="str">
        <f aca="false">IF($E351="","",IF(OR($B351="",$C351="",$D351=""),"待补楼栋/位置/日期",IF($C351="公共区域","公",SUBSTITUTE($C351,"栋",""))&amp;"-"&amp;$D351&amp;"-"&amp;TEXT(MONTH($B351),"00")&amp;TEXT(DAY($B351),"00")&amp;IF(COUNTIFS($C$5:$C351,$C351,$D$5:$D351,$D351)&gt;1,"-"&amp;TEXT(COUNTIFS($C$5:$C351,$C351,$D$5:$D351,$D351),"00"),"")))</f>
        <v/>
      </c>
      <c r="M351" s="21"/>
      <c r="N351" s="15"/>
      <c r="O351" s="21"/>
    </row>
    <row r="352" customFormat="false" ht="21.75" hidden="false" customHeight="true" outlineLevel="0" collapsed="false">
      <c r="A352" s="13" t="str">
        <f aca="false">IF($E352="","",COUNTA($E$5:$E352))</f>
        <v/>
      </c>
      <c r="B352" s="14"/>
      <c r="C352" s="15"/>
      <c r="D352" s="25"/>
      <c r="E352" s="21"/>
      <c r="F352" s="18"/>
      <c r="G352" s="15"/>
      <c r="H352" s="15"/>
      <c r="I352" s="15"/>
      <c r="J352" s="15"/>
      <c r="K352" s="18"/>
      <c r="L352" s="20" t="str">
        <f aca="false">IF($E352="","",IF(OR($B352="",$C352="",$D352=""),"待补楼栋/位置/日期",IF($C352="公共区域","公",SUBSTITUTE($C352,"栋",""))&amp;"-"&amp;$D352&amp;"-"&amp;TEXT(MONTH($B352),"00")&amp;TEXT(DAY($B352),"00")&amp;IF(COUNTIFS($C$5:$C352,$C352,$D$5:$D352,$D352)&gt;1,"-"&amp;TEXT(COUNTIFS($C$5:$C352,$C352,$D$5:$D352,$D352),"00"),"")))</f>
        <v/>
      </c>
      <c r="M352" s="21"/>
      <c r="N352" s="15"/>
      <c r="O352" s="21"/>
    </row>
    <row r="353" customFormat="false" ht="21.75" hidden="false" customHeight="true" outlineLevel="0" collapsed="false">
      <c r="A353" s="13" t="str">
        <f aca="false">IF($E353="","",COUNTA($E$5:$E353))</f>
        <v/>
      </c>
      <c r="B353" s="14"/>
      <c r="C353" s="15"/>
      <c r="D353" s="25"/>
      <c r="E353" s="21"/>
      <c r="F353" s="18"/>
      <c r="G353" s="15"/>
      <c r="H353" s="15"/>
      <c r="I353" s="15"/>
      <c r="J353" s="15"/>
      <c r="K353" s="18"/>
      <c r="L353" s="20" t="str">
        <f aca="false">IF($E353="","",IF(OR($B353="",$C353="",$D353=""),"待补楼栋/位置/日期",IF($C353="公共区域","公",SUBSTITUTE($C353,"栋",""))&amp;"-"&amp;$D353&amp;"-"&amp;TEXT(MONTH($B353),"00")&amp;TEXT(DAY($B353),"00")&amp;IF(COUNTIFS($C$5:$C353,$C353,$D$5:$D353,$D353)&gt;1,"-"&amp;TEXT(COUNTIFS($C$5:$C353,$C353,$D$5:$D353,$D353),"00"),"")))</f>
        <v/>
      </c>
      <c r="M353" s="21"/>
      <c r="N353" s="15"/>
      <c r="O353" s="21"/>
    </row>
    <row r="354" customFormat="false" ht="21.75" hidden="false" customHeight="true" outlineLevel="0" collapsed="false">
      <c r="A354" s="13" t="str">
        <f aca="false">IF($E354="","",COUNTA($E$5:$E354))</f>
        <v/>
      </c>
      <c r="B354" s="14"/>
      <c r="C354" s="15"/>
      <c r="D354" s="25"/>
      <c r="E354" s="21"/>
      <c r="F354" s="18"/>
      <c r="G354" s="15"/>
      <c r="H354" s="15"/>
      <c r="I354" s="15"/>
      <c r="J354" s="15"/>
      <c r="K354" s="18"/>
      <c r="L354" s="20" t="str">
        <f aca="false">IF($E354="","",IF(OR($B354="",$C354="",$D354=""),"待补楼栋/位置/日期",IF($C354="公共区域","公",SUBSTITUTE($C354,"栋",""))&amp;"-"&amp;$D354&amp;"-"&amp;TEXT(MONTH($B354),"00")&amp;TEXT(DAY($B354),"00")&amp;IF(COUNTIFS($C$5:$C354,$C354,$D$5:$D354,$D354)&gt;1,"-"&amp;TEXT(COUNTIFS($C$5:$C354,$C354,$D$5:$D354,$D354),"00"),"")))</f>
        <v/>
      </c>
      <c r="M354" s="21"/>
      <c r="N354" s="15"/>
      <c r="O354" s="21"/>
    </row>
    <row r="355" customFormat="false" ht="21.75" hidden="false" customHeight="true" outlineLevel="0" collapsed="false">
      <c r="A355" s="13" t="str">
        <f aca="false">IF($E355="","",COUNTA($E$5:$E355))</f>
        <v/>
      </c>
      <c r="B355" s="14"/>
      <c r="C355" s="15"/>
      <c r="D355" s="25"/>
      <c r="E355" s="21"/>
      <c r="F355" s="18"/>
      <c r="G355" s="15"/>
      <c r="H355" s="15"/>
      <c r="I355" s="15"/>
      <c r="J355" s="15"/>
      <c r="K355" s="18"/>
      <c r="L355" s="20" t="str">
        <f aca="false">IF($E355="","",IF(OR($B355="",$C355="",$D355=""),"待补楼栋/位置/日期",IF($C355="公共区域","公",SUBSTITUTE($C355,"栋",""))&amp;"-"&amp;$D355&amp;"-"&amp;TEXT(MONTH($B355),"00")&amp;TEXT(DAY($B355),"00")&amp;IF(COUNTIFS($C$5:$C355,$C355,$D$5:$D355,$D355)&gt;1,"-"&amp;TEXT(COUNTIFS($C$5:$C355,$C355,$D$5:$D355,$D355),"00"),"")))</f>
        <v/>
      </c>
      <c r="M355" s="21"/>
      <c r="N355" s="15"/>
      <c r="O355" s="21"/>
    </row>
    <row r="356" customFormat="false" ht="21.75" hidden="false" customHeight="true" outlineLevel="0" collapsed="false">
      <c r="A356" s="13" t="str">
        <f aca="false">IF($E356="","",COUNTA($E$5:$E356))</f>
        <v/>
      </c>
      <c r="B356" s="14"/>
      <c r="C356" s="15"/>
      <c r="D356" s="25"/>
      <c r="E356" s="21"/>
      <c r="F356" s="18"/>
      <c r="G356" s="15"/>
      <c r="H356" s="15"/>
      <c r="I356" s="15"/>
      <c r="J356" s="15"/>
      <c r="K356" s="18"/>
      <c r="L356" s="20" t="str">
        <f aca="false">IF($E356="","",IF(OR($B356="",$C356="",$D356=""),"待补楼栋/位置/日期",IF($C356="公共区域","公",SUBSTITUTE($C356,"栋",""))&amp;"-"&amp;$D356&amp;"-"&amp;TEXT(MONTH($B356),"00")&amp;TEXT(DAY($B356),"00")&amp;IF(COUNTIFS($C$5:$C356,$C356,$D$5:$D356,$D356)&gt;1,"-"&amp;TEXT(COUNTIFS($C$5:$C356,$C356,$D$5:$D356,$D356),"00"),"")))</f>
        <v/>
      </c>
      <c r="M356" s="21"/>
      <c r="N356" s="15"/>
      <c r="O356" s="21"/>
    </row>
    <row r="357" customFormat="false" ht="21.75" hidden="false" customHeight="true" outlineLevel="0" collapsed="false">
      <c r="A357" s="13" t="str">
        <f aca="false">IF($E357="","",COUNTA($E$5:$E357))</f>
        <v/>
      </c>
      <c r="B357" s="14"/>
      <c r="C357" s="15"/>
      <c r="D357" s="25"/>
      <c r="E357" s="21"/>
      <c r="F357" s="18"/>
      <c r="G357" s="15"/>
      <c r="H357" s="15"/>
      <c r="I357" s="15"/>
      <c r="J357" s="15"/>
      <c r="K357" s="18"/>
      <c r="L357" s="20" t="str">
        <f aca="false">IF($E357="","",IF(OR($B357="",$C357="",$D357=""),"待补楼栋/位置/日期",IF($C357="公共区域","公",SUBSTITUTE($C357,"栋",""))&amp;"-"&amp;$D357&amp;"-"&amp;TEXT(MONTH($B357),"00")&amp;TEXT(DAY($B357),"00")&amp;IF(COUNTIFS($C$5:$C357,$C357,$D$5:$D357,$D357)&gt;1,"-"&amp;TEXT(COUNTIFS($C$5:$C357,$C357,$D$5:$D357,$D357),"00"),"")))</f>
        <v/>
      </c>
      <c r="M357" s="21"/>
      <c r="N357" s="15"/>
      <c r="O357" s="21"/>
    </row>
    <row r="358" customFormat="false" ht="21.75" hidden="false" customHeight="true" outlineLevel="0" collapsed="false">
      <c r="A358" s="13" t="str">
        <f aca="false">IF($E358="","",COUNTA($E$5:$E358))</f>
        <v/>
      </c>
      <c r="B358" s="14"/>
      <c r="C358" s="15"/>
      <c r="D358" s="25"/>
      <c r="E358" s="21"/>
      <c r="F358" s="18"/>
      <c r="G358" s="15"/>
      <c r="H358" s="15"/>
      <c r="I358" s="15"/>
      <c r="J358" s="15"/>
      <c r="K358" s="18"/>
      <c r="L358" s="20" t="str">
        <f aca="false">IF($E358="","",IF(OR($B358="",$C358="",$D358=""),"待补楼栋/位置/日期",IF($C358="公共区域","公",SUBSTITUTE($C358,"栋",""))&amp;"-"&amp;$D358&amp;"-"&amp;TEXT(MONTH($B358),"00")&amp;TEXT(DAY($B358),"00")&amp;IF(COUNTIFS($C$5:$C358,$C358,$D$5:$D358,$D358)&gt;1,"-"&amp;TEXT(COUNTIFS($C$5:$C358,$C358,$D$5:$D358,$D358),"00"),"")))</f>
        <v/>
      </c>
      <c r="M358" s="21"/>
      <c r="N358" s="15"/>
      <c r="O358" s="21"/>
    </row>
    <row r="359" customFormat="false" ht="21.75" hidden="false" customHeight="true" outlineLevel="0" collapsed="false">
      <c r="A359" s="13" t="str">
        <f aca="false">IF($E359="","",COUNTA($E$5:$E359))</f>
        <v/>
      </c>
      <c r="B359" s="14"/>
      <c r="C359" s="15"/>
      <c r="D359" s="25"/>
      <c r="E359" s="21"/>
      <c r="F359" s="18"/>
      <c r="G359" s="15"/>
      <c r="H359" s="15"/>
      <c r="I359" s="15"/>
      <c r="J359" s="15"/>
      <c r="K359" s="18"/>
      <c r="L359" s="20" t="str">
        <f aca="false">IF($E359="","",IF(OR($B359="",$C359="",$D359=""),"待补楼栋/位置/日期",IF($C359="公共区域","公",SUBSTITUTE($C359,"栋",""))&amp;"-"&amp;$D359&amp;"-"&amp;TEXT(MONTH($B359),"00")&amp;TEXT(DAY($B359),"00")&amp;IF(COUNTIFS($C$5:$C359,$C359,$D$5:$D359,$D359)&gt;1,"-"&amp;TEXT(COUNTIFS($C$5:$C359,$C359,$D$5:$D359,$D359),"00"),"")))</f>
        <v/>
      </c>
      <c r="M359" s="21"/>
      <c r="N359" s="15"/>
      <c r="O359" s="21"/>
    </row>
    <row r="360" customFormat="false" ht="21.75" hidden="false" customHeight="true" outlineLevel="0" collapsed="false">
      <c r="A360" s="13" t="str">
        <f aca="false">IF($E360="","",COUNTA($E$5:$E360))</f>
        <v/>
      </c>
      <c r="B360" s="14"/>
      <c r="C360" s="15"/>
      <c r="D360" s="25"/>
      <c r="E360" s="21"/>
      <c r="F360" s="18"/>
      <c r="G360" s="15"/>
      <c r="H360" s="15"/>
      <c r="I360" s="15"/>
      <c r="J360" s="15"/>
      <c r="K360" s="18"/>
      <c r="L360" s="20" t="str">
        <f aca="false">IF($E360="","",IF(OR($B360="",$C360="",$D360=""),"待补楼栋/位置/日期",IF($C360="公共区域","公",SUBSTITUTE($C360,"栋",""))&amp;"-"&amp;$D360&amp;"-"&amp;TEXT(MONTH($B360),"00")&amp;TEXT(DAY($B360),"00")&amp;IF(COUNTIFS($C$5:$C360,$C360,$D$5:$D360,$D360)&gt;1,"-"&amp;TEXT(COUNTIFS($C$5:$C360,$C360,$D$5:$D360,$D360),"00"),"")))</f>
        <v/>
      </c>
      <c r="M360" s="21"/>
      <c r="N360" s="15"/>
      <c r="O360" s="21"/>
    </row>
    <row r="361" customFormat="false" ht="21.75" hidden="false" customHeight="true" outlineLevel="0" collapsed="false">
      <c r="A361" s="13" t="str">
        <f aca="false">IF($E361="","",COUNTA($E$5:$E361))</f>
        <v/>
      </c>
      <c r="B361" s="14"/>
      <c r="C361" s="15"/>
      <c r="D361" s="25"/>
      <c r="E361" s="21"/>
      <c r="F361" s="18"/>
      <c r="G361" s="15"/>
      <c r="H361" s="15"/>
      <c r="I361" s="15"/>
      <c r="J361" s="15"/>
      <c r="K361" s="18"/>
      <c r="L361" s="20" t="str">
        <f aca="false">IF($E361="","",IF(OR($B361="",$C361="",$D361=""),"待补楼栋/位置/日期",IF($C361="公共区域","公",SUBSTITUTE($C361,"栋",""))&amp;"-"&amp;$D361&amp;"-"&amp;TEXT(MONTH($B361),"00")&amp;TEXT(DAY($B361),"00")&amp;IF(COUNTIFS($C$5:$C361,$C361,$D$5:$D361,$D361)&gt;1,"-"&amp;TEXT(COUNTIFS($C$5:$C361,$C361,$D$5:$D361,$D361),"00"),"")))</f>
        <v/>
      </c>
      <c r="M361" s="21"/>
      <c r="N361" s="15"/>
      <c r="O361" s="21"/>
    </row>
    <row r="362" customFormat="false" ht="21.75" hidden="false" customHeight="true" outlineLevel="0" collapsed="false">
      <c r="A362" s="13" t="str">
        <f aca="false">IF($E362="","",COUNTA($E$5:$E362))</f>
        <v/>
      </c>
      <c r="B362" s="14"/>
      <c r="C362" s="15"/>
      <c r="D362" s="25"/>
      <c r="E362" s="21"/>
      <c r="F362" s="18"/>
      <c r="G362" s="15"/>
      <c r="H362" s="15"/>
      <c r="I362" s="15"/>
      <c r="J362" s="15"/>
      <c r="K362" s="18"/>
      <c r="L362" s="20" t="str">
        <f aca="false">IF($E362="","",IF(OR($B362="",$C362="",$D362=""),"待补楼栋/位置/日期",IF($C362="公共区域","公",SUBSTITUTE($C362,"栋",""))&amp;"-"&amp;$D362&amp;"-"&amp;TEXT(MONTH($B362),"00")&amp;TEXT(DAY($B362),"00")&amp;IF(COUNTIFS($C$5:$C362,$C362,$D$5:$D362,$D362)&gt;1,"-"&amp;TEXT(COUNTIFS($C$5:$C362,$C362,$D$5:$D362,$D362),"00"),"")))</f>
        <v/>
      </c>
      <c r="M362" s="21"/>
      <c r="N362" s="15"/>
      <c r="O362" s="21"/>
    </row>
    <row r="363" customFormat="false" ht="21.75" hidden="false" customHeight="true" outlineLevel="0" collapsed="false">
      <c r="A363" s="13" t="str">
        <f aca="false">IF($E363="","",COUNTA($E$5:$E363))</f>
        <v/>
      </c>
      <c r="B363" s="14"/>
      <c r="C363" s="15"/>
      <c r="D363" s="25"/>
      <c r="E363" s="21"/>
      <c r="F363" s="18"/>
      <c r="G363" s="15"/>
      <c r="H363" s="15"/>
      <c r="I363" s="15"/>
      <c r="J363" s="15"/>
      <c r="K363" s="18"/>
      <c r="L363" s="20" t="str">
        <f aca="false">IF($E363="","",IF(OR($B363="",$C363="",$D363=""),"待补楼栋/位置/日期",IF($C363="公共区域","公",SUBSTITUTE($C363,"栋",""))&amp;"-"&amp;$D363&amp;"-"&amp;TEXT(MONTH($B363),"00")&amp;TEXT(DAY($B363),"00")&amp;IF(COUNTIFS($C$5:$C363,$C363,$D$5:$D363,$D363)&gt;1,"-"&amp;TEXT(COUNTIFS($C$5:$C363,$C363,$D$5:$D363,$D363),"00"),"")))</f>
        <v/>
      </c>
      <c r="M363" s="21"/>
      <c r="N363" s="15"/>
      <c r="O363" s="21"/>
    </row>
    <row r="364" customFormat="false" ht="21.75" hidden="false" customHeight="true" outlineLevel="0" collapsed="false">
      <c r="A364" s="13" t="str">
        <f aca="false">IF($E364="","",COUNTA($E$5:$E364))</f>
        <v/>
      </c>
      <c r="B364" s="14"/>
      <c r="C364" s="15"/>
      <c r="D364" s="25"/>
      <c r="E364" s="21"/>
      <c r="F364" s="18"/>
      <c r="G364" s="15"/>
      <c r="H364" s="15"/>
      <c r="I364" s="15"/>
      <c r="J364" s="15"/>
      <c r="K364" s="18"/>
      <c r="L364" s="20" t="str">
        <f aca="false">IF($E364="","",IF(OR($B364="",$C364="",$D364=""),"待补楼栋/位置/日期",IF($C364="公共区域","公",SUBSTITUTE($C364,"栋",""))&amp;"-"&amp;$D364&amp;"-"&amp;TEXT(MONTH($B364),"00")&amp;TEXT(DAY($B364),"00")&amp;IF(COUNTIFS($C$5:$C364,$C364,$D$5:$D364,$D364)&gt;1,"-"&amp;TEXT(COUNTIFS($C$5:$C364,$C364,$D$5:$D364,$D364),"00"),"")))</f>
        <v/>
      </c>
      <c r="M364" s="21"/>
      <c r="N364" s="15"/>
      <c r="O364" s="21"/>
    </row>
    <row r="365" customFormat="false" ht="21.75" hidden="false" customHeight="true" outlineLevel="0" collapsed="false">
      <c r="A365" s="13" t="str">
        <f aca="false">IF($E365="","",COUNTA($E$5:$E365))</f>
        <v/>
      </c>
      <c r="B365" s="14"/>
      <c r="C365" s="15"/>
      <c r="D365" s="25"/>
      <c r="E365" s="21"/>
      <c r="F365" s="18"/>
      <c r="G365" s="15"/>
      <c r="H365" s="15"/>
      <c r="I365" s="15"/>
      <c r="J365" s="15"/>
      <c r="K365" s="18"/>
      <c r="L365" s="20" t="str">
        <f aca="false">IF($E365="","",IF(OR($B365="",$C365="",$D365=""),"待补楼栋/位置/日期",IF($C365="公共区域","公",SUBSTITUTE($C365,"栋",""))&amp;"-"&amp;$D365&amp;"-"&amp;TEXT(MONTH($B365),"00")&amp;TEXT(DAY($B365),"00")&amp;IF(COUNTIFS($C$5:$C365,$C365,$D$5:$D365,$D365)&gt;1,"-"&amp;TEXT(COUNTIFS($C$5:$C365,$C365,$D$5:$D365,$D365),"00"),"")))</f>
        <v/>
      </c>
      <c r="M365" s="21"/>
      <c r="N365" s="15"/>
      <c r="O365" s="21"/>
    </row>
    <row r="366" customFormat="false" ht="21.75" hidden="false" customHeight="true" outlineLevel="0" collapsed="false">
      <c r="A366" s="13" t="str">
        <f aca="false">IF($E366="","",COUNTA($E$5:$E366))</f>
        <v/>
      </c>
      <c r="B366" s="14"/>
      <c r="C366" s="15"/>
      <c r="D366" s="25"/>
      <c r="E366" s="21"/>
      <c r="F366" s="18"/>
      <c r="G366" s="15"/>
      <c r="H366" s="15"/>
      <c r="I366" s="15"/>
      <c r="J366" s="15"/>
      <c r="K366" s="18"/>
      <c r="L366" s="20" t="str">
        <f aca="false">IF($E366="","",IF(OR($B366="",$C366="",$D366=""),"待补楼栋/位置/日期",IF($C366="公共区域","公",SUBSTITUTE($C366,"栋",""))&amp;"-"&amp;$D366&amp;"-"&amp;TEXT(MONTH($B366),"00")&amp;TEXT(DAY($B366),"00")&amp;IF(COUNTIFS($C$5:$C366,$C366,$D$5:$D366,$D366)&gt;1,"-"&amp;TEXT(COUNTIFS($C$5:$C366,$C366,$D$5:$D366,$D366),"00"),"")))</f>
        <v/>
      </c>
      <c r="M366" s="21"/>
      <c r="N366" s="15"/>
      <c r="O366" s="21"/>
    </row>
    <row r="367" customFormat="false" ht="21.75" hidden="false" customHeight="true" outlineLevel="0" collapsed="false">
      <c r="A367" s="13" t="str">
        <f aca="false">IF($E367="","",COUNTA($E$5:$E367))</f>
        <v/>
      </c>
      <c r="B367" s="14"/>
      <c r="C367" s="15"/>
      <c r="D367" s="25"/>
      <c r="E367" s="21"/>
      <c r="F367" s="18"/>
      <c r="G367" s="15"/>
      <c r="H367" s="15"/>
      <c r="I367" s="15"/>
      <c r="J367" s="15"/>
      <c r="K367" s="18"/>
      <c r="L367" s="20" t="str">
        <f aca="false">IF($E367="","",IF(OR($B367="",$C367="",$D367=""),"待补楼栋/位置/日期",IF($C367="公共区域","公",SUBSTITUTE($C367,"栋",""))&amp;"-"&amp;$D367&amp;"-"&amp;TEXT(MONTH($B367),"00")&amp;TEXT(DAY($B367),"00")&amp;IF(COUNTIFS($C$5:$C367,$C367,$D$5:$D367,$D367)&gt;1,"-"&amp;TEXT(COUNTIFS($C$5:$C367,$C367,$D$5:$D367,$D367),"00"),"")))</f>
        <v/>
      </c>
      <c r="M367" s="21"/>
      <c r="N367" s="15"/>
      <c r="O367" s="21"/>
    </row>
    <row r="368" customFormat="false" ht="21.75" hidden="false" customHeight="true" outlineLevel="0" collapsed="false">
      <c r="A368" s="13" t="str">
        <f aca="false">IF($E368="","",COUNTA($E$5:$E368))</f>
        <v/>
      </c>
      <c r="B368" s="14"/>
      <c r="C368" s="15"/>
      <c r="D368" s="25"/>
      <c r="E368" s="21"/>
      <c r="F368" s="18"/>
      <c r="G368" s="15"/>
      <c r="H368" s="15"/>
      <c r="I368" s="15"/>
      <c r="J368" s="15"/>
      <c r="K368" s="18"/>
      <c r="L368" s="20" t="str">
        <f aca="false">IF($E368="","",IF(OR($B368="",$C368="",$D368=""),"待补楼栋/位置/日期",IF($C368="公共区域","公",SUBSTITUTE($C368,"栋",""))&amp;"-"&amp;$D368&amp;"-"&amp;TEXT(MONTH($B368),"00")&amp;TEXT(DAY($B368),"00")&amp;IF(COUNTIFS($C$5:$C368,$C368,$D$5:$D368,$D368)&gt;1,"-"&amp;TEXT(COUNTIFS($C$5:$C368,$C368,$D$5:$D368,$D368),"00"),"")))</f>
        <v/>
      </c>
      <c r="M368" s="21"/>
      <c r="N368" s="15"/>
      <c r="O368" s="21"/>
    </row>
    <row r="369" customFormat="false" ht="21.75" hidden="false" customHeight="true" outlineLevel="0" collapsed="false">
      <c r="A369" s="13" t="str">
        <f aca="false">IF($E369="","",COUNTA($E$5:$E369))</f>
        <v/>
      </c>
      <c r="B369" s="14"/>
      <c r="C369" s="15"/>
      <c r="D369" s="25"/>
      <c r="E369" s="21"/>
      <c r="F369" s="18"/>
      <c r="G369" s="15"/>
      <c r="H369" s="15"/>
      <c r="I369" s="15"/>
      <c r="J369" s="15"/>
      <c r="K369" s="18"/>
      <c r="L369" s="20" t="str">
        <f aca="false">IF($E369="","",IF(OR($B369="",$C369="",$D369=""),"待补楼栋/位置/日期",IF($C369="公共区域","公",SUBSTITUTE($C369,"栋",""))&amp;"-"&amp;$D369&amp;"-"&amp;TEXT(MONTH($B369),"00")&amp;TEXT(DAY($B369),"00")&amp;IF(COUNTIFS($C$5:$C369,$C369,$D$5:$D369,$D369)&gt;1,"-"&amp;TEXT(COUNTIFS($C$5:$C369,$C369,$D$5:$D369,$D369),"00"),"")))</f>
        <v/>
      </c>
      <c r="M369" s="21"/>
      <c r="N369" s="15"/>
      <c r="O369" s="21"/>
    </row>
    <row r="370" customFormat="false" ht="21.75" hidden="false" customHeight="true" outlineLevel="0" collapsed="false">
      <c r="A370" s="13" t="str">
        <f aca="false">IF($E370="","",COUNTA($E$5:$E370))</f>
        <v/>
      </c>
      <c r="B370" s="14"/>
      <c r="C370" s="15"/>
      <c r="D370" s="25"/>
      <c r="E370" s="21"/>
      <c r="F370" s="18"/>
      <c r="G370" s="15"/>
      <c r="H370" s="15"/>
      <c r="I370" s="15"/>
      <c r="J370" s="15"/>
      <c r="K370" s="18"/>
      <c r="L370" s="20" t="str">
        <f aca="false">IF($E370="","",IF(OR($B370="",$C370="",$D370=""),"待补楼栋/位置/日期",IF($C370="公共区域","公",SUBSTITUTE($C370,"栋",""))&amp;"-"&amp;$D370&amp;"-"&amp;TEXT(MONTH($B370),"00")&amp;TEXT(DAY($B370),"00")&amp;IF(COUNTIFS($C$5:$C370,$C370,$D$5:$D370,$D370)&gt;1,"-"&amp;TEXT(COUNTIFS($C$5:$C370,$C370,$D$5:$D370,$D370),"00"),"")))</f>
        <v/>
      </c>
      <c r="M370" s="21"/>
      <c r="N370" s="15"/>
      <c r="O370" s="21"/>
    </row>
    <row r="371" customFormat="false" ht="21.75" hidden="false" customHeight="true" outlineLevel="0" collapsed="false">
      <c r="A371" s="13" t="str">
        <f aca="false">IF($E371="","",COUNTA($E$5:$E371))</f>
        <v/>
      </c>
      <c r="B371" s="14"/>
      <c r="C371" s="15"/>
      <c r="D371" s="25"/>
      <c r="E371" s="21"/>
      <c r="F371" s="18"/>
      <c r="G371" s="15"/>
      <c r="H371" s="15"/>
      <c r="I371" s="15"/>
      <c r="J371" s="15"/>
      <c r="K371" s="18"/>
      <c r="L371" s="20" t="str">
        <f aca="false">IF($E371="","",IF(OR($B371="",$C371="",$D371=""),"待补楼栋/位置/日期",IF($C371="公共区域","公",SUBSTITUTE($C371,"栋",""))&amp;"-"&amp;$D371&amp;"-"&amp;TEXT(MONTH($B371),"00")&amp;TEXT(DAY($B371),"00")&amp;IF(COUNTIFS($C$5:$C371,$C371,$D$5:$D371,$D371)&gt;1,"-"&amp;TEXT(COUNTIFS($C$5:$C371,$C371,$D$5:$D371,$D371),"00"),"")))</f>
        <v/>
      </c>
      <c r="M371" s="21"/>
      <c r="N371" s="15"/>
      <c r="O371" s="21"/>
    </row>
    <row r="372" customFormat="false" ht="21.75" hidden="false" customHeight="true" outlineLevel="0" collapsed="false">
      <c r="A372" s="13" t="str">
        <f aca="false">IF($E372="","",COUNTA($E$5:$E372))</f>
        <v/>
      </c>
      <c r="B372" s="14"/>
      <c r="C372" s="15"/>
      <c r="D372" s="25"/>
      <c r="E372" s="21"/>
      <c r="F372" s="18"/>
      <c r="G372" s="15"/>
      <c r="H372" s="15"/>
      <c r="I372" s="15"/>
      <c r="J372" s="15"/>
      <c r="K372" s="18"/>
      <c r="L372" s="20" t="str">
        <f aca="false">IF($E372="","",IF(OR($B372="",$C372="",$D372=""),"待补楼栋/位置/日期",IF($C372="公共区域","公",SUBSTITUTE($C372,"栋",""))&amp;"-"&amp;$D372&amp;"-"&amp;TEXT(MONTH($B372),"00")&amp;TEXT(DAY($B372),"00")&amp;IF(COUNTIFS($C$5:$C372,$C372,$D$5:$D372,$D372)&gt;1,"-"&amp;TEXT(COUNTIFS($C$5:$C372,$C372,$D$5:$D372,$D372),"00"),"")))</f>
        <v/>
      </c>
      <c r="M372" s="21"/>
      <c r="N372" s="15"/>
      <c r="O372" s="21"/>
    </row>
    <row r="373" customFormat="false" ht="21.75" hidden="false" customHeight="true" outlineLevel="0" collapsed="false">
      <c r="A373" s="13" t="str">
        <f aca="false">IF($E373="","",COUNTA($E$5:$E373))</f>
        <v/>
      </c>
      <c r="B373" s="14"/>
      <c r="C373" s="15"/>
      <c r="D373" s="25"/>
      <c r="E373" s="21"/>
      <c r="F373" s="18"/>
      <c r="G373" s="15"/>
      <c r="H373" s="15"/>
      <c r="I373" s="15"/>
      <c r="J373" s="15"/>
      <c r="K373" s="18"/>
      <c r="L373" s="20" t="str">
        <f aca="false">IF($E373="","",IF(OR($B373="",$C373="",$D373=""),"待补楼栋/位置/日期",IF($C373="公共区域","公",SUBSTITUTE($C373,"栋",""))&amp;"-"&amp;$D373&amp;"-"&amp;TEXT(MONTH($B373),"00")&amp;TEXT(DAY($B373),"00")&amp;IF(COUNTIFS($C$5:$C373,$C373,$D$5:$D373,$D373)&gt;1,"-"&amp;TEXT(COUNTIFS($C$5:$C373,$C373,$D$5:$D373,$D373),"00"),"")))</f>
        <v/>
      </c>
      <c r="M373" s="21"/>
      <c r="N373" s="15"/>
      <c r="O373" s="21"/>
    </row>
    <row r="374" customFormat="false" ht="21.75" hidden="false" customHeight="true" outlineLevel="0" collapsed="false">
      <c r="A374" s="13" t="str">
        <f aca="false">IF($E374="","",COUNTA($E$5:$E374))</f>
        <v/>
      </c>
      <c r="B374" s="14"/>
      <c r="C374" s="15"/>
      <c r="D374" s="25"/>
      <c r="E374" s="21"/>
      <c r="F374" s="18"/>
      <c r="G374" s="15"/>
      <c r="H374" s="15"/>
      <c r="I374" s="15"/>
      <c r="J374" s="15"/>
      <c r="K374" s="18"/>
      <c r="L374" s="20" t="str">
        <f aca="false">IF($E374="","",IF(OR($B374="",$C374="",$D374=""),"待补楼栋/位置/日期",IF($C374="公共区域","公",SUBSTITUTE($C374,"栋",""))&amp;"-"&amp;$D374&amp;"-"&amp;TEXT(MONTH($B374),"00")&amp;TEXT(DAY($B374),"00")&amp;IF(COUNTIFS($C$5:$C374,$C374,$D$5:$D374,$D374)&gt;1,"-"&amp;TEXT(COUNTIFS($C$5:$C374,$C374,$D$5:$D374,$D374),"00"),"")))</f>
        <v/>
      </c>
      <c r="M374" s="21"/>
      <c r="N374" s="15"/>
      <c r="O374" s="21"/>
    </row>
    <row r="375" customFormat="false" ht="21.75" hidden="false" customHeight="true" outlineLevel="0" collapsed="false">
      <c r="A375" s="13" t="str">
        <f aca="false">IF($E375="","",COUNTA($E$5:$E375))</f>
        <v/>
      </c>
      <c r="B375" s="14"/>
      <c r="C375" s="15"/>
      <c r="D375" s="25"/>
      <c r="E375" s="21"/>
      <c r="F375" s="18"/>
      <c r="G375" s="15"/>
      <c r="H375" s="15"/>
      <c r="I375" s="15"/>
      <c r="J375" s="15"/>
      <c r="K375" s="18"/>
      <c r="L375" s="20" t="str">
        <f aca="false">IF($E375="","",IF(OR($B375="",$C375="",$D375=""),"待补楼栋/位置/日期",IF($C375="公共区域","公",SUBSTITUTE($C375,"栋",""))&amp;"-"&amp;$D375&amp;"-"&amp;TEXT(MONTH($B375),"00")&amp;TEXT(DAY($B375),"00")&amp;IF(COUNTIFS($C$5:$C375,$C375,$D$5:$D375,$D375)&gt;1,"-"&amp;TEXT(COUNTIFS($C$5:$C375,$C375,$D$5:$D375,$D375),"00"),"")))</f>
        <v/>
      </c>
      <c r="M375" s="21"/>
      <c r="N375" s="15"/>
      <c r="O375" s="21"/>
    </row>
    <row r="376" customFormat="false" ht="21.75" hidden="false" customHeight="true" outlineLevel="0" collapsed="false">
      <c r="A376" s="13" t="str">
        <f aca="false">IF($E376="","",COUNTA($E$5:$E376))</f>
        <v/>
      </c>
      <c r="B376" s="14"/>
      <c r="C376" s="15"/>
      <c r="D376" s="25"/>
      <c r="E376" s="21"/>
      <c r="F376" s="18"/>
      <c r="G376" s="15"/>
      <c r="H376" s="15"/>
      <c r="I376" s="15"/>
      <c r="J376" s="15"/>
      <c r="K376" s="18"/>
      <c r="L376" s="20" t="str">
        <f aca="false">IF($E376="","",IF(OR($B376="",$C376="",$D376=""),"待补楼栋/位置/日期",IF($C376="公共区域","公",SUBSTITUTE($C376,"栋",""))&amp;"-"&amp;$D376&amp;"-"&amp;TEXT(MONTH($B376),"00")&amp;TEXT(DAY($B376),"00")&amp;IF(COUNTIFS($C$5:$C376,$C376,$D$5:$D376,$D376)&gt;1,"-"&amp;TEXT(COUNTIFS($C$5:$C376,$C376,$D$5:$D376,$D376),"00"),"")))</f>
        <v/>
      </c>
      <c r="M376" s="21"/>
      <c r="N376" s="15"/>
      <c r="O376" s="21"/>
    </row>
    <row r="377" customFormat="false" ht="21.75" hidden="false" customHeight="true" outlineLevel="0" collapsed="false">
      <c r="A377" s="13" t="str">
        <f aca="false">IF($E377="","",COUNTA($E$5:$E377))</f>
        <v/>
      </c>
      <c r="B377" s="14"/>
      <c r="C377" s="15"/>
      <c r="D377" s="25"/>
      <c r="E377" s="21"/>
      <c r="F377" s="18"/>
      <c r="G377" s="15"/>
      <c r="H377" s="15"/>
      <c r="I377" s="15"/>
      <c r="J377" s="15"/>
      <c r="K377" s="18"/>
      <c r="L377" s="20" t="str">
        <f aca="false">IF($E377="","",IF(OR($B377="",$C377="",$D377=""),"待补楼栋/位置/日期",IF($C377="公共区域","公",SUBSTITUTE($C377,"栋",""))&amp;"-"&amp;$D377&amp;"-"&amp;TEXT(MONTH($B377),"00")&amp;TEXT(DAY($B377),"00")&amp;IF(COUNTIFS($C$5:$C377,$C377,$D$5:$D377,$D377)&gt;1,"-"&amp;TEXT(COUNTIFS($C$5:$C377,$C377,$D$5:$D377,$D377),"00"),"")))</f>
        <v/>
      </c>
      <c r="M377" s="21"/>
      <c r="N377" s="15"/>
      <c r="O377" s="21"/>
    </row>
    <row r="378" customFormat="false" ht="21.75" hidden="false" customHeight="true" outlineLevel="0" collapsed="false">
      <c r="A378" s="13" t="str">
        <f aca="false">IF($E378="","",COUNTA($E$5:$E378))</f>
        <v/>
      </c>
      <c r="B378" s="14"/>
      <c r="C378" s="15"/>
      <c r="D378" s="25"/>
      <c r="E378" s="21"/>
      <c r="F378" s="18"/>
      <c r="G378" s="15"/>
      <c r="H378" s="15"/>
      <c r="I378" s="15"/>
      <c r="J378" s="15"/>
      <c r="K378" s="18"/>
      <c r="L378" s="20" t="str">
        <f aca="false">IF($E378="","",IF(OR($B378="",$C378="",$D378=""),"待补楼栋/位置/日期",IF($C378="公共区域","公",SUBSTITUTE($C378,"栋",""))&amp;"-"&amp;$D378&amp;"-"&amp;TEXT(MONTH($B378),"00")&amp;TEXT(DAY($B378),"00")&amp;IF(COUNTIFS($C$5:$C378,$C378,$D$5:$D378,$D378)&gt;1,"-"&amp;TEXT(COUNTIFS($C$5:$C378,$C378,$D$5:$D378,$D378),"00"),"")))</f>
        <v/>
      </c>
      <c r="M378" s="21"/>
      <c r="N378" s="15"/>
      <c r="O378" s="21"/>
    </row>
    <row r="379" customFormat="false" ht="21.75" hidden="false" customHeight="true" outlineLevel="0" collapsed="false">
      <c r="A379" s="13" t="str">
        <f aca="false">IF($E379="","",COUNTA($E$5:$E379))</f>
        <v/>
      </c>
      <c r="B379" s="14"/>
      <c r="C379" s="15"/>
      <c r="D379" s="25"/>
      <c r="E379" s="21"/>
      <c r="F379" s="18"/>
      <c r="G379" s="15"/>
      <c r="H379" s="15"/>
      <c r="I379" s="15"/>
      <c r="J379" s="15"/>
      <c r="K379" s="18"/>
      <c r="L379" s="20" t="str">
        <f aca="false">IF($E379="","",IF(OR($B379="",$C379="",$D379=""),"待补楼栋/位置/日期",IF($C379="公共区域","公",SUBSTITUTE($C379,"栋",""))&amp;"-"&amp;$D379&amp;"-"&amp;TEXT(MONTH($B379),"00")&amp;TEXT(DAY($B379),"00")&amp;IF(COUNTIFS($C$5:$C379,$C379,$D$5:$D379,$D379)&gt;1,"-"&amp;TEXT(COUNTIFS($C$5:$C379,$C379,$D$5:$D379,$D379),"00"),"")))</f>
        <v/>
      </c>
      <c r="M379" s="21"/>
      <c r="N379" s="15"/>
      <c r="O379" s="21"/>
    </row>
    <row r="380" customFormat="false" ht="21.75" hidden="false" customHeight="true" outlineLevel="0" collapsed="false">
      <c r="A380" s="13" t="str">
        <f aca="false">IF($E380="","",COUNTA($E$5:$E380))</f>
        <v/>
      </c>
      <c r="B380" s="14"/>
      <c r="C380" s="15"/>
      <c r="D380" s="25"/>
      <c r="E380" s="21"/>
      <c r="F380" s="18"/>
      <c r="G380" s="15"/>
      <c r="H380" s="15"/>
      <c r="I380" s="15"/>
      <c r="J380" s="15"/>
      <c r="K380" s="18"/>
      <c r="L380" s="20" t="str">
        <f aca="false">IF($E380="","",IF(OR($B380="",$C380="",$D380=""),"待补楼栋/位置/日期",IF($C380="公共区域","公",SUBSTITUTE($C380,"栋",""))&amp;"-"&amp;$D380&amp;"-"&amp;TEXT(MONTH($B380),"00")&amp;TEXT(DAY($B380),"00")&amp;IF(COUNTIFS($C$5:$C380,$C380,$D$5:$D380,$D380)&gt;1,"-"&amp;TEXT(COUNTIFS($C$5:$C380,$C380,$D$5:$D380,$D380),"00"),"")))</f>
        <v/>
      </c>
      <c r="M380" s="21"/>
      <c r="N380" s="15"/>
      <c r="O380" s="21"/>
    </row>
    <row r="381" customFormat="false" ht="21.75" hidden="false" customHeight="true" outlineLevel="0" collapsed="false">
      <c r="A381" s="13" t="str">
        <f aca="false">IF($E381="","",COUNTA($E$5:$E381))</f>
        <v/>
      </c>
      <c r="B381" s="14"/>
      <c r="C381" s="15"/>
      <c r="D381" s="25"/>
      <c r="E381" s="21"/>
      <c r="F381" s="18"/>
      <c r="G381" s="15"/>
      <c r="H381" s="15"/>
      <c r="I381" s="15"/>
      <c r="J381" s="15"/>
      <c r="K381" s="18"/>
      <c r="L381" s="20" t="str">
        <f aca="false">IF($E381="","",IF(OR($B381="",$C381="",$D381=""),"待补楼栋/位置/日期",IF($C381="公共区域","公",SUBSTITUTE($C381,"栋",""))&amp;"-"&amp;$D381&amp;"-"&amp;TEXT(MONTH($B381),"00")&amp;TEXT(DAY($B381),"00")&amp;IF(COUNTIFS($C$5:$C381,$C381,$D$5:$D381,$D381)&gt;1,"-"&amp;TEXT(COUNTIFS($C$5:$C381,$C381,$D$5:$D381,$D381),"00"),"")))</f>
        <v/>
      </c>
      <c r="M381" s="21"/>
      <c r="N381" s="15"/>
      <c r="O381" s="21"/>
    </row>
    <row r="382" customFormat="false" ht="21.75" hidden="false" customHeight="true" outlineLevel="0" collapsed="false">
      <c r="A382" s="13" t="str">
        <f aca="false">IF($E382="","",COUNTA($E$5:$E382))</f>
        <v/>
      </c>
      <c r="B382" s="14"/>
      <c r="C382" s="15"/>
      <c r="D382" s="25"/>
      <c r="E382" s="21"/>
      <c r="F382" s="18"/>
      <c r="G382" s="15"/>
      <c r="H382" s="15"/>
      <c r="I382" s="15"/>
      <c r="J382" s="15"/>
      <c r="K382" s="18"/>
      <c r="L382" s="20" t="str">
        <f aca="false">IF($E382="","",IF(OR($B382="",$C382="",$D382=""),"待补楼栋/位置/日期",IF($C382="公共区域","公",SUBSTITUTE($C382,"栋",""))&amp;"-"&amp;$D382&amp;"-"&amp;TEXT(MONTH($B382),"00")&amp;TEXT(DAY($B382),"00")&amp;IF(COUNTIFS($C$5:$C382,$C382,$D$5:$D382,$D382)&gt;1,"-"&amp;TEXT(COUNTIFS($C$5:$C382,$C382,$D$5:$D382,$D382),"00"),"")))</f>
        <v/>
      </c>
      <c r="M382" s="21"/>
      <c r="N382" s="15"/>
      <c r="O382" s="21"/>
    </row>
    <row r="383" customFormat="false" ht="21.75" hidden="false" customHeight="true" outlineLevel="0" collapsed="false">
      <c r="A383" s="13" t="str">
        <f aca="false">IF($E383="","",COUNTA($E$5:$E383))</f>
        <v/>
      </c>
      <c r="B383" s="14"/>
      <c r="C383" s="15"/>
      <c r="D383" s="25"/>
      <c r="E383" s="21"/>
      <c r="F383" s="18"/>
      <c r="G383" s="15"/>
      <c r="H383" s="15"/>
      <c r="I383" s="15"/>
      <c r="J383" s="15"/>
      <c r="K383" s="18"/>
      <c r="L383" s="20" t="str">
        <f aca="false">IF($E383="","",IF(OR($B383="",$C383="",$D383=""),"待补楼栋/位置/日期",IF($C383="公共区域","公",SUBSTITUTE($C383,"栋",""))&amp;"-"&amp;$D383&amp;"-"&amp;TEXT(MONTH($B383),"00")&amp;TEXT(DAY($B383),"00")&amp;IF(COUNTIFS($C$5:$C383,$C383,$D$5:$D383,$D383)&gt;1,"-"&amp;TEXT(COUNTIFS($C$5:$C383,$C383,$D$5:$D383,$D383),"00"),"")))</f>
        <v/>
      </c>
      <c r="M383" s="21"/>
      <c r="N383" s="15"/>
      <c r="O383" s="21"/>
    </row>
    <row r="384" customFormat="false" ht="21.75" hidden="false" customHeight="true" outlineLevel="0" collapsed="false">
      <c r="A384" s="13" t="str">
        <f aca="false">IF($E384="","",COUNTA($E$5:$E384))</f>
        <v/>
      </c>
      <c r="B384" s="14"/>
      <c r="C384" s="15"/>
      <c r="D384" s="25"/>
      <c r="E384" s="21"/>
      <c r="F384" s="18"/>
      <c r="G384" s="15"/>
      <c r="H384" s="15"/>
      <c r="I384" s="15"/>
      <c r="J384" s="15"/>
      <c r="K384" s="18"/>
      <c r="L384" s="20" t="str">
        <f aca="false">IF($E384="","",IF(OR($B384="",$C384="",$D384=""),"待补楼栋/位置/日期",IF($C384="公共区域","公",SUBSTITUTE($C384,"栋",""))&amp;"-"&amp;$D384&amp;"-"&amp;TEXT(MONTH($B384),"00")&amp;TEXT(DAY($B384),"00")&amp;IF(COUNTIFS($C$5:$C384,$C384,$D$5:$D384,$D384)&gt;1,"-"&amp;TEXT(COUNTIFS($C$5:$C384,$C384,$D$5:$D384,$D384),"00"),"")))</f>
        <v/>
      </c>
      <c r="M384" s="21"/>
      <c r="N384" s="15"/>
      <c r="O384" s="21"/>
    </row>
    <row r="385" customFormat="false" ht="21.75" hidden="false" customHeight="true" outlineLevel="0" collapsed="false">
      <c r="A385" s="13" t="str">
        <f aca="false">IF($E385="","",COUNTA($E$5:$E385))</f>
        <v/>
      </c>
      <c r="B385" s="14"/>
      <c r="C385" s="15"/>
      <c r="D385" s="25"/>
      <c r="E385" s="21"/>
      <c r="F385" s="18"/>
      <c r="G385" s="15"/>
      <c r="H385" s="15"/>
      <c r="I385" s="15"/>
      <c r="J385" s="15"/>
      <c r="K385" s="18"/>
      <c r="L385" s="20" t="str">
        <f aca="false">IF($E385="","",IF(OR($B385="",$C385="",$D385=""),"待补楼栋/位置/日期",IF($C385="公共区域","公",SUBSTITUTE($C385,"栋",""))&amp;"-"&amp;$D385&amp;"-"&amp;TEXT(MONTH($B385),"00")&amp;TEXT(DAY($B385),"00")&amp;IF(COUNTIFS($C$5:$C385,$C385,$D$5:$D385,$D385)&gt;1,"-"&amp;TEXT(COUNTIFS($C$5:$C385,$C385,$D$5:$D385,$D385),"00"),"")))</f>
        <v/>
      </c>
      <c r="M385" s="21"/>
      <c r="N385" s="15"/>
      <c r="O385" s="21"/>
    </row>
    <row r="386" customFormat="false" ht="21.75" hidden="false" customHeight="true" outlineLevel="0" collapsed="false">
      <c r="A386" s="13" t="str">
        <f aca="false">IF($E386="","",COUNTA($E$5:$E386))</f>
        <v/>
      </c>
      <c r="B386" s="14"/>
      <c r="C386" s="15"/>
      <c r="D386" s="25"/>
      <c r="E386" s="21"/>
      <c r="F386" s="18"/>
      <c r="G386" s="15"/>
      <c r="H386" s="15"/>
      <c r="I386" s="15"/>
      <c r="J386" s="15"/>
      <c r="K386" s="18"/>
      <c r="L386" s="20" t="str">
        <f aca="false">IF($E386="","",IF(OR($B386="",$C386="",$D386=""),"待补楼栋/位置/日期",IF($C386="公共区域","公",SUBSTITUTE($C386,"栋",""))&amp;"-"&amp;$D386&amp;"-"&amp;TEXT(MONTH($B386),"00")&amp;TEXT(DAY($B386),"00")&amp;IF(COUNTIFS($C$5:$C386,$C386,$D$5:$D386,$D386)&gt;1,"-"&amp;TEXT(COUNTIFS($C$5:$C386,$C386,$D$5:$D386,$D386),"00"),"")))</f>
        <v/>
      </c>
      <c r="M386" s="21"/>
      <c r="N386" s="15"/>
      <c r="O386" s="21"/>
    </row>
    <row r="387" customFormat="false" ht="21.75" hidden="false" customHeight="true" outlineLevel="0" collapsed="false">
      <c r="A387" s="13" t="str">
        <f aca="false">IF($E387="","",COUNTA($E$5:$E387))</f>
        <v/>
      </c>
      <c r="B387" s="14"/>
      <c r="C387" s="15"/>
      <c r="D387" s="25"/>
      <c r="E387" s="21"/>
      <c r="F387" s="18"/>
      <c r="G387" s="15"/>
      <c r="H387" s="15"/>
      <c r="I387" s="15"/>
      <c r="J387" s="15"/>
      <c r="K387" s="18"/>
      <c r="L387" s="20" t="str">
        <f aca="false">IF($E387="","",IF(OR($B387="",$C387="",$D387=""),"待补楼栋/位置/日期",IF($C387="公共区域","公",SUBSTITUTE($C387,"栋",""))&amp;"-"&amp;$D387&amp;"-"&amp;TEXT(MONTH($B387),"00")&amp;TEXT(DAY($B387),"00")&amp;IF(COUNTIFS($C$5:$C387,$C387,$D$5:$D387,$D387)&gt;1,"-"&amp;TEXT(COUNTIFS($C$5:$C387,$C387,$D$5:$D387,$D387),"00"),"")))</f>
        <v/>
      </c>
      <c r="M387" s="21"/>
      <c r="N387" s="15"/>
      <c r="O387" s="21"/>
    </row>
    <row r="388" customFormat="false" ht="21.75" hidden="false" customHeight="true" outlineLevel="0" collapsed="false">
      <c r="A388" s="13" t="str">
        <f aca="false">IF($E388="","",COUNTA($E$5:$E388))</f>
        <v/>
      </c>
      <c r="B388" s="14"/>
      <c r="C388" s="15"/>
      <c r="D388" s="25"/>
      <c r="E388" s="21"/>
      <c r="F388" s="18"/>
      <c r="G388" s="15"/>
      <c r="H388" s="15"/>
      <c r="I388" s="15"/>
      <c r="J388" s="15"/>
      <c r="K388" s="18"/>
      <c r="L388" s="20" t="str">
        <f aca="false">IF($E388="","",IF(OR($B388="",$C388="",$D388=""),"待补楼栋/位置/日期",IF($C388="公共区域","公",SUBSTITUTE($C388,"栋",""))&amp;"-"&amp;$D388&amp;"-"&amp;TEXT(MONTH($B388),"00")&amp;TEXT(DAY($B388),"00")&amp;IF(COUNTIFS($C$5:$C388,$C388,$D$5:$D388,$D388)&gt;1,"-"&amp;TEXT(COUNTIFS($C$5:$C388,$C388,$D$5:$D388,$D388),"00"),"")))</f>
        <v/>
      </c>
      <c r="M388" s="21"/>
      <c r="N388" s="15"/>
      <c r="O388" s="21"/>
    </row>
    <row r="389" customFormat="false" ht="21.75" hidden="false" customHeight="true" outlineLevel="0" collapsed="false">
      <c r="A389" s="13" t="str">
        <f aca="false">IF($E389="","",COUNTA($E$5:$E389))</f>
        <v/>
      </c>
      <c r="B389" s="14"/>
      <c r="C389" s="15"/>
      <c r="D389" s="25"/>
      <c r="E389" s="21"/>
      <c r="F389" s="18"/>
      <c r="G389" s="15"/>
      <c r="H389" s="15"/>
      <c r="I389" s="15"/>
      <c r="J389" s="15"/>
      <c r="K389" s="18"/>
      <c r="L389" s="20" t="str">
        <f aca="false">IF($E389="","",IF(OR($B389="",$C389="",$D389=""),"待补楼栋/位置/日期",IF($C389="公共区域","公",SUBSTITUTE($C389,"栋",""))&amp;"-"&amp;$D389&amp;"-"&amp;TEXT(MONTH($B389),"00")&amp;TEXT(DAY($B389),"00")&amp;IF(COUNTIFS($C$5:$C389,$C389,$D$5:$D389,$D389)&gt;1,"-"&amp;TEXT(COUNTIFS($C$5:$C389,$C389,$D$5:$D389,$D389),"00"),"")))</f>
        <v/>
      </c>
      <c r="M389" s="21"/>
      <c r="N389" s="15"/>
      <c r="O389" s="21"/>
    </row>
    <row r="390" customFormat="false" ht="21.75" hidden="false" customHeight="true" outlineLevel="0" collapsed="false">
      <c r="A390" s="13" t="str">
        <f aca="false">IF($E390="","",COUNTA($E$5:$E390))</f>
        <v/>
      </c>
      <c r="B390" s="14"/>
      <c r="C390" s="15"/>
      <c r="D390" s="25"/>
      <c r="E390" s="21"/>
      <c r="F390" s="18"/>
      <c r="G390" s="15"/>
      <c r="H390" s="15"/>
      <c r="I390" s="15"/>
      <c r="J390" s="15"/>
      <c r="K390" s="18"/>
      <c r="L390" s="20" t="str">
        <f aca="false">IF($E390="","",IF(OR($B390="",$C390="",$D390=""),"待补楼栋/位置/日期",IF($C390="公共区域","公",SUBSTITUTE($C390,"栋",""))&amp;"-"&amp;$D390&amp;"-"&amp;TEXT(MONTH($B390),"00")&amp;TEXT(DAY($B390),"00")&amp;IF(COUNTIFS($C$5:$C390,$C390,$D$5:$D390,$D390)&gt;1,"-"&amp;TEXT(COUNTIFS($C$5:$C390,$C390,$D$5:$D390,$D390),"00"),"")))</f>
        <v/>
      </c>
      <c r="M390" s="21"/>
      <c r="N390" s="15"/>
      <c r="O390" s="21"/>
    </row>
    <row r="391" customFormat="false" ht="21.75" hidden="false" customHeight="true" outlineLevel="0" collapsed="false">
      <c r="A391" s="13" t="str">
        <f aca="false">IF($E391="","",COUNTA($E$5:$E391))</f>
        <v/>
      </c>
      <c r="B391" s="14"/>
      <c r="C391" s="15"/>
      <c r="D391" s="25"/>
      <c r="E391" s="21"/>
      <c r="F391" s="18"/>
      <c r="G391" s="15"/>
      <c r="H391" s="15"/>
      <c r="I391" s="15"/>
      <c r="J391" s="15"/>
      <c r="K391" s="18"/>
      <c r="L391" s="20" t="str">
        <f aca="false">IF($E391="","",IF(OR($B391="",$C391="",$D391=""),"待补楼栋/位置/日期",IF($C391="公共区域","公",SUBSTITUTE($C391,"栋",""))&amp;"-"&amp;$D391&amp;"-"&amp;TEXT(MONTH($B391),"00")&amp;TEXT(DAY($B391),"00")&amp;IF(COUNTIFS($C$5:$C391,$C391,$D$5:$D391,$D391)&gt;1,"-"&amp;TEXT(COUNTIFS($C$5:$C391,$C391,$D$5:$D391,$D391),"00"),"")))</f>
        <v/>
      </c>
      <c r="M391" s="21"/>
      <c r="N391" s="15"/>
      <c r="O391" s="21"/>
    </row>
    <row r="392" customFormat="false" ht="21.75" hidden="false" customHeight="true" outlineLevel="0" collapsed="false">
      <c r="A392" s="13" t="str">
        <f aca="false">IF($E392="","",COUNTA($E$5:$E392))</f>
        <v/>
      </c>
      <c r="B392" s="14"/>
      <c r="C392" s="15"/>
      <c r="D392" s="25"/>
      <c r="E392" s="21"/>
      <c r="F392" s="18"/>
      <c r="G392" s="15"/>
      <c r="H392" s="15"/>
      <c r="I392" s="15"/>
      <c r="J392" s="15"/>
      <c r="K392" s="18"/>
      <c r="L392" s="20" t="str">
        <f aca="false">IF($E392="","",IF(OR($B392="",$C392="",$D392=""),"待补楼栋/位置/日期",IF($C392="公共区域","公",SUBSTITUTE($C392,"栋",""))&amp;"-"&amp;$D392&amp;"-"&amp;TEXT(MONTH($B392),"00")&amp;TEXT(DAY($B392),"00")&amp;IF(COUNTIFS($C$5:$C392,$C392,$D$5:$D392,$D392)&gt;1,"-"&amp;TEXT(COUNTIFS($C$5:$C392,$C392,$D$5:$D392,$D392),"00"),"")))</f>
        <v/>
      </c>
      <c r="M392" s="21"/>
      <c r="N392" s="15"/>
      <c r="O392" s="21"/>
    </row>
    <row r="393" customFormat="false" ht="21.75" hidden="false" customHeight="true" outlineLevel="0" collapsed="false">
      <c r="A393" s="13" t="str">
        <f aca="false">IF($E393="","",COUNTA($E$5:$E393))</f>
        <v/>
      </c>
      <c r="B393" s="14"/>
      <c r="C393" s="15"/>
      <c r="D393" s="25"/>
      <c r="E393" s="21"/>
      <c r="F393" s="18"/>
      <c r="G393" s="15"/>
      <c r="H393" s="15"/>
      <c r="I393" s="15"/>
      <c r="J393" s="15"/>
      <c r="K393" s="18"/>
      <c r="L393" s="20" t="str">
        <f aca="false">IF($E393="","",IF(OR($B393="",$C393="",$D393=""),"待补楼栋/位置/日期",IF($C393="公共区域","公",SUBSTITUTE($C393,"栋",""))&amp;"-"&amp;$D393&amp;"-"&amp;TEXT(MONTH($B393),"00")&amp;TEXT(DAY($B393),"00")&amp;IF(COUNTIFS($C$5:$C393,$C393,$D$5:$D393,$D393)&gt;1,"-"&amp;TEXT(COUNTIFS($C$5:$C393,$C393,$D$5:$D393,$D393),"00"),"")))</f>
        <v/>
      </c>
      <c r="M393" s="21"/>
      <c r="N393" s="15"/>
      <c r="O393" s="21"/>
    </row>
    <row r="394" customFormat="false" ht="21.75" hidden="false" customHeight="true" outlineLevel="0" collapsed="false">
      <c r="A394" s="13" t="str">
        <f aca="false">IF($E394="","",COUNTA($E$5:$E394))</f>
        <v/>
      </c>
      <c r="B394" s="14"/>
      <c r="C394" s="15"/>
      <c r="D394" s="25"/>
      <c r="E394" s="21"/>
      <c r="F394" s="18"/>
      <c r="G394" s="15"/>
      <c r="H394" s="15"/>
      <c r="I394" s="15"/>
      <c r="J394" s="15"/>
      <c r="K394" s="18"/>
      <c r="L394" s="20" t="str">
        <f aca="false">IF($E394="","",IF(OR($B394="",$C394="",$D394=""),"待补楼栋/位置/日期",IF($C394="公共区域","公",SUBSTITUTE($C394,"栋",""))&amp;"-"&amp;$D394&amp;"-"&amp;TEXT(MONTH($B394),"00")&amp;TEXT(DAY($B394),"00")&amp;IF(COUNTIFS($C$5:$C394,$C394,$D$5:$D394,$D394)&gt;1,"-"&amp;TEXT(COUNTIFS($C$5:$C394,$C394,$D$5:$D394,$D394),"00"),"")))</f>
        <v/>
      </c>
      <c r="M394" s="21"/>
      <c r="N394" s="15"/>
      <c r="O394" s="21"/>
    </row>
    <row r="395" customFormat="false" ht="21.75" hidden="false" customHeight="true" outlineLevel="0" collapsed="false">
      <c r="A395" s="13" t="str">
        <f aca="false">IF($E395="","",COUNTA($E$5:$E395))</f>
        <v/>
      </c>
      <c r="B395" s="14"/>
      <c r="C395" s="15"/>
      <c r="D395" s="25"/>
      <c r="E395" s="21"/>
      <c r="F395" s="18"/>
      <c r="G395" s="15"/>
      <c r="H395" s="15"/>
      <c r="I395" s="15"/>
      <c r="J395" s="15"/>
      <c r="K395" s="18"/>
      <c r="L395" s="20" t="str">
        <f aca="false">IF($E395="","",IF(OR($B395="",$C395="",$D395=""),"待补楼栋/位置/日期",IF($C395="公共区域","公",SUBSTITUTE($C395,"栋",""))&amp;"-"&amp;$D395&amp;"-"&amp;TEXT(MONTH($B395),"00")&amp;TEXT(DAY($B395),"00")&amp;IF(COUNTIFS($C$5:$C395,$C395,$D$5:$D395,$D395)&gt;1,"-"&amp;TEXT(COUNTIFS($C$5:$C395,$C395,$D$5:$D395,$D395),"00"),"")))</f>
        <v/>
      </c>
      <c r="M395" s="21"/>
      <c r="N395" s="15"/>
      <c r="O395" s="21"/>
    </row>
    <row r="396" customFormat="false" ht="21.75" hidden="false" customHeight="true" outlineLevel="0" collapsed="false">
      <c r="A396" s="13" t="str">
        <f aca="false">IF($E396="","",COUNTA($E$5:$E396))</f>
        <v/>
      </c>
      <c r="B396" s="14"/>
      <c r="C396" s="15"/>
      <c r="D396" s="25"/>
      <c r="E396" s="21"/>
      <c r="F396" s="18"/>
      <c r="G396" s="15"/>
      <c r="H396" s="15"/>
      <c r="I396" s="15"/>
      <c r="J396" s="15"/>
      <c r="K396" s="18"/>
      <c r="L396" s="20" t="str">
        <f aca="false">IF($E396="","",IF(OR($B396="",$C396="",$D396=""),"待补楼栋/位置/日期",IF($C396="公共区域","公",SUBSTITUTE($C396,"栋",""))&amp;"-"&amp;$D396&amp;"-"&amp;TEXT(MONTH($B396),"00")&amp;TEXT(DAY($B396),"00")&amp;IF(COUNTIFS($C$5:$C396,$C396,$D$5:$D396,$D396)&gt;1,"-"&amp;TEXT(COUNTIFS($C$5:$C396,$C396,$D$5:$D396,$D396),"00"),"")))</f>
        <v/>
      </c>
      <c r="M396" s="21"/>
      <c r="N396" s="15"/>
      <c r="O396" s="21"/>
    </row>
    <row r="397" customFormat="false" ht="21.75" hidden="false" customHeight="true" outlineLevel="0" collapsed="false">
      <c r="A397" s="13" t="str">
        <f aca="false">IF($E397="","",COUNTA($E$5:$E397))</f>
        <v/>
      </c>
      <c r="B397" s="14"/>
      <c r="C397" s="15"/>
      <c r="D397" s="25"/>
      <c r="E397" s="21"/>
      <c r="F397" s="18"/>
      <c r="G397" s="15"/>
      <c r="H397" s="15"/>
      <c r="I397" s="15"/>
      <c r="J397" s="15"/>
      <c r="K397" s="18"/>
      <c r="L397" s="20" t="str">
        <f aca="false">IF($E397="","",IF(OR($B397="",$C397="",$D397=""),"待补楼栋/位置/日期",IF($C397="公共区域","公",SUBSTITUTE($C397,"栋",""))&amp;"-"&amp;$D397&amp;"-"&amp;TEXT(MONTH($B397),"00")&amp;TEXT(DAY($B397),"00")&amp;IF(COUNTIFS($C$5:$C397,$C397,$D$5:$D397,$D397)&gt;1,"-"&amp;TEXT(COUNTIFS($C$5:$C397,$C397,$D$5:$D397,$D397),"00"),"")))</f>
        <v/>
      </c>
      <c r="M397" s="21"/>
      <c r="N397" s="15"/>
      <c r="O397" s="21"/>
    </row>
    <row r="398" customFormat="false" ht="21.75" hidden="false" customHeight="true" outlineLevel="0" collapsed="false">
      <c r="A398" s="13" t="str">
        <f aca="false">IF($E398="","",COUNTA($E$5:$E398))</f>
        <v/>
      </c>
      <c r="B398" s="14"/>
      <c r="C398" s="15"/>
      <c r="D398" s="25"/>
      <c r="E398" s="21"/>
      <c r="F398" s="18"/>
      <c r="G398" s="15"/>
      <c r="H398" s="15"/>
      <c r="I398" s="15"/>
      <c r="J398" s="15"/>
      <c r="K398" s="18"/>
      <c r="L398" s="20" t="str">
        <f aca="false">IF($E398="","",IF(OR($B398="",$C398="",$D398=""),"待补楼栋/位置/日期",IF($C398="公共区域","公",SUBSTITUTE($C398,"栋",""))&amp;"-"&amp;$D398&amp;"-"&amp;TEXT(MONTH($B398),"00")&amp;TEXT(DAY($B398),"00")&amp;IF(COUNTIFS($C$5:$C398,$C398,$D$5:$D398,$D398)&gt;1,"-"&amp;TEXT(COUNTIFS($C$5:$C398,$C398,$D$5:$D398,$D398),"00"),"")))</f>
        <v/>
      </c>
      <c r="M398" s="21"/>
      <c r="N398" s="15"/>
      <c r="O398" s="21"/>
    </row>
    <row r="399" customFormat="false" ht="21.75" hidden="false" customHeight="true" outlineLevel="0" collapsed="false">
      <c r="A399" s="13" t="str">
        <f aca="false">IF($E399="","",COUNTA($E$5:$E399))</f>
        <v/>
      </c>
      <c r="B399" s="14"/>
      <c r="C399" s="15"/>
      <c r="D399" s="25"/>
      <c r="E399" s="21"/>
      <c r="F399" s="18"/>
      <c r="G399" s="15"/>
      <c r="H399" s="15"/>
      <c r="I399" s="15"/>
      <c r="J399" s="15"/>
      <c r="K399" s="18"/>
      <c r="L399" s="20" t="str">
        <f aca="false">IF($E399="","",IF(OR($B399="",$C399="",$D399=""),"待补楼栋/位置/日期",IF($C399="公共区域","公",SUBSTITUTE($C399,"栋",""))&amp;"-"&amp;$D399&amp;"-"&amp;TEXT(MONTH($B399),"00")&amp;TEXT(DAY($B399),"00")&amp;IF(COUNTIFS($C$5:$C399,$C399,$D$5:$D399,$D399)&gt;1,"-"&amp;TEXT(COUNTIFS($C$5:$C399,$C399,$D$5:$D399,$D399),"00"),"")))</f>
        <v/>
      </c>
      <c r="M399" s="21"/>
      <c r="N399" s="15"/>
      <c r="O399" s="21"/>
    </row>
    <row r="400" customFormat="false" ht="21.75" hidden="false" customHeight="true" outlineLevel="0" collapsed="false">
      <c r="A400" s="13" t="str">
        <f aca="false">IF($E400="","",COUNTA($E$5:$E400))</f>
        <v/>
      </c>
      <c r="B400" s="14"/>
      <c r="C400" s="15"/>
      <c r="D400" s="25"/>
      <c r="E400" s="21"/>
      <c r="F400" s="18"/>
      <c r="G400" s="15"/>
      <c r="H400" s="15"/>
      <c r="I400" s="15"/>
      <c r="J400" s="15"/>
      <c r="K400" s="18"/>
      <c r="L400" s="20" t="str">
        <f aca="false">IF($E400="","",IF(OR($B400="",$C400="",$D400=""),"待补楼栋/位置/日期",IF($C400="公共区域","公",SUBSTITUTE($C400,"栋",""))&amp;"-"&amp;$D400&amp;"-"&amp;TEXT(MONTH($B400),"00")&amp;TEXT(DAY($B400),"00")&amp;IF(COUNTIFS($C$5:$C400,$C400,$D$5:$D400,$D400)&gt;1,"-"&amp;TEXT(COUNTIFS($C$5:$C400,$C400,$D$5:$D400,$D400),"00"),"")))</f>
        <v/>
      </c>
      <c r="M400" s="21"/>
      <c r="N400" s="15"/>
      <c r="O400" s="21"/>
    </row>
    <row r="401" customFormat="false" ht="21.75" hidden="false" customHeight="true" outlineLevel="0" collapsed="false">
      <c r="A401" s="13" t="str">
        <f aca="false">IF($E401="","",COUNTA($E$5:$E401))</f>
        <v/>
      </c>
      <c r="B401" s="14"/>
      <c r="C401" s="15"/>
      <c r="D401" s="25"/>
      <c r="E401" s="21"/>
      <c r="F401" s="18"/>
      <c r="G401" s="15"/>
      <c r="H401" s="15"/>
      <c r="I401" s="15"/>
      <c r="J401" s="15"/>
      <c r="K401" s="18"/>
      <c r="L401" s="20" t="str">
        <f aca="false">IF($E401="","",IF(OR($B401="",$C401="",$D401=""),"待补楼栋/位置/日期",IF($C401="公共区域","公",SUBSTITUTE($C401,"栋",""))&amp;"-"&amp;$D401&amp;"-"&amp;TEXT(MONTH($B401),"00")&amp;TEXT(DAY($B401),"00")&amp;IF(COUNTIFS($C$5:$C401,$C401,$D$5:$D401,$D401)&gt;1,"-"&amp;TEXT(COUNTIFS($C$5:$C401,$C401,$D$5:$D401,$D401),"00"),"")))</f>
        <v/>
      </c>
      <c r="M401" s="21"/>
      <c r="N401" s="15"/>
      <c r="O401" s="21"/>
    </row>
    <row r="402" customFormat="false" ht="21.75" hidden="false" customHeight="true" outlineLevel="0" collapsed="false">
      <c r="A402" s="13" t="str">
        <f aca="false">IF($E402="","",COUNTA($E$5:$E402))</f>
        <v/>
      </c>
      <c r="B402" s="14"/>
      <c r="C402" s="15"/>
      <c r="D402" s="25"/>
      <c r="E402" s="21"/>
      <c r="F402" s="18"/>
      <c r="G402" s="15"/>
      <c r="H402" s="15"/>
      <c r="I402" s="15"/>
      <c r="J402" s="15"/>
      <c r="K402" s="18"/>
      <c r="L402" s="20" t="str">
        <f aca="false">IF($E402="","",IF(OR($B402="",$C402="",$D402=""),"待补楼栋/位置/日期",IF($C402="公共区域","公",SUBSTITUTE($C402,"栋",""))&amp;"-"&amp;$D402&amp;"-"&amp;TEXT(MONTH($B402),"00")&amp;TEXT(DAY($B402),"00")&amp;IF(COUNTIFS($C$5:$C402,$C402,$D$5:$D402,$D402)&gt;1,"-"&amp;TEXT(COUNTIFS($C$5:$C402,$C402,$D$5:$D402,$D402),"00"),"")))</f>
        <v/>
      </c>
      <c r="M402" s="21"/>
      <c r="N402" s="15"/>
      <c r="O402" s="21"/>
    </row>
    <row r="403" customFormat="false" ht="21.75" hidden="false" customHeight="true" outlineLevel="0" collapsed="false">
      <c r="A403" s="13" t="str">
        <f aca="false">IF($E403="","",COUNTA($E$5:$E403))</f>
        <v/>
      </c>
      <c r="B403" s="14"/>
      <c r="C403" s="15"/>
      <c r="D403" s="25"/>
      <c r="E403" s="21"/>
      <c r="F403" s="18"/>
      <c r="G403" s="15"/>
      <c r="H403" s="15"/>
      <c r="I403" s="15"/>
      <c r="J403" s="15"/>
      <c r="K403" s="18"/>
      <c r="L403" s="20" t="str">
        <f aca="false">IF($E403="","",IF(OR($B403="",$C403="",$D403=""),"待补楼栋/位置/日期",IF($C403="公共区域","公",SUBSTITUTE($C403,"栋",""))&amp;"-"&amp;$D403&amp;"-"&amp;TEXT(MONTH($B403),"00")&amp;TEXT(DAY($B403),"00")&amp;IF(COUNTIFS($C$5:$C403,$C403,$D$5:$D403,$D403)&gt;1,"-"&amp;TEXT(COUNTIFS($C$5:$C403,$C403,$D$5:$D403,$D403),"00"),"")))</f>
        <v/>
      </c>
      <c r="M403" s="21"/>
      <c r="N403" s="15"/>
      <c r="O403" s="21"/>
    </row>
    <row r="404" customFormat="false" ht="21.75" hidden="false" customHeight="true" outlineLevel="0" collapsed="false">
      <c r="A404" s="13" t="str">
        <f aca="false">IF($E404="","",COUNTA($E$5:$E404))</f>
        <v/>
      </c>
      <c r="B404" s="14"/>
      <c r="C404" s="15"/>
      <c r="D404" s="25"/>
      <c r="E404" s="21"/>
      <c r="F404" s="18"/>
      <c r="G404" s="15"/>
      <c r="H404" s="15"/>
      <c r="I404" s="15"/>
      <c r="J404" s="15"/>
      <c r="K404" s="18"/>
      <c r="L404" s="20" t="str">
        <f aca="false">IF($E404="","",IF(OR($B404="",$C404="",$D404=""),"待补楼栋/位置/日期",IF($C404="公共区域","公",SUBSTITUTE($C404,"栋",""))&amp;"-"&amp;$D404&amp;"-"&amp;TEXT(MONTH($B404),"00")&amp;TEXT(DAY($B404),"00")&amp;IF(COUNTIFS($C$5:$C404,$C404,$D$5:$D404,$D404)&gt;1,"-"&amp;TEXT(COUNTIFS($C$5:$C404,$C404,$D$5:$D404,$D404),"00"),"")))</f>
        <v/>
      </c>
      <c r="M404" s="21"/>
      <c r="N404" s="15"/>
      <c r="O404" s="21"/>
    </row>
  </sheetData>
  <autoFilter ref="A4:O404"/>
  <mergeCells count="6">
    <mergeCell ref="A1:I1"/>
    <mergeCell ref="J1:O1"/>
    <mergeCell ref="A2:D2"/>
    <mergeCell ref="J2:O2"/>
    <mergeCell ref="A3:D3"/>
    <mergeCell ref="J3:O3"/>
  </mergeCells>
  <conditionalFormatting sqref="B5:B404">
    <cfRule type="expression" priority="2" aboveAverage="0" equalAverage="0" bottom="0" percent="0" rank="0" text="" dxfId="19">
      <formula>AND($E5&lt;&gt;"",$B5="")</formula>
    </cfRule>
  </conditionalFormatting>
  <conditionalFormatting sqref="F5:H404">
    <cfRule type="expression" priority="3" aboveAverage="0" equalAverage="0" bottom="0" percent="0" rank="0" text="" dxfId="20">
      <formula>F5="取消"</formula>
    </cfRule>
  </conditionalFormatting>
  <conditionalFormatting sqref="G5:G404">
    <cfRule type="expression" priority="4" aboveAverage="0" equalAverage="0" bottom="0" percent="0" rank="0" text="" dxfId="21">
      <formula>AND($G5&lt;&gt;"",$G5&lt;&gt;"取消",$G5=$F5)</formula>
    </cfRule>
  </conditionalFormatting>
  <conditionalFormatting sqref="H5:H404">
    <cfRule type="expression" priority="5" aboveAverage="0" equalAverage="0" bottom="0" percent="0" rank="0" text="" dxfId="21">
      <formula>AND($H5&lt;&gt;"",$H5&lt;&gt;"取消",OR($H5=$F5,$H5=$G5))</formula>
    </cfRule>
  </conditionalFormatting>
  <conditionalFormatting sqref="I5:I404">
    <cfRule type="expression" priority="6" aboveAverage="0" equalAverage="0" bottom="0" percent="0" rank="0" text="" dxfId="22">
      <formula>$K5="跟进中"</formula>
    </cfRule>
    <cfRule type="expression" priority="7" aboveAverage="0" equalAverage="0" bottom="0" percent="0" rank="0" text="" dxfId="23">
      <formula>$K5="需另约时间"</formula>
    </cfRule>
  </conditionalFormatting>
  <conditionalFormatting sqref="J5:J404">
    <cfRule type="expression" priority="8" aboveAverage="0" equalAverage="0" bottom="0" percent="0" rank="0" text="" dxfId="21">
      <formula>$J5="优先1"</formula>
    </cfRule>
    <cfRule type="expression" priority="9" aboveAverage="0" equalAverage="0" bottom="0" percent="0" rank="0" text="" dxfId="24">
      <formula>$J5="优先2"</formula>
    </cfRule>
    <cfRule type="expression" priority="10" aboveAverage="0" equalAverage="0" bottom="0" percent="0" rank="0" text="" dxfId="25">
      <formula>$J5="优先3"</formula>
    </cfRule>
    <cfRule type="expression" priority="11" aboveAverage="0" equalAverage="0" bottom="0" percent="0" rank="0" text="" dxfId="26">
      <formula>$J5="优先4"</formula>
    </cfRule>
    <cfRule type="expression" priority="12" aboveAverage="0" equalAverage="0" bottom="0" percent="0" rank="0" text="" dxfId="27">
      <formula>$J5="优先5"</formula>
    </cfRule>
    <cfRule type="expression" priority="13" aboveAverage="0" equalAverage="0" bottom="0" percent="0" rank="0" text="" dxfId="28">
      <formula>$J5="优先6"</formula>
    </cfRule>
  </conditionalFormatting>
  <conditionalFormatting sqref="K5:K404">
    <cfRule type="expression" priority="14" aboveAverage="0" equalAverage="0" bottom="0" percent="0" rank="0" text="" dxfId="29">
      <formula>$K5="已完成"</formula>
    </cfRule>
    <cfRule type="expression" priority="15" aboveAverage="0" equalAverage="0" bottom="0" percent="0" rank="0" text="" dxfId="30">
      <formula>$K5="跟进中"</formula>
    </cfRule>
    <cfRule type="expression" priority="16" aboveAverage="0" equalAverage="0" bottom="0" percent="0" rank="0" text="" dxfId="31">
      <formula>$K5="需另约时间"</formula>
    </cfRule>
  </conditionalFormatting>
  <conditionalFormatting sqref="L5:L404">
    <cfRule type="expression" priority="17" aboveAverage="0" equalAverage="0" bottom="0" percent="0" rank="0" text="" dxfId="30">
      <formula>LEFT($L5,2)="待补"</formula>
    </cfRule>
    <cfRule type="expression" priority="18" aboveAverage="0" equalAverage="0" bottom="0" percent="0" rank="0" text="" dxfId="33">
      <formula>AND($L5&lt;&gt;"",COUNTIFS($C$5:$C5,$C5,$D$5:$D5,$D5)&gt;1)</formula>
    </cfRule>
  </conditionalFormatting>
  <conditionalFormatting sqref="N5:N404">
    <cfRule type="expression" priority="19" aboveAverage="0" equalAverage="0" bottom="0" percent="0" rank="0" text="" dxfId="34">
      <formula>$N5="非常满意"</formula>
    </cfRule>
    <cfRule type="expression" priority="20" aboveAverage="0" equalAverage="0" bottom="0" percent="0" rank="0" text="" dxfId="35">
      <formula>$N5="满意"</formula>
    </cfRule>
    <cfRule type="expression" priority="21" aboveAverage="0" equalAverage="0" bottom="0" percent="0" rank="0" text="" dxfId="30">
      <formula>$N5="一般"</formula>
    </cfRule>
    <cfRule type="expression" priority="22" aboveAverage="0" equalAverage="0" bottom="0" percent="0" rank="0" text="" dxfId="31">
      <formula>$N5="不满意"</formula>
    </cfRule>
  </conditionalFormatting>
  <conditionalFormatting sqref="A5:O404">
    <cfRule type="expression" priority="23" aboveAverage="0" equalAverage="0" bottom="0" percent="0" rank="0" text="" dxfId="36">
      <formula>AND($E5&lt;&gt;"",MOD(ROW(),2)=0)</formula>
    </cfRule>
  </conditionalFormatting>
  <dataValidations count="6">
    <dataValidation allowBlank="true" errorStyle="stop" operator="between" showDropDown="false" showErrorMessage="true" showInputMessage="false" sqref="C5:C404" type="list">
      <formula1>"1栋,2栋,3栋,4栋,5栋,6栋,7栋,8栋,9栋,10栋,11栋,公共区域"</formula1>
      <formula2>0</formula2>
    </dataValidation>
    <dataValidation allowBlank="true" errorStyle="stop" operator="between" showDropDown="false" showErrorMessage="true" showInputMessage="false" sqref="J5:J404" type="list">
      <formula1>"优先1,优先2,优先3,优先4,优先5,优先6"</formula1>
      <formula2>0</formula2>
    </dataValidation>
    <dataValidation allowBlank="true" errorStyle="stop" operator="between" showDropDown="false" showErrorMessage="true" showInputMessage="false" sqref="K5:K404" type="list">
      <formula1>"跟进中,已完成,需另约时间"</formula1>
      <formula2>0</formula2>
    </dataValidation>
    <dataValidation allowBlank="true" error="本列为自动生成编号，手工输入会覆盖公式。确定仍要输入吗？" errorStyle="warning" errorTitle="请勿手工输入" operator="between" prompt="编号规则：楼栋-位置-月日&#10;例 3-货梯-0730 ＝ 3栋货梯 / 上门时间 7月30日；公共区域以「公」开头。&#10;本列公式自动出号，填好「报修日期」「楼栋」「位置」即生成，请勿手工输入。" promptTitle="单据编号（自动生成）" showDropDown="false" showErrorMessage="true" showInputMessage="true" sqref="L5:L404" type="custom">
      <formula1>FALSE()</formula1>
      <formula2>0</formula2>
    </dataValidation>
    <dataValidation allowBlank="true" errorStyle="stop" operator="between" showDropDown="false" showErrorMessage="true" showInputMessage="false" sqref="N5:N404" type="list">
      <formula1>"非常满意,满意,一般,不满意"</formula1>
      <formula2>0</formula2>
    </dataValidation>
    <dataValidation allowBlank="true" error="请输入日期，例如 2026-08-07" errorStyle="stop" errorTitle="报修日期" operator="greaterThan" showDropDown="false" showErrorMessage="true" showInputMessage="false" sqref="B5:B404" type="date">
      <formula1>DATE(2020,1,1)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&amp;K6b7785单据编号规则：楼栋-房号（位置）-月日，同一户再次报修加序号，例 8-2001-0807-02&amp;C&amp;8 &amp;K6b7785&amp;A&amp;R&amp;8 &amp;K6b7785第 &amp;P 页 / 共 &amp;N 页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378"/>
    <pageSetUpPr fitToPage="true"/>
  </sheetPr>
  <dimension ref="A1:P1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1" activePane="bottomLeft" state="frozen"/>
      <selection pane="topLeft" activeCell="A1" activeCellId="0" sqref="A1"/>
      <selection pane="bottomLeft" activeCell="G50" activeCellId="0" sqref="G50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16" min="3" style="1" width="10.51"/>
    <col collapsed="false" customWidth="true" hidden="false" outlineLevel="0" max="17" min="17" style="1" width="3"/>
  </cols>
  <sheetData>
    <row r="1" customFormat="false" ht="33.75" hidden="false" customHeight="true" outlineLevel="0" collapsed="false">
      <c r="A1" s="27" t="s">
        <v>429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2" customFormat="false" ht="30" hidden="false" customHeight="true" outlineLevel="0" collapsed="false">
      <c r="A2" s="7" t="s">
        <v>430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</row>
    <row r="3" customFormat="false" ht="25.5" hidden="false" customHeight="true" outlineLevel="0" collapsed="false">
      <c r="A3" s="28" t="s">
        <v>431</v>
      </c>
      <c r="B3" s="29" t="n">
        <v>46241</v>
      </c>
      <c r="C3" s="7" t="s">
        <v>432</v>
      </c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customFormat="false" ht="7.5" hidden="false" customHeight="true" outlineLevel="0" collapsed="false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</row>
    <row r="5" customFormat="false" ht="27.75" hidden="false" customHeight="true" outlineLevel="0" collapsed="false">
      <c r="A5" s="31" t="s">
        <v>433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</row>
    <row r="6" customFormat="false" ht="21.75" hidden="false" customHeight="true" outlineLevel="0" collapsed="false">
      <c r="A6" s="32" t="str">
        <f aca="false">"当日工单合计　"&amp;TEXT(辅助数据!$BH$1,"yyyy/m/d")&amp;"（周"&amp;MID("一二三四五六日",WEEKDAY(辅助数据!$BH$1,2),1)&amp;"）　工单口径：一张工单计 1 单，可与下方「累计总览」直接对比"</f>
        <v>当日工单合计　2026/8/7（周五）　工单口径：一张工单计 1 单，可与下方「累计总览」直接对比</v>
      </c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</row>
    <row r="7" customFormat="false" ht="30" hidden="false" customHeight="true" outlineLevel="0" collapsed="false">
      <c r="A7" s="33" t="s">
        <v>434</v>
      </c>
      <c r="B7" s="33" t="s">
        <v>435</v>
      </c>
      <c r="C7" s="33" t="s">
        <v>28</v>
      </c>
      <c r="D7" s="33" t="s">
        <v>36</v>
      </c>
      <c r="E7" s="33" t="s">
        <v>436</v>
      </c>
      <c r="F7" s="33" t="s">
        <v>437</v>
      </c>
      <c r="G7" s="33" t="s">
        <v>30</v>
      </c>
      <c r="H7" s="33" t="s">
        <v>48</v>
      </c>
      <c r="I7" s="33" t="s">
        <v>53</v>
      </c>
      <c r="J7" s="33" t="s">
        <v>438</v>
      </c>
      <c r="K7" s="33" t="s">
        <v>439</v>
      </c>
      <c r="L7" s="33" t="s">
        <v>440</v>
      </c>
      <c r="M7" s="33" t="s">
        <v>441</v>
      </c>
      <c r="N7" s="33" t="s">
        <v>442</v>
      </c>
      <c r="O7" s="30"/>
      <c r="P7" s="30"/>
    </row>
    <row r="8" customFormat="false" ht="19.5" hidden="false" customHeight="true" outlineLevel="0" collapsed="false">
      <c r="A8" s="34" t="s">
        <v>443</v>
      </c>
      <c r="B8" s="35" t="n">
        <f aca="false">COUNTIFS(入户维修!$E$5:$E$404,"?*",入户维修!$B$5:$B$404,"&gt;="&amp;辅助数据!$BH$1,入户维修!$B$5:$B$404,"&lt;="&amp;辅助数据!$BI$1)+COUNTIFS(公区维修!$E$5:$E$404,"?*",公区维修!$B$5:$B$404,"&gt;="&amp;辅助数据!$BH$1,公区维修!$B$5:$B$404,"&lt;="&amp;辅助数据!$BI$1)</f>
        <v>11</v>
      </c>
      <c r="C8" s="35" t="n">
        <f aca="false">COUNTIFS(入户维修!$K$5:$K$404,"已完成",入户维修!$B$5:$B$404,"&gt;="&amp;辅助数据!$BH$1,入户维修!$B$5:$B$404,"&lt;="&amp;辅助数据!$BI$1)+COUNTIFS(公区维修!$K$5:$K$404,"已完成",公区维修!$B$5:$B$404,"&gt;="&amp;辅助数据!$BH$1,公区维修!$B$5:$B$404,"&lt;="&amp;辅助数据!$BI$1)</f>
        <v>10</v>
      </c>
      <c r="D8" s="35" t="n">
        <f aca="false">COUNTIFS(入户维修!$K$5:$K$404,"跟进中",入户维修!$B$5:$B$404,"&gt;="&amp;辅助数据!$BH$1,入户维修!$B$5:$B$404,"&lt;="&amp;辅助数据!$BI$1)+COUNTIFS(公区维修!$K$5:$K$404,"跟进中",公区维修!$B$5:$B$404,"&gt;="&amp;辅助数据!$BH$1,公区维修!$B$5:$B$404,"&lt;="&amp;辅助数据!$BI$1)</f>
        <v>1</v>
      </c>
      <c r="E8" s="35" t="n">
        <f aca="false">COUNTIFS(入户维修!$K$5:$K$404,"需另约时间",入户维修!$B$5:$B$404,"&gt;="&amp;辅助数据!$BH$1,入户维修!$B$5:$B$404,"&lt;="&amp;辅助数据!$BI$1)+COUNTIFS(公区维修!$K$5:$K$404,"需另约时间",公区维修!$B$5:$B$404,"&gt;="&amp;辅助数据!$BH$1,公区维修!$B$5:$B$404,"&lt;="&amp;辅助数据!$BI$1)</f>
        <v>0</v>
      </c>
      <c r="F8" s="36" t="n">
        <f aca="false">IFERROR($C8/$B8,"")</f>
        <v>0.909090909090909</v>
      </c>
      <c r="G8" s="35" t="n">
        <f aca="false">COUNTIFS(入户维修!$O$5:$O$404,"非常满意",入户维修!$B$5:$B$404,"&gt;="&amp;辅助数据!$BH$1,入户维修!$B$5:$B$404,"&lt;="&amp;辅助数据!$BI$1)+COUNTIFS(公区维修!$N$5:$N$404,"非常满意",公区维修!$B$5:$B$404,"&gt;="&amp;辅助数据!$BH$1,公区维修!$B$5:$B$404,"&lt;="&amp;辅助数据!$BI$1)</f>
        <v>9</v>
      </c>
      <c r="H8" s="35" t="n">
        <f aca="false">COUNTIFS(入户维修!$O$5:$O$404,"满意",入户维修!$B$5:$B$404,"&gt;="&amp;辅助数据!$BH$1,入户维修!$B$5:$B$404,"&lt;="&amp;辅助数据!$BI$1)+COUNTIFS(公区维修!$N$5:$N$404,"满意",公区维修!$B$5:$B$404,"&gt;="&amp;辅助数据!$BH$1,公区维修!$B$5:$B$404,"&lt;="&amp;辅助数据!$BI$1)</f>
        <v>1</v>
      </c>
      <c r="I8" s="35" t="n">
        <f aca="false">COUNTIFS(入户维修!$O$5:$O$404,"一般",入户维修!$B$5:$B$404,"&gt;="&amp;辅助数据!$BH$1,入户维修!$B$5:$B$404,"&lt;="&amp;辅助数据!$BI$1)+COUNTIFS(公区维修!$N$5:$N$404,"一般",公区维修!$B$5:$B$404,"&gt;="&amp;辅助数据!$BH$1,公区维修!$B$5:$B$404,"&lt;="&amp;辅助数据!$BI$1)</f>
        <v>0</v>
      </c>
      <c r="J8" s="35" t="n">
        <f aca="false">COUNTIFS(入户维修!$O$5:$O$404,"不满意",入户维修!$B$5:$B$404,"&gt;="&amp;辅助数据!$BH$1,入户维修!$B$5:$B$404,"&lt;="&amp;辅助数据!$BI$1)+COUNTIFS(公区维修!$N$5:$N$404,"不满意",公区维修!$B$5:$B$404,"&gt;="&amp;辅助数据!$BH$1,公区维修!$B$5:$B$404,"&lt;="&amp;辅助数据!$BI$1)</f>
        <v>0</v>
      </c>
      <c r="K8" s="35" t="n">
        <f aca="false">SUM($G8:$J8)</f>
        <v>10</v>
      </c>
      <c r="L8" s="36" t="n">
        <f aca="false">IFERROR(($G8+$H8)/$K8,"")</f>
        <v>1</v>
      </c>
      <c r="M8" s="35" t="n">
        <f aca="false">IF($C8-$K8&gt;0,$C8-$K8,0)</f>
        <v>0</v>
      </c>
      <c r="N8" s="35" t="n">
        <f aca="false">$B8-$C8-$D8-$E8</f>
        <v>0</v>
      </c>
      <c r="O8" s="30"/>
      <c r="P8" s="30"/>
    </row>
    <row r="9" customFormat="false" ht="21.75" hidden="false" customHeight="true" outlineLevel="0" collapsed="false">
      <c r="A9" s="32" t="s">
        <v>444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</row>
    <row r="10" customFormat="false" ht="30" hidden="false" customHeight="true" outlineLevel="0" collapsed="false">
      <c r="A10" s="33" t="s">
        <v>445</v>
      </c>
      <c r="B10" s="33" t="s">
        <v>446</v>
      </c>
      <c r="C10" s="33" t="s">
        <v>28</v>
      </c>
      <c r="D10" s="33" t="s">
        <v>36</v>
      </c>
      <c r="E10" s="33" t="s">
        <v>436</v>
      </c>
      <c r="F10" s="33" t="s">
        <v>437</v>
      </c>
      <c r="G10" s="33" t="s">
        <v>30</v>
      </c>
      <c r="H10" s="33" t="s">
        <v>48</v>
      </c>
      <c r="I10" s="33" t="s">
        <v>53</v>
      </c>
      <c r="J10" s="33" t="s">
        <v>438</v>
      </c>
      <c r="K10" s="33" t="s">
        <v>439</v>
      </c>
      <c r="L10" s="33" t="s">
        <v>440</v>
      </c>
      <c r="M10" s="33" t="s">
        <v>441</v>
      </c>
      <c r="N10" s="33" t="s">
        <v>447</v>
      </c>
      <c r="O10" s="30"/>
      <c r="P10" s="30"/>
    </row>
    <row r="11" customFormat="false" ht="19.5" hidden="false" customHeight="true" outlineLevel="0" collapsed="false">
      <c r="A11" s="34" t="str">
        <f aca="false">辅助数据!$A$1</f>
        <v>张师傅</v>
      </c>
      <c r="B11" s="35" t="n">
        <f aca="false">辅助数据!$BR$1</f>
        <v>8</v>
      </c>
      <c r="C11" s="35" t="n">
        <f aca="false">辅助数据!$BS$1</f>
        <v>8</v>
      </c>
      <c r="D11" s="35" t="n">
        <f aca="false">辅助数据!$BT$1</f>
        <v>0</v>
      </c>
      <c r="E11" s="35" t="n">
        <f aca="false">COUNTIFS(入户维修!$F$5:$F$404,$A11,入户维修!$K$5:$K$404,"需另约时间",入户维修!$B$5:$B$404,"&gt;="&amp;辅助数据!$BH$1,入户维修!$B$5:$B$404,"&lt;="&amp;辅助数据!$BI$1)+COUNTIFS(入户维修!$G$5:$G$404,$A11,入户维修!$K$5:$K$404,"需另约时间",入户维修!$B$5:$B$404,"&gt;="&amp;辅助数据!$BH$1,入户维修!$B$5:$B$404,"&lt;="&amp;辅助数据!$BI$1)+COUNTIFS(入户维修!$H$5:$H$404,$A11,入户维修!$K$5:$K$404,"需另约时间",入户维修!$B$5:$B$404,"&gt;="&amp;辅助数据!$BH$1,入户维修!$B$5:$B$404,"&lt;="&amp;辅助数据!$BI$1)+COUNTIFS(公区维修!$F$5:$F$404,$A11,公区维修!$K$5:$K$404,"需另约时间",公区维修!$B$5:$B$404,"&gt;="&amp;辅助数据!$BH$1,公区维修!$B$5:$B$404,"&lt;="&amp;辅助数据!$BI$1)+COUNTIFS(公区维修!$G$5:$G$404,$A11,公区维修!$K$5:$K$404,"需另约时间",公区维修!$B$5:$B$404,"&gt;="&amp;辅助数据!$BH$1,公区维修!$B$5:$B$404,"&lt;="&amp;辅助数据!$BI$1)+COUNTIFS(公区维修!$H$5:$H$404,$A11,公区维修!$K$5:$K$404,"需另约时间",公区维修!$B$5:$B$404,"&gt;="&amp;辅助数据!$BH$1,公区维修!$B$5:$B$404,"&lt;="&amp;辅助数据!$BI$1)</f>
        <v>0</v>
      </c>
      <c r="F11" s="36" t="n">
        <f aca="false">IFERROR($C11/$B11,"")</f>
        <v>1</v>
      </c>
      <c r="G11" s="35" t="n">
        <f aca="false">辅助数据!$BU$1</f>
        <v>8</v>
      </c>
      <c r="H11" s="35" t="n">
        <f aca="false">辅助数据!$BV$1</f>
        <v>0</v>
      </c>
      <c r="I11" s="35" t="n">
        <f aca="false">辅助数据!$BW$1</f>
        <v>0</v>
      </c>
      <c r="J11" s="35" t="n">
        <f aca="false">辅助数据!$BX$1</f>
        <v>0</v>
      </c>
      <c r="K11" s="35" t="n">
        <f aca="false">辅助数据!$BY$1</f>
        <v>8</v>
      </c>
      <c r="L11" s="36" t="n">
        <f aca="false">IFERROR(($G11+$H11)/$K11,"")</f>
        <v>1</v>
      </c>
      <c r="M11" s="35" t="n">
        <f aca="false">IF($C11-$K11&gt;0,$C11-$K11,0)</f>
        <v>0</v>
      </c>
      <c r="N11" s="18" t="str">
        <f aca="false">IF(辅助数据!$BN$1=1,"休息中",IF(辅助数据!$B$1=1,"在岗施工","空闲"))</f>
        <v>休息中</v>
      </c>
      <c r="O11" s="30"/>
      <c r="P11" s="30"/>
    </row>
    <row r="12" customFormat="false" ht="19.5" hidden="false" customHeight="true" outlineLevel="0" collapsed="false">
      <c r="A12" s="34" t="str">
        <f aca="false">辅助数据!$A$2</f>
        <v>李师傅</v>
      </c>
      <c r="B12" s="35" t="n">
        <f aca="false">辅助数据!$BR$2</f>
        <v>2</v>
      </c>
      <c r="C12" s="35" t="n">
        <f aca="false">辅助数据!$BS$2</f>
        <v>2</v>
      </c>
      <c r="D12" s="35" t="n">
        <f aca="false">辅助数据!$BT$2</f>
        <v>0</v>
      </c>
      <c r="E12" s="35" t="n">
        <f aca="false">COUNTIFS(入户维修!$F$5:$F$404,$A12,入户维修!$K$5:$K$404,"需另约时间",入户维修!$B$5:$B$404,"&gt;="&amp;辅助数据!$BH$1,入户维修!$B$5:$B$404,"&lt;="&amp;辅助数据!$BI$1)+COUNTIFS(入户维修!$G$5:$G$404,$A12,入户维修!$K$5:$K$404,"需另约时间",入户维修!$B$5:$B$404,"&gt;="&amp;辅助数据!$BH$1,入户维修!$B$5:$B$404,"&lt;="&amp;辅助数据!$BI$1)+COUNTIFS(入户维修!$H$5:$H$404,$A12,入户维修!$K$5:$K$404,"需另约时间",入户维修!$B$5:$B$404,"&gt;="&amp;辅助数据!$BH$1,入户维修!$B$5:$B$404,"&lt;="&amp;辅助数据!$BI$1)+COUNTIFS(公区维修!$F$5:$F$404,$A12,公区维修!$K$5:$K$404,"需另约时间",公区维修!$B$5:$B$404,"&gt;="&amp;辅助数据!$BH$1,公区维修!$B$5:$B$404,"&lt;="&amp;辅助数据!$BI$1)+COUNTIFS(公区维修!$G$5:$G$404,$A12,公区维修!$K$5:$K$404,"需另约时间",公区维修!$B$5:$B$404,"&gt;="&amp;辅助数据!$BH$1,公区维修!$B$5:$B$404,"&lt;="&amp;辅助数据!$BI$1)+COUNTIFS(公区维修!$H$5:$H$404,$A12,公区维修!$K$5:$K$404,"需另约时间",公区维修!$B$5:$B$404,"&gt;="&amp;辅助数据!$BH$1,公区维修!$B$5:$B$404,"&lt;="&amp;辅助数据!$BI$1)</f>
        <v>0</v>
      </c>
      <c r="F12" s="36" t="n">
        <f aca="false">IFERROR($C12/$B12,"")</f>
        <v>1</v>
      </c>
      <c r="G12" s="35" t="n">
        <f aca="false">辅助数据!$BU$2</f>
        <v>1</v>
      </c>
      <c r="H12" s="35" t="n">
        <f aca="false">辅助数据!$BV$2</f>
        <v>1</v>
      </c>
      <c r="I12" s="35" t="n">
        <f aca="false">辅助数据!$BW$2</f>
        <v>0</v>
      </c>
      <c r="J12" s="35" t="n">
        <f aca="false">辅助数据!$BX$2</f>
        <v>0</v>
      </c>
      <c r="K12" s="35" t="n">
        <f aca="false">辅助数据!$BY$2</f>
        <v>2</v>
      </c>
      <c r="L12" s="36" t="n">
        <f aca="false">IFERROR(($G12+$H12)/$K12,"")</f>
        <v>1</v>
      </c>
      <c r="M12" s="35" t="n">
        <f aca="false">IF($C12-$K12&gt;0,$C12-$K12,0)</f>
        <v>0</v>
      </c>
      <c r="N12" s="18" t="str">
        <f aca="false">IF(辅助数据!$BN$2=1,"休息中",IF(辅助数据!$B$2=1,"在岗施工","空闲"))</f>
        <v>在岗施工</v>
      </c>
      <c r="O12" s="30"/>
      <c r="P12" s="30"/>
    </row>
    <row r="13" customFormat="false" ht="19.5" hidden="false" customHeight="true" outlineLevel="0" collapsed="false">
      <c r="A13" s="34" t="str">
        <f aca="false">辅助数据!$A$3</f>
        <v>王师傅</v>
      </c>
      <c r="B13" s="35" t="n">
        <f aca="false">辅助数据!$BR$3</f>
        <v>0</v>
      </c>
      <c r="C13" s="35" t="n">
        <f aca="false">辅助数据!$BS$3</f>
        <v>0</v>
      </c>
      <c r="D13" s="35" t="n">
        <f aca="false">辅助数据!$BT$3</f>
        <v>0</v>
      </c>
      <c r="E13" s="35" t="n">
        <f aca="false">COUNTIFS(入户维修!$F$5:$F$404,$A13,入户维修!$K$5:$K$404,"需另约时间",入户维修!$B$5:$B$404,"&gt;="&amp;辅助数据!$BH$1,入户维修!$B$5:$B$404,"&lt;="&amp;辅助数据!$BI$1)+COUNTIFS(入户维修!$G$5:$G$404,$A13,入户维修!$K$5:$K$404,"需另约时间",入户维修!$B$5:$B$404,"&gt;="&amp;辅助数据!$BH$1,入户维修!$B$5:$B$404,"&lt;="&amp;辅助数据!$BI$1)+COUNTIFS(入户维修!$H$5:$H$404,$A13,入户维修!$K$5:$K$404,"需另约时间",入户维修!$B$5:$B$404,"&gt;="&amp;辅助数据!$BH$1,入户维修!$B$5:$B$404,"&lt;="&amp;辅助数据!$BI$1)+COUNTIFS(公区维修!$F$5:$F$404,$A13,公区维修!$K$5:$K$404,"需另约时间",公区维修!$B$5:$B$404,"&gt;="&amp;辅助数据!$BH$1,公区维修!$B$5:$B$404,"&lt;="&amp;辅助数据!$BI$1)+COUNTIFS(公区维修!$G$5:$G$404,$A13,公区维修!$K$5:$K$404,"需另约时间",公区维修!$B$5:$B$404,"&gt;="&amp;辅助数据!$BH$1,公区维修!$B$5:$B$404,"&lt;="&amp;辅助数据!$BI$1)+COUNTIFS(公区维修!$H$5:$H$404,$A13,公区维修!$K$5:$K$404,"需另约时间",公区维修!$B$5:$B$404,"&gt;="&amp;辅助数据!$BH$1,公区维修!$B$5:$B$404,"&lt;="&amp;辅助数据!$BI$1)</f>
        <v>0</v>
      </c>
      <c r="F13" s="36" t="str">
        <f aca="false">IFERROR($C13/$B13,"")</f>
        <v/>
      </c>
      <c r="G13" s="35" t="n">
        <f aca="false">辅助数据!$BU$3</f>
        <v>0</v>
      </c>
      <c r="H13" s="35" t="n">
        <f aca="false">辅助数据!$BV$3</f>
        <v>0</v>
      </c>
      <c r="I13" s="35" t="n">
        <f aca="false">辅助数据!$BW$3</f>
        <v>0</v>
      </c>
      <c r="J13" s="35" t="n">
        <f aca="false">辅助数据!$BX$3</f>
        <v>0</v>
      </c>
      <c r="K13" s="35" t="n">
        <f aca="false">辅助数据!$BY$3</f>
        <v>0</v>
      </c>
      <c r="L13" s="36" t="str">
        <f aca="false">IFERROR(($G13+$H13)/$K13,"")</f>
        <v/>
      </c>
      <c r="M13" s="35" t="n">
        <f aca="false">IF($C13-$K13&gt;0,$C13-$K13,0)</f>
        <v>0</v>
      </c>
      <c r="N13" s="18" t="str">
        <f aca="false">IF(辅助数据!$BN$3=1,"休息中",IF(辅助数据!$B$3=1,"在岗施工","空闲"))</f>
        <v>在岗施工</v>
      </c>
      <c r="O13" s="30"/>
      <c r="P13" s="30"/>
    </row>
    <row r="14" customFormat="false" ht="19.5" hidden="false" customHeight="true" outlineLevel="0" collapsed="false">
      <c r="A14" s="34" t="str">
        <f aca="false">辅助数据!$A$4</f>
        <v>陈师傅</v>
      </c>
      <c r="B14" s="35" t="n">
        <f aca="false">辅助数据!$BR$4</f>
        <v>1</v>
      </c>
      <c r="C14" s="35" t="n">
        <f aca="false">辅助数据!$BS$4</f>
        <v>0</v>
      </c>
      <c r="D14" s="35" t="n">
        <f aca="false">辅助数据!$BT$4</f>
        <v>1</v>
      </c>
      <c r="E14" s="35" t="n">
        <f aca="false">COUNTIFS(入户维修!$F$5:$F$404,$A14,入户维修!$K$5:$K$404,"需另约时间",入户维修!$B$5:$B$404,"&gt;="&amp;辅助数据!$BH$1,入户维修!$B$5:$B$404,"&lt;="&amp;辅助数据!$BI$1)+COUNTIFS(入户维修!$G$5:$G$404,$A14,入户维修!$K$5:$K$404,"需另约时间",入户维修!$B$5:$B$404,"&gt;="&amp;辅助数据!$BH$1,入户维修!$B$5:$B$404,"&lt;="&amp;辅助数据!$BI$1)+COUNTIFS(入户维修!$H$5:$H$404,$A14,入户维修!$K$5:$K$404,"需另约时间",入户维修!$B$5:$B$404,"&gt;="&amp;辅助数据!$BH$1,入户维修!$B$5:$B$404,"&lt;="&amp;辅助数据!$BI$1)+COUNTIFS(公区维修!$F$5:$F$404,$A14,公区维修!$K$5:$K$404,"需另约时间",公区维修!$B$5:$B$404,"&gt;="&amp;辅助数据!$BH$1,公区维修!$B$5:$B$404,"&lt;="&amp;辅助数据!$BI$1)+COUNTIFS(公区维修!$G$5:$G$404,$A14,公区维修!$K$5:$K$404,"需另约时间",公区维修!$B$5:$B$404,"&gt;="&amp;辅助数据!$BH$1,公区维修!$B$5:$B$404,"&lt;="&amp;辅助数据!$BI$1)+COUNTIFS(公区维修!$H$5:$H$404,$A14,公区维修!$K$5:$K$404,"需另约时间",公区维修!$B$5:$B$404,"&gt;="&amp;辅助数据!$BH$1,公区维修!$B$5:$B$404,"&lt;="&amp;辅助数据!$BI$1)</f>
        <v>0</v>
      </c>
      <c r="F14" s="36" t="n">
        <f aca="false">IFERROR($C14/$B14,"")</f>
        <v>0</v>
      </c>
      <c r="G14" s="35" t="n">
        <f aca="false">辅助数据!$BU$4</f>
        <v>0</v>
      </c>
      <c r="H14" s="35" t="n">
        <f aca="false">辅助数据!$BV$4</f>
        <v>0</v>
      </c>
      <c r="I14" s="35" t="n">
        <f aca="false">辅助数据!$BW$4</f>
        <v>0</v>
      </c>
      <c r="J14" s="35" t="n">
        <f aca="false">辅助数据!$BX$4</f>
        <v>0</v>
      </c>
      <c r="K14" s="35" t="n">
        <f aca="false">辅助数据!$BY$4</f>
        <v>0</v>
      </c>
      <c r="L14" s="36" t="str">
        <f aca="false">IFERROR(($G14+$H14)/$K14,"")</f>
        <v/>
      </c>
      <c r="M14" s="35" t="n">
        <f aca="false">IF($C14-$K14&gt;0,$C14-$K14,0)</f>
        <v>0</v>
      </c>
      <c r="N14" s="18" t="str">
        <f aca="false">IF(辅助数据!$BN$4=1,"休息中",IF(辅助数据!$B$4=1,"在岗施工","空闲"))</f>
        <v>在岗施工</v>
      </c>
      <c r="O14" s="30"/>
      <c r="P14" s="30"/>
    </row>
    <row r="15" customFormat="false" ht="19.5" hidden="false" customHeight="true" outlineLevel="0" collapsed="false">
      <c r="A15" s="34" t="str">
        <f aca="false">辅助数据!$A$5</f>
        <v>刘师傅</v>
      </c>
      <c r="B15" s="35" t="n">
        <f aca="false">辅助数据!$BR$5</f>
        <v>0</v>
      </c>
      <c r="C15" s="35" t="n">
        <f aca="false">辅助数据!$BS$5</f>
        <v>0</v>
      </c>
      <c r="D15" s="35" t="n">
        <f aca="false">辅助数据!$BT$5</f>
        <v>0</v>
      </c>
      <c r="E15" s="35" t="n">
        <f aca="false">COUNTIFS(入户维修!$F$5:$F$404,$A15,入户维修!$K$5:$K$404,"需另约时间",入户维修!$B$5:$B$404,"&gt;="&amp;辅助数据!$BH$1,入户维修!$B$5:$B$404,"&lt;="&amp;辅助数据!$BI$1)+COUNTIFS(入户维修!$G$5:$G$404,$A15,入户维修!$K$5:$K$404,"需另约时间",入户维修!$B$5:$B$404,"&gt;="&amp;辅助数据!$BH$1,入户维修!$B$5:$B$404,"&lt;="&amp;辅助数据!$BI$1)+COUNTIFS(入户维修!$H$5:$H$404,$A15,入户维修!$K$5:$K$404,"需另约时间",入户维修!$B$5:$B$404,"&gt;="&amp;辅助数据!$BH$1,入户维修!$B$5:$B$404,"&lt;="&amp;辅助数据!$BI$1)+COUNTIFS(公区维修!$F$5:$F$404,$A15,公区维修!$K$5:$K$404,"需另约时间",公区维修!$B$5:$B$404,"&gt;="&amp;辅助数据!$BH$1,公区维修!$B$5:$B$404,"&lt;="&amp;辅助数据!$BI$1)+COUNTIFS(公区维修!$G$5:$G$404,$A15,公区维修!$K$5:$K$404,"需另约时间",公区维修!$B$5:$B$404,"&gt;="&amp;辅助数据!$BH$1,公区维修!$B$5:$B$404,"&lt;="&amp;辅助数据!$BI$1)+COUNTIFS(公区维修!$H$5:$H$404,$A15,公区维修!$K$5:$K$404,"需另约时间",公区维修!$B$5:$B$404,"&gt;="&amp;辅助数据!$BH$1,公区维修!$B$5:$B$404,"&lt;="&amp;辅助数据!$BI$1)</f>
        <v>0</v>
      </c>
      <c r="F15" s="36" t="str">
        <f aca="false">IFERROR($C15/$B15,"")</f>
        <v/>
      </c>
      <c r="G15" s="35" t="n">
        <f aca="false">辅助数据!$BU$5</f>
        <v>0</v>
      </c>
      <c r="H15" s="35" t="n">
        <f aca="false">辅助数据!$BV$5</f>
        <v>0</v>
      </c>
      <c r="I15" s="35" t="n">
        <f aca="false">辅助数据!$BW$5</f>
        <v>0</v>
      </c>
      <c r="J15" s="35" t="n">
        <f aca="false">辅助数据!$BX$5</f>
        <v>0</v>
      </c>
      <c r="K15" s="35" t="n">
        <f aca="false">辅助数据!$BY$5</f>
        <v>0</v>
      </c>
      <c r="L15" s="36" t="str">
        <f aca="false">IFERROR(($G15+$H15)/$K15,"")</f>
        <v/>
      </c>
      <c r="M15" s="35" t="n">
        <f aca="false">IF($C15-$K15&gt;0,$C15-$K15,0)</f>
        <v>0</v>
      </c>
      <c r="N15" s="18" t="str">
        <f aca="false">IF(辅助数据!$BN$5=1,"休息中",IF(辅助数据!$B$5=1,"在岗施工","空闲"))</f>
        <v>在岗施工</v>
      </c>
      <c r="O15" s="30"/>
      <c r="P15" s="30"/>
    </row>
    <row r="16" customFormat="false" ht="21.75" hidden="false" customHeight="true" outlineLevel="0" collapsed="false">
      <c r="A16" s="37" t="s">
        <v>448</v>
      </c>
      <c r="B16" s="38" t="n">
        <f aca="false">SUM(B11:B15)</f>
        <v>11</v>
      </c>
      <c r="C16" s="38" t="n">
        <f aca="false">SUM(C11:C15)</f>
        <v>10</v>
      </c>
      <c r="D16" s="38" t="n">
        <f aca="false">SUM(D11:D15)</f>
        <v>1</v>
      </c>
      <c r="E16" s="38" t="n">
        <f aca="false">SUM(E11:E15)</f>
        <v>0</v>
      </c>
      <c r="F16" s="39" t="n">
        <f aca="false">IFERROR($C16/$B16,"")</f>
        <v>0.909090909090909</v>
      </c>
      <c r="G16" s="38" t="n">
        <f aca="false">SUM(G11:G15)</f>
        <v>9</v>
      </c>
      <c r="H16" s="38" t="n">
        <f aca="false">SUM(H11:H15)</f>
        <v>1</v>
      </c>
      <c r="I16" s="38" t="n">
        <f aca="false">SUM(I11:I15)</f>
        <v>0</v>
      </c>
      <c r="J16" s="38" t="n">
        <f aca="false">SUM(J11:J15)</f>
        <v>0</v>
      </c>
      <c r="K16" s="38" t="n">
        <f aca="false">SUM(K11:K15)</f>
        <v>10</v>
      </c>
      <c r="L16" s="39" t="n">
        <f aca="false">IFERROR(($G16+$H16)/$K16,"")</f>
        <v>1</v>
      </c>
      <c r="M16" s="38" t="n">
        <f aca="false">SUM(M11:M15)</f>
        <v>0</v>
      </c>
      <c r="N16" s="40" t="str">
        <f aca="false">"在岗 "&amp;COUNTIF($N$11:$N$15,"在岗施工")&amp;" 人"</f>
        <v>在岗 4 人</v>
      </c>
      <c r="O16" s="40" t="str">
        <f aca="false">"休息 "&amp;COUNTIF($N$11:$N$15,"休息中")&amp;" 人"</f>
        <v>休息 1 人</v>
      </c>
      <c r="P16" s="30"/>
    </row>
    <row r="17" customFormat="false" ht="9.75" hidden="false" customHeight="true" outlineLevel="0" collapsed="false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</row>
    <row r="18" customFormat="false" ht="27.75" hidden="false" customHeight="true" outlineLevel="0" collapsed="false">
      <c r="A18" s="31" t="s">
        <v>449</v>
      </c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</row>
    <row r="19" customFormat="false" ht="21.75" hidden="false" customHeight="true" outlineLevel="0" collapsed="false">
      <c r="A19" s="32" t="str">
        <f aca="false">"日榜　"&amp;TEXT(辅助数据!$BH$1,"yyyy/m/d")&amp;" ~ "&amp;TEXT(辅助数据!$BI$1,"yyyy/m/d")&amp;"　（当日）"</f>
        <v>日榜　2026/8/7 ~ 2026/8/7　（当日）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</row>
    <row r="20" customFormat="false" ht="30" hidden="false" customHeight="true" outlineLevel="0" collapsed="false">
      <c r="A20" s="33" t="s">
        <v>450</v>
      </c>
      <c r="B20" s="33" t="s">
        <v>445</v>
      </c>
      <c r="C20" s="33" t="s">
        <v>28</v>
      </c>
      <c r="D20" s="33" t="s">
        <v>36</v>
      </c>
      <c r="E20" s="33" t="s">
        <v>451</v>
      </c>
      <c r="F20" s="33" t="s">
        <v>437</v>
      </c>
      <c r="G20" s="30"/>
      <c r="H20" s="33" t="s">
        <v>450</v>
      </c>
      <c r="I20" s="33" t="s">
        <v>445</v>
      </c>
      <c r="J20" s="33" t="s">
        <v>452</v>
      </c>
      <c r="K20" s="33" t="s">
        <v>440</v>
      </c>
      <c r="L20" s="33" t="s">
        <v>30</v>
      </c>
      <c r="M20" s="33" t="s">
        <v>48</v>
      </c>
      <c r="N20" s="33" t="s">
        <v>53</v>
      </c>
      <c r="O20" s="33" t="s">
        <v>438</v>
      </c>
      <c r="P20" s="33" t="s">
        <v>439</v>
      </c>
    </row>
    <row r="21" customFormat="false" ht="19.5" hidden="false" customHeight="true" outlineLevel="0" collapsed="false">
      <c r="A21" s="41" t="str">
        <f aca="false">IF($E21=0,"未接单","第1名")</f>
        <v>第1名</v>
      </c>
      <c r="B21" s="42" t="str">
        <f aca="false">INDEX(辅助数据!$A$1:$A$5,MATCH(1,辅助数据!$CA$1:$CA$5,0))</f>
        <v>张师傅</v>
      </c>
      <c r="C21" s="35" t="n">
        <f aca="false">INDEX(辅助数据!$BS$1:$BS$5,MATCH(1,辅助数据!$CA$1:$CA$5,0))</f>
        <v>8</v>
      </c>
      <c r="D21" s="35" t="n">
        <f aca="false">INDEX(辅助数据!$BT$1:$BT$5,MATCH(1,辅助数据!$CA$1:$CA$5,0))</f>
        <v>0</v>
      </c>
      <c r="E21" s="35" t="n">
        <f aca="false">INDEX(辅助数据!$BR$1:$BR$5,MATCH(1,辅助数据!$CA$1:$CA$5,0))</f>
        <v>8</v>
      </c>
      <c r="F21" s="36" t="n">
        <f aca="false">IFERROR($C21/$E21,"")</f>
        <v>1</v>
      </c>
      <c r="G21" s="30"/>
      <c r="H21" s="42" t="str">
        <f aca="false">IF($P21=0,"未参评","第1名")</f>
        <v>第1名</v>
      </c>
      <c r="I21" s="42" t="str">
        <f aca="false">INDEX(辅助数据!$A$1:$A$5,MATCH(1,辅助数据!$CC$1:$CC$5,0))</f>
        <v>张师傅</v>
      </c>
      <c r="J21" s="43" t="n">
        <f aca="false">IFERROR(($L21*100+$M21*80+$N21*60)/$P21,"")</f>
        <v>100</v>
      </c>
      <c r="K21" s="36" t="n">
        <f aca="false">IFERROR(($L21+$M21)/$P21,"")</f>
        <v>1</v>
      </c>
      <c r="L21" s="35" t="n">
        <f aca="false">INDEX(辅助数据!$BU$1:$BU$5,MATCH(1,辅助数据!$CC$1:$CC$5,0))</f>
        <v>8</v>
      </c>
      <c r="M21" s="35" t="n">
        <f aca="false">INDEX(辅助数据!$BV$1:$BV$5,MATCH(1,辅助数据!$CC$1:$CC$5,0))</f>
        <v>0</v>
      </c>
      <c r="N21" s="35" t="n">
        <f aca="false">INDEX(辅助数据!$BW$1:$BW$5,MATCH(1,辅助数据!$CC$1:$CC$5,0))</f>
        <v>0</v>
      </c>
      <c r="O21" s="35" t="n">
        <f aca="false">INDEX(辅助数据!$BX$1:$BX$5,MATCH(1,辅助数据!$CC$1:$CC$5,0))</f>
        <v>0</v>
      </c>
      <c r="P21" s="35" t="n">
        <f aca="false">INDEX(辅助数据!$BY$1:$BY$5,MATCH(1,辅助数据!$CC$1:$CC$5,0))</f>
        <v>8</v>
      </c>
    </row>
    <row r="22" customFormat="false" ht="19.5" hidden="false" customHeight="true" outlineLevel="0" collapsed="false">
      <c r="A22" s="41" t="str">
        <f aca="false">IF($E22=0,"未接单","第2名")</f>
        <v>第2名</v>
      </c>
      <c r="B22" s="42" t="str">
        <f aca="false">INDEX(辅助数据!$A$1:$A$5,MATCH(2,辅助数据!$CA$1:$CA$5,0))</f>
        <v>李师傅</v>
      </c>
      <c r="C22" s="35" t="n">
        <f aca="false">INDEX(辅助数据!$BS$1:$BS$5,MATCH(2,辅助数据!$CA$1:$CA$5,0))</f>
        <v>2</v>
      </c>
      <c r="D22" s="35" t="n">
        <f aca="false">INDEX(辅助数据!$BT$1:$BT$5,MATCH(2,辅助数据!$CA$1:$CA$5,0))</f>
        <v>0</v>
      </c>
      <c r="E22" s="35" t="n">
        <f aca="false">INDEX(辅助数据!$BR$1:$BR$5,MATCH(2,辅助数据!$CA$1:$CA$5,0))</f>
        <v>2</v>
      </c>
      <c r="F22" s="36" t="n">
        <f aca="false">IFERROR($C22/$E22,"")</f>
        <v>1</v>
      </c>
      <c r="G22" s="30"/>
      <c r="H22" s="42" t="str">
        <f aca="false">IF($P22=0,"未参评","第2名")</f>
        <v>第2名</v>
      </c>
      <c r="I22" s="42" t="str">
        <f aca="false">INDEX(辅助数据!$A$1:$A$5,MATCH(2,辅助数据!$CC$1:$CC$5,0))</f>
        <v>李师傅</v>
      </c>
      <c r="J22" s="43" t="n">
        <f aca="false">IFERROR(($L22*100+$M22*80+$N22*60)/$P22,"")</f>
        <v>90</v>
      </c>
      <c r="K22" s="36" t="n">
        <f aca="false">IFERROR(($L22+$M22)/$P22,"")</f>
        <v>1</v>
      </c>
      <c r="L22" s="35" t="n">
        <f aca="false">INDEX(辅助数据!$BU$1:$BU$5,MATCH(2,辅助数据!$CC$1:$CC$5,0))</f>
        <v>1</v>
      </c>
      <c r="M22" s="35" t="n">
        <f aca="false">INDEX(辅助数据!$BV$1:$BV$5,MATCH(2,辅助数据!$CC$1:$CC$5,0))</f>
        <v>1</v>
      </c>
      <c r="N22" s="35" t="n">
        <f aca="false">INDEX(辅助数据!$BW$1:$BW$5,MATCH(2,辅助数据!$CC$1:$CC$5,0))</f>
        <v>0</v>
      </c>
      <c r="O22" s="35" t="n">
        <f aca="false">INDEX(辅助数据!$BX$1:$BX$5,MATCH(2,辅助数据!$CC$1:$CC$5,0))</f>
        <v>0</v>
      </c>
      <c r="P22" s="35" t="n">
        <f aca="false">INDEX(辅助数据!$BY$1:$BY$5,MATCH(2,辅助数据!$CC$1:$CC$5,0))</f>
        <v>2</v>
      </c>
    </row>
    <row r="23" customFormat="false" ht="19.5" hidden="false" customHeight="true" outlineLevel="0" collapsed="false">
      <c r="A23" s="41" t="str">
        <f aca="false">IF($E23=0,"未接单","第3名")</f>
        <v>第3名</v>
      </c>
      <c r="B23" s="42" t="str">
        <f aca="false">INDEX(辅助数据!$A$1:$A$5,MATCH(3,辅助数据!$CA$1:$CA$5,0))</f>
        <v>陈师傅</v>
      </c>
      <c r="C23" s="35" t="n">
        <f aca="false">INDEX(辅助数据!$BS$1:$BS$5,MATCH(3,辅助数据!$CA$1:$CA$5,0))</f>
        <v>0</v>
      </c>
      <c r="D23" s="35" t="n">
        <f aca="false">INDEX(辅助数据!$BT$1:$BT$5,MATCH(3,辅助数据!$CA$1:$CA$5,0))</f>
        <v>1</v>
      </c>
      <c r="E23" s="35" t="n">
        <f aca="false">INDEX(辅助数据!$BR$1:$BR$5,MATCH(3,辅助数据!$CA$1:$CA$5,0))</f>
        <v>1</v>
      </c>
      <c r="F23" s="36" t="n">
        <f aca="false">IFERROR($C23/$E23,"")</f>
        <v>0</v>
      </c>
      <c r="G23" s="30"/>
      <c r="H23" s="42" t="str">
        <f aca="false">IF($P23=0,"未参评","第3名")</f>
        <v>未参评</v>
      </c>
      <c r="I23" s="42" t="str">
        <f aca="false">INDEX(辅助数据!$A$1:$A$5,MATCH(3,辅助数据!$CC$1:$CC$5,0))</f>
        <v>王师傅</v>
      </c>
      <c r="J23" s="43" t="str">
        <f aca="false">IFERROR(($L23*100+$M23*80+$N23*60)/$P23,"")</f>
        <v/>
      </c>
      <c r="K23" s="36" t="str">
        <f aca="false">IFERROR(($L23+$M23)/$P23,"")</f>
        <v/>
      </c>
      <c r="L23" s="35" t="n">
        <f aca="false">INDEX(辅助数据!$BU$1:$BU$5,MATCH(3,辅助数据!$CC$1:$CC$5,0))</f>
        <v>0</v>
      </c>
      <c r="M23" s="35" t="n">
        <f aca="false">INDEX(辅助数据!$BV$1:$BV$5,MATCH(3,辅助数据!$CC$1:$CC$5,0))</f>
        <v>0</v>
      </c>
      <c r="N23" s="35" t="n">
        <f aca="false">INDEX(辅助数据!$BW$1:$BW$5,MATCH(3,辅助数据!$CC$1:$CC$5,0))</f>
        <v>0</v>
      </c>
      <c r="O23" s="35" t="n">
        <f aca="false">INDEX(辅助数据!$BX$1:$BX$5,MATCH(3,辅助数据!$CC$1:$CC$5,0))</f>
        <v>0</v>
      </c>
      <c r="P23" s="35" t="n">
        <f aca="false">INDEX(辅助数据!$BY$1:$BY$5,MATCH(3,辅助数据!$CC$1:$CC$5,0))</f>
        <v>0</v>
      </c>
    </row>
    <row r="24" customFormat="false" ht="19.5" hidden="false" customHeight="true" outlineLevel="0" collapsed="false">
      <c r="A24" s="41" t="str">
        <f aca="false">IF($E24=0,"未接单","第4名")</f>
        <v>未接单</v>
      </c>
      <c r="B24" s="42" t="str">
        <f aca="false">INDEX(辅助数据!$A$1:$A$5,MATCH(4,辅助数据!$CA$1:$CA$5,0))</f>
        <v>王师傅</v>
      </c>
      <c r="C24" s="35" t="n">
        <f aca="false">INDEX(辅助数据!$BS$1:$BS$5,MATCH(4,辅助数据!$CA$1:$CA$5,0))</f>
        <v>0</v>
      </c>
      <c r="D24" s="35" t="n">
        <f aca="false">INDEX(辅助数据!$BT$1:$BT$5,MATCH(4,辅助数据!$CA$1:$CA$5,0))</f>
        <v>0</v>
      </c>
      <c r="E24" s="35" t="n">
        <f aca="false">INDEX(辅助数据!$BR$1:$BR$5,MATCH(4,辅助数据!$CA$1:$CA$5,0))</f>
        <v>0</v>
      </c>
      <c r="F24" s="36" t="str">
        <f aca="false">IFERROR($C24/$E24,"")</f>
        <v/>
      </c>
      <c r="G24" s="30"/>
      <c r="H24" s="42" t="str">
        <f aca="false">IF($P24=0,"未参评","第4名")</f>
        <v>未参评</v>
      </c>
      <c r="I24" s="42" t="str">
        <f aca="false">INDEX(辅助数据!$A$1:$A$5,MATCH(4,辅助数据!$CC$1:$CC$5,0))</f>
        <v>陈师傅</v>
      </c>
      <c r="J24" s="43" t="str">
        <f aca="false">IFERROR(($L24*100+$M24*80+$N24*60)/$P24,"")</f>
        <v/>
      </c>
      <c r="K24" s="36" t="str">
        <f aca="false">IFERROR(($L24+$M24)/$P24,"")</f>
        <v/>
      </c>
      <c r="L24" s="35" t="n">
        <f aca="false">INDEX(辅助数据!$BU$1:$BU$5,MATCH(4,辅助数据!$CC$1:$CC$5,0))</f>
        <v>0</v>
      </c>
      <c r="M24" s="35" t="n">
        <f aca="false">INDEX(辅助数据!$BV$1:$BV$5,MATCH(4,辅助数据!$CC$1:$CC$5,0))</f>
        <v>0</v>
      </c>
      <c r="N24" s="35" t="n">
        <f aca="false">INDEX(辅助数据!$BW$1:$BW$5,MATCH(4,辅助数据!$CC$1:$CC$5,0))</f>
        <v>0</v>
      </c>
      <c r="O24" s="35" t="n">
        <f aca="false">INDEX(辅助数据!$BX$1:$BX$5,MATCH(4,辅助数据!$CC$1:$CC$5,0))</f>
        <v>0</v>
      </c>
      <c r="P24" s="35" t="n">
        <f aca="false">INDEX(辅助数据!$BY$1:$BY$5,MATCH(4,辅助数据!$CC$1:$CC$5,0))</f>
        <v>0</v>
      </c>
    </row>
    <row r="25" customFormat="false" ht="19.5" hidden="false" customHeight="true" outlineLevel="0" collapsed="false">
      <c r="A25" s="41" t="str">
        <f aca="false">IF($E25=0,"未接单","第5名")</f>
        <v>未接单</v>
      </c>
      <c r="B25" s="42" t="str">
        <f aca="false">INDEX(辅助数据!$A$1:$A$5,MATCH(5,辅助数据!$CA$1:$CA$5,0))</f>
        <v>刘师傅</v>
      </c>
      <c r="C25" s="35" t="n">
        <f aca="false">INDEX(辅助数据!$BS$1:$BS$5,MATCH(5,辅助数据!$CA$1:$CA$5,0))</f>
        <v>0</v>
      </c>
      <c r="D25" s="35" t="n">
        <f aca="false">INDEX(辅助数据!$BT$1:$BT$5,MATCH(5,辅助数据!$CA$1:$CA$5,0))</f>
        <v>0</v>
      </c>
      <c r="E25" s="35" t="n">
        <f aca="false">INDEX(辅助数据!$BR$1:$BR$5,MATCH(5,辅助数据!$CA$1:$CA$5,0))</f>
        <v>0</v>
      </c>
      <c r="F25" s="36" t="str">
        <f aca="false">IFERROR($C25/$E25,"")</f>
        <v/>
      </c>
      <c r="G25" s="30"/>
      <c r="H25" s="42" t="str">
        <f aca="false">IF($P25=0,"未参评","第5名")</f>
        <v>未参评</v>
      </c>
      <c r="I25" s="42" t="str">
        <f aca="false">INDEX(辅助数据!$A$1:$A$5,MATCH(5,辅助数据!$CC$1:$CC$5,0))</f>
        <v>刘师傅</v>
      </c>
      <c r="J25" s="43" t="str">
        <f aca="false">IFERROR(($L25*100+$M25*80+$N25*60)/$P25,"")</f>
        <v/>
      </c>
      <c r="K25" s="36" t="str">
        <f aca="false">IFERROR(($L25+$M25)/$P25,"")</f>
        <v/>
      </c>
      <c r="L25" s="35" t="n">
        <f aca="false">INDEX(辅助数据!$BU$1:$BU$5,MATCH(5,辅助数据!$CC$1:$CC$5,0))</f>
        <v>0</v>
      </c>
      <c r="M25" s="35" t="n">
        <f aca="false">INDEX(辅助数据!$BV$1:$BV$5,MATCH(5,辅助数据!$CC$1:$CC$5,0))</f>
        <v>0</v>
      </c>
      <c r="N25" s="35" t="n">
        <f aca="false">INDEX(辅助数据!$BW$1:$BW$5,MATCH(5,辅助数据!$CC$1:$CC$5,0))</f>
        <v>0</v>
      </c>
      <c r="O25" s="35" t="n">
        <f aca="false">INDEX(辅助数据!$BX$1:$BX$5,MATCH(5,辅助数据!$CC$1:$CC$5,0))</f>
        <v>0</v>
      </c>
      <c r="P25" s="35" t="n">
        <f aca="false">INDEX(辅助数据!$BY$1:$BY$5,MATCH(5,辅助数据!$CC$1:$CC$5,0))</f>
        <v>0</v>
      </c>
    </row>
    <row r="26" customFormat="false" ht="9.75" hidden="false" customHeight="true" outlineLevel="0" collapsed="false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</row>
    <row r="27" customFormat="false" ht="21.75" hidden="false" customHeight="true" outlineLevel="0" collapsed="false">
      <c r="A27" s="32" t="str">
        <f aca="false">"周榜　"&amp;TEXT(辅助数据!$BH$2,"yyyy/m/d")&amp;" ~ "&amp;TEXT(辅助数据!$BI$2,"yyyy/m/d")&amp;"　（本周）"</f>
        <v>周榜　2026/8/3 ~ 2026/8/9　（本周）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</row>
    <row r="28" customFormat="false" ht="30" hidden="false" customHeight="true" outlineLevel="0" collapsed="false">
      <c r="A28" s="33" t="s">
        <v>450</v>
      </c>
      <c r="B28" s="33" t="s">
        <v>445</v>
      </c>
      <c r="C28" s="33" t="s">
        <v>28</v>
      </c>
      <c r="D28" s="33" t="s">
        <v>36</v>
      </c>
      <c r="E28" s="33" t="s">
        <v>451</v>
      </c>
      <c r="F28" s="33" t="s">
        <v>437</v>
      </c>
      <c r="G28" s="30"/>
      <c r="H28" s="33" t="s">
        <v>450</v>
      </c>
      <c r="I28" s="33" t="s">
        <v>445</v>
      </c>
      <c r="J28" s="33" t="s">
        <v>452</v>
      </c>
      <c r="K28" s="33" t="s">
        <v>440</v>
      </c>
      <c r="L28" s="33" t="s">
        <v>30</v>
      </c>
      <c r="M28" s="33" t="s">
        <v>48</v>
      </c>
      <c r="N28" s="33" t="s">
        <v>53</v>
      </c>
      <c r="O28" s="33" t="s">
        <v>438</v>
      </c>
      <c r="P28" s="33" t="s">
        <v>439</v>
      </c>
    </row>
    <row r="29" customFormat="false" ht="19.5" hidden="false" customHeight="true" outlineLevel="0" collapsed="false">
      <c r="A29" s="41" t="str">
        <f aca="false">IF($E29=0,"未接单","第1名")</f>
        <v>第1名</v>
      </c>
      <c r="B29" s="42" t="str">
        <f aca="false">INDEX(辅助数据!$A$1:$A$5,MATCH(1,辅助数据!$CM$1:$CM$5,0))</f>
        <v>张师傅</v>
      </c>
      <c r="C29" s="35" t="n">
        <f aca="false">INDEX(辅助数据!$CE$1:$CE$5,MATCH(1,辅助数据!$CM$1:$CM$5,0))</f>
        <v>30</v>
      </c>
      <c r="D29" s="35" t="n">
        <f aca="false">INDEX(辅助数据!$CF$1:$CF$5,MATCH(1,辅助数据!$CM$1:$CM$5,0))</f>
        <v>1</v>
      </c>
      <c r="E29" s="35" t="n">
        <f aca="false">INDEX(辅助数据!$CD$1:$CD$5,MATCH(1,辅助数据!$CM$1:$CM$5,0))</f>
        <v>31</v>
      </c>
      <c r="F29" s="36" t="n">
        <f aca="false">IFERROR($C29/$E29,"")</f>
        <v>0.967741935483871</v>
      </c>
      <c r="G29" s="30"/>
      <c r="H29" s="42" t="str">
        <f aca="false">IF($P29=0,"未参评","第1名")</f>
        <v>第1名</v>
      </c>
      <c r="I29" s="42" t="str">
        <f aca="false">INDEX(辅助数据!$A$1:$A$5,MATCH(1,辅助数据!$CO$1:$CO$5,0))</f>
        <v>刘师傅</v>
      </c>
      <c r="J29" s="43" t="n">
        <f aca="false">IFERROR(($L29*100+$M29*80+$N29*60)/$P29,"")</f>
        <v>100</v>
      </c>
      <c r="K29" s="36" t="n">
        <f aca="false">IFERROR(($L29+$M29)/$P29,"")</f>
        <v>1</v>
      </c>
      <c r="L29" s="35" t="n">
        <f aca="false">INDEX(辅助数据!$CG$1:$CG$5,MATCH(1,辅助数据!$CO$1:$CO$5,0))</f>
        <v>2</v>
      </c>
      <c r="M29" s="35" t="n">
        <f aca="false">INDEX(辅助数据!$CH$1:$CH$5,MATCH(1,辅助数据!$CO$1:$CO$5,0))</f>
        <v>0</v>
      </c>
      <c r="N29" s="35" t="n">
        <f aca="false">INDEX(辅助数据!$CI$1:$CI$5,MATCH(1,辅助数据!$CO$1:$CO$5,0))</f>
        <v>0</v>
      </c>
      <c r="O29" s="35" t="n">
        <f aca="false">INDEX(辅助数据!$CJ$1:$CJ$5,MATCH(1,辅助数据!$CO$1:$CO$5,0))</f>
        <v>0</v>
      </c>
      <c r="P29" s="35" t="n">
        <f aca="false">INDEX(辅助数据!$CK$1:$CK$5,MATCH(1,辅助数据!$CO$1:$CO$5,0))</f>
        <v>2</v>
      </c>
    </row>
    <row r="30" customFormat="false" ht="19.5" hidden="false" customHeight="true" outlineLevel="0" collapsed="false">
      <c r="A30" s="41" t="str">
        <f aca="false">IF($E30=0,"未接单","第2名")</f>
        <v>第2名</v>
      </c>
      <c r="B30" s="42" t="str">
        <f aca="false">INDEX(辅助数据!$A$1:$A$5,MATCH(2,辅助数据!$CM$1:$CM$5,0))</f>
        <v>李师傅</v>
      </c>
      <c r="C30" s="35" t="n">
        <f aca="false">INDEX(辅助数据!$CE$1:$CE$5,MATCH(2,辅助数据!$CM$1:$CM$5,0))</f>
        <v>6</v>
      </c>
      <c r="D30" s="35" t="n">
        <f aca="false">INDEX(辅助数据!$CF$1:$CF$5,MATCH(2,辅助数据!$CM$1:$CM$5,0))</f>
        <v>3</v>
      </c>
      <c r="E30" s="35" t="n">
        <f aca="false">INDEX(辅助数据!$CD$1:$CD$5,MATCH(2,辅助数据!$CM$1:$CM$5,0))</f>
        <v>9</v>
      </c>
      <c r="F30" s="36" t="n">
        <f aca="false">IFERROR($C30/$E30,"")</f>
        <v>0.666666666666667</v>
      </c>
      <c r="G30" s="30"/>
      <c r="H30" s="42" t="str">
        <f aca="false">IF($P30=0,"未参评","第2名")</f>
        <v>第2名</v>
      </c>
      <c r="I30" s="42" t="str">
        <f aca="false">INDEX(辅助数据!$A$1:$A$5,MATCH(2,辅助数据!$CO$1:$CO$5,0))</f>
        <v>张师傅</v>
      </c>
      <c r="J30" s="43" t="n">
        <f aca="false">IFERROR(($L30*100+$M30*80+$N30*60)/$P30,"")</f>
        <v>99.3333333333333</v>
      </c>
      <c r="K30" s="36" t="n">
        <f aca="false">IFERROR(($L30+$M30)/$P30,"")</f>
        <v>1</v>
      </c>
      <c r="L30" s="35" t="n">
        <f aca="false">INDEX(辅助数据!$CG$1:$CG$5,MATCH(2,辅助数据!$CO$1:$CO$5,0))</f>
        <v>29</v>
      </c>
      <c r="M30" s="35" t="n">
        <f aca="false">INDEX(辅助数据!$CH$1:$CH$5,MATCH(2,辅助数据!$CO$1:$CO$5,0))</f>
        <v>1</v>
      </c>
      <c r="N30" s="35" t="n">
        <f aca="false">INDEX(辅助数据!$CI$1:$CI$5,MATCH(2,辅助数据!$CO$1:$CO$5,0))</f>
        <v>0</v>
      </c>
      <c r="O30" s="35" t="n">
        <f aca="false">INDEX(辅助数据!$CJ$1:$CJ$5,MATCH(2,辅助数据!$CO$1:$CO$5,0))</f>
        <v>0</v>
      </c>
      <c r="P30" s="35" t="n">
        <f aca="false">INDEX(辅助数据!$CK$1:$CK$5,MATCH(2,辅助数据!$CO$1:$CO$5,0))</f>
        <v>30</v>
      </c>
    </row>
    <row r="31" customFormat="false" ht="19.5" hidden="false" customHeight="true" outlineLevel="0" collapsed="false">
      <c r="A31" s="41" t="str">
        <f aca="false">IF($E31=0,"未接单","第3名")</f>
        <v>第3名</v>
      </c>
      <c r="B31" s="42" t="str">
        <f aca="false">INDEX(辅助数据!$A$1:$A$5,MATCH(3,辅助数据!$CM$1:$CM$5,0))</f>
        <v>刘师傅</v>
      </c>
      <c r="C31" s="35" t="n">
        <f aca="false">INDEX(辅助数据!$CE$1:$CE$5,MATCH(3,辅助数据!$CM$1:$CM$5,0))</f>
        <v>2</v>
      </c>
      <c r="D31" s="35" t="n">
        <f aca="false">INDEX(辅助数据!$CF$1:$CF$5,MATCH(3,辅助数据!$CM$1:$CM$5,0))</f>
        <v>0</v>
      </c>
      <c r="E31" s="35" t="n">
        <f aca="false">INDEX(辅助数据!$CD$1:$CD$5,MATCH(3,辅助数据!$CM$1:$CM$5,0))</f>
        <v>2</v>
      </c>
      <c r="F31" s="36" t="n">
        <f aca="false">IFERROR($C31/$E31,"")</f>
        <v>1</v>
      </c>
      <c r="G31" s="30"/>
      <c r="H31" s="42" t="str">
        <f aca="false">IF($P31=0,"未参评","第3名")</f>
        <v>第3名</v>
      </c>
      <c r="I31" s="42" t="str">
        <f aca="false">INDEX(辅助数据!$A$1:$A$5,MATCH(3,辅助数据!$CO$1:$CO$5,0))</f>
        <v>李师傅</v>
      </c>
      <c r="J31" s="43" t="n">
        <f aca="false">IFERROR(($L31*100+$M31*80+$N31*60)/$P31,"")</f>
        <v>96.6666666666667</v>
      </c>
      <c r="K31" s="36" t="n">
        <f aca="false">IFERROR(($L31+$M31)/$P31,"")</f>
        <v>1</v>
      </c>
      <c r="L31" s="35" t="n">
        <f aca="false">INDEX(辅助数据!$CG$1:$CG$5,MATCH(3,辅助数据!$CO$1:$CO$5,0))</f>
        <v>5</v>
      </c>
      <c r="M31" s="35" t="n">
        <f aca="false">INDEX(辅助数据!$CH$1:$CH$5,MATCH(3,辅助数据!$CO$1:$CO$5,0))</f>
        <v>1</v>
      </c>
      <c r="N31" s="35" t="n">
        <f aca="false">INDEX(辅助数据!$CI$1:$CI$5,MATCH(3,辅助数据!$CO$1:$CO$5,0))</f>
        <v>0</v>
      </c>
      <c r="O31" s="35" t="n">
        <f aca="false">INDEX(辅助数据!$CJ$1:$CJ$5,MATCH(3,辅助数据!$CO$1:$CO$5,0))</f>
        <v>0</v>
      </c>
      <c r="P31" s="35" t="n">
        <f aca="false">INDEX(辅助数据!$CK$1:$CK$5,MATCH(3,辅助数据!$CO$1:$CO$5,0))</f>
        <v>6</v>
      </c>
    </row>
    <row r="32" customFormat="false" ht="19.5" hidden="false" customHeight="true" outlineLevel="0" collapsed="false">
      <c r="A32" s="41" t="str">
        <f aca="false">IF($E32=0,"未接单","第4名")</f>
        <v>第4名</v>
      </c>
      <c r="B32" s="42" t="str">
        <f aca="false">INDEX(辅助数据!$A$1:$A$5,MATCH(4,辅助数据!$CM$1:$CM$5,0))</f>
        <v>陈师傅</v>
      </c>
      <c r="C32" s="35" t="n">
        <f aca="false">INDEX(辅助数据!$CE$1:$CE$5,MATCH(4,辅助数据!$CM$1:$CM$5,0))</f>
        <v>1</v>
      </c>
      <c r="D32" s="35" t="n">
        <f aca="false">INDEX(辅助数据!$CF$1:$CF$5,MATCH(4,辅助数据!$CM$1:$CM$5,0))</f>
        <v>1</v>
      </c>
      <c r="E32" s="35" t="n">
        <f aca="false">INDEX(辅助数据!$CD$1:$CD$5,MATCH(4,辅助数据!$CM$1:$CM$5,0))</f>
        <v>2</v>
      </c>
      <c r="F32" s="36" t="n">
        <f aca="false">IFERROR($C32/$E32,"")</f>
        <v>0.5</v>
      </c>
      <c r="G32" s="30"/>
      <c r="H32" s="42" t="str">
        <f aca="false">IF($P32=0,"未参评","第4名")</f>
        <v>第4名</v>
      </c>
      <c r="I32" s="42" t="str">
        <f aca="false">INDEX(辅助数据!$A$1:$A$5,MATCH(4,辅助数据!$CO$1:$CO$5,0))</f>
        <v>王师傅</v>
      </c>
      <c r="J32" s="43" t="n">
        <f aca="false">IFERROR(($L32*100+$M32*80+$N32*60)/$P32,"")</f>
        <v>80</v>
      </c>
      <c r="K32" s="36" t="n">
        <f aca="false">IFERROR(($L32+$M32)/$P32,"")</f>
        <v>1</v>
      </c>
      <c r="L32" s="35" t="n">
        <f aca="false">INDEX(辅助数据!$CG$1:$CG$5,MATCH(4,辅助数据!$CO$1:$CO$5,0))</f>
        <v>0</v>
      </c>
      <c r="M32" s="35" t="n">
        <f aca="false">INDEX(辅助数据!$CH$1:$CH$5,MATCH(4,辅助数据!$CO$1:$CO$5,0))</f>
        <v>1</v>
      </c>
      <c r="N32" s="35" t="n">
        <f aca="false">INDEX(辅助数据!$CI$1:$CI$5,MATCH(4,辅助数据!$CO$1:$CO$5,0))</f>
        <v>0</v>
      </c>
      <c r="O32" s="35" t="n">
        <f aca="false">INDEX(辅助数据!$CJ$1:$CJ$5,MATCH(4,辅助数据!$CO$1:$CO$5,0))</f>
        <v>0</v>
      </c>
      <c r="P32" s="35" t="n">
        <f aca="false">INDEX(辅助数据!$CK$1:$CK$5,MATCH(4,辅助数据!$CO$1:$CO$5,0))</f>
        <v>1</v>
      </c>
    </row>
    <row r="33" customFormat="false" ht="19.5" hidden="false" customHeight="true" outlineLevel="0" collapsed="false">
      <c r="A33" s="41" t="str">
        <f aca="false">IF($E33=0,"未接单","第5名")</f>
        <v>第5名</v>
      </c>
      <c r="B33" s="42" t="str">
        <f aca="false">INDEX(辅助数据!$A$1:$A$5,MATCH(5,辅助数据!$CM$1:$CM$5,0))</f>
        <v>王师傅</v>
      </c>
      <c r="C33" s="35" t="n">
        <f aca="false">INDEX(辅助数据!$CE$1:$CE$5,MATCH(5,辅助数据!$CM$1:$CM$5,0))</f>
        <v>1</v>
      </c>
      <c r="D33" s="35" t="n">
        <f aca="false">INDEX(辅助数据!$CF$1:$CF$5,MATCH(5,辅助数据!$CM$1:$CM$5,0))</f>
        <v>0</v>
      </c>
      <c r="E33" s="35" t="n">
        <f aca="false">INDEX(辅助数据!$CD$1:$CD$5,MATCH(5,辅助数据!$CM$1:$CM$5,0))</f>
        <v>1</v>
      </c>
      <c r="F33" s="36" t="n">
        <f aca="false">IFERROR($C33/$E33,"")</f>
        <v>1</v>
      </c>
      <c r="G33" s="30"/>
      <c r="H33" s="42" t="str">
        <f aca="false">IF($P33=0,"未参评","第5名")</f>
        <v>未参评</v>
      </c>
      <c r="I33" s="42" t="str">
        <f aca="false">INDEX(辅助数据!$A$1:$A$5,MATCH(5,辅助数据!$CO$1:$CO$5,0))</f>
        <v>陈师傅</v>
      </c>
      <c r="J33" s="43" t="str">
        <f aca="false">IFERROR(($L33*100+$M33*80+$N33*60)/$P33,"")</f>
        <v/>
      </c>
      <c r="K33" s="36" t="str">
        <f aca="false">IFERROR(($L33+$M33)/$P33,"")</f>
        <v/>
      </c>
      <c r="L33" s="35" t="n">
        <f aca="false">INDEX(辅助数据!$CG$1:$CG$5,MATCH(5,辅助数据!$CO$1:$CO$5,0))</f>
        <v>0</v>
      </c>
      <c r="M33" s="35" t="n">
        <f aca="false">INDEX(辅助数据!$CH$1:$CH$5,MATCH(5,辅助数据!$CO$1:$CO$5,0))</f>
        <v>0</v>
      </c>
      <c r="N33" s="35" t="n">
        <f aca="false">INDEX(辅助数据!$CI$1:$CI$5,MATCH(5,辅助数据!$CO$1:$CO$5,0))</f>
        <v>0</v>
      </c>
      <c r="O33" s="35" t="n">
        <f aca="false">INDEX(辅助数据!$CJ$1:$CJ$5,MATCH(5,辅助数据!$CO$1:$CO$5,0))</f>
        <v>0</v>
      </c>
      <c r="P33" s="35" t="n">
        <f aca="false">INDEX(辅助数据!$CK$1:$CK$5,MATCH(5,辅助数据!$CO$1:$CO$5,0))</f>
        <v>0</v>
      </c>
    </row>
    <row r="34" customFormat="false" ht="9.75" hidden="false" customHeight="true" outlineLevel="0" collapsed="false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</row>
    <row r="35" customFormat="false" ht="21.75" hidden="false" customHeight="true" outlineLevel="0" collapsed="false">
      <c r="A35" s="32" t="str">
        <f aca="false">"月榜　"&amp;TEXT(辅助数据!$BH$3,"yyyy/m/d")&amp;" ~ "&amp;TEXT(辅助数据!$BI$3,"yyyy/m/d")&amp;"　（本月）"</f>
        <v>月榜　2026/8/1 ~ 2026/8/31　（本月）</v>
      </c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</row>
    <row r="36" customFormat="false" ht="30" hidden="false" customHeight="true" outlineLevel="0" collapsed="false">
      <c r="A36" s="33" t="s">
        <v>450</v>
      </c>
      <c r="B36" s="33" t="s">
        <v>445</v>
      </c>
      <c r="C36" s="33" t="s">
        <v>28</v>
      </c>
      <c r="D36" s="33" t="s">
        <v>36</v>
      </c>
      <c r="E36" s="33" t="s">
        <v>451</v>
      </c>
      <c r="F36" s="33" t="s">
        <v>437</v>
      </c>
      <c r="G36" s="30"/>
      <c r="H36" s="33" t="s">
        <v>450</v>
      </c>
      <c r="I36" s="33" t="s">
        <v>445</v>
      </c>
      <c r="J36" s="33" t="s">
        <v>452</v>
      </c>
      <c r="K36" s="33" t="s">
        <v>440</v>
      </c>
      <c r="L36" s="33" t="s">
        <v>30</v>
      </c>
      <c r="M36" s="33" t="s">
        <v>48</v>
      </c>
      <c r="N36" s="33" t="s">
        <v>53</v>
      </c>
      <c r="O36" s="33" t="s">
        <v>438</v>
      </c>
      <c r="P36" s="33" t="s">
        <v>439</v>
      </c>
    </row>
    <row r="37" customFormat="false" ht="19.5" hidden="false" customHeight="true" outlineLevel="0" collapsed="false">
      <c r="A37" s="41" t="str">
        <f aca="false">IF($E37=0,"未接单","第1名")</f>
        <v>第1名</v>
      </c>
      <c r="B37" s="42" t="str">
        <f aca="false">INDEX(辅助数据!$A$1:$A$5,MATCH(1,辅助数据!$CY$1:$CY$5,0))</f>
        <v>张师傅</v>
      </c>
      <c r="C37" s="35" t="n">
        <f aca="false">INDEX(辅助数据!$CQ$1:$CQ$5,MATCH(1,辅助数据!$CY$1:$CY$5,0))</f>
        <v>43</v>
      </c>
      <c r="D37" s="35" t="n">
        <f aca="false">INDEX(辅助数据!$CR$1:$CR$5,MATCH(1,辅助数据!$CY$1:$CY$5,0))</f>
        <v>2</v>
      </c>
      <c r="E37" s="35" t="n">
        <f aca="false">INDEX(辅助数据!$CP$1:$CP$5,MATCH(1,辅助数据!$CY$1:$CY$5,0))</f>
        <v>45</v>
      </c>
      <c r="F37" s="36" t="n">
        <f aca="false">IFERROR($C37/$E37,"")</f>
        <v>0.955555555555556</v>
      </c>
      <c r="G37" s="30"/>
      <c r="H37" s="42" t="str">
        <f aca="false">IF($P37=0,"未参评","第1名")</f>
        <v>第1名</v>
      </c>
      <c r="I37" s="42" t="str">
        <f aca="false">INDEX(辅助数据!$A$1:$A$5,MATCH(1,辅助数据!$DA$1:$DA$5,0))</f>
        <v>刘师傅</v>
      </c>
      <c r="J37" s="43" t="n">
        <f aca="false">IFERROR(($L37*100+$M37*80+$N37*60)/$P37,"")</f>
        <v>100</v>
      </c>
      <c r="K37" s="36" t="n">
        <f aca="false">IFERROR(($L37+$M37)/$P37,"")</f>
        <v>1</v>
      </c>
      <c r="L37" s="35" t="n">
        <f aca="false">INDEX(辅助数据!$CS$1:$CS$5,MATCH(1,辅助数据!$DA$1:$DA$5,0))</f>
        <v>5</v>
      </c>
      <c r="M37" s="35" t="n">
        <f aca="false">INDEX(辅助数据!$CT$1:$CT$5,MATCH(1,辅助数据!$DA$1:$DA$5,0))</f>
        <v>0</v>
      </c>
      <c r="N37" s="35" t="n">
        <f aca="false">INDEX(辅助数据!$CU$1:$CU$5,MATCH(1,辅助数据!$DA$1:$DA$5,0))</f>
        <v>0</v>
      </c>
      <c r="O37" s="35" t="n">
        <f aca="false">INDEX(辅助数据!$CV$1:$CV$5,MATCH(1,辅助数据!$DA$1:$DA$5,0))</f>
        <v>0</v>
      </c>
      <c r="P37" s="35" t="n">
        <f aca="false">INDEX(辅助数据!$CW$1:$CW$5,MATCH(1,辅助数据!$DA$1:$DA$5,0))</f>
        <v>5</v>
      </c>
    </row>
    <row r="38" customFormat="false" ht="19.5" hidden="false" customHeight="true" outlineLevel="0" collapsed="false">
      <c r="A38" s="41" t="str">
        <f aca="false">IF($E38=0,"未接单","第2名")</f>
        <v>第2名</v>
      </c>
      <c r="B38" s="42" t="str">
        <f aca="false">INDEX(辅助数据!$A$1:$A$5,MATCH(2,辅助数据!$CY$1:$CY$5,0))</f>
        <v>李师傅</v>
      </c>
      <c r="C38" s="35" t="n">
        <f aca="false">INDEX(辅助数据!$CQ$1:$CQ$5,MATCH(2,辅助数据!$CY$1:$CY$5,0))</f>
        <v>15</v>
      </c>
      <c r="D38" s="35" t="n">
        <f aca="false">INDEX(辅助数据!$CR$1:$CR$5,MATCH(2,辅助数据!$CY$1:$CY$5,0))</f>
        <v>3</v>
      </c>
      <c r="E38" s="35" t="n">
        <f aca="false">INDEX(辅助数据!$CP$1:$CP$5,MATCH(2,辅助数据!$CY$1:$CY$5,0))</f>
        <v>18</v>
      </c>
      <c r="F38" s="36" t="n">
        <f aca="false">IFERROR($C38/$E38,"")</f>
        <v>0.833333333333333</v>
      </c>
      <c r="G38" s="30"/>
      <c r="H38" s="42" t="str">
        <f aca="false">IF($P38=0,"未参评","第2名")</f>
        <v>第2名</v>
      </c>
      <c r="I38" s="42" t="str">
        <f aca="false">INDEX(辅助数据!$A$1:$A$5,MATCH(2,辅助数据!$DA$1:$DA$5,0))</f>
        <v>陈师傅</v>
      </c>
      <c r="J38" s="43" t="n">
        <f aca="false">IFERROR(($L38*100+$M38*80+$N38*60)/$P38,"")</f>
        <v>100</v>
      </c>
      <c r="K38" s="36" t="n">
        <f aca="false">IFERROR(($L38+$M38)/$P38,"")</f>
        <v>1</v>
      </c>
      <c r="L38" s="35" t="n">
        <f aca="false">INDEX(辅助数据!$CS$1:$CS$5,MATCH(2,辅助数据!$DA$1:$DA$5,0))</f>
        <v>1</v>
      </c>
      <c r="M38" s="35" t="n">
        <f aca="false">INDEX(辅助数据!$CT$1:$CT$5,MATCH(2,辅助数据!$DA$1:$DA$5,0))</f>
        <v>0</v>
      </c>
      <c r="N38" s="35" t="n">
        <f aca="false">INDEX(辅助数据!$CU$1:$CU$5,MATCH(2,辅助数据!$DA$1:$DA$5,0))</f>
        <v>0</v>
      </c>
      <c r="O38" s="35" t="n">
        <f aca="false">INDEX(辅助数据!$CV$1:$CV$5,MATCH(2,辅助数据!$DA$1:$DA$5,0))</f>
        <v>0</v>
      </c>
      <c r="P38" s="35" t="n">
        <f aca="false">INDEX(辅助数据!$CW$1:$CW$5,MATCH(2,辅助数据!$DA$1:$DA$5,0))</f>
        <v>1</v>
      </c>
    </row>
    <row r="39" customFormat="false" ht="19.5" hidden="false" customHeight="true" outlineLevel="0" collapsed="false">
      <c r="A39" s="41" t="str">
        <f aca="false">IF($E39=0,"未接单","第3名")</f>
        <v>第3名</v>
      </c>
      <c r="B39" s="42" t="str">
        <f aca="false">INDEX(辅助数据!$A$1:$A$5,MATCH(3,辅助数据!$CY$1:$CY$5,0))</f>
        <v>刘师傅</v>
      </c>
      <c r="C39" s="35" t="n">
        <f aca="false">INDEX(辅助数据!$CQ$1:$CQ$5,MATCH(3,辅助数据!$CY$1:$CY$5,0))</f>
        <v>6</v>
      </c>
      <c r="D39" s="35" t="n">
        <f aca="false">INDEX(辅助数据!$CR$1:$CR$5,MATCH(3,辅助数据!$CY$1:$CY$5,0))</f>
        <v>0</v>
      </c>
      <c r="E39" s="35" t="n">
        <f aca="false">INDEX(辅助数据!$CP$1:$CP$5,MATCH(3,辅助数据!$CY$1:$CY$5,0))</f>
        <v>6</v>
      </c>
      <c r="F39" s="36" t="n">
        <f aca="false">IFERROR($C39/$E39,"")</f>
        <v>1</v>
      </c>
      <c r="G39" s="30"/>
      <c r="H39" s="42" t="str">
        <f aca="false">IF($P39=0,"未参评","第3名")</f>
        <v>第3名</v>
      </c>
      <c r="I39" s="42" t="str">
        <f aca="false">INDEX(辅助数据!$A$1:$A$5,MATCH(3,辅助数据!$DA$1:$DA$5,0))</f>
        <v>张师傅</v>
      </c>
      <c r="J39" s="43" t="n">
        <f aca="false">IFERROR(($L39*100+$M39*80+$N39*60)/$P39,"")</f>
        <v>99.5121951219512</v>
      </c>
      <c r="K39" s="36" t="n">
        <f aca="false">IFERROR(($L39+$M39)/$P39,"")</f>
        <v>1</v>
      </c>
      <c r="L39" s="35" t="n">
        <f aca="false">INDEX(辅助数据!$CS$1:$CS$5,MATCH(3,辅助数据!$DA$1:$DA$5,0))</f>
        <v>40</v>
      </c>
      <c r="M39" s="35" t="n">
        <f aca="false">INDEX(辅助数据!$CT$1:$CT$5,MATCH(3,辅助数据!$DA$1:$DA$5,0))</f>
        <v>1</v>
      </c>
      <c r="N39" s="35" t="n">
        <f aca="false">INDEX(辅助数据!$CU$1:$CU$5,MATCH(3,辅助数据!$DA$1:$DA$5,0))</f>
        <v>0</v>
      </c>
      <c r="O39" s="35" t="n">
        <f aca="false">INDEX(辅助数据!$CV$1:$CV$5,MATCH(3,辅助数据!$DA$1:$DA$5,0))</f>
        <v>0</v>
      </c>
      <c r="P39" s="35" t="n">
        <f aca="false">INDEX(辅助数据!$CW$1:$CW$5,MATCH(3,辅助数据!$DA$1:$DA$5,0))</f>
        <v>41</v>
      </c>
    </row>
    <row r="40" customFormat="false" ht="19.5" hidden="false" customHeight="true" outlineLevel="0" collapsed="false">
      <c r="A40" s="41" t="str">
        <f aca="false">IF($E40=0,"未接单","第4名")</f>
        <v>第4名</v>
      </c>
      <c r="B40" s="42" t="str">
        <f aca="false">INDEX(辅助数据!$A$1:$A$5,MATCH(4,辅助数据!$CY$1:$CY$5,0))</f>
        <v>王师傅</v>
      </c>
      <c r="C40" s="35" t="n">
        <f aca="false">INDEX(辅助数据!$CQ$1:$CQ$5,MATCH(4,辅助数据!$CY$1:$CY$5,0))</f>
        <v>4</v>
      </c>
      <c r="D40" s="35" t="n">
        <f aca="false">INDEX(辅助数据!$CR$1:$CR$5,MATCH(4,辅助数据!$CY$1:$CY$5,0))</f>
        <v>0</v>
      </c>
      <c r="E40" s="35" t="n">
        <f aca="false">INDEX(辅助数据!$CP$1:$CP$5,MATCH(4,辅助数据!$CY$1:$CY$5,0))</f>
        <v>4</v>
      </c>
      <c r="F40" s="36" t="n">
        <f aca="false">IFERROR($C40/$E40,"")</f>
        <v>1</v>
      </c>
      <c r="G40" s="30"/>
      <c r="H40" s="42" t="str">
        <f aca="false">IF($P40=0,"未参评","第4名")</f>
        <v>第4名</v>
      </c>
      <c r="I40" s="42" t="str">
        <f aca="false">INDEX(辅助数据!$A$1:$A$5,MATCH(4,辅助数据!$DA$1:$DA$5,0))</f>
        <v>李师傅</v>
      </c>
      <c r="J40" s="43" t="n">
        <f aca="false">IFERROR(($L40*100+$M40*80+$N40*60)/$P40,"")</f>
        <v>96</v>
      </c>
      <c r="K40" s="36" t="n">
        <f aca="false">IFERROR(($L40+$M40)/$P40,"")</f>
        <v>1</v>
      </c>
      <c r="L40" s="35" t="n">
        <f aca="false">INDEX(辅助数据!$CS$1:$CS$5,MATCH(4,辅助数据!$DA$1:$DA$5,0))</f>
        <v>12</v>
      </c>
      <c r="M40" s="35" t="n">
        <f aca="false">INDEX(辅助数据!$CT$1:$CT$5,MATCH(4,辅助数据!$DA$1:$DA$5,0))</f>
        <v>3</v>
      </c>
      <c r="N40" s="35" t="n">
        <f aca="false">INDEX(辅助数据!$CU$1:$CU$5,MATCH(4,辅助数据!$DA$1:$DA$5,0))</f>
        <v>0</v>
      </c>
      <c r="O40" s="35" t="n">
        <f aca="false">INDEX(辅助数据!$CV$1:$CV$5,MATCH(4,辅助数据!$DA$1:$DA$5,0))</f>
        <v>0</v>
      </c>
      <c r="P40" s="35" t="n">
        <f aca="false">INDEX(辅助数据!$CW$1:$CW$5,MATCH(4,辅助数据!$DA$1:$DA$5,0))</f>
        <v>15</v>
      </c>
    </row>
    <row r="41" customFormat="false" ht="19.5" hidden="false" customHeight="true" outlineLevel="0" collapsed="false">
      <c r="A41" s="41" t="str">
        <f aca="false">IF($E41=0,"未接单","第5名")</f>
        <v>第5名</v>
      </c>
      <c r="B41" s="42" t="str">
        <f aca="false">INDEX(辅助数据!$A$1:$A$5,MATCH(5,辅助数据!$CY$1:$CY$5,0))</f>
        <v>陈师傅</v>
      </c>
      <c r="C41" s="35" t="n">
        <f aca="false">INDEX(辅助数据!$CQ$1:$CQ$5,MATCH(5,辅助数据!$CY$1:$CY$5,0))</f>
        <v>3</v>
      </c>
      <c r="D41" s="35" t="n">
        <f aca="false">INDEX(辅助数据!$CR$1:$CR$5,MATCH(5,辅助数据!$CY$1:$CY$5,0))</f>
        <v>2</v>
      </c>
      <c r="E41" s="35" t="n">
        <f aca="false">INDEX(辅助数据!$CP$1:$CP$5,MATCH(5,辅助数据!$CY$1:$CY$5,0))</f>
        <v>5</v>
      </c>
      <c r="F41" s="36" t="n">
        <f aca="false">IFERROR($C41/$E41,"")</f>
        <v>0.6</v>
      </c>
      <c r="G41" s="30"/>
      <c r="H41" s="42" t="str">
        <f aca="false">IF($P41=0,"未参评","第5名")</f>
        <v>第5名</v>
      </c>
      <c r="I41" s="42" t="str">
        <f aca="false">INDEX(辅助数据!$A$1:$A$5,MATCH(5,辅助数据!$DA$1:$DA$5,0))</f>
        <v>王师傅</v>
      </c>
      <c r="J41" s="43" t="n">
        <f aca="false">IFERROR(($L41*100+$M41*80+$N41*60)/$P41,"")</f>
        <v>95</v>
      </c>
      <c r="K41" s="36" t="n">
        <f aca="false">IFERROR(($L41+$M41)/$P41,"")</f>
        <v>1</v>
      </c>
      <c r="L41" s="35" t="n">
        <f aca="false">INDEX(辅助数据!$CS$1:$CS$5,MATCH(5,辅助数据!$DA$1:$DA$5,0))</f>
        <v>3</v>
      </c>
      <c r="M41" s="35" t="n">
        <f aca="false">INDEX(辅助数据!$CT$1:$CT$5,MATCH(5,辅助数据!$DA$1:$DA$5,0))</f>
        <v>1</v>
      </c>
      <c r="N41" s="35" t="n">
        <f aca="false">INDEX(辅助数据!$CU$1:$CU$5,MATCH(5,辅助数据!$DA$1:$DA$5,0))</f>
        <v>0</v>
      </c>
      <c r="O41" s="35" t="n">
        <f aca="false">INDEX(辅助数据!$CV$1:$CV$5,MATCH(5,辅助数据!$DA$1:$DA$5,0))</f>
        <v>0</v>
      </c>
      <c r="P41" s="35" t="n">
        <f aca="false">INDEX(辅助数据!$CW$1:$CW$5,MATCH(5,辅助数据!$DA$1:$DA$5,0))</f>
        <v>4</v>
      </c>
    </row>
    <row r="42" customFormat="false" ht="9.75" hidden="false" customHeight="true" outlineLevel="0" collapsed="false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</row>
    <row r="43" customFormat="false" ht="27.75" hidden="false" customHeight="true" outlineLevel="0" collapsed="false">
      <c r="A43" s="31" t="s">
        <v>453</v>
      </c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</row>
    <row r="44" customFormat="false" ht="30" hidden="false" customHeight="true" outlineLevel="0" collapsed="false">
      <c r="A44" s="33" t="s">
        <v>434</v>
      </c>
      <c r="B44" s="33" t="s">
        <v>435</v>
      </c>
      <c r="C44" s="33" t="s">
        <v>28</v>
      </c>
      <c r="D44" s="33" t="s">
        <v>36</v>
      </c>
      <c r="E44" s="33" t="s">
        <v>436</v>
      </c>
      <c r="F44" s="33" t="s">
        <v>437</v>
      </c>
      <c r="G44" s="33" t="s">
        <v>30</v>
      </c>
      <c r="H44" s="33" t="s">
        <v>48</v>
      </c>
      <c r="I44" s="33" t="s">
        <v>53</v>
      </c>
      <c r="J44" s="33" t="s">
        <v>438</v>
      </c>
      <c r="K44" s="33" t="s">
        <v>439</v>
      </c>
      <c r="L44" s="33" t="s">
        <v>440</v>
      </c>
      <c r="M44" s="30"/>
      <c r="N44" s="30"/>
      <c r="O44" s="30"/>
      <c r="P44" s="30"/>
    </row>
    <row r="45" customFormat="false" ht="19.5" hidden="false" customHeight="true" outlineLevel="0" collapsed="false">
      <c r="A45" s="34" t="s">
        <v>454</v>
      </c>
      <c r="B45" s="35" t="n">
        <f aca="false">COUNTIFS(入户维修!$E$5:$E$404,"?*")+COUNTIFS(公区维修!$E$5:$E$404,"?*")</f>
        <v>143</v>
      </c>
      <c r="C45" s="35" t="n">
        <f aca="false">COUNTIFS(入户维修!$K$5:$K$404,"已完成")+COUNTIFS(公区维修!$K$5:$K$404,"已完成")</f>
        <v>124</v>
      </c>
      <c r="D45" s="35" t="n">
        <f aca="false">COUNTIFS(入户维修!$K$5:$K$404,"跟进中")+COUNTIFS(公区维修!$K$5:$K$404,"跟进中")</f>
        <v>17</v>
      </c>
      <c r="E45" s="35" t="n">
        <f aca="false">COUNTIFS(入户维修!$K$5:$K$404,"需另约时间")+COUNTIFS(公区维修!$K$5:$K$404,"需另约时间")</f>
        <v>0</v>
      </c>
      <c r="F45" s="36" t="n">
        <f aca="false">IFERROR($C45/$B45,"")</f>
        <v>0.867132867132867</v>
      </c>
      <c r="G45" s="35" t="n">
        <f aca="false">COUNTIFS(入户维修!$O$5:$O$404,"非常满意")+COUNTIFS(公区维修!$N$5:$N$404,"非常满意")</f>
        <v>99</v>
      </c>
      <c r="H45" s="35" t="n">
        <f aca="false">COUNTIFS(入户维修!$O$5:$O$404,"满意")+COUNTIFS(公区维修!$N$5:$N$404,"满意")</f>
        <v>11</v>
      </c>
      <c r="I45" s="35" t="n">
        <f aca="false">COUNTIFS(入户维修!$O$5:$O$404,"一般")+COUNTIFS(公区维修!$N$5:$N$404,"一般")</f>
        <v>1</v>
      </c>
      <c r="J45" s="35" t="n">
        <f aca="false">COUNTIFS(入户维修!$O$5:$O$404,"不满意")+COUNTIFS(公区维修!$N$5:$N$404,"不满意")</f>
        <v>0</v>
      </c>
      <c r="K45" s="35" t="n">
        <f aca="false">SUM($G45:$J45)</f>
        <v>111</v>
      </c>
      <c r="L45" s="36" t="n">
        <f aca="false">IFERROR(($G45+$H45)/$K45,"")</f>
        <v>0.990990990990991</v>
      </c>
      <c r="M45" s="30"/>
      <c r="N45" s="30"/>
      <c r="O45" s="30"/>
      <c r="P45" s="30"/>
    </row>
    <row r="46" customFormat="false" ht="9.75" hidden="false" customHeight="true" outlineLevel="0" collapsed="false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</row>
    <row r="47" customFormat="false" ht="27.75" hidden="false" customHeight="true" outlineLevel="0" collapsed="false">
      <c r="A47" s="31" t="s">
        <v>455</v>
      </c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</row>
    <row r="48" customFormat="false" ht="30" hidden="false" customHeight="true" outlineLevel="0" collapsed="false">
      <c r="A48" s="33" t="s">
        <v>7</v>
      </c>
      <c r="B48" s="33" t="s">
        <v>435</v>
      </c>
      <c r="C48" s="33" t="s">
        <v>28</v>
      </c>
      <c r="D48" s="33" t="s">
        <v>36</v>
      </c>
      <c r="E48" s="33" t="s">
        <v>436</v>
      </c>
      <c r="F48" s="33" t="s">
        <v>437</v>
      </c>
      <c r="G48" s="33" t="s">
        <v>30</v>
      </c>
      <c r="H48" s="33" t="s">
        <v>48</v>
      </c>
      <c r="I48" s="33" t="s">
        <v>53</v>
      </c>
      <c r="J48" s="33" t="s">
        <v>438</v>
      </c>
      <c r="K48" s="33" t="s">
        <v>439</v>
      </c>
      <c r="L48" s="33" t="s">
        <v>440</v>
      </c>
      <c r="M48" s="30"/>
      <c r="N48" s="30"/>
      <c r="O48" s="30"/>
      <c r="P48" s="30"/>
    </row>
    <row r="49" customFormat="false" ht="19.5" hidden="false" customHeight="true" outlineLevel="0" collapsed="false">
      <c r="A49" s="44" t="s">
        <v>83</v>
      </c>
      <c r="B49" s="35" t="n">
        <f aca="false">COUNTIFS(入户维修!$E$5:$E$404,"?*",入户维修!$C$5:$C$404,$A49)+COUNTIFS(公区维修!$E$5:$E$404,"?*",公区维修!$C$5:$C$404,$A49)</f>
        <v>8</v>
      </c>
      <c r="C49" s="35" t="n">
        <f aca="false">COUNTIFS(入户维修!$K$5:$K$404,"已完成",入户维修!$C$5:$C$404,$A49)+COUNTIFS(公区维修!$K$5:$K$404,"已完成",公区维修!$C$5:$C$404,$A49)</f>
        <v>8</v>
      </c>
      <c r="D49" s="35" t="n">
        <f aca="false">COUNTIFS(入户维修!$K$5:$K$404,"跟进中",入户维修!$C$5:$C$404,$A49)+COUNTIFS(公区维修!$K$5:$K$404,"跟进中",公区维修!$C$5:$C$404,$A49)</f>
        <v>0</v>
      </c>
      <c r="E49" s="35" t="n">
        <f aca="false">COUNTIFS(入户维修!$K$5:$K$404,"需另约时间",入户维修!$C$5:$C$404,$A49)+COUNTIFS(公区维修!$K$5:$K$404,"需另约时间",公区维修!$C$5:$C$404,$A49)</f>
        <v>0</v>
      </c>
      <c r="F49" s="36" t="n">
        <f aca="false">IFERROR($C49/$B49,"")</f>
        <v>1</v>
      </c>
      <c r="G49" s="35" t="n">
        <f aca="false">COUNTIFS(入户维修!$O$5:$O$404,"非常满意",入户维修!$C$5:$C$404,$A49)+COUNTIFS(公区维修!$N$5:$N$404,"非常满意",公区维修!$C$5:$C$404,$A49)</f>
        <v>7</v>
      </c>
      <c r="H49" s="35" t="n">
        <f aca="false">COUNTIFS(入户维修!$O$5:$O$404,"满意",入户维修!$C$5:$C$404,$A49)+COUNTIFS(公区维修!$N$5:$N$404,"满意",公区维修!$C$5:$C$404,$A49)</f>
        <v>1</v>
      </c>
      <c r="I49" s="35" t="n">
        <f aca="false">COUNTIFS(入户维修!$O$5:$O$404,"一般",入户维修!$C$5:$C$404,$A49)+COUNTIFS(公区维修!$N$5:$N$404,"一般",公区维修!$C$5:$C$404,$A49)</f>
        <v>0</v>
      </c>
      <c r="J49" s="35" t="n">
        <f aca="false">COUNTIFS(入户维修!$O$5:$O$404,"不满意",入户维修!$C$5:$C$404,$A49)+COUNTIFS(公区维修!$N$5:$N$404,"不满意",公区维修!$C$5:$C$404,$A49)</f>
        <v>0</v>
      </c>
      <c r="K49" s="35" t="n">
        <f aca="false">SUM($G49:$J49)</f>
        <v>8</v>
      </c>
      <c r="L49" s="36" t="n">
        <f aca="false">IFERROR(($G49+$H49)/$K49,"")</f>
        <v>1</v>
      </c>
      <c r="M49" s="30"/>
      <c r="N49" s="30"/>
      <c r="O49" s="30"/>
      <c r="P49" s="30"/>
    </row>
    <row r="50" customFormat="false" ht="19.5" hidden="false" customHeight="true" outlineLevel="0" collapsed="false">
      <c r="A50" s="44" t="s">
        <v>105</v>
      </c>
      <c r="B50" s="35" t="n">
        <f aca="false">COUNTIFS(入户维修!$E$5:$E$404,"?*",入户维修!$C$5:$C$404,$A50)+COUNTIFS(公区维修!$E$5:$E$404,"?*",公区维修!$C$5:$C$404,$A50)</f>
        <v>7</v>
      </c>
      <c r="C50" s="35" t="n">
        <f aca="false">COUNTIFS(入户维修!$K$5:$K$404,"已完成",入户维修!$C$5:$C$404,$A50)+COUNTIFS(公区维修!$K$5:$K$404,"已完成",公区维修!$C$5:$C$404,$A50)</f>
        <v>7</v>
      </c>
      <c r="D50" s="35" t="n">
        <f aca="false">COUNTIFS(入户维修!$K$5:$K$404,"跟进中",入户维修!$C$5:$C$404,$A50)+COUNTIFS(公区维修!$K$5:$K$404,"跟进中",公区维修!$C$5:$C$404,$A50)</f>
        <v>0</v>
      </c>
      <c r="E50" s="35" t="n">
        <f aca="false">COUNTIFS(入户维修!$K$5:$K$404,"需另约时间",入户维修!$C$5:$C$404,$A50)+COUNTIFS(公区维修!$K$5:$K$404,"需另约时间",公区维修!$C$5:$C$404,$A50)</f>
        <v>0</v>
      </c>
      <c r="F50" s="36" t="n">
        <f aca="false">IFERROR($C50/$B50,"")</f>
        <v>1</v>
      </c>
      <c r="G50" s="35" t="n">
        <f aca="false">COUNTIFS(入户维修!$O$5:$O$404,"非常满意",入户维修!$C$5:$C$404,$A50)+COUNTIFS(公区维修!$N$5:$N$404,"非常满意",公区维修!$C$5:$C$404,$A50)</f>
        <v>6</v>
      </c>
      <c r="H50" s="35" t="n">
        <f aca="false">COUNTIFS(入户维修!$O$5:$O$404,"满意",入户维修!$C$5:$C$404,$A50)+COUNTIFS(公区维修!$N$5:$N$404,"满意",公区维修!$C$5:$C$404,$A50)</f>
        <v>0</v>
      </c>
      <c r="I50" s="35" t="n">
        <f aca="false">COUNTIFS(入户维修!$O$5:$O$404,"一般",入户维修!$C$5:$C$404,$A50)+COUNTIFS(公区维修!$N$5:$N$404,"一般",公区维修!$C$5:$C$404,$A50)</f>
        <v>0</v>
      </c>
      <c r="J50" s="35" t="n">
        <f aca="false">COUNTIFS(入户维修!$O$5:$O$404,"不满意",入户维修!$C$5:$C$404,$A50)+COUNTIFS(公区维修!$N$5:$N$404,"不满意",公区维修!$C$5:$C$404,$A50)</f>
        <v>0</v>
      </c>
      <c r="K50" s="35" t="n">
        <f aca="false">SUM($G50:$J50)</f>
        <v>6</v>
      </c>
      <c r="L50" s="36" t="n">
        <f aca="false">IFERROR(($G50+$H50)/$K50,"")</f>
        <v>1</v>
      </c>
      <c r="M50" s="30"/>
      <c r="N50" s="30"/>
      <c r="O50" s="30"/>
      <c r="P50" s="30"/>
    </row>
    <row r="51" customFormat="false" ht="19.5" hidden="false" customHeight="true" outlineLevel="0" collapsed="false">
      <c r="A51" s="44" t="s">
        <v>245</v>
      </c>
      <c r="B51" s="35" t="n">
        <f aca="false">COUNTIFS(入户维修!$E$5:$E$404,"?*",入户维修!$C$5:$C$404,$A51)+COUNTIFS(公区维修!$E$5:$E$404,"?*",公区维修!$C$5:$C$404,$A51)</f>
        <v>7</v>
      </c>
      <c r="C51" s="35" t="n">
        <f aca="false">COUNTIFS(入户维修!$K$5:$K$404,"已完成",入户维修!$C$5:$C$404,$A51)+COUNTIFS(公区维修!$K$5:$K$404,"已完成",公区维修!$C$5:$C$404,$A51)</f>
        <v>6</v>
      </c>
      <c r="D51" s="35" t="n">
        <f aca="false">COUNTIFS(入户维修!$K$5:$K$404,"跟进中",入户维修!$C$5:$C$404,$A51)+COUNTIFS(公区维修!$K$5:$K$404,"跟进中",公区维修!$C$5:$C$404,$A51)</f>
        <v>1</v>
      </c>
      <c r="E51" s="35" t="n">
        <f aca="false">COUNTIFS(入户维修!$K$5:$K$404,"需另约时间",入户维修!$C$5:$C$404,$A51)+COUNTIFS(公区维修!$K$5:$K$404,"需另约时间",公区维修!$C$5:$C$404,$A51)</f>
        <v>0</v>
      </c>
      <c r="F51" s="36" t="n">
        <f aca="false">IFERROR($C51/$B51,"")</f>
        <v>0.857142857142857</v>
      </c>
      <c r="G51" s="35" t="n">
        <f aca="false">COUNTIFS(入户维修!$O$5:$O$404,"非常满意",入户维修!$C$5:$C$404,$A51)+COUNTIFS(公区维修!$N$5:$N$404,"非常满意",公区维修!$C$5:$C$404,$A51)</f>
        <v>3</v>
      </c>
      <c r="H51" s="35" t="n">
        <f aca="false">COUNTIFS(入户维修!$O$5:$O$404,"满意",入户维修!$C$5:$C$404,$A51)+COUNTIFS(公区维修!$N$5:$N$404,"满意",公区维修!$C$5:$C$404,$A51)</f>
        <v>1</v>
      </c>
      <c r="I51" s="35" t="n">
        <f aca="false">COUNTIFS(入户维修!$O$5:$O$404,"一般",入户维修!$C$5:$C$404,$A51)+COUNTIFS(公区维修!$N$5:$N$404,"一般",公区维修!$C$5:$C$404,$A51)</f>
        <v>0</v>
      </c>
      <c r="J51" s="35" t="n">
        <f aca="false">COUNTIFS(入户维修!$O$5:$O$404,"不满意",入户维修!$C$5:$C$404,$A51)+COUNTIFS(公区维修!$N$5:$N$404,"不满意",公区维修!$C$5:$C$404,$A51)</f>
        <v>0</v>
      </c>
      <c r="K51" s="35" t="n">
        <f aca="false">SUM($G51:$J51)</f>
        <v>4</v>
      </c>
      <c r="L51" s="36" t="n">
        <f aca="false">IFERROR(($G51+$H51)/$K51,"")</f>
        <v>1</v>
      </c>
      <c r="M51" s="30"/>
      <c r="N51" s="30"/>
      <c r="O51" s="30"/>
      <c r="P51" s="30"/>
    </row>
    <row r="52" customFormat="false" ht="19.5" hidden="false" customHeight="true" outlineLevel="0" collapsed="false">
      <c r="A52" s="44" t="s">
        <v>161</v>
      </c>
      <c r="B52" s="35" t="n">
        <f aca="false">COUNTIFS(入户维修!$E$5:$E$404,"?*",入户维修!$C$5:$C$404,$A52)+COUNTIFS(公区维修!$E$5:$E$404,"?*",公区维修!$C$5:$C$404,$A52)</f>
        <v>6</v>
      </c>
      <c r="C52" s="35" t="n">
        <f aca="false">COUNTIFS(入户维修!$K$5:$K$404,"已完成",入户维修!$C$5:$C$404,$A52)+COUNTIFS(公区维修!$K$5:$K$404,"已完成",公区维修!$C$5:$C$404,$A52)</f>
        <v>6</v>
      </c>
      <c r="D52" s="35" t="n">
        <f aca="false">COUNTIFS(入户维修!$K$5:$K$404,"跟进中",入户维修!$C$5:$C$404,$A52)+COUNTIFS(公区维修!$K$5:$K$404,"跟进中",公区维修!$C$5:$C$404,$A52)</f>
        <v>0</v>
      </c>
      <c r="E52" s="35" t="n">
        <f aca="false">COUNTIFS(入户维修!$K$5:$K$404,"需另约时间",入户维修!$C$5:$C$404,$A52)+COUNTIFS(公区维修!$K$5:$K$404,"需另约时间",公区维修!$C$5:$C$404,$A52)</f>
        <v>0</v>
      </c>
      <c r="F52" s="36" t="n">
        <f aca="false">IFERROR($C52/$B52,"")</f>
        <v>1</v>
      </c>
      <c r="G52" s="35" t="n">
        <f aca="false">COUNTIFS(入户维修!$O$5:$O$404,"非常满意",入户维修!$C$5:$C$404,$A52)+COUNTIFS(公区维修!$N$5:$N$404,"非常满意",公区维修!$C$5:$C$404,$A52)</f>
        <v>5</v>
      </c>
      <c r="H52" s="35" t="n">
        <f aca="false">COUNTIFS(入户维修!$O$5:$O$404,"满意",入户维修!$C$5:$C$404,$A52)+COUNTIFS(公区维修!$N$5:$N$404,"满意",公区维修!$C$5:$C$404,$A52)</f>
        <v>1</v>
      </c>
      <c r="I52" s="35" t="n">
        <f aca="false">COUNTIFS(入户维修!$O$5:$O$404,"一般",入户维修!$C$5:$C$404,$A52)+COUNTIFS(公区维修!$N$5:$N$404,"一般",公区维修!$C$5:$C$404,$A52)</f>
        <v>0</v>
      </c>
      <c r="J52" s="35" t="n">
        <f aca="false">COUNTIFS(入户维修!$O$5:$O$404,"不满意",入户维修!$C$5:$C$404,$A52)+COUNTIFS(公区维修!$N$5:$N$404,"不满意",公区维修!$C$5:$C$404,$A52)</f>
        <v>0</v>
      </c>
      <c r="K52" s="35" t="n">
        <f aca="false">SUM($G52:$J52)</f>
        <v>6</v>
      </c>
      <c r="L52" s="36" t="n">
        <f aca="false">IFERROR(($G52+$H52)/$K52,"")</f>
        <v>1</v>
      </c>
      <c r="M52" s="30"/>
      <c r="N52" s="30"/>
      <c r="O52" s="30"/>
      <c r="P52" s="30"/>
    </row>
    <row r="53" customFormat="false" ht="19.5" hidden="false" customHeight="true" outlineLevel="0" collapsed="false">
      <c r="A53" s="44" t="s">
        <v>38</v>
      </c>
      <c r="B53" s="35" t="n">
        <f aca="false">COUNTIFS(入户维修!$E$5:$E$404,"?*",入户维修!$C$5:$C$404,$A53)+COUNTIFS(公区维修!$E$5:$E$404,"?*",公区维修!$C$5:$C$404,$A53)</f>
        <v>17</v>
      </c>
      <c r="C53" s="35" t="n">
        <f aca="false">COUNTIFS(入户维修!$K$5:$K$404,"已完成",入户维修!$C$5:$C$404,$A53)+COUNTIFS(公区维修!$K$5:$K$404,"已完成",公区维修!$C$5:$C$404,$A53)</f>
        <v>14</v>
      </c>
      <c r="D53" s="35" t="n">
        <f aca="false">COUNTIFS(入户维修!$K$5:$K$404,"跟进中",入户维修!$C$5:$C$404,$A53)+COUNTIFS(公区维修!$K$5:$K$404,"跟进中",公区维修!$C$5:$C$404,$A53)</f>
        <v>2</v>
      </c>
      <c r="E53" s="35" t="n">
        <f aca="false">COUNTIFS(入户维修!$K$5:$K$404,"需另约时间",入户维修!$C$5:$C$404,$A53)+COUNTIFS(公区维修!$K$5:$K$404,"需另约时间",公区维修!$C$5:$C$404,$A53)</f>
        <v>0</v>
      </c>
      <c r="F53" s="36" t="n">
        <f aca="false">IFERROR($C53/$B53,"")</f>
        <v>0.823529411764706</v>
      </c>
      <c r="G53" s="35" t="n">
        <f aca="false">COUNTIFS(入户维修!$O$5:$O$404,"非常满意",入户维修!$C$5:$C$404,$A53)+COUNTIFS(公区维修!$N$5:$N$404,"非常满意",公区维修!$C$5:$C$404,$A53)</f>
        <v>12</v>
      </c>
      <c r="H53" s="35" t="n">
        <f aca="false">COUNTIFS(入户维修!$O$5:$O$404,"满意",入户维修!$C$5:$C$404,$A53)+COUNTIFS(公区维修!$N$5:$N$404,"满意",公区维修!$C$5:$C$404,$A53)</f>
        <v>2</v>
      </c>
      <c r="I53" s="35" t="n">
        <f aca="false">COUNTIFS(入户维修!$O$5:$O$404,"一般",入户维修!$C$5:$C$404,$A53)+COUNTIFS(公区维修!$N$5:$N$404,"一般",公区维修!$C$5:$C$404,$A53)</f>
        <v>0</v>
      </c>
      <c r="J53" s="35" t="n">
        <f aca="false">COUNTIFS(入户维修!$O$5:$O$404,"不满意",入户维修!$C$5:$C$404,$A53)+COUNTIFS(公区维修!$N$5:$N$404,"不满意",公区维修!$C$5:$C$404,$A53)</f>
        <v>0</v>
      </c>
      <c r="K53" s="35" t="n">
        <f aca="false">SUM($G53:$J53)</f>
        <v>14</v>
      </c>
      <c r="L53" s="36" t="n">
        <f aca="false">IFERROR(($G53+$H53)/$K53,"")</f>
        <v>1</v>
      </c>
      <c r="M53" s="30"/>
      <c r="N53" s="30"/>
      <c r="O53" s="30"/>
      <c r="P53" s="30"/>
    </row>
    <row r="54" customFormat="false" ht="19.5" hidden="false" customHeight="true" outlineLevel="0" collapsed="false">
      <c r="A54" s="44" t="s">
        <v>31</v>
      </c>
      <c r="B54" s="35" t="n">
        <f aca="false">COUNTIFS(入户维修!$E$5:$E$404,"?*",入户维修!$C$5:$C$404,$A54)+COUNTIFS(公区维修!$E$5:$E$404,"?*",公区维修!$C$5:$C$404,$A54)</f>
        <v>17</v>
      </c>
      <c r="C54" s="35" t="n">
        <f aca="false">COUNTIFS(入户维修!$K$5:$K$404,"已完成",入户维修!$C$5:$C$404,$A54)+COUNTIFS(公区维修!$K$5:$K$404,"已完成",公区维修!$C$5:$C$404,$A54)</f>
        <v>13</v>
      </c>
      <c r="D54" s="35" t="n">
        <f aca="false">COUNTIFS(入户维修!$K$5:$K$404,"跟进中",入户维修!$C$5:$C$404,$A54)+COUNTIFS(公区维修!$K$5:$K$404,"跟进中",公区维修!$C$5:$C$404,$A54)</f>
        <v>4</v>
      </c>
      <c r="E54" s="35" t="n">
        <f aca="false">COUNTIFS(入户维修!$K$5:$K$404,"需另约时间",入户维修!$C$5:$C$404,$A54)+COUNTIFS(公区维修!$K$5:$K$404,"需另约时间",公区维修!$C$5:$C$404,$A54)</f>
        <v>0</v>
      </c>
      <c r="F54" s="36" t="n">
        <f aca="false">IFERROR($C54/$B54,"")</f>
        <v>0.764705882352941</v>
      </c>
      <c r="G54" s="35" t="n">
        <f aca="false">COUNTIFS(入户维修!$O$5:$O$404,"非常满意",入户维修!$C$5:$C$404,$A54)+COUNTIFS(公区维修!$N$5:$N$404,"非常满意",公区维修!$C$5:$C$404,$A54)</f>
        <v>13</v>
      </c>
      <c r="H54" s="35" t="n">
        <f aca="false">COUNTIFS(入户维修!$O$5:$O$404,"满意",入户维修!$C$5:$C$404,$A54)+COUNTIFS(公区维修!$N$5:$N$404,"满意",公区维修!$C$5:$C$404,$A54)</f>
        <v>1</v>
      </c>
      <c r="I54" s="35" t="n">
        <f aca="false">COUNTIFS(入户维修!$O$5:$O$404,"一般",入户维修!$C$5:$C$404,$A54)+COUNTIFS(公区维修!$N$5:$N$404,"一般",公区维修!$C$5:$C$404,$A54)</f>
        <v>1</v>
      </c>
      <c r="J54" s="35" t="n">
        <f aca="false">COUNTIFS(入户维修!$O$5:$O$404,"不满意",入户维修!$C$5:$C$404,$A54)+COUNTIFS(公区维修!$N$5:$N$404,"不满意",公区维修!$C$5:$C$404,$A54)</f>
        <v>0</v>
      </c>
      <c r="K54" s="35" t="n">
        <f aca="false">SUM($G54:$J54)</f>
        <v>15</v>
      </c>
      <c r="L54" s="36" t="n">
        <f aca="false">IFERROR(($G54+$H54)/$K54,"")</f>
        <v>0.933333333333333</v>
      </c>
      <c r="M54" s="30"/>
      <c r="N54" s="30"/>
      <c r="O54" s="30"/>
      <c r="P54" s="30"/>
    </row>
    <row r="55" customFormat="false" ht="19.5" hidden="false" customHeight="true" outlineLevel="0" collapsed="false">
      <c r="A55" s="44" t="s">
        <v>43</v>
      </c>
      <c r="B55" s="35" t="n">
        <f aca="false">COUNTIFS(入户维修!$E$5:$E$404,"?*",入户维修!$C$5:$C$404,$A55)+COUNTIFS(公区维修!$E$5:$E$404,"?*",公区维修!$C$5:$C$404,$A55)</f>
        <v>14</v>
      </c>
      <c r="C55" s="35" t="n">
        <f aca="false">COUNTIFS(入户维修!$K$5:$K$404,"已完成",入户维修!$C$5:$C$404,$A55)+COUNTIFS(公区维修!$K$5:$K$404,"已完成",公区维修!$C$5:$C$404,$A55)</f>
        <v>11</v>
      </c>
      <c r="D55" s="35" t="n">
        <f aca="false">COUNTIFS(入户维修!$K$5:$K$404,"跟进中",入户维修!$C$5:$C$404,$A55)+COUNTIFS(公区维修!$K$5:$K$404,"跟进中",公区维修!$C$5:$C$404,$A55)</f>
        <v>3</v>
      </c>
      <c r="E55" s="35" t="n">
        <f aca="false">COUNTIFS(入户维修!$K$5:$K$404,"需另约时间",入户维修!$C$5:$C$404,$A55)+COUNTIFS(公区维修!$K$5:$K$404,"需另约时间",公区维修!$C$5:$C$404,$A55)</f>
        <v>0</v>
      </c>
      <c r="F55" s="36" t="n">
        <f aca="false">IFERROR($C55/$B55,"")</f>
        <v>0.785714285714286</v>
      </c>
      <c r="G55" s="35" t="n">
        <f aca="false">COUNTIFS(入户维修!$O$5:$O$404,"非常满意",入户维修!$C$5:$C$404,$A55)+COUNTIFS(公区维修!$N$5:$N$404,"非常满意",公区维修!$C$5:$C$404,$A55)</f>
        <v>11</v>
      </c>
      <c r="H55" s="35" t="n">
        <f aca="false">COUNTIFS(入户维修!$O$5:$O$404,"满意",入户维修!$C$5:$C$404,$A55)+COUNTIFS(公区维修!$N$5:$N$404,"满意",公区维修!$C$5:$C$404,$A55)</f>
        <v>1</v>
      </c>
      <c r="I55" s="35" t="n">
        <f aca="false">COUNTIFS(入户维修!$O$5:$O$404,"一般",入户维修!$C$5:$C$404,$A55)+COUNTIFS(公区维修!$N$5:$N$404,"一般",公区维修!$C$5:$C$404,$A55)</f>
        <v>0</v>
      </c>
      <c r="J55" s="35" t="n">
        <f aca="false">COUNTIFS(入户维修!$O$5:$O$404,"不满意",入户维修!$C$5:$C$404,$A55)+COUNTIFS(公区维修!$N$5:$N$404,"不满意",公区维修!$C$5:$C$404,$A55)</f>
        <v>0</v>
      </c>
      <c r="K55" s="35" t="n">
        <f aca="false">SUM($G55:$J55)</f>
        <v>12</v>
      </c>
      <c r="L55" s="36" t="n">
        <f aca="false">IFERROR(($G55+$H55)/$K55,"")</f>
        <v>1</v>
      </c>
      <c r="M55" s="30"/>
      <c r="N55" s="30"/>
      <c r="O55" s="30"/>
      <c r="P55" s="30"/>
    </row>
    <row r="56" customFormat="false" ht="19.5" hidden="false" customHeight="true" outlineLevel="0" collapsed="false">
      <c r="A56" s="44" t="s">
        <v>21</v>
      </c>
      <c r="B56" s="35" t="n">
        <f aca="false">COUNTIFS(入户维修!$E$5:$E$404,"?*",入户维修!$C$5:$C$404,$A56)+COUNTIFS(公区维修!$E$5:$E$404,"?*",公区维修!$C$5:$C$404,$A56)</f>
        <v>16</v>
      </c>
      <c r="C56" s="35" t="n">
        <f aca="false">COUNTIFS(入户维修!$K$5:$K$404,"已完成",入户维修!$C$5:$C$404,$A56)+COUNTIFS(公区维修!$K$5:$K$404,"已完成",公区维修!$C$5:$C$404,$A56)</f>
        <v>14</v>
      </c>
      <c r="D56" s="35" t="n">
        <f aca="false">COUNTIFS(入户维修!$K$5:$K$404,"跟进中",入户维修!$C$5:$C$404,$A56)+COUNTIFS(公区维修!$K$5:$K$404,"跟进中",公区维修!$C$5:$C$404,$A56)</f>
        <v>2</v>
      </c>
      <c r="E56" s="35" t="n">
        <f aca="false">COUNTIFS(入户维修!$K$5:$K$404,"需另约时间",入户维修!$C$5:$C$404,$A56)+COUNTIFS(公区维修!$K$5:$K$404,"需另约时间",公区维修!$C$5:$C$404,$A56)</f>
        <v>0</v>
      </c>
      <c r="F56" s="36" t="n">
        <f aca="false">IFERROR($C56/$B56,"")</f>
        <v>0.875</v>
      </c>
      <c r="G56" s="35" t="n">
        <f aca="false">COUNTIFS(入户维修!$O$5:$O$404,"非常满意",入户维修!$C$5:$C$404,$A56)+COUNTIFS(公区维修!$N$5:$N$404,"非常满意",公区维修!$C$5:$C$404,$A56)</f>
        <v>11</v>
      </c>
      <c r="H56" s="35" t="n">
        <f aca="false">COUNTIFS(入户维修!$O$5:$O$404,"满意",入户维修!$C$5:$C$404,$A56)+COUNTIFS(公区维修!$N$5:$N$404,"满意",公区维修!$C$5:$C$404,$A56)</f>
        <v>2</v>
      </c>
      <c r="I56" s="35" t="n">
        <f aca="false">COUNTIFS(入户维修!$O$5:$O$404,"一般",入户维修!$C$5:$C$404,$A56)+COUNTIFS(公区维修!$N$5:$N$404,"一般",公区维修!$C$5:$C$404,$A56)</f>
        <v>0</v>
      </c>
      <c r="J56" s="35" t="n">
        <f aca="false">COUNTIFS(入户维修!$O$5:$O$404,"不满意",入户维修!$C$5:$C$404,$A56)+COUNTIFS(公区维修!$N$5:$N$404,"不满意",公区维修!$C$5:$C$404,$A56)</f>
        <v>0</v>
      </c>
      <c r="K56" s="35" t="n">
        <f aca="false">SUM($G56:$J56)</f>
        <v>13</v>
      </c>
      <c r="L56" s="36" t="n">
        <f aca="false">IFERROR(($G56+$H56)/$K56,"")</f>
        <v>1</v>
      </c>
      <c r="M56" s="30"/>
      <c r="N56" s="30"/>
      <c r="O56" s="30"/>
      <c r="P56" s="30"/>
    </row>
    <row r="57" customFormat="false" ht="19.5" hidden="false" customHeight="true" outlineLevel="0" collapsed="false">
      <c r="A57" s="44" t="s">
        <v>79</v>
      </c>
      <c r="B57" s="35" t="n">
        <f aca="false">COUNTIFS(入户维修!$E$5:$E$404,"?*",入户维修!$C$5:$C$404,$A57)+COUNTIFS(公区维修!$E$5:$E$404,"?*",公区维修!$C$5:$C$404,$A57)</f>
        <v>14</v>
      </c>
      <c r="C57" s="35" t="n">
        <f aca="false">COUNTIFS(入户维修!$K$5:$K$404,"已完成",入户维修!$C$5:$C$404,$A57)+COUNTIFS(公区维修!$K$5:$K$404,"已完成",公区维修!$C$5:$C$404,$A57)</f>
        <v>13</v>
      </c>
      <c r="D57" s="35" t="n">
        <f aca="false">COUNTIFS(入户维修!$K$5:$K$404,"跟进中",入户维修!$C$5:$C$404,$A57)+COUNTIFS(公区维修!$K$5:$K$404,"跟进中",公区维修!$C$5:$C$404,$A57)</f>
        <v>1</v>
      </c>
      <c r="E57" s="35" t="n">
        <f aca="false">COUNTIFS(入户维修!$K$5:$K$404,"需另约时间",入户维修!$C$5:$C$404,$A57)+COUNTIFS(公区维修!$K$5:$K$404,"需另约时间",公区维修!$C$5:$C$404,$A57)</f>
        <v>0</v>
      </c>
      <c r="F57" s="36" t="n">
        <f aca="false">IFERROR($C57/$B57,"")</f>
        <v>0.928571428571429</v>
      </c>
      <c r="G57" s="35" t="n">
        <f aca="false">COUNTIFS(入户维修!$O$5:$O$404,"非常满意",入户维修!$C$5:$C$404,$A57)+COUNTIFS(公区维修!$N$5:$N$404,"非常满意",公区维修!$C$5:$C$404,$A57)</f>
        <v>12</v>
      </c>
      <c r="H57" s="35" t="n">
        <f aca="false">COUNTIFS(入户维修!$O$5:$O$404,"满意",入户维修!$C$5:$C$404,$A57)+COUNTIFS(公区维修!$N$5:$N$404,"满意",公区维修!$C$5:$C$404,$A57)</f>
        <v>0</v>
      </c>
      <c r="I57" s="35" t="n">
        <f aca="false">COUNTIFS(入户维修!$O$5:$O$404,"一般",入户维修!$C$5:$C$404,$A57)+COUNTIFS(公区维修!$N$5:$N$404,"一般",公区维修!$C$5:$C$404,$A57)</f>
        <v>0</v>
      </c>
      <c r="J57" s="35" t="n">
        <f aca="false">COUNTIFS(入户维修!$O$5:$O$404,"不满意",入户维修!$C$5:$C$404,$A57)+COUNTIFS(公区维修!$N$5:$N$404,"不满意",公区维修!$C$5:$C$404,$A57)</f>
        <v>0</v>
      </c>
      <c r="K57" s="35" t="n">
        <f aca="false">SUM($G57:$J57)</f>
        <v>12</v>
      </c>
      <c r="L57" s="36" t="n">
        <f aca="false">IFERROR(($G57+$H57)/$K57,"")</f>
        <v>1</v>
      </c>
      <c r="M57" s="30"/>
      <c r="N57" s="30"/>
      <c r="O57" s="30"/>
      <c r="P57" s="30"/>
    </row>
    <row r="58" customFormat="false" ht="19.5" hidden="false" customHeight="true" outlineLevel="0" collapsed="false">
      <c r="A58" s="44" t="s">
        <v>76</v>
      </c>
      <c r="B58" s="35" t="n">
        <f aca="false">COUNTIFS(入户维修!$E$5:$E$404,"?*",入户维修!$C$5:$C$404,$A58)+COUNTIFS(公区维修!$E$5:$E$404,"?*",公区维修!$C$5:$C$404,$A58)</f>
        <v>16</v>
      </c>
      <c r="C58" s="35" t="n">
        <f aca="false">COUNTIFS(入户维修!$K$5:$K$404,"已完成",入户维修!$C$5:$C$404,$A58)+COUNTIFS(公区维修!$K$5:$K$404,"已完成",公区维修!$C$5:$C$404,$A58)</f>
        <v>14</v>
      </c>
      <c r="D58" s="35" t="n">
        <f aca="false">COUNTIFS(入户维修!$K$5:$K$404,"跟进中",入户维修!$C$5:$C$404,$A58)+COUNTIFS(公区维修!$K$5:$K$404,"跟进中",公区维修!$C$5:$C$404,$A58)</f>
        <v>2</v>
      </c>
      <c r="E58" s="35" t="n">
        <f aca="false">COUNTIFS(入户维修!$K$5:$K$404,"需另约时间",入户维修!$C$5:$C$404,$A58)+COUNTIFS(公区维修!$K$5:$K$404,"需另约时间",公区维修!$C$5:$C$404,$A58)</f>
        <v>0</v>
      </c>
      <c r="F58" s="36" t="n">
        <f aca="false">IFERROR($C58/$B58,"")</f>
        <v>0.875</v>
      </c>
      <c r="G58" s="35" t="n">
        <f aca="false">COUNTIFS(入户维修!$O$5:$O$404,"非常满意",入户维修!$C$5:$C$404,$A58)+COUNTIFS(公区维修!$N$5:$N$404,"非常满意",公区维修!$C$5:$C$404,$A58)</f>
        <v>9</v>
      </c>
      <c r="H58" s="35" t="n">
        <f aca="false">COUNTIFS(入户维修!$O$5:$O$404,"满意",入户维修!$C$5:$C$404,$A58)+COUNTIFS(公区维修!$N$5:$N$404,"满意",公区维修!$C$5:$C$404,$A58)</f>
        <v>2</v>
      </c>
      <c r="I58" s="35" t="n">
        <f aca="false">COUNTIFS(入户维修!$O$5:$O$404,"一般",入户维修!$C$5:$C$404,$A58)+COUNTIFS(公区维修!$N$5:$N$404,"一般",公区维修!$C$5:$C$404,$A58)</f>
        <v>0</v>
      </c>
      <c r="J58" s="35" t="n">
        <f aca="false">COUNTIFS(入户维修!$O$5:$O$404,"不满意",入户维修!$C$5:$C$404,$A58)+COUNTIFS(公区维修!$N$5:$N$404,"不满意",公区维修!$C$5:$C$404,$A58)</f>
        <v>0</v>
      </c>
      <c r="K58" s="35" t="n">
        <f aca="false">SUM($G58:$J58)</f>
        <v>11</v>
      </c>
      <c r="L58" s="36" t="n">
        <f aca="false">IFERROR(($G58+$H58)/$K58,"")</f>
        <v>1</v>
      </c>
      <c r="M58" s="30"/>
      <c r="N58" s="30"/>
      <c r="O58" s="30"/>
      <c r="P58" s="30"/>
    </row>
    <row r="59" customFormat="false" ht="19.5" hidden="false" customHeight="true" outlineLevel="0" collapsed="false">
      <c r="A59" s="44" t="s">
        <v>93</v>
      </c>
      <c r="B59" s="35" t="n">
        <f aca="false">COUNTIFS(入户维修!$E$5:$E$404,"?*",入户维修!$C$5:$C$404,$A59)+COUNTIFS(公区维修!$E$5:$E$404,"?*",公区维修!$C$5:$C$404,$A59)</f>
        <v>12</v>
      </c>
      <c r="C59" s="35" t="n">
        <f aca="false">COUNTIFS(入户维修!$K$5:$K$404,"已完成",入户维修!$C$5:$C$404,$A59)+COUNTIFS(公区维修!$K$5:$K$404,"已完成",公区维修!$C$5:$C$404,$A59)</f>
        <v>11</v>
      </c>
      <c r="D59" s="35" t="n">
        <f aca="false">COUNTIFS(入户维修!$K$5:$K$404,"跟进中",入户维修!$C$5:$C$404,$A59)+COUNTIFS(公区维修!$K$5:$K$404,"跟进中",公区维修!$C$5:$C$404,$A59)</f>
        <v>1</v>
      </c>
      <c r="E59" s="35" t="n">
        <f aca="false">COUNTIFS(入户维修!$K$5:$K$404,"需另约时间",入户维修!$C$5:$C$404,$A59)+COUNTIFS(公区维修!$K$5:$K$404,"需另约时间",公区维修!$C$5:$C$404,$A59)</f>
        <v>0</v>
      </c>
      <c r="F59" s="36" t="n">
        <f aca="false">IFERROR($C59/$B59,"")</f>
        <v>0.916666666666667</v>
      </c>
      <c r="G59" s="35" t="n">
        <f aca="false">COUNTIFS(入户维修!$O$5:$O$404,"非常满意",入户维修!$C$5:$C$404,$A59)+COUNTIFS(公区维修!$N$5:$N$404,"非常满意",公区维修!$C$5:$C$404,$A59)</f>
        <v>9</v>
      </c>
      <c r="H59" s="35" t="n">
        <f aca="false">COUNTIFS(入户维修!$O$5:$O$404,"满意",入户维修!$C$5:$C$404,$A59)+COUNTIFS(公区维修!$N$5:$N$404,"满意",公区维修!$C$5:$C$404,$A59)</f>
        <v>0</v>
      </c>
      <c r="I59" s="35" t="n">
        <f aca="false">COUNTIFS(入户维修!$O$5:$O$404,"一般",入户维修!$C$5:$C$404,$A59)+COUNTIFS(公区维修!$N$5:$N$404,"一般",公区维修!$C$5:$C$404,$A59)</f>
        <v>0</v>
      </c>
      <c r="J59" s="35" t="n">
        <f aca="false">COUNTIFS(入户维修!$O$5:$O$404,"不满意",入户维修!$C$5:$C$404,$A59)+COUNTIFS(公区维修!$N$5:$N$404,"不满意",公区维修!$C$5:$C$404,$A59)</f>
        <v>0</v>
      </c>
      <c r="K59" s="35" t="n">
        <f aca="false">SUM($G59:$J59)</f>
        <v>9</v>
      </c>
      <c r="L59" s="36" t="n">
        <f aca="false">IFERROR(($G59+$H59)/$K59,"")</f>
        <v>1</v>
      </c>
      <c r="M59" s="30"/>
      <c r="N59" s="30"/>
      <c r="O59" s="30"/>
      <c r="P59" s="30"/>
    </row>
    <row r="60" customFormat="false" ht="19.5" hidden="false" customHeight="true" outlineLevel="0" collapsed="false">
      <c r="A60" s="34" t="s">
        <v>180</v>
      </c>
      <c r="B60" s="35" t="n">
        <f aca="false">COUNTIFS(入户维修!$E$5:$E$404,"?*",入户维修!$C$5:$C$404,$A60)+COUNTIFS(公区维修!$E$5:$E$404,"?*",公区维修!$C$5:$C$404,$A60)</f>
        <v>1</v>
      </c>
      <c r="C60" s="35" t="n">
        <f aca="false">COUNTIFS(入户维修!$K$5:$K$404,"已完成",入户维修!$C$5:$C$404,$A60)+COUNTIFS(公区维修!$K$5:$K$404,"已完成",公区维修!$C$5:$C$404,$A60)</f>
        <v>1</v>
      </c>
      <c r="D60" s="35" t="n">
        <f aca="false">COUNTIFS(入户维修!$K$5:$K$404,"跟进中",入户维修!$C$5:$C$404,$A60)+COUNTIFS(公区维修!$K$5:$K$404,"跟进中",公区维修!$C$5:$C$404,$A60)</f>
        <v>0</v>
      </c>
      <c r="E60" s="35" t="n">
        <f aca="false">COUNTIFS(入户维修!$K$5:$K$404,"需另约时间",入户维修!$C$5:$C$404,$A60)+COUNTIFS(公区维修!$K$5:$K$404,"需另约时间",公区维修!$C$5:$C$404,$A60)</f>
        <v>0</v>
      </c>
      <c r="F60" s="36" t="n">
        <f aca="false">IFERROR($C60/$B60,"")</f>
        <v>1</v>
      </c>
      <c r="G60" s="35" t="n">
        <f aca="false">COUNTIFS(入户维修!$O$5:$O$404,"非常满意",入户维修!$C$5:$C$404,$A60)+COUNTIFS(公区维修!$N$5:$N$404,"非常满意",公区维修!$C$5:$C$404,$A60)</f>
        <v>1</v>
      </c>
      <c r="H60" s="35" t="n">
        <f aca="false">COUNTIFS(入户维修!$O$5:$O$404,"满意",入户维修!$C$5:$C$404,$A60)+COUNTIFS(公区维修!$N$5:$N$404,"满意",公区维修!$C$5:$C$404,$A60)</f>
        <v>0</v>
      </c>
      <c r="I60" s="35" t="n">
        <f aca="false">COUNTIFS(入户维修!$O$5:$O$404,"一般",入户维修!$C$5:$C$404,$A60)+COUNTIFS(公区维修!$N$5:$N$404,"一般",公区维修!$C$5:$C$404,$A60)</f>
        <v>0</v>
      </c>
      <c r="J60" s="35" t="n">
        <f aca="false">COUNTIFS(入户维修!$O$5:$O$404,"不满意",入户维修!$C$5:$C$404,$A60)+COUNTIFS(公区维修!$N$5:$N$404,"不满意",公区维修!$C$5:$C$404,$A60)</f>
        <v>0</v>
      </c>
      <c r="K60" s="35" t="n">
        <f aca="false">SUM($G60:$J60)</f>
        <v>1</v>
      </c>
      <c r="L60" s="36" t="n">
        <f aca="false">IFERROR(($G60+$H60)/$K60,"")</f>
        <v>1</v>
      </c>
      <c r="M60" s="30"/>
      <c r="N60" s="30"/>
      <c r="O60" s="30"/>
      <c r="P60" s="30"/>
    </row>
    <row r="61" customFormat="false" ht="19.5" hidden="false" customHeight="true" outlineLevel="0" collapsed="false">
      <c r="A61" s="34" t="s">
        <v>385</v>
      </c>
      <c r="B61" s="35" t="n">
        <f aca="false">COUNTIFS(入户维修!$E$5:$E$404,"?*",入户维修!$C$5:$C$404,$A61)+COUNTIFS(公区维修!$E$5:$E$404,"?*",公区维修!$C$5:$C$404,$A61)</f>
        <v>8</v>
      </c>
      <c r="C61" s="35" t="n">
        <f aca="false">COUNTIFS(入户维修!$K$5:$K$404,"已完成",入户维修!$C$5:$C$404,$A61)+COUNTIFS(公区维修!$K$5:$K$404,"已完成",公区维修!$C$5:$C$404,$A61)</f>
        <v>6</v>
      </c>
      <c r="D61" s="35" t="n">
        <f aca="false">COUNTIFS(入户维修!$K$5:$K$404,"跟进中",入户维修!$C$5:$C$404,$A61)+COUNTIFS(公区维修!$K$5:$K$404,"跟进中",公区维修!$C$5:$C$404,$A61)</f>
        <v>1</v>
      </c>
      <c r="E61" s="35" t="n">
        <f aca="false">COUNTIFS(入户维修!$K$5:$K$404,"需另约时间",入户维修!$C$5:$C$404,$A61)+COUNTIFS(公区维修!$K$5:$K$404,"需另约时间",公区维修!$C$5:$C$404,$A61)</f>
        <v>0</v>
      </c>
      <c r="F61" s="36" t="n">
        <f aca="false">IFERROR($C61/$B61,"")</f>
        <v>0.75</v>
      </c>
      <c r="G61" s="35" t="n">
        <f aca="false">COUNTIFS(入户维修!$O$5:$O$404,"非常满意",入户维修!$C$5:$C$404,$A61)+COUNTIFS(公区维修!$N$5:$N$404,"非常满意",公区维修!$C$5:$C$404,$A61)</f>
        <v>0</v>
      </c>
      <c r="H61" s="35" t="n">
        <f aca="false">COUNTIFS(入户维修!$O$5:$O$404,"满意",入户维修!$C$5:$C$404,$A61)+COUNTIFS(公区维修!$N$5:$N$404,"满意",公区维修!$C$5:$C$404,$A61)</f>
        <v>0</v>
      </c>
      <c r="I61" s="35" t="n">
        <f aca="false">COUNTIFS(入户维修!$O$5:$O$404,"一般",入户维修!$C$5:$C$404,$A61)+COUNTIFS(公区维修!$N$5:$N$404,"一般",公区维修!$C$5:$C$404,$A61)</f>
        <v>0</v>
      </c>
      <c r="J61" s="35" t="n">
        <f aca="false">COUNTIFS(入户维修!$O$5:$O$404,"不满意",入户维修!$C$5:$C$404,$A61)+COUNTIFS(公区维修!$N$5:$N$404,"不满意",公区维修!$C$5:$C$404,$A61)</f>
        <v>0</v>
      </c>
      <c r="K61" s="35" t="n">
        <f aca="false">SUM($G61:$J61)</f>
        <v>0</v>
      </c>
      <c r="L61" s="36" t="str">
        <f aca="false">IFERROR(($G61+$H61)/$K61,"")</f>
        <v/>
      </c>
      <c r="M61" s="30"/>
      <c r="N61" s="30"/>
      <c r="O61" s="30"/>
      <c r="P61" s="30"/>
    </row>
    <row r="62" customFormat="false" ht="19.5" hidden="false" customHeight="true" outlineLevel="0" collapsed="false">
      <c r="A62" s="34" t="s">
        <v>456</v>
      </c>
      <c r="B62" s="35" t="n">
        <f aca="false">COUNTIFS(入户维修!$E$5:$E$404,"?*",入户维修!$C$5:$C$404,"")+COUNTIFS(公区维修!$E$5:$E$404,"?*",公区维修!$C$5:$C$404,"")</f>
        <v>0</v>
      </c>
      <c r="C62" s="35" t="n">
        <f aca="false">COUNTIFS(入户维修!$K$5:$K$404,"已完成",入户维修!$C$5:$C$404,"")+COUNTIFS(公区维修!$K$5:$K$404,"已完成",公区维修!$C$5:$C$404,"")</f>
        <v>0</v>
      </c>
      <c r="D62" s="35" t="n">
        <f aca="false">COUNTIFS(入户维修!$K$5:$K$404,"跟进中",入户维修!$C$5:$C$404,"")+COUNTIFS(公区维修!$K$5:$K$404,"跟进中",公区维修!$C$5:$C$404,"")</f>
        <v>0</v>
      </c>
      <c r="E62" s="35" t="n">
        <f aca="false">COUNTIFS(入户维修!$K$5:$K$404,"需另约时间",入户维修!$C$5:$C$404,"")+COUNTIFS(公区维修!$K$5:$K$404,"需另约时间",公区维修!$C$5:$C$404,"")</f>
        <v>0</v>
      </c>
      <c r="F62" s="36" t="str">
        <f aca="false">IFERROR($C62/$B62,"")</f>
        <v/>
      </c>
      <c r="G62" s="35" t="n">
        <f aca="false">COUNTIFS(入户维修!$O$5:$O$404,"非常满意",入户维修!$C$5:$C$404,"")+COUNTIFS(公区维修!$N$5:$N$404,"非常满意",公区维修!$C$5:$C$404,"")</f>
        <v>0</v>
      </c>
      <c r="H62" s="35" t="n">
        <f aca="false">COUNTIFS(入户维修!$O$5:$O$404,"满意",入户维修!$C$5:$C$404,"")+COUNTIFS(公区维修!$N$5:$N$404,"满意",公区维修!$C$5:$C$404,"")</f>
        <v>0</v>
      </c>
      <c r="I62" s="35" t="n">
        <f aca="false">COUNTIFS(入户维修!$O$5:$O$404,"一般",入户维修!$C$5:$C$404,"")+COUNTIFS(公区维修!$N$5:$N$404,"一般",公区维修!$C$5:$C$404,"")</f>
        <v>0</v>
      </c>
      <c r="J62" s="35" t="n">
        <f aca="false">COUNTIFS(入户维修!$O$5:$O$404,"不满意",入户维修!$C$5:$C$404,"")+COUNTIFS(公区维修!$N$5:$N$404,"不满意",公区维修!$C$5:$C$404,"")</f>
        <v>0</v>
      </c>
      <c r="K62" s="35" t="n">
        <f aca="false">SUM($G62:$J62)</f>
        <v>0</v>
      </c>
      <c r="L62" s="36" t="str">
        <f aca="false">IFERROR(($G62+$H62)/$K62,"")</f>
        <v/>
      </c>
      <c r="M62" s="30"/>
      <c r="N62" s="30"/>
      <c r="O62" s="30"/>
      <c r="P62" s="30"/>
    </row>
    <row r="63" customFormat="false" ht="21.75" hidden="false" customHeight="true" outlineLevel="0" collapsed="false">
      <c r="A63" s="37" t="s">
        <v>457</v>
      </c>
      <c r="B63" s="38" t="n">
        <f aca="false">SUM(B49:B62)</f>
        <v>143</v>
      </c>
      <c r="C63" s="38" t="n">
        <f aca="false">SUM(C49:C62)</f>
        <v>124</v>
      </c>
      <c r="D63" s="38" t="n">
        <f aca="false">SUM(D49:D62)</f>
        <v>17</v>
      </c>
      <c r="E63" s="38" t="n">
        <f aca="false">SUM(E49:E62)</f>
        <v>0</v>
      </c>
      <c r="F63" s="39" t="n">
        <f aca="false">IFERROR($C63/$B63,"")</f>
        <v>0.867132867132867</v>
      </c>
      <c r="G63" s="38" t="n">
        <f aca="false">SUM(G49:G62)</f>
        <v>99</v>
      </c>
      <c r="H63" s="38" t="n">
        <f aca="false">SUM(H49:H62)</f>
        <v>11</v>
      </c>
      <c r="I63" s="38" t="n">
        <f aca="false">SUM(I49:I62)</f>
        <v>1</v>
      </c>
      <c r="J63" s="38" t="n">
        <f aca="false">SUM(J49:J62)</f>
        <v>0</v>
      </c>
      <c r="K63" s="38" t="n">
        <f aca="false">SUM(K49:K62)</f>
        <v>111</v>
      </c>
      <c r="L63" s="39" t="n">
        <f aca="false">IFERROR(($G63+$H63)/$K63,"")</f>
        <v>0.990990990990991</v>
      </c>
      <c r="M63" s="30"/>
      <c r="N63" s="30"/>
      <c r="O63" s="30"/>
      <c r="P63" s="30"/>
    </row>
    <row r="64" customFormat="false" ht="9.75" hidden="false" customHeight="true" outlineLevel="0" collapsed="false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</row>
    <row r="65" customFormat="false" ht="27.75" hidden="false" customHeight="true" outlineLevel="0" collapsed="false">
      <c r="A65" s="31" t="s">
        <v>458</v>
      </c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</row>
    <row r="66" customFormat="false" ht="30" hidden="false" customHeight="true" outlineLevel="0" collapsed="false">
      <c r="A66" s="33" t="s">
        <v>445</v>
      </c>
      <c r="B66" s="33" t="s">
        <v>435</v>
      </c>
      <c r="C66" s="33" t="s">
        <v>28</v>
      </c>
      <c r="D66" s="33" t="s">
        <v>36</v>
      </c>
      <c r="E66" s="33" t="s">
        <v>436</v>
      </c>
      <c r="F66" s="33" t="s">
        <v>437</v>
      </c>
      <c r="G66" s="33" t="s">
        <v>30</v>
      </c>
      <c r="H66" s="33" t="s">
        <v>48</v>
      </c>
      <c r="I66" s="33" t="s">
        <v>53</v>
      </c>
      <c r="J66" s="33" t="s">
        <v>438</v>
      </c>
      <c r="K66" s="33" t="s">
        <v>439</v>
      </c>
      <c r="L66" s="33" t="s">
        <v>440</v>
      </c>
      <c r="M66" s="30"/>
      <c r="N66" s="30"/>
      <c r="O66" s="30"/>
      <c r="P66" s="30"/>
    </row>
    <row r="67" customFormat="false" ht="19.5" hidden="false" customHeight="true" outlineLevel="0" collapsed="false">
      <c r="A67" s="34" t="s">
        <v>24</v>
      </c>
      <c r="B67" s="35" t="n">
        <f aca="false">COUNTIFS(入户维修!$F$5:$F$404,$A67,入户维修!$E$5:$E$404,"?*")+COUNTIFS(入户维修!$G$5:$G$404,$A67,入户维修!$E$5:$E$404,"?*")+COUNTIFS(入户维修!$H$5:$H$404,$A67,入户维修!$E$5:$E$404,"?*")+COUNTIFS(公区维修!$F$5:$F$404,$A67,公区维修!$E$5:$E$404,"?*")+COUNTIFS(公区维修!$G$5:$G$404,$A67,公区维修!$E$5:$E$404,"?*")+COUNTIFS(公区维修!$H$5:$H$404,$A67,公区维修!$E$5:$E$404,"?*")</f>
        <v>67</v>
      </c>
      <c r="C67" s="35" t="n">
        <f aca="false">COUNTIFS(入户维修!$F$5:$F$404,$A67,入户维修!$K$5:$K$404,"已完成")+COUNTIFS(入户维修!$G$5:$G$404,$A67,入户维修!$K$5:$K$404,"已完成")+COUNTIFS(入户维修!$H$5:$H$404,$A67,入户维修!$K$5:$K$404,"已完成")+COUNTIFS(公区维修!$F$5:$F$404,$A67,公区维修!$K$5:$K$404,"已完成")+COUNTIFS(公区维修!$G$5:$G$404,$A67,公区维修!$K$5:$K$404,"已完成")+COUNTIFS(公区维修!$H$5:$H$404,$A67,公区维修!$K$5:$K$404,"已完成")</f>
        <v>64</v>
      </c>
      <c r="D67" s="35" t="n">
        <f aca="false">COUNTIFS(入户维修!$F$5:$F$404,$A67,入户维修!$K$5:$K$404,"跟进中")+COUNTIFS(入户维修!$G$5:$G$404,$A67,入户维修!$K$5:$K$404,"跟进中")+COUNTIFS(入户维修!$H$5:$H$404,$A67,入户维修!$K$5:$K$404,"跟进中")+COUNTIFS(公区维修!$F$5:$F$404,$A67,公区维修!$K$5:$K$404,"跟进中")+COUNTIFS(公区维修!$G$5:$G$404,$A67,公区维修!$K$5:$K$404,"跟进中")+COUNTIFS(公区维修!$H$5:$H$404,$A67,公区维修!$K$5:$K$404,"跟进中")</f>
        <v>3</v>
      </c>
      <c r="E67" s="35" t="n">
        <f aca="false">COUNTIFS(入户维修!$F$5:$F$404,$A67,入户维修!$K$5:$K$404,"需另约时间")+COUNTIFS(入户维修!$G$5:$G$404,$A67,入户维修!$K$5:$K$404,"需另约时间")+COUNTIFS(入户维修!$H$5:$H$404,$A67,入户维修!$K$5:$K$404,"需另约时间")+COUNTIFS(公区维修!$F$5:$F$404,$A67,公区维修!$K$5:$K$404,"需另约时间")+COUNTIFS(公区维修!$G$5:$G$404,$A67,公区维修!$K$5:$K$404,"需另约时间")+COUNTIFS(公区维修!$H$5:$H$404,$A67,公区维修!$K$5:$K$404,"需另约时间")</f>
        <v>0</v>
      </c>
      <c r="F67" s="36" t="n">
        <f aca="false">IFERROR($C67/$B67,"")</f>
        <v>0.955223880597015</v>
      </c>
      <c r="G67" s="35" t="n">
        <f aca="false">COUNTIFS(入户维修!$F$5:$F$404,$A67,入户维修!$O$5:$O$404,"非常满意")+COUNTIFS(入户维修!$G$5:$G$404,$A67,入户维修!$O$5:$O$404,"非常满意")+COUNTIFS(入户维修!$H$5:$H$404,$A67,入户维修!$O$5:$O$404,"非常满意")+COUNTIFS(公区维修!$F$5:$F$404,$A67,公区维修!$N$5:$N$404,"非常满意")+COUNTIFS(公区维修!$G$5:$G$404,$A67,公区维修!$N$5:$N$404,"非常满意")+COUNTIFS(公区维修!$H$5:$H$404,$A67,公区维修!$N$5:$N$404,"非常满意")</f>
        <v>52</v>
      </c>
      <c r="H67" s="35" t="n">
        <f aca="false">COUNTIFS(入户维修!$F$5:$F$404,$A67,入户维修!$O$5:$O$404,"满意")+COUNTIFS(入户维修!$G$5:$G$404,$A67,入户维修!$O$5:$O$404,"满意")+COUNTIFS(入户维修!$H$5:$H$404,$A67,入户维修!$O$5:$O$404,"满意")+COUNTIFS(公区维修!$F$5:$F$404,$A67,公区维修!$N$5:$N$404,"满意")+COUNTIFS(公区维修!$G$5:$G$404,$A67,公区维修!$N$5:$N$404,"满意")+COUNTIFS(公区维修!$H$5:$H$404,$A67,公区维修!$N$5:$N$404,"满意")</f>
        <v>2</v>
      </c>
      <c r="I67" s="35" t="n">
        <f aca="false">COUNTIFS(入户维修!$F$5:$F$404,$A67,入户维修!$O$5:$O$404,"一般")+COUNTIFS(入户维修!$G$5:$G$404,$A67,入户维修!$O$5:$O$404,"一般")+COUNTIFS(入户维修!$H$5:$H$404,$A67,入户维修!$O$5:$O$404,"一般")+COUNTIFS(公区维修!$F$5:$F$404,$A67,公区维修!$N$5:$N$404,"一般")+COUNTIFS(公区维修!$G$5:$G$404,$A67,公区维修!$N$5:$N$404,"一般")+COUNTIFS(公区维修!$H$5:$H$404,$A67,公区维修!$N$5:$N$404,"一般")</f>
        <v>1</v>
      </c>
      <c r="J67" s="35" t="n">
        <f aca="false">COUNTIFS(入户维修!$F$5:$F$404,$A67,入户维修!$O$5:$O$404,"不满意")+COUNTIFS(入户维修!$G$5:$G$404,$A67,入户维修!$O$5:$O$404,"不满意")+COUNTIFS(入户维修!$H$5:$H$404,$A67,入户维修!$O$5:$O$404,"不满意")+COUNTIFS(公区维修!$F$5:$F$404,$A67,公区维修!$N$5:$N$404,"不满意")+COUNTIFS(公区维修!$G$5:$G$404,$A67,公区维修!$N$5:$N$404,"不满意")+COUNTIFS(公区维修!$H$5:$H$404,$A67,公区维修!$N$5:$N$404,"不满意")</f>
        <v>0</v>
      </c>
      <c r="K67" s="35" t="n">
        <f aca="false">SUM($G67:$J67)</f>
        <v>55</v>
      </c>
      <c r="L67" s="36" t="n">
        <f aca="false">IFERROR(($G67+$H67)/$K67,"")</f>
        <v>0.981818181818182</v>
      </c>
      <c r="M67" s="30"/>
      <c r="N67" s="30"/>
      <c r="O67" s="30"/>
      <c r="P67" s="30"/>
    </row>
    <row r="68" customFormat="false" ht="19.5" hidden="false" customHeight="true" outlineLevel="0" collapsed="false">
      <c r="A68" s="34" t="s">
        <v>25</v>
      </c>
      <c r="B68" s="35" t="n">
        <f aca="false">COUNTIFS(入户维修!$F$5:$F$404,$A68,入户维修!$E$5:$E$404,"?*")+COUNTIFS(入户维修!$G$5:$G$404,$A68,入户维修!$E$5:$E$404,"?*")+COUNTIFS(入户维修!$H$5:$H$404,$A68,入户维修!$E$5:$E$404,"?*")+COUNTIFS(公区维修!$F$5:$F$404,$A68,公区维修!$E$5:$E$404,"?*")+COUNTIFS(公区维修!$G$5:$G$404,$A68,公区维修!$E$5:$E$404,"?*")+COUNTIFS(公区维修!$H$5:$H$404,$A68,公区维修!$E$5:$E$404,"?*")</f>
        <v>40</v>
      </c>
      <c r="C68" s="35" t="n">
        <f aca="false">COUNTIFS(入户维修!$F$5:$F$404,$A68,入户维修!$K$5:$K$404,"已完成")+COUNTIFS(入户维修!$G$5:$G$404,$A68,入户维修!$K$5:$K$404,"已完成")+COUNTIFS(入户维修!$H$5:$H$404,$A68,入户维修!$K$5:$K$404,"已完成")+COUNTIFS(公区维修!$F$5:$F$404,$A68,公区维修!$K$5:$K$404,"已完成")+COUNTIFS(公区维修!$G$5:$G$404,$A68,公区维修!$K$5:$K$404,"已完成")+COUNTIFS(公区维修!$H$5:$H$404,$A68,公区维修!$K$5:$K$404,"已完成")</f>
        <v>33</v>
      </c>
      <c r="D68" s="35" t="n">
        <f aca="false">COUNTIFS(入户维修!$F$5:$F$404,$A68,入户维修!$K$5:$K$404,"跟进中")+COUNTIFS(入户维修!$G$5:$G$404,$A68,入户维修!$K$5:$K$404,"跟进中")+COUNTIFS(入户维修!$H$5:$H$404,$A68,入户维修!$K$5:$K$404,"跟进中")+COUNTIFS(公区维修!$F$5:$F$404,$A68,公区维修!$K$5:$K$404,"跟进中")+COUNTIFS(公区维修!$G$5:$G$404,$A68,公区维修!$K$5:$K$404,"跟进中")+COUNTIFS(公区维修!$H$5:$H$404,$A68,公区维修!$K$5:$K$404,"跟进中")</f>
        <v>7</v>
      </c>
      <c r="E68" s="35" t="n">
        <f aca="false">COUNTIFS(入户维修!$F$5:$F$404,$A68,入户维修!$K$5:$K$404,"需另约时间")+COUNTIFS(入户维修!$G$5:$G$404,$A68,入户维修!$K$5:$K$404,"需另约时间")+COUNTIFS(入户维修!$H$5:$H$404,$A68,入户维修!$K$5:$K$404,"需另约时间")+COUNTIFS(公区维修!$F$5:$F$404,$A68,公区维修!$K$5:$K$404,"需另约时间")+COUNTIFS(公区维修!$G$5:$G$404,$A68,公区维修!$K$5:$K$404,"需另约时间")+COUNTIFS(公区维修!$H$5:$H$404,$A68,公区维修!$K$5:$K$404,"需另约时间")</f>
        <v>0</v>
      </c>
      <c r="F68" s="36" t="n">
        <f aca="false">IFERROR($C68/$B68,"")</f>
        <v>0.825</v>
      </c>
      <c r="G68" s="35" t="n">
        <f aca="false">COUNTIFS(入户维修!$F$5:$F$404,$A68,入户维修!$O$5:$O$404,"非常满意")+COUNTIFS(入户维修!$G$5:$G$404,$A68,入户维修!$O$5:$O$404,"非常满意")+COUNTIFS(入户维修!$H$5:$H$404,$A68,入户维修!$O$5:$O$404,"非常满意")+COUNTIFS(公区维修!$F$5:$F$404,$A68,公区维修!$N$5:$N$404,"非常满意")+COUNTIFS(公区维修!$G$5:$G$404,$A68,公区维修!$N$5:$N$404,"非常满意")+COUNTIFS(公区维修!$H$5:$H$404,$A68,公区维修!$N$5:$N$404,"非常满意")</f>
        <v>32</v>
      </c>
      <c r="H68" s="35" t="n">
        <f aca="false">COUNTIFS(入户维修!$F$5:$F$404,$A68,入户维修!$O$5:$O$404,"满意")+COUNTIFS(入户维修!$G$5:$G$404,$A68,入户维修!$O$5:$O$404,"满意")+COUNTIFS(入户维修!$H$5:$H$404,$A68,入户维修!$O$5:$O$404,"满意")+COUNTIFS(公区维修!$F$5:$F$404,$A68,公区维修!$N$5:$N$404,"满意")+COUNTIFS(公区维修!$G$5:$G$404,$A68,公区维修!$N$5:$N$404,"满意")+COUNTIFS(公区维修!$H$5:$H$404,$A68,公区维修!$N$5:$N$404,"满意")</f>
        <v>4</v>
      </c>
      <c r="I68" s="35" t="n">
        <f aca="false">COUNTIFS(入户维修!$F$5:$F$404,$A68,入户维修!$O$5:$O$404,"一般")+COUNTIFS(入户维修!$G$5:$G$404,$A68,入户维修!$O$5:$O$404,"一般")+COUNTIFS(入户维修!$H$5:$H$404,$A68,入户维修!$O$5:$O$404,"一般")+COUNTIFS(公区维修!$F$5:$F$404,$A68,公区维修!$N$5:$N$404,"一般")+COUNTIFS(公区维修!$G$5:$G$404,$A68,公区维修!$N$5:$N$404,"一般")+COUNTIFS(公区维修!$H$5:$H$404,$A68,公区维修!$N$5:$N$404,"一般")</f>
        <v>0</v>
      </c>
      <c r="J68" s="35" t="n">
        <f aca="false">COUNTIFS(入户维修!$F$5:$F$404,$A68,入户维修!$O$5:$O$404,"不满意")+COUNTIFS(入户维修!$G$5:$G$404,$A68,入户维修!$O$5:$O$404,"不满意")+COUNTIFS(入户维修!$H$5:$H$404,$A68,入户维修!$O$5:$O$404,"不满意")+COUNTIFS(公区维修!$F$5:$F$404,$A68,公区维修!$N$5:$N$404,"不满意")+COUNTIFS(公区维修!$G$5:$G$404,$A68,公区维修!$N$5:$N$404,"不满意")+COUNTIFS(公区维修!$H$5:$H$404,$A68,公区维修!$N$5:$N$404,"不满意")</f>
        <v>0</v>
      </c>
      <c r="K68" s="35" t="n">
        <f aca="false">SUM($G68:$J68)</f>
        <v>36</v>
      </c>
      <c r="L68" s="36" t="n">
        <f aca="false">IFERROR(($G68+$H68)/$K68,"")</f>
        <v>1</v>
      </c>
      <c r="M68" s="30"/>
      <c r="N68" s="30"/>
      <c r="O68" s="30"/>
      <c r="P68" s="30"/>
    </row>
    <row r="69" customFormat="false" ht="19.5" hidden="false" customHeight="true" outlineLevel="0" collapsed="false">
      <c r="A69" s="34" t="s">
        <v>169</v>
      </c>
      <c r="B69" s="35" t="n">
        <f aca="false">COUNTIFS(入户维修!$F$5:$F$404,$A69,入户维修!$E$5:$E$404,"?*")+COUNTIFS(入户维修!$G$5:$G$404,$A69,入户维修!$E$5:$E$404,"?*")+COUNTIFS(入户维修!$H$5:$H$404,$A69,入户维修!$E$5:$E$404,"?*")+COUNTIFS(公区维修!$F$5:$F$404,$A69,公区维修!$E$5:$E$404,"?*")+COUNTIFS(公区维修!$G$5:$G$404,$A69,公区维修!$E$5:$E$404,"?*")+COUNTIFS(公区维修!$H$5:$H$404,$A69,公区维修!$E$5:$E$404,"?*")</f>
        <v>8</v>
      </c>
      <c r="C69" s="35" t="n">
        <f aca="false">COUNTIFS(入户维修!$F$5:$F$404,$A69,入户维修!$K$5:$K$404,"已完成")+COUNTIFS(入户维修!$G$5:$G$404,$A69,入户维修!$K$5:$K$404,"已完成")+COUNTIFS(入户维修!$H$5:$H$404,$A69,入户维修!$K$5:$K$404,"已完成")+COUNTIFS(公区维修!$F$5:$F$404,$A69,公区维修!$K$5:$K$404,"已完成")+COUNTIFS(公区维修!$G$5:$G$404,$A69,公区维修!$K$5:$K$404,"已完成")+COUNTIFS(公区维修!$H$5:$H$404,$A69,公区维修!$K$5:$K$404,"已完成")</f>
        <v>7</v>
      </c>
      <c r="D69" s="35" t="n">
        <f aca="false">COUNTIFS(入户维修!$F$5:$F$404,$A69,入户维修!$K$5:$K$404,"跟进中")+COUNTIFS(入户维修!$G$5:$G$404,$A69,入户维修!$K$5:$K$404,"跟进中")+COUNTIFS(入户维修!$H$5:$H$404,$A69,入户维修!$K$5:$K$404,"跟进中")+COUNTIFS(公区维修!$F$5:$F$404,$A69,公区维修!$K$5:$K$404,"跟进中")+COUNTIFS(公区维修!$G$5:$G$404,$A69,公区维修!$K$5:$K$404,"跟进中")+COUNTIFS(公区维修!$H$5:$H$404,$A69,公区维修!$K$5:$K$404,"跟进中")</f>
        <v>1</v>
      </c>
      <c r="E69" s="35" t="n">
        <f aca="false">COUNTIFS(入户维修!$F$5:$F$404,$A69,入户维修!$K$5:$K$404,"需另约时间")+COUNTIFS(入户维修!$G$5:$G$404,$A69,入户维修!$K$5:$K$404,"需另约时间")+COUNTIFS(入户维修!$H$5:$H$404,$A69,入户维修!$K$5:$K$404,"需另约时间")+COUNTIFS(公区维修!$F$5:$F$404,$A69,公区维修!$K$5:$K$404,"需另约时间")+COUNTIFS(公区维修!$G$5:$G$404,$A69,公区维修!$K$5:$K$404,"需另约时间")+COUNTIFS(公区维修!$H$5:$H$404,$A69,公区维修!$K$5:$K$404,"需另约时间")</f>
        <v>0</v>
      </c>
      <c r="F69" s="36" t="n">
        <f aca="false">IFERROR($C69/$B69,"")</f>
        <v>0.875</v>
      </c>
      <c r="G69" s="35" t="n">
        <f aca="false">COUNTIFS(入户维修!$F$5:$F$404,$A69,入户维修!$O$5:$O$404,"非常满意")+COUNTIFS(入户维修!$G$5:$G$404,$A69,入户维修!$O$5:$O$404,"非常满意")+COUNTIFS(入户维修!$H$5:$H$404,$A69,入户维修!$O$5:$O$404,"非常满意")+COUNTIFS(公区维修!$F$5:$F$404,$A69,公区维修!$N$5:$N$404,"非常满意")+COUNTIFS(公区维修!$G$5:$G$404,$A69,公区维修!$N$5:$N$404,"非常满意")+COUNTIFS(公区维修!$H$5:$H$404,$A69,公区维修!$N$5:$N$404,"非常满意")</f>
        <v>3</v>
      </c>
      <c r="H69" s="35" t="n">
        <f aca="false">COUNTIFS(入户维修!$F$5:$F$404,$A69,入户维修!$O$5:$O$404,"满意")+COUNTIFS(入户维修!$G$5:$G$404,$A69,入户维修!$O$5:$O$404,"满意")+COUNTIFS(入户维修!$H$5:$H$404,$A69,入户维修!$O$5:$O$404,"满意")+COUNTIFS(公区维修!$F$5:$F$404,$A69,公区维修!$N$5:$N$404,"满意")+COUNTIFS(公区维修!$G$5:$G$404,$A69,公区维修!$N$5:$N$404,"满意")+COUNTIFS(公区维修!$H$5:$H$404,$A69,公区维修!$N$5:$N$404,"满意")</f>
        <v>1</v>
      </c>
      <c r="I69" s="35" t="n">
        <f aca="false">COUNTIFS(入户维修!$F$5:$F$404,$A69,入户维修!$O$5:$O$404,"一般")+COUNTIFS(入户维修!$G$5:$G$404,$A69,入户维修!$O$5:$O$404,"一般")+COUNTIFS(入户维修!$H$5:$H$404,$A69,入户维修!$O$5:$O$404,"一般")+COUNTIFS(公区维修!$F$5:$F$404,$A69,公区维修!$N$5:$N$404,"一般")+COUNTIFS(公区维修!$G$5:$G$404,$A69,公区维修!$N$5:$N$404,"一般")+COUNTIFS(公区维修!$H$5:$H$404,$A69,公区维修!$N$5:$N$404,"一般")</f>
        <v>0</v>
      </c>
      <c r="J69" s="35" t="n">
        <f aca="false">COUNTIFS(入户维修!$F$5:$F$404,$A69,入户维修!$O$5:$O$404,"不满意")+COUNTIFS(入户维修!$G$5:$G$404,$A69,入户维修!$O$5:$O$404,"不满意")+COUNTIFS(入户维修!$H$5:$H$404,$A69,入户维修!$O$5:$O$404,"不满意")+COUNTIFS(公区维修!$F$5:$F$404,$A69,公区维修!$N$5:$N$404,"不满意")+COUNTIFS(公区维修!$G$5:$G$404,$A69,公区维修!$N$5:$N$404,"不满意")+COUNTIFS(公区维修!$H$5:$H$404,$A69,公区维修!$N$5:$N$404,"不满意")</f>
        <v>0</v>
      </c>
      <c r="K69" s="35" t="n">
        <f aca="false">SUM($G69:$J69)</f>
        <v>4</v>
      </c>
      <c r="L69" s="36" t="n">
        <f aca="false">IFERROR(($G69+$H69)/$K69,"")</f>
        <v>1</v>
      </c>
      <c r="M69" s="30"/>
      <c r="N69" s="30"/>
      <c r="O69" s="30"/>
      <c r="P69" s="30"/>
    </row>
    <row r="70" customFormat="false" ht="19.5" hidden="false" customHeight="true" outlineLevel="0" collapsed="false">
      <c r="A70" s="34" t="s">
        <v>103</v>
      </c>
      <c r="B70" s="35" t="n">
        <f aca="false">COUNTIFS(入户维修!$F$5:$F$404,$A70,入户维修!$E$5:$E$404,"?*")+COUNTIFS(入户维修!$G$5:$G$404,$A70,入户维修!$E$5:$E$404,"?*")+COUNTIFS(入户维修!$H$5:$H$404,$A70,入户维修!$E$5:$E$404,"?*")+COUNTIFS(公区维修!$F$5:$F$404,$A70,公区维修!$E$5:$E$404,"?*")+COUNTIFS(公区维修!$G$5:$G$404,$A70,公区维修!$E$5:$E$404,"?*")+COUNTIFS(公区维修!$H$5:$H$404,$A70,公区维修!$E$5:$E$404,"?*")</f>
        <v>16</v>
      </c>
      <c r="C70" s="35" t="n">
        <f aca="false">COUNTIFS(入户维修!$F$5:$F$404,$A70,入户维修!$K$5:$K$404,"已完成")+COUNTIFS(入户维修!$G$5:$G$404,$A70,入户维修!$K$5:$K$404,"已完成")+COUNTIFS(入户维修!$H$5:$H$404,$A70,入户维修!$K$5:$K$404,"已完成")+COUNTIFS(公区维修!$F$5:$F$404,$A70,公区维修!$K$5:$K$404,"已完成")+COUNTIFS(公区维修!$G$5:$G$404,$A70,公区维修!$K$5:$K$404,"已完成")+COUNTIFS(公区维修!$H$5:$H$404,$A70,公区维修!$K$5:$K$404,"已完成")</f>
        <v>12</v>
      </c>
      <c r="D70" s="35" t="n">
        <f aca="false">COUNTIFS(入户维修!$F$5:$F$404,$A70,入户维修!$K$5:$K$404,"跟进中")+COUNTIFS(入户维修!$G$5:$G$404,$A70,入户维修!$K$5:$K$404,"跟进中")+COUNTIFS(入户维修!$H$5:$H$404,$A70,入户维修!$K$5:$K$404,"跟进中")+COUNTIFS(公区维修!$F$5:$F$404,$A70,公区维修!$K$5:$K$404,"跟进中")+COUNTIFS(公区维修!$G$5:$G$404,$A70,公区维修!$K$5:$K$404,"跟进中")+COUNTIFS(公区维修!$H$5:$H$404,$A70,公区维修!$K$5:$K$404,"跟进中")</f>
        <v>4</v>
      </c>
      <c r="E70" s="35" t="n">
        <f aca="false">COUNTIFS(入户维修!$F$5:$F$404,$A70,入户维修!$K$5:$K$404,"需另约时间")+COUNTIFS(入户维修!$G$5:$G$404,$A70,入户维修!$K$5:$K$404,"需另约时间")+COUNTIFS(入户维修!$H$5:$H$404,$A70,入户维修!$K$5:$K$404,"需另约时间")+COUNTIFS(公区维修!$F$5:$F$404,$A70,公区维修!$K$5:$K$404,"需另约时间")+COUNTIFS(公区维修!$G$5:$G$404,$A70,公区维修!$K$5:$K$404,"需另约时间")+COUNTIFS(公区维修!$H$5:$H$404,$A70,公区维修!$K$5:$K$404,"需另约时间")</f>
        <v>0</v>
      </c>
      <c r="F70" s="36" t="n">
        <f aca="false">IFERROR($C70/$B70,"")</f>
        <v>0.75</v>
      </c>
      <c r="G70" s="35" t="n">
        <f aca="false">COUNTIFS(入户维修!$F$5:$F$404,$A70,入户维修!$O$5:$O$404,"非常满意")+COUNTIFS(入户维修!$G$5:$G$404,$A70,入户维修!$O$5:$O$404,"非常满意")+COUNTIFS(入户维修!$H$5:$H$404,$A70,入户维修!$O$5:$O$404,"非常满意")+COUNTIFS(公区维修!$F$5:$F$404,$A70,公区维修!$N$5:$N$404,"非常满意")+COUNTIFS(公区维修!$G$5:$G$404,$A70,公区维修!$N$5:$N$404,"非常满意")+COUNTIFS(公区维修!$H$5:$H$404,$A70,公区维修!$N$5:$N$404,"非常满意")</f>
        <v>4</v>
      </c>
      <c r="H70" s="35" t="n">
        <f aca="false">COUNTIFS(入户维修!$F$5:$F$404,$A70,入户维修!$O$5:$O$404,"满意")+COUNTIFS(入户维修!$G$5:$G$404,$A70,入户维修!$O$5:$O$404,"满意")+COUNTIFS(入户维修!$H$5:$H$404,$A70,入户维修!$O$5:$O$404,"满意")+COUNTIFS(公区维修!$F$5:$F$404,$A70,公区维修!$N$5:$N$404,"满意")+COUNTIFS(公区维修!$G$5:$G$404,$A70,公区维修!$N$5:$N$404,"满意")+COUNTIFS(公区维修!$H$5:$H$404,$A70,公区维修!$N$5:$N$404,"满意")</f>
        <v>1</v>
      </c>
      <c r="I70" s="35" t="n">
        <f aca="false">COUNTIFS(入户维修!$F$5:$F$404,$A70,入户维修!$O$5:$O$404,"一般")+COUNTIFS(入户维修!$G$5:$G$404,$A70,入户维修!$O$5:$O$404,"一般")+COUNTIFS(入户维修!$H$5:$H$404,$A70,入户维修!$O$5:$O$404,"一般")+COUNTIFS(公区维修!$F$5:$F$404,$A70,公区维修!$N$5:$N$404,"一般")+COUNTIFS(公区维修!$G$5:$G$404,$A70,公区维修!$N$5:$N$404,"一般")+COUNTIFS(公区维修!$H$5:$H$404,$A70,公区维修!$N$5:$N$404,"一般")</f>
        <v>0</v>
      </c>
      <c r="J70" s="35" t="n">
        <f aca="false">COUNTIFS(入户维修!$F$5:$F$404,$A70,入户维修!$O$5:$O$404,"不满意")+COUNTIFS(入户维修!$G$5:$G$404,$A70,入户维修!$O$5:$O$404,"不满意")+COUNTIFS(入户维修!$H$5:$H$404,$A70,入户维修!$O$5:$O$404,"不满意")+COUNTIFS(公区维修!$F$5:$F$404,$A70,公区维修!$N$5:$N$404,"不满意")+COUNTIFS(公区维修!$G$5:$G$404,$A70,公区维修!$N$5:$N$404,"不满意")+COUNTIFS(公区维修!$H$5:$H$404,$A70,公区维修!$N$5:$N$404,"不满意")</f>
        <v>0</v>
      </c>
      <c r="K70" s="35" t="n">
        <f aca="false">SUM($G70:$J70)</f>
        <v>5</v>
      </c>
      <c r="L70" s="36" t="n">
        <f aca="false">IFERROR(($G70+$H70)/$K70,"")</f>
        <v>1</v>
      </c>
      <c r="M70" s="30"/>
      <c r="N70" s="30"/>
      <c r="O70" s="30"/>
      <c r="P70" s="30"/>
    </row>
    <row r="71" customFormat="false" ht="19.5" hidden="false" customHeight="true" outlineLevel="0" collapsed="false">
      <c r="A71" s="34" t="s">
        <v>34</v>
      </c>
      <c r="B71" s="35" t="n">
        <f aca="false">COUNTIFS(入户维修!$F$5:$F$404,$A71,入户维修!$E$5:$E$404,"?*")+COUNTIFS(入户维修!$G$5:$G$404,$A71,入户维修!$E$5:$E$404,"?*")+COUNTIFS(入户维修!$H$5:$H$404,$A71,入户维修!$E$5:$E$404,"?*")+COUNTIFS(公区维修!$F$5:$F$404,$A71,公区维修!$E$5:$E$404,"?*")+COUNTIFS(公区维修!$G$5:$G$404,$A71,公区维修!$E$5:$E$404,"?*")+COUNTIFS(公区维修!$H$5:$H$404,$A71,公区维修!$E$5:$E$404,"?*")</f>
        <v>13</v>
      </c>
      <c r="C71" s="35" t="n">
        <f aca="false">COUNTIFS(入户维修!$F$5:$F$404,$A71,入户维修!$K$5:$K$404,"已完成")+COUNTIFS(入户维修!$G$5:$G$404,$A71,入户维修!$K$5:$K$404,"已完成")+COUNTIFS(入户维修!$H$5:$H$404,$A71,入户维修!$K$5:$K$404,"已完成")+COUNTIFS(公区维修!$F$5:$F$404,$A71,公区维修!$K$5:$K$404,"已完成")+COUNTIFS(公区维修!$G$5:$G$404,$A71,公区维修!$K$5:$K$404,"已完成")+COUNTIFS(公区维修!$H$5:$H$404,$A71,公区维修!$K$5:$K$404,"已完成")</f>
        <v>10</v>
      </c>
      <c r="D71" s="35" t="n">
        <f aca="false">COUNTIFS(入户维修!$F$5:$F$404,$A71,入户维修!$K$5:$K$404,"跟进中")+COUNTIFS(入户维修!$G$5:$G$404,$A71,入户维修!$K$5:$K$404,"跟进中")+COUNTIFS(入户维修!$H$5:$H$404,$A71,入户维修!$K$5:$K$404,"跟进中")+COUNTIFS(公区维修!$F$5:$F$404,$A71,公区维修!$K$5:$K$404,"跟进中")+COUNTIFS(公区维修!$G$5:$G$404,$A71,公区维修!$K$5:$K$404,"跟进中")+COUNTIFS(公区维修!$H$5:$H$404,$A71,公区维修!$K$5:$K$404,"跟进中")</f>
        <v>3</v>
      </c>
      <c r="E71" s="35" t="n">
        <f aca="false">COUNTIFS(入户维修!$F$5:$F$404,$A71,入户维修!$K$5:$K$404,"需另约时间")+COUNTIFS(入户维修!$G$5:$G$404,$A71,入户维修!$K$5:$K$404,"需另约时间")+COUNTIFS(入户维修!$H$5:$H$404,$A71,入户维修!$K$5:$K$404,"需另约时间")+COUNTIFS(公区维修!$F$5:$F$404,$A71,公区维修!$K$5:$K$404,"需另约时间")+COUNTIFS(公区维修!$G$5:$G$404,$A71,公区维修!$K$5:$K$404,"需另约时间")+COUNTIFS(公区维修!$H$5:$H$404,$A71,公区维修!$K$5:$K$404,"需另约时间")</f>
        <v>0</v>
      </c>
      <c r="F71" s="36" t="n">
        <f aca="false">IFERROR($C71/$B71,"")</f>
        <v>0.769230769230769</v>
      </c>
      <c r="G71" s="35" t="n">
        <f aca="false">COUNTIFS(入户维修!$F$5:$F$404,$A71,入户维修!$O$5:$O$404,"非常满意")+COUNTIFS(入户维修!$G$5:$G$404,$A71,入户维修!$O$5:$O$404,"非常满意")+COUNTIFS(入户维修!$H$5:$H$404,$A71,入户维修!$O$5:$O$404,"非常满意")+COUNTIFS(公区维修!$F$5:$F$404,$A71,公区维修!$N$5:$N$404,"非常满意")+COUNTIFS(公区维修!$G$5:$G$404,$A71,公区维修!$N$5:$N$404,"非常满意")+COUNTIFS(公区维修!$H$5:$H$404,$A71,公区维修!$N$5:$N$404,"非常满意")</f>
        <v>8</v>
      </c>
      <c r="H71" s="35" t="n">
        <f aca="false">COUNTIFS(入户维修!$F$5:$F$404,$A71,入户维修!$O$5:$O$404,"满意")+COUNTIFS(入户维修!$G$5:$G$404,$A71,入户维修!$O$5:$O$404,"满意")+COUNTIFS(入户维修!$H$5:$H$404,$A71,入户维修!$O$5:$O$404,"满意")+COUNTIFS(公区维修!$F$5:$F$404,$A71,公区维修!$N$5:$N$404,"满意")+COUNTIFS(公区维修!$G$5:$G$404,$A71,公区维修!$N$5:$N$404,"满意")+COUNTIFS(公区维修!$H$5:$H$404,$A71,公区维修!$N$5:$N$404,"满意")</f>
        <v>1</v>
      </c>
      <c r="I71" s="35" t="n">
        <f aca="false">COUNTIFS(入户维修!$F$5:$F$404,$A71,入户维修!$O$5:$O$404,"一般")+COUNTIFS(入户维修!$G$5:$G$404,$A71,入户维修!$O$5:$O$404,"一般")+COUNTIFS(入户维修!$H$5:$H$404,$A71,入户维修!$O$5:$O$404,"一般")+COUNTIFS(公区维修!$F$5:$F$404,$A71,公区维修!$N$5:$N$404,"一般")+COUNTIFS(公区维修!$G$5:$G$404,$A71,公区维修!$N$5:$N$404,"一般")+COUNTIFS(公区维修!$H$5:$H$404,$A71,公区维修!$N$5:$N$404,"一般")</f>
        <v>0</v>
      </c>
      <c r="J71" s="35" t="n">
        <f aca="false">COUNTIFS(入户维修!$F$5:$F$404,$A71,入户维修!$O$5:$O$404,"不满意")+COUNTIFS(入户维修!$G$5:$G$404,$A71,入户维修!$O$5:$O$404,"不满意")+COUNTIFS(入户维修!$H$5:$H$404,$A71,入户维修!$O$5:$O$404,"不满意")+COUNTIFS(公区维修!$F$5:$F$404,$A71,公区维修!$N$5:$N$404,"不满意")+COUNTIFS(公区维修!$G$5:$G$404,$A71,公区维修!$N$5:$N$404,"不满意")+COUNTIFS(公区维修!$H$5:$H$404,$A71,公区维修!$N$5:$N$404,"不满意")</f>
        <v>0</v>
      </c>
      <c r="K71" s="35" t="n">
        <f aca="false">SUM($G71:$J71)</f>
        <v>9</v>
      </c>
      <c r="L71" s="36" t="n">
        <f aca="false">IFERROR(($G71+$H71)/$K71,"")</f>
        <v>1</v>
      </c>
      <c r="M71" s="30"/>
      <c r="N71" s="30"/>
      <c r="O71" s="30"/>
      <c r="P71" s="30"/>
    </row>
    <row r="72" customFormat="false" ht="21.75" hidden="false" customHeight="true" outlineLevel="0" collapsed="false">
      <c r="A72" s="37" t="s">
        <v>448</v>
      </c>
      <c r="B72" s="38" t="n">
        <f aca="false">SUM(B67:B71)</f>
        <v>144</v>
      </c>
      <c r="C72" s="38" t="n">
        <f aca="false">SUM(C67:C71)</f>
        <v>126</v>
      </c>
      <c r="D72" s="38" t="n">
        <f aca="false">SUM(D67:D71)</f>
        <v>18</v>
      </c>
      <c r="E72" s="38" t="n">
        <f aca="false">SUM(E67:E71)</f>
        <v>0</v>
      </c>
      <c r="F72" s="39" t="n">
        <f aca="false">IFERROR($C72/$B72,"")</f>
        <v>0.875</v>
      </c>
      <c r="G72" s="38" t="n">
        <f aca="false">SUM(G67:G71)</f>
        <v>99</v>
      </c>
      <c r="H72" s="38" t="n">
        <f aca="false">SUM(H67:H71)</f>
        <v>9</v>
      </c>
      <c r="I72" s="38" t="n">
        <f aca="false">SUM(I67:I71)</f>
        <v>1</v>
      </c>
      <c r="J72" s="38" t="n">
        <f aca="false">SUM(J67:J71)</f>
        <v>0</v>
      </c>
      <c r="K72" s="38" t="n">
        <f aca="false">SUM(K67:K71)</f>
        <v>109</v>
      </c>
      <c r="L72" s="39" t="n">
        <f aca="false">IFERROR(($G72+$H72)/$K72,"")</f>
        <v>0.990825688073395</v>
      </c>
      <c r="M72" s="30"/>
      <c r="N72" s="30"/>
      <c r="O72" s="30"/>
      <c r="P72" s="30"/>
    </row>
    <row r="73" customFormat="false" ht="9.7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</row>
    <row r="74" customFormat="false" ht="27.75" hidden="false" customHeight="true" outlineLevel="0" collapsed="false">
      <c r="A74" s="31" t="s">
        <v>459</v>
      </c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</row>
    <row r="75" customFormat="false" ht="21.75" hidden="false" customHeight="true" outlineLevel="0" collapsed="false">
      <c r="A75" s="32" t="str">
        <f aca="false">$A$67&amp;"　—　各楼栋明细"</f>
        <v>张师傅　—　各楼栋明细</v>
      </c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0"/>
      <c r="N75" s="30"/>
      <c r="O75" s="30"/>
      <c r="P75" s="30"/>
    </row>
    <row r="76" customFormat="false" ht="30" hidden="false" customHeight="true" outlineLevel="0" collapsed="false">
      <c r="A76" s="33" t="s">
        <v>7</v>
      </c>
      <c r="B76" s="33" t="s">
        <v>435</v>
      </c>
      <c r="C76" s="33" t="s">
        <v>28</v>
      </c>
      <c r="D76" s="33" t="s">
        <v>36</v>
      </c>
      <c r="E76" s="33" t="s">
        <v>436</v>
      </c>
      <c r="F76" s="33" t="s">
        <v>437</v>
      </c>
      <c r="G76" s="33" t="s">
        <v>30</v>
      </c>
      <c r="H76" s="33" t="s">
        <v>48</v>
      </c>
      <c r="I76" s="33" t="s">
        <v>53</v>
      </c>
      <c r="J76" s="33" t="s">
        <v>438</v>
      </c>
      <c r="K76" s="33" t="s">
        <v>439</v>
      </c>
      <c r="L76" s="33" t="s">
        <v>440</v>
      </c>
      <c r="M76" s="30"/>
      <c r="N76" s="30"/>
      <c r="O76" s="30"/>
      <c r="P76" s="30"/>
    </row>
    <row r="77" customFormat="false" ht="19.5" hidden="false" customHeight="true" outlineLevel="0" collapsed="false">
      <c r="A77" s="44" t="s">
        <v>83</v>
      </c>
      <c r="B77" s="35" t="n">
        <f aca="false">COUNTIFS(入户维修!$F$5:$F$404,$A$67,入户维修!$E$5:$E$404,"?*",入户维修!$C$5:$C$404,$A77)+COUNTIFS(入户维修!$G$5:$G$404,$A$67,入户维修!$E$5:$E$404,"?*",入户维修!$C$5:$C$404,$A77)+COUNTIFS(入户维修!$H$5:$H$404,$A$67,入户维修!$E$5:$E$404,"?*",入户维修!$C$5:$C$404,$A77)+COUNTIFS(公区维修!$F$5:$F$404,$A$67,公区维修!$E$5:$E$404,"?*",公区维修!$C$5:$C$404,$A77)+COUNTIFS(公区维修!$G$5:$G$404,$A$67,公区维修!$E$5:$E$404,"?*",公区维修!$C$5:$C$404,$A77)+COUNTIFS(公区维修!$H$5:$H$404,$A$67,公区维修!$E$5:$E$404,"?*",公区维修!$C$5:$C$404,$A77)</f>
        <v>4</v>
      </c>
      <c r="C77" s="35" t="n">
        <f aca="false">COUNTIFS(入户维修!$F$5:$F$404,$A$67,入户维修!$K$5:$K$404,"已完成",入户维修!$C$5:$C$404,$A77)+COUNTIFS(入户维修!$G$5:$G$404,$A$67,入户维修!$K$5:$K$404,"已完成",入户维修!$C$5:$C$404,$A77)+COUNTIFS(入户维修!$H$5:$H$404,$A$67,入户维修!$K$5:$K$404,"已完成",入户维修!$C$5:$C$404,$A77)+COUNTIFS(公区维修!$F$5:$F$404,$A$67,公区维修!$K$5:$K$404,"已完成",公区维修!$C$5:$C$404,$A77)+COUNTIFS(公区维修!$G$5:$G$404,$A$67,公区维修!$K$5:$K$404,"已完成",公区维修!$C$5:$C$404,$A77)+COUNTIFS(公区维修!$H$5:$H$404,$A$67,公区维修!$K$5:$K$404,"已完成",公区维修!$C$5:$C$404,$A77)</f>
        <v>4</v>
      </c>
      <c r="D77" s="35" t="n">
        <f aca="false">COUNTIFS(入户维修!$F$5:$F$404,$A$67,入户维修!$K$5:$K$404,"跟进中",入户维修!$C$5:$C$404,$A77)+COUNTIFS(入户维修!$G$5:$G$404,$A$67,入户维修!$K$5:$K$404,"跟进中",入户维修!$C$5:$C$404,$A77)+COUNTIFS(入户维修!$H$5:$H$404,$A$67,入户维修!$K$5:$K$404,"跟进中",入户维修!$C$5:$C$404,$A77)+COUNTIFS(公区维修!$F$5:$F$404,$A$67,公区维修!$K$5:$K$404,"跟进中",公区维修!$C$5:$C$404,$A77)+COUNTIFS(公区维修!$G$5:$G$404,$A$67,公区维修!$K$5:$K$404,"跟进中",公区维修!$C$5:$C$404,$A77)+COUNTIFS(公区维修!$H$5:$H$404,$A$67,公区维修!$K$5:$K$404,"跟进中",公区维修!$C$5:$C$404,$A77)</f>
        <v>0</v>
      </c>
      <c r="E77" s="35" t="n">
        <f aca="false">COUNTIFS(入户维修!$F$5:$F$404,$A$67,入户维修!$K$5:$K$404,"需另约时间",入户维修!$C$5:$C$404,$A77)+COUNTIFS(入户维修!$G$5:$G$404,$A$67,入户维修!$K$5:$K$404,"需另约时间",入户维修!$C$5:$C$404,$A77)+COUNTIFS(入户维修!$H$5:$H$404,$A$67,入户维修!$K$5:$K$404,"需另约时间",入户维修!$C$5:$C$404,$A77)+COUNTIFS(公区维修!$F$5:$F$404,$A$67,公区维修!$K$5:$K$404,"需另约时间",公区维修!$C$5:$C$404,$A77)+COUNTIFS(公区维修!$G$5:$G$404,$A$67,公区维修!$K$5:$K$404,"需另约时间",公区维修!$C$5:$C$404,$A77)+COUNTIFS(公区维修!$H$5:$H$404,$A$67,公区维修!$K$5:$K$404,"需另约时间",公区维修!$C$5:$C$404,$A77)</f>
        <v>0</v>
      </c>
      <c r="F77" s="36" t="n">
        <f aca="false">IFERROR($C77/$B77,"")</f>
        <v>1</v>
      </c>
      <c r="G77" s="35" t="n">
        <f aca="false">COUNTIFS(入户维修!$F$5:$F$404,$A$67,入户维修!$O$5:$O$404,"非常满意",入户维修!$C$5:$C$404,$A77)+COUNTIFS(入户维修!$G$5:$G$404,$A$67,入户维修!$O$5:$O$404,"非常满意",入户维修!$C$5:$C$404,$A77)+COUNTIFS(入户维修!$H$5:$H$404,$A$67,入户维修!$O$5:$O$404,"非常满意",入户维修!$C$5:$C$404,$A77)+COUNTIFS(公区维修!$F$5:$F$404,$A$67,公区维修!$N$5:$N$404,"非常满意",公区维修!$C$5:$C$404,$A77)+COUNTIFS(公区维修!$G$5:$G$404,$A$67,公区维修!$N$5:$N$404,"非常满意",公区维修!$C$5:$C$404,$A77)+COUNTIFS(公区维修!$H$5:$H$404,$A$67,公区维修!$N$5:$N$404,"非常满意",公区维修!$C$5:$C$404,$A77)</f>
        <v>4</v>
      </c>
      <c r="H77" s="35" t="n">
        <f aca="false">COUNTIFS(入户维修!$F$5:$F$404,$A$67,入户维修!$O$5:$O$404,"满意",入户维修!$C$5:$C$404,$A77)+COUNTIFS(入户维修!$G$5:$G$404,$A$67,入户维修!$O$5:$O$404,"满意",入户维修!$C$5:$C$404,$A77)+COUNTIFS(入户维修!$H$5:$H$404,$A$67,入户维修!$O$5:$O$404,"满意",入户维修!$C$5:$C$404,$A77)+COUNTIFS(公区维修!$F$5:$F$404,$A$67,公区维修!$N$5:$N$404,"满意",公区维修!$C$5:$C$404,$A77)+COUNTIFS(公区维修!$G$5:$G$404,$A$67,公区维修!$N$5:$N$404,"满意",公区维修!$C$5:$C$404,$A77)+COUNTIFS(公区维修!$H$5:$H$404,$A$67,公区维修!$N$5:$N$404,"满意",公区维修!$C$5:$C$404,$A77)</f>
        <v>0</v>
      </c>
      <c r="I77" s="35" t="n">
        <f aca="false">COUNTIFS(入户维修!$F$5:$F$404,$A$67,入户维修!$O$5:$O$404,"一般",入户维修!$C$5:$C$404,$A77)+COUNTIFS(入户维修!$G$5:$G$404,$A$67,入户维修!$O$5:$O$404,"一般",入户维修!$C$5:$C$404,$A77)+COUNTIFS(入户维修!$H$5:$H$404,$A$67,入户维修!$O$5:$O$404,"一般",入户维修!$C$5:$C$404,$A77)+COUNTIFS(公区维修!$F$5:$F$404,$A$67,公区维修!$N$5:$N$404,"一般",公区维修!$C$5:$C$404,$A77)+COUNTIFS(公区维修!$G$5:$G$404,$A$67,公区维修!$N$5:$N$404,"一般",公区维修!$C$5:$C$404,$A77)+COUNTIFS(公区维修!$H$5:$H$404,$A$67,公区维修!$N$5:$N$404,"一般",公区维修!$C$5:$C$404,$A77)</f>
        <v>0</v>
      </c>
      <c r="J77" s="35" t="n">
        <f aca="false">COUNTIFS(入户维修!$F$5:$F$404,$A$67,入户维修!$O$5:$O$404,"不满意",入户维修!$C$5:$C$404,$A77)+COUNTIFS(入户维修!$G$5:$G$404,$A$67,入户维修!$O$5:$O$404,"不满意",入户维修!$C$5:$C$404,$A77)+COUNTIFS(入户维修!$H$5:$H$404,$A$67,入户维修!$O$5:$O$404,"不满意",入户维修!$C$5:$C$404,$A77)+COUNTIFS(公区维修!$F$5:$F$404,$A$67,公区维修!$N$5:$N$404,"不满意",公区维修!$C$5:$C$404,$A77)+COUNTIFS(公区维修!$G$5:$G$404,$A$67,公区维修!$N$5:$N$404,"不满意",公区维修!$C$5:$C$404,$A77)+COUNTIFS(公区维修!$H$5:$H$404,$A$67,公区维修!$N$5:$N$404,"不满意",公区维修!$C$5:$C$404,$A77)</f>
        <v>0</v>
      </c>
      <c r="K77" s="35" t="n">
        <f aca="false">SUM($G77:$J77)</f>
        <v>4</v>
      </c>
      <c r="L77" s="36" t="n">
        <f aca="false">IFERROR(($G77+$H77)/$K77,"")</f>
        <v>1</v>
      </c>
      <c r="M77" s="30"/>
      <c r="N77" s="30"/>
      <c r="O77" s="30"/>
      <c r="P77" s="30"/>
    </row>
    <row r="78" customFormat="false" ht="19.5" hidden="false" customHeight="true" outlineLevel="0" collapsed="false">
      <c r="A78" s="44" t="s">
        <v>105</v>
      </c>
      <c r="B78" s="35" t="n">
        <f aca="false">COUNTIFS(入户维修!$F$5:$F$404,$A$67,入户维修!$E$5:$E$404,"?*",入户维修!$C$5:$C$404,$A78)+COUNTIFS(入户维修!$G$5:$G$404,$A$67,入户维修!$E$5:$E$404,"?*",入户维修!$C$5:$C$404,$A78)+COUNTIFS(入户维修!$H$5:$H$404,$A$67,入户维修!$E$5:$E$404,"?*",入户维修!$C$5:$C$404,$A78)+COUNTIFS(公区维修!$F$5:$F$404,$A$67,公区维修!$E$5:$E$404,"?*",公区维修!$C$5:$C$404,$A78)+COUNTIFS(公区维修!$G$5:$G$404,$A$67,公区维修!$E$5:$E$404,"?*",公区维修!$C$5:$C$404,$A78)+COUNTIFS(公区维修!$H$5:$H$404,$A$67,公区维修!$E$5:$E$404,"?*",公区维修!$C$5:$C$404,$A78)</f>
        <v>4</v>
      </c>
      <c r="C78" s="35" t="n">
        <f aca="false">COUNTIFS(入户维修!$F$5:$F$404,$A$67,入户维修!$K$5:$K$404,"已完成",入户维修!$C$5:$C$404,$A78)+COUNTIFS(入户维修!$G$5:$G$404,$A$67,入户维修!$K$5:$K$404,"已完成",入户维修!$C$5:$C$404,$A78)+COUNTIFS(入户维修!$H$5:$H$404,$A$67,入户维修!$K$5:$K$404,"已完成",入户维修!$C$5:$C$404,$A78)+COUNTIFS(公区维修!$F$5:$F$404,$A$67,公区维修!$K$5:$K$404,"已完成",公区维修!$C$5:$C$404,$A78)+COUNTIFS(公区维修!$G$5:$G$404,$A$67,公区维修!$K$5:$K$404,"已完成",公区维修!$C$5:$C$404,$A78)+COUNTIFS(公区维修!$H$5:$H$404,$A$67,公区维修!$K$5:$K$404,"已完成",公区维修!$C$5:$C$404,$A78)</f>
        <v>4</v>
      </c>
      <c r="D78" s="35" t="n">
        <f aca="false">COUNTIFS(入户维修!$F$5:$F$404,$A$67,入户维修!$K$5:$K$404,"跟进中",入户维修!$C$5:$C$404,$A78)+COUNTIFS(入户维修!$G$5:$G$404,$A$67,入户维修!$K$5:$K$404,"跟进中",入户维修!$C$5:$C$404,$A78)+COUNTIFS(入户维修!$H$5:$H$404,$A$67,入户维修!$K$5:$K$404,"跟进中",入户维修!$C$5:$C$404,$A78)+COUNTIFS(公区维修!$F$5:$F$404,$A$67,公区维修!$K$5:$K$404,"跟进中",公区维修!$C$5:$C$404,$A78)+COUNTIFS(公区维修!$G$5:$G$404,$A$67,公区维修!$K$5:$K$404,"跟进中",公区维修!$C$5:$C$404,$A78)+COUNTIFS(公区维修!$H$5:$H$404,$A$67,公区维修!$K$5:$K$404,"跟进中",公区维修!$C$5:$C$404,$A78)</f>
        <v>0</v>
      </c>
      <c r="E78" s="35" t="n">
        <f aca="false">COUNTIFS(入户维修!$F$5:$F$404,$A$67,入户维修!$K$5:$K$404,"需另约时间",入户维修!$C$5:$C$404,$A78)+COUNTIFS(入户维修!$G$5:$G$404,$A$67,入户维修!$K$5:$K$404,"需另约时间",入户维修!$C$5:$C$404,$A78)+COUNTIFS(入户维修!$H$5:$H$404,$A$67,入户维修!$K$5:$K$404,"需另约时间",入户维修!$C$5:$C$404,$A78)+COUNTIFS(公区维修!$F$5:$F$404,$A$67,公区维修!$K$5:$K$404,"需另约时间",公区维修!$C$5:$C$404,$A78)+COUNTIFS(公区维修!$G$5:$G$404,$A$67,公区维修!$K$5:$K$404,"需另约时间",公区维修!$C$5:$C$404,$A78)+COUNTIFS(公区维修!$H$5:$H$404,$A$67,公区维修!$K$5:$K$404,"需另约时间",公区维修!$C$5:$C$404,$A78)</f>
        <v>0</v>
      </c>
      <c r="F78" s="36" t="n">
        <f aca="false">IFERROR($C78/$B78,"")</f>
        <v>1</v>
      </c>
      <c r="G78" s="35" t="n">
        <f aca="false">COUNTIFS(入户维修!$F$5:$F$404,$A$67,入户维修!$O$5:$O$404,"非常满意",入户维修!$C$5:$C$404,$A78)+COUNTIFS(入户维修!$G$5:$G$404,$A$67,入户维修!$O$5:$O$404,"非常满意",入户维修!$C$5:$C$404,$A78)+COUNTIFS(入户维修!$H$5:$H$404,$A$67,入户维修!$O$5:$O$404,"非常满意",入户维修!$C$5:$C$404,$A78)+COUNTIFS(公区维修!$F$5:$F$404,$A$67,公区维修!$N$5:$N$404,"非常满意",公区维修!$C$5:$C$404,$A78)+COUNTIFS(公区维修!$G$5:$G$404,$A$67,公区维修!$N$5:$N$404,"非常满意",公区维修!$C$5:$C$404,$A78)+COUNTIFS(公区维修!$H$5:$H$404,$A$67,公区维修!$N$5:$N$404,"非常满意",公区维修!$C$5:$C$404,$A78)</f>
        <v>4</v>
      </c>
      <c r="H78" s="35" t="n">
        <f aca="false">COUNTIFS(入户维修!$F$5:$F$404,$A$67,入户维修!$O$5:$O$404,"满意",入户维修!$C$5:$C$404,$A78)+COUNTIFS(入户维修!$G$5:$G$404,$A$67,入户维修!$O$5:$O$404,"满意",入户维修!$C$5:$C$404,$A78)+COUNTIFS(入户维修!$H$5:$H$404,$A$67,入户维修!$O$5:$O$404,"满意",入户维修!$C$5:$C$404,$A78)+COUNTIFS(公区维修!$F$5:$F$404,$A$67,公区维修!$N$5:$N$404,"满意",公区维修!$C$5:$C$404,$A78)+COUNTIFS(公区维修!$G$5:$G$404,$A$67,公区维修!$N$5:$N$404,"满意",公区维修!$C$5:$C$404,$A78)+COUNTIFS(公区维修!$H$5:$H$404,$A$67,公区维修!$N$5:$N$404,"满意",公区维修!$C$5:$C$404,$A78)</f>
        <v>0</v>
      </c>
      <c r="I78" s="35" t="n">
        <f aca="false">COUNTIFS(入户维修!$F$5:$F$404,$A$67,入户维修!$O$5:$O$404,"一般",入户维修!$C$5:$C$404,$A78)+COUNTIFS(入户维修!$G$5:$G$404,$A$67,入户维修!$O$5:$O$404,"一般",入户维修!$C$5:$C$404,$A78)+COUNTIFS(入户维修!$H$5:$H$404,$A$67,入户维修!$O$5:$O$404,"一般",入户维修!$C$5:$C$404,$A78)+COUNTIFS(公区维修!$F$5:$F$404,$A$67,公区维修!$N$5:$N$404,"一般",公区维修!$C$5:$C$404,$A78)+COUNTIFS(公区维修!$G$5:$G$404,$A$67,公区维修!$N$5:$N$404,"一般",公区维修!$C$5:$C$404,$A78)+COUNTIFS(公区维修!$H$5:$H$404,$A$67,公区维修!$N$5:$N$404,"一般",公区维修!$C$5:$C$404,$A78)</f>
        <v>0</v>
      </c>
      <c r="J78" s="35" t="n">
        <f aca="false">COUNTIFS(入户维修!$F$5:$F$404,$A$67,入户维修!$O$5:$O$404,"不满意",入户维修!$C$5:$C$404,$A78)+COUNTIFS(入户维修!$G$5:$G$404,$A$67,入户维修!$O$5:$O$404,"不满意",入户维修!$C$5:$C$404,$A78)+COUNTIFS(入户维修!$H$5:$H$404,$A$67,入户维修!$O$5:$O$404,"不满意",入户维修!$C$5:$C$404,$A78)+COUNTIFS(公区维修!$F$5:$F$404,$A$67,公区维修!$N$5:$N$404,"不满意",公区维修!$C$5:$C$404,$A78)+COUNTIFS(公区维修!$G$5:$G$404,$A$67,公区维修!$N$5:$N$404,"不满意",公区维修!$C$5:$C$404,$A78)+COUNTIFS(公区维修!$H$5:$H$404,$A$67,公区维修!$N$5:$N$404,"不满意",公区维修!$C$5:$C$404,$A78)</f>
        <v>0</v>
      </c>
      <c r="K78" s="35" t="n">
        <f aca="false">SUM($G78:$J78)</f>
        <v>4</v>
      </c>
      <c r="L78" s="36" t="n">
        <f aca="false">IFERROR(($G78+$H78)/$K78,"")</f>
        <v>1</v>
      </c>
      <c r="M78" s="30"/>
      <c r="N78" s="30"/>
      <c r="O78" s="30"/>
      <c r="P78" s="30"/>
    </row>
    <row r="79" customFormat="false" ht="19.5" hidden="false" customHeight="true" outlineLevel="0" collapsed="false">
      <c r="A79" s="44" t="s">
        <v>245</v>
      </c>
      <c r="B79" s="35" t="n">
        <f aca="false">COUNTIFS(入户维修!$F$5:$F$404,$A$67,入户维修!$E$5:$E$404,"?*",入户维修!$C$5:$C$404,$A79)+COUNTIFS(入户维修!$G$5:$G$404,$A$67,入户维修!$E$5:$E$404,"?*",入户维修!$C$5:$C$404,$A79)+COUNTIFS(入户维修!$H$5:$H$404,$A$67,入户维修!$E$5:$E$404,"?*",入户维修!$C$5:$C$404,$A79)+COUNTIFS(公区维修!$F$5:$F$404,$A$67,公区维修!$E$5:$E$404,"?*",公区维修!$C$5:$C$404,$A79)+COUNTIFS(公区维修!$G$5:$G$404,$A$67,公区维修!$E$5:$E$404,"?*",公区维修!$C$5:$C$404,$A79)+COUNTIFS(公区维修!$H$5:$H$404,$A$67,公区维修!$E$5:$E$404,"?*",公区维修!$C$5:$C$404,$A79)</f>
        <v>2</v>
      </c>
      <c r="C79" s="35" t="n">
        <f aca="false">COUNTIFS(入户维修!$F$5:$F$404,$A$67,入户维修!$K$5:$K$404,"已完成",入户维修!$C$5:$C$404,$A79)+COUNTIFS(入户维修!$G$5:$G$404,$A$67,入户维修!$K$5:$K$404,"已完成",入户维修!$C$5:$C$404,$A79)+COUNTIFS(入户维修!$H$5:$H$404,$A$67,入户维修!$K$5:$K$404,"已完成",入户维修!$C$5:$C$404,$A79)+COUNTIFS(公区维修!$F$5:$F$404,$A$67,公区维修!$K$5:$K$404,"已完成",公区维修!$C$5:$C$404,$A79)+COUNTIFS(公区维修!$G$5:$G$404,$A$67,公区维修!$K$5:$K$404,"已完成",公区维修!$C$5:$C$404,$A79)+COUNTIFS(公区维修!$H$5:$H$404,$A$67,公区维修!$K$5:$K$404,"已完成",公区维修!$C$5:$C$404,$A79)</f>
        <v>2</v>
      </c>
      <c r="D79" s="35" t="n">
        <f aca="false">COUNTIFS(入户维修!$F$5:$F$404,$A$67,入户维修!$K$5:$K$404,"跟进中",入户维修!$C$5:$C$404,$A79)+COUNTIFS(入户维修!$G$5:$G$404,$A$67,入户维修!$K$5:$K$404,"跟进中",入户维修!$C$5:$C$404,$A79)+COUNTIFS(入户维修!$H$5:$H$404,$A$67,入户维修!$K$5:$K$404,"跟进中",入户维修!$C$5:$C$404,$A79)+COUNTIFS(公区维修!$F$5:$F$404,$A$67,公区维修!$K$5:$K$404,"跟进中",公区维修!$C$5:$C$404,$A79)+COUNTIFS(公区维修!$G$5:$G$404,$A$67,公区维修!$K$5:$K$404,"跟进中",公区维修!$C$5:$C$404,$A79)+COUNTIFS(公区维修!$H$5:$H$404,$A$67,公区维修!$K$5:$K$404,"跟进中",公区维修!$C$5:$C$404,$A79)</f>
        <v>0</v>
      </c>
      <c r="E79" s="35" t="n">
        <f aca="false">COUNTIFS(入户维修!$F$5:$F$404,$A$67,入户维修!$K$5:$K$404,"需另约时间",入户维修!$C$5:$C$404,$A79)+COUNTIFS(入户维修!$G$5:$G$404,$A$67,入户维修!$K$5:$K$404,"需另约时间",入户维修!$C$5:$C$404,$A79)+COUNTIFS(入户维修!$H$5:$H$404,$A$67,入户维修!$K$5:$K$404,"需另约时间",入户维修!$C$5:$C$404,$A79)+COUNTIFS(公区维修!$F$5:$F$404,$A$67,公区维修!$K$5:$K$404,"需另约时间",公区维修!$C$5:$C$404,$A79)+COUNTIFS(公区维修!$G$5:$G$404,$A$67,公区维修!$K$5:$K$404,"需另约时间",公区维修!$C$5:$C$404,$A79)+COUNTIFS(公区维修!$H$5:$H$404,$A$67,公区维修!$K$5:$K$404,"需另约时间",公区维修!$C$5:$C$404,$A79)</f>
        <v>0</v>
      </c>
      <c r="F79" s="36" t="n">
        <f aca="false">IFERROR($C79/$B79,"")</f>
        <v>1</v>
      </c>
      <c r="G79" s="35" t="n">
        <f aca="false">COUNTIFS(入户维修!$F$5:$F$404,$A$67,入户维修!$O$5:$O$404,"非常满意",入户维修!$C$5:$C$404,$A79)+COUNTIFS(入户维修!$G$5:$G$404,$A$67,入户维修!$O$5:$O$404,"非常满意",入户维修!$C$5:$C$404,$A79)+COUNTIFS(入户维修!$H$5:$H$404,$A$67,入户维修!$O$5:$O$404,"非常满意",入户维修!$C$5:$C$404,$A79)+COUNTIFS(公区维修!$F$5:$F$404,$A$67,公区维修!$N$5:$N$404,"非常满意",公区维修!$C$5:$C$404,$A79)+COUNTIFS(公区维修!$G$5:$G$404,$A$67,公区维修!$N$5:$N$404,"非常满意",公区维修!$C$5:$C$404,$A79)+COUNTIFS(公区维修!$H$5:$H$404,$A$67,公区维修!$N$5:$N$404,"非常满意",公区维修!$C$5:$C$404,$A79)</f>
        <v>1</v>
      </c>
      <c r="H79" s="35" t="n">
        <f aca="false">COUNTIFS(入户维修!$F$5:$F$404,$A$67,入户维修!$O$5:$O$404,"满意",入户维修!$C$5:$C$404,$A79)+COUNTIFS(入户维修!$G$5:$G$404,$A$67,入户维修!$O$5:$O$404,"满意",入户维修!$C$5:$C$404,$A79)+COUNTIFS(入户维修!$H$5:$H$404,$A$67,入户维修!$O$5:$O$404,"满意",入户维修!$C$5:$C$404,$A79)+COUNTIFS(公区维修!$F$5:$F$404,$A$67,公区维修!$N$5:$N$404,"满意",公区维修!$C$5:$C$404,$A79)+COUNTIFS(公区维修!$G$5:$G$404,$A$67,公区维修!$N$5:$N$404,"满意",公区维修!$C$5:$C$404,$A79)+COUNTIFS(公区维修!$H$5:$H$404,$A$67,公区维修!$N$5:$N$404,"满意",公区维修!$C$5:$C$404,$A79)</f>
        <v>0</v>
      </c>
      <c r="I79" s="35" t="n">
        <f aca="false">COUNTIFS(入户维修!$F$5:$F$404,$A$67,入户维修!$O$5:$O$404,"一般",入户维修!$C$5:$C$404,$A79)+COUNTIFS(入户维修!$G$5:$G$404,$A$67,入户维修!$O$5:$O$404,"一般",入户维修!$C$5:$C$404,$A79)+COUNTIFS(入户维修!$H$5:$H$404,$A$67,入户维修!$O$5:$O$404,"一般",入户维修!$C$5:$C$404,$A79)+COUNTIFS(公区维修!$F$5:$F$404,$A$67,公区维修!$N$5:$N$404,"一般",公区维修!$C$5:$C$404,$A79)+COUNTIFS(公区维修!$G$5:$G$404,$A$67,公区维修!$N$5:$N$404,"一般",公区维修!$C$5:$C$404,$A79)+COUNTIFS(公区维修!$H$5:$H$404,$A$67,公区维修!$N$5:$N$404,"一般",公区维修!$C$5:$C$404,$A79)</f>
        <v>0</v>
      </c>
      <c r="J79" s="35" t="n">
        <f aca="false">COUNTIFS(入户维修!$F$5:$F$404,$A$67,入户维修!$O$5:$O$404,"不满意",入户维修!$C$5:$C$404,$A79)+COUNTIFS(入户维修!$G$5:$G$404,$A$67,入户维修!$O$5:$O$404,"不满意",入户维修!$C$5:$C$404,$A79)+COUNTIFS(入户维修!$H$5:$H$404,$A$67,入户维修!$O$5:$O$404,"不满意",入户维修!$C$5:$C$404,$A79)+COUNTIFS(公区维修!$F$5:$F$404,$A$67,公区维修!$N$5:$N$404,"不满意",公区维修!$C$5:$C$404,$A79)+COUNTIFS(公区维修!$G$5:$G$404,$A$67,公区维修!$N$5:$N$404,"不满意",公区维修!$C$5:$C$404,$A79)+COUNTIFS(公区维修!$H$5:$H$404,$A$67,公区维修!$N$5:$N$404,"不满意",公区维修!$C$5:$C$404,$A79)</f>
        <v>0</v>
      </c>
      <c r="K79" s="35" t="n">
        <f aca="false">SUM($G79:$J79)</f>
        <v>1</v>
      </c>
      <c r="L79" s="36" t="n">
        <f aca="false">IFERROR(($G79+$H79)/$K79,"")</f>
        <v>1</v>
      </c>
      <c r="M79" s="30"/>
      <c r="N79" s="30"/>
      <c r="O79" s="30"/>
      <c r="P79" s="30"/>
    </row>
    <row r="80" customFormat="false" ht="19.5" hidden="false" customHeight="true" outlineLevel="0" collapsed="false">
      <c r="A80" s="44" t="s">
        <v>161</v>
      </c>
      <c r="B80" s="35" t="n">
        <f aca="false">COUNTIFS(入户维修!$F$5:$F$404,$A$67,入户维修!$E$5:$E$404,"?*",入户维修!$C$5:$C$404,$A80)+COUNTIFS(入户维修!$G$5:$G$404,$A$67,入户维修!$E$5:$E$404,"?*",入户维修!$C$5:$C$404,$A80)+COUNTIFS(入户维修!$H$5:$H$404,$A$67,入户维修!$E$5:$E$404,"?*",入户维修!$C$5:$C$404,$A80)+COUNTIFS(公区维修!$F$5:$F$404,$A$67,公区维修!$E$5:$E$404,"?*",公区维修!$C$5:$C$404,$A80)+COUNTIFS(公区维修!$G$5:$G$404,$A$67,公区维修!$E$5:$E$404,"?*",公区维修!$C$5:$C$404,$A80)+COUNTIFS(公区维修!$H$5:$H$404,$A$67,公区维修!$E$5:$E$404,"?*",公区维修!$C$5:$C$404,$A80)</f>
        <v>1</v>
      </c>
      <c r="C80" s="35" t="n">
        <f aca="false">COUNTIFS(入户维修!$F$5:$F$404,$A$67,入户维修!$K$5:$K$404,"已完成",入户维修!$C$5:$C$404,$A80)+COUNTIFS(入户维修!$G$5:$G$404,$A$67,入户维修!$K$5:$K$404,"已完成",入户维修!$C$5:$C$404,$A80)+COUNTIFS(入户维修!$H$5:$H$404,$A$67,入户维修!$K$5:$K$404,"已完成",入户维修!$C$5:$C$404,$A80)+COUNTIFS(公区维修!$F$5:$F$404,$A$67,公区维修!$K$5:$K$404,"已完成",公区维修!$C$5:$C$404,$A80)+COUNTIFS(公区维修!$G$5:$G$404,$A$67,公区维修!$K$5:$K$404,"已完成",公区维修!$C$5:$C$404,$A80)+COUNTIFS(公区维修!$H$5:$H$404,$A$67,公区维修!$K$5:$K$404,"已完成",公区维修!$C$5:$C$404,$A80)</f>
        <v>1</v>
      </c>
      <c r="D80" s="35" t="n">
        <f aca="false">COUNTIFS(入户维修!$F$5:$F$404,$A$67,入户维修!$K$5:$K$404,"跟进中",入户维修!$C$5:$C$404,$A80)+COUNTIFS(入户维修!$G$5:$G$404,$A$67,入户维修!$K$5:$K$404,"跟进中",入户维修!$C$5:$C$404,$A80)+COUNTIFS(入户维修!$H$5:$H$404,$A$67,入户维修!$K$5:$K$404,"跟进中",入户维修!$C$5:$C$404,$A80)+COUNTIFS(公区维修!$F$5:$F$404,$A$67,公区维修!$K$5:$K$404,"跟进中",公区维修!$C$5:$C$404,$A80)+COUNTIFS(公区维修!$G$5:$G$404,$A$67,公区维修!$K$5:$K$404,"跟进中",公区维修!$C$5:$C$404,$A80)+COUNTIFS(公区维修!$H$5:$H$404,$A$67,公区维修!$K$5:$K$404,"跟进中",公区维修!$C$5:$C$404,$A80)</f>
        <v>0</v>
      </c>
      <c r="E80" s="35" t="n">
        <f aca="false">COUNTIFS(入户维修!$F$5:$F$404,$A$67,入户维修!$K$5:$K$404,"需另约时间",入户维修!$C$5:$C$404,$A80)+COUNTIFS(入户维修!$G$5:$G$404,$A$67,入户维修!$K$5:$K$404,"需另约时间",入户维修!$C$5:$C$404,$A80)+COUNTIFS(入户维修!$H$5:$H$404,$A$67,入户维修!$K$5:$K$404,"需另约时间",入户维修!$C$5:$C$404,$A80)+COUNTIFS(公区维修!$F$5:$F$404,$A$67,公区维修!$K$5:$K$404,"需另约时间",公区维修!$C$5:$C$404,$A80)+COUNTIFS(公区维修!$G$5:$G$404,$A$67,公区维修!$K$5:$K$404,"需另约时间",公区维修!$C$5:$C$404,$A80)+COUNTIFS(公区维修!$H$5:$H$404,$A$67,公区维修!$K$5:$K$404,"需另约时间",公区维修!$C$5:$C$404,$A80)</f>
        <v>0</v>
      </c>
      <c r="F80" s="36" t="n">
        <f aca="false">IFERROR($C80/$B80,"")</f>
        <v>1</v>
      </c>
      <c r="G80" s="35" t="n">
        <f aca="false">COUNTIFS(入户维修!$F$5:$F$404,$A$67,入户维修!$O$5:$O$404,"非常满意",入户维修!$C$5:$C$404,$A80)+COUNTIFS(入户维修!$G$5:$G$404,$A$67,入户维修!$O$5:$O$404,"非常满意",入户维修!$C$5:$C$404,$A80)+COUNTIFS(入户维修!$H$5:$H$404,$A$67,入户维修!$O$5:$O$404,"非常满意",入户维修!$C$5:$C$404,$A80)+COUNTIFS(公区维修!$F$5:$F$404,$A$67,公区维修!$N$5:$N$404,"非常满意",公区维修!$C$5:$C$404,$A80)+COUNTIFS(公区维修!$G$5:$G$404,$A$67,公区维修!$N$5:$N$404,"非常满意",公区维修!$C$5:$C$404,$A80)+COUNTIFS(公区维修!$H$5:$H$404,$A$67,公区维修!$N$5:$N$404,"非常满意",公区维修!$C$5:$C$404,$A80)</f>
        <v>1</v>
      </c>
      <c r="H80" s="35" t="n">
        <f aca="false">COUNTIFS(入户维修!$F$5:$F$404,$A$67,入户维修!$O$5:$O$404,"满意",入户维修!$C$5:$C$404,$A80)+COUNTIFS(入户维修!$G$5:$G$404,$A$67,入户维修!$O$5:$O$404,"满意",入户维修!$C$5:$C$404,$A80)+COUNTIFS(入户维修!$H$5:$H$404,$A$67,入户维修!$O$5:$O$404,"满意",入户维修!$C$5:$C$404,$A80)+COUNTIFS(公区维修!$F$5:$F$404,$A$67,公区维修!$N$5:$N$404,"满意",公区维修!$C$5:$C$404,$A80)+COUNTIFS(公区维修!$G$5:$G$404,$A$67,公区维修!$N$5:$N$404,"满意",公区维修!$C$5:$C$404,$A80)+COUNTIFS(公区维修!$H$5:$H$404,$A$67,公区维修!$N$5:$N$404,"满意",公区维修!$C$5:$C$404,$A80)</f>
        <v>0</v>
      </c>
      <c r="I80" s="35" t="n">
        <f aca="false">COUNTIFS(入户维修!$F$5:$F$404,$A$67,入户维修!$O$5:$O$404,"一般",入户维修!$C$5:$C$404,$A80)+COUNTIFS(入户维修!$G$5:$G$404,$A$67,入户维修!$O$5:$O$404,"一般",入户维修!$C$5:$C$404,$A80)+COUNTIFS(入户维修!$H$5:$H$404,$A$67,入户维修!$O$5:$O$404,"一般",入户维修!$C$5:$C$404,$A80)+COUNTIFS(公区维修!$F$5:$F$404,$A$67,公区维修!$N$5:$N$404,"一般",公区维修!$C$5:$C$404,$A80)+COUNTIFS(公区维修!$G$5:$G$404,$A$67,公区维修!$N$5:$N$404,"一般",公区维修!$C$5:$C$404,$A80)+COUNTIFS(公区维修!$H$5:$H$404,$A$67,公区维修!$N$5:$N$404,"一般",公区维修!$C$5:$C$404,$A80)</f>
        <v>0</v>
      </c>
      <c r="J80" s="35" t="n">
        <f aca="false">COUNTIFS(入户维修!$F$5:$F$404,$A$67,入户维修!$O$5:$O$404,"不满意",入户维修!$C$5:$C$404,$A80)+COUNTIFS(入户维修!$G$5:$G$404,$A$67,入户维修!$O$5:$O$404,"不满意",入户维修!$C$5:$C$404,$A80)+COUNTIFS(入户维修!$H$5:$H$404,$A$67,入户维修!$O$5:$O$404,"不满意",入户维修!$C$5:$C$404,$A80)+COUNTIFS(公区维修!$F$5:$F$404,$A$67,公区维修!$N$5:$N$404,"不满意",公区维修!$C$5:$C$404,$A80)+COUNTIFS(公区维修!$G$5:$G$404,$A$67,公区维修!$N$5:$N$404,"不满意",公区维修!$C$5:$C$404,$A80)+COUNTIFS(公区维修!$H$5:$H$404,$A$67,公区维修!$N$5:$N$404,"不满意",公区维修!$C$5:$C$404,$A80)</f>
        <v>0</v>
      </c>
      <c r="K80" s="35" t="n">
        <f aca="false">SUM($G80:$J80)</f>
        <v>1</v>
      </c>
      <c r="L80" s="36" t="n">
        <f aca="false">IFERROR(($G80+$H80)/$K80,"")</f>
        <v>1</v>
      </c>
      <c r="M80" s="30"/>
      <c r="N80" s="30"/>
      <c r="O80" s="30"/>
      <c r="P80" s="30"/>
    </row>
    <row r="81" customFormat="false" ht="19.5" hidden="false" customHeight="true" outlineLevel="0" collapsed="false">
      <c r="A81" s="44" t="s">
        <v>38</v>
      </c>
      <c r="B81" s="35" t="n">
        <f aca="false">COUNTIFS(入户维修!$F$5:$F$404,$A$67,入户维修!$E$5:$E$404,"?*",入户维修!$C$5:$C$404,$A81)+COUNTIFS(入户维修!$G$5:$G$404,$A$67,入户维修!$E$5:$E$404,"?*",入户维修!$C$5:$C$404,$A81)+COUNTIFS(入户维修!$H$5:$H$404,$A$67,入户维修!$E$5:$E$404,"?*",入户维修!$C$5:$C$404,$A81)+COUNTIFS(公区维修!$F$5:$F$404,$A$67,公区维修!$E$5:$E$404,"?*",公区维修!$C$5:$C$404,$A81)+COUNTIFS(公区维修!$G$5:$G$404,$A$67,公区维修!$E$5:$E$404,"?*",公区维修!$C$5:$C$404,$A81)+COUNTIFS(公区维修!$H$5:$H$404,$A$67,公区维修!$E$5:$E$404,"?*",公区维修!$C$5:$C$404,$A81)</f>
        <v>7</v>
      </c>
      <c r="C81" s="35" t="n">
        <f aca="false">COUNTIFS(入户维修!$F$5:$F$404,$A$67,入户维修!$K$5:$K$404,"已完成",入户维修!$C$5:$C$404,$A81)+COUNTIFS(入户维修!$G$5:$G$404,$A$67,入户维修!$K$5:$K$404,"已完成",入户维修!$C$5:$C$404,$A81)+COUNTIFS(入户维修!$H$5:$H$404,$A$67,入户维修!$K$5:$K$404,"已完成",入户维修!$C$5:$C$404,$A81)+COUNTIFS(公区维修!$F$5:$F$404,$A$67,公区维修!$K$5:$K$404,"已完成",公区维修!$C$5:$C$404,$A81)+COUNTIFS(公区维修!$G$5:$G$404,$A$67,公区维修!$K$5:$K$404,"已完成",公区维修!$C$5:$C$404,$A81)+COUNTIFS(公区维修!$H$5:$H$404,$A$67,公区维修!$K$5:$K$404,"已完成",公区维修!$C$5:$C$404,$A81)</f>
        <v>7</v>
      </c>
      <c r="D81" s="35" t="n">
        <f aca="false">COUNTIFS(入户维修!$F$5:$F$404,$A$67,入户维修!$K$5:$K$404,"跟进中",入户维修!$C$5:$C$404,$A81)+COUNTIFS(入户维修!$G$5:$G$404,$A$67,入户维修!$K$5:$K$404,"跟进中",入户维修!$C$5:$C$404,$A81)+COUNTIFS(入户维修!$H$5:$H$404,$A$67,入户维修!$K$5:$K$404,"跟进中",入户维修!$C$5:$C$404,$A81)+COUNTIFS(公区维修!$F$5:$F$404,$A$67,公区维修!$K$5:$K$404,"跟进中",公区维修!$C$5:$C$404,$A81)+COUNTIFS(公区维修!$G$5:$G$404,$A$67,公区维修!$K$5:$K$404,"跟进中",公区维修!$C$5:$C$404,$A81)+COUNTIFS(公区维修!$H$5:$H$404,$A$67,公区维修!$K$5:$K$404,"跟进中",公区维修!$C$5:$C$404,$A81)</f>
        <v>0</v>
      </c>
      <c r="E81" s="35" t="n">
        <f aca="false">COUNTIFS(入户维修!$F$5:$F$404,$A$67,入户维修!$K$5:$K$404,"需另约时间",入户维修!$C$5:$C$404,$A81)+COUNTIFS(入户维修!$G$5:$G$404,$A$67,入户维修!$K$5:$K$404,"需另约时间",入户维修!$C$5:$C$404,$A81)+COUNTIFS(入户维修!$H$5:$H$404,$A$67,入户维修!$K$5:$K$404,"需另约时间",入户维修!$C$5:$C$404,$A81)+COUNTIFS(公区维修!$F$5:$F$404,$A$67,公区维修!$K$5:$K$404,"需另约时间",公区维修!$C$5:$C$404,$A81)+COUNTIFS(公区维修!$G$5:$G$404,$A$67,公区维修!$K$5:$K$404,"需另约时间",公区维修!$C$5:$C$404,$A81)+COUNTIFS(公区维修!$H$5:$H$404,$A$67,公区维修!$K$5:$K$404,"需另约时间",公区维修!$C$5:$C$404,$A81)</f>
        <v>0</v>
      </c>
      <c r="F81" s="36" t="n">
        <f aca="false">IFERROR($C81/$B81,"")</f>
        <v>1</v>
      </c>
      <c r="G81" s="35" t="n">
        <f aca="false">COUNTIFS(入户维修!$F$5:$F$404,$A$67,入户维修!$O$5:$O$404,"非常满意",入户维修!$C$5:$C$404,$A81)+COUNTIFS(入户维修!$G$5:$G$404,$A$67,入户维修!$O$5:$O$404,"非常满意",入户维修!$C$5:$C$404,$A81)+COUNTIFS(入户维修!$H$5:$H$404,$A$67,入户维修!$O$5:$O$404,"非常满意",入户维修!$C$5:$C$404,$A81)+COUNTIFS(公区维修!$F$5:$F$404,$A$67,公区维修!$N$5:$N$404,"非常满意",公区维修!$C$5:$C$404,$A81)+COUNTIFS(公区维修!$G$5:$G$404,$A$67,公区维修!$N$5:$N$404,"非常满意",公区维修!$C$5:$C$404,$A81)+COUNTIFS(公区维修!$H$5:$H$404,$A$67,公区维修!$N$5:$N$404,"非常满意",公区维修!$C$5:$C$404,$A81)</f>
        <v>6</v>
      </c>
      <c r="H81" s="35" t="n">
        <f aca="false">COUNTIFS(入户维修!$F$5:$F$404,$A$67,入户维修!$O$5:$O$404,"满意",入户维修!$C$5:$C$404,$A81)+COUNTIFS(入户维修!$G$5:$G$404,$A$67,入户维修!$O$5:$O$404,"满意",入户维修!$C$5:$C$404,$A81)+COUNTIFS(入户维修!$H$5:$H$404,$A$67,入户维修!$O$5:$O$404,"满意",入户维修!$C$5:$C$404,$A81)+COUNTIFS(公区维修!$F$5:$F$404,$A$67,公区维修!$N$5:$N$404,"满意",公区维修!$C$5:$C$404,$A81)+COUNTIFS(公区维修!$G$5:$G$404,$A$67,公区维修!$N$5:$N$404,"满意",公区维修!$C$5:$C$404,$A81)+COUNTIFS(公区维修!$H$5:$H$404,$A$67,公区维修!$N$5:$N$404,"满意",公区维修!$C$5:$C$404,$A81)</f>
        <v>0</v>
      </c>
      <c r="I81" s="35" t="n">
        <f aca="false">COUNTIFS(入户维修!$F$5:$F$404,$A$67,入户维修!$O$5:$O$404,"一般",入户维修!$C$5:$C$404,$A81)+COUNTIFS(入户维修!$G$5:$G$404,$A$67,入户维修!$O$5:$O$404,"一般",入户维修!$C$5:$C$404,$A81)+COUNTIFS(入户维修!$H$5:$H$404,$A$67,入户维修!$O$5:$O$404,"一般",入户维修!$C$5:$C$404,$A81)+COUNTIFS(公区维修!$F$5:$F$404,$A$67,公区维修!$N$5:$N$404,"一般",公区维修!$C$5:$C$404,$A81)+COUNTIFS(公区维修!$G$5:$G$404,$A$67,公区维修!$N$5:$N$404,"一般",公区维修!$C$5:$C$404,$A81)+COUNTIFS(公区维修!$H$5:$H$404,$A$67,公区维修!$N$5:$N$404,"一般",公区维修!$C$5:$C$404,$A81)</f>
        <v>0</v>
      </c>
      <c r="J81" s="35" t="n">
        <f aca="false">COUNTIFS(入户维修!$F$5:$F$404,$A$67,入户维修!$O$5:$O$404,"不满意",入户维修!$C$5:$C$404,$A81)+COUNTIFS(入户维修!$G$5:$G$404,$A$67,入户维修!$O$5:$O$404,"不满意",入户维修!$C$5:$C$404,$A81)+COUNTIFS(入户维修!$H$5:$H$404,$A$67,入户维修!$O$5:$O$404,"不满意",入户维修!$C$5:$C$404,$A81)+COUNTIFS(公区维修!$F$5:$F$404,$A$67,公区维修!$N$5:$N$404,"不满意",公区维修!$C$5:$C$404,$A81)+COUNTIFS(公区维修!$G$5:$G$404,$A$67,公区维修!$N$5:$N$404,"不满意",公区维修!$C$5:$C$404,$A81)+COUNTIFS(公区维修!$H$5:$H$404,$A$67,公区维修!$N$5:$N$404,"不满意",公区维修!$C$5:$C$404,$A81)</f>
        <v>0</v>
      </c>
      <c r="K81" s="35" t="n">
        <f aca="false">SUM($G81:$J81)</f>
        <v>6</v>
      </c>
      <c r="L81" s="36" t="n">
        <f aca="false">IFERROR(($G81+$H81)/$K81,"")</f>
        <v>1</v>
      </c>
      <c r="M81" s="30"/>
      <c r="N81" s="30"/>
      <c r="O81" s="30"/>
      <c r="P81" s="30"/>
    </row>
    <row r="82" customFormat="false" ht="19.5" hidden="false" customHeight="true" outlineLevel="0" collapsed="false">
      <c r="A82" s="44" t="s">
        <v>31</v>
      </c>
      <c r="B82" s="35" t="n">
        <f aca="false">COUNTIFS(入户维修!$F$5:$F$404,$A$67,入户维修!$E$5:$E$404,"?*",入户维修!$C$5:$C$404,$A82)+COUNTIFS(入户维修!$G$5:$G$404,$A$67,入户维修!$E$5:$E$404,"?*",入户维修!$C$5:$C$404,$A82)+COUNTIFS(入户维修!$H$5:$H$404,$A$67,入户维修!$E$5:$E$404,"?*",入户维修!$C$5:$C$404,$A82)+COUNTIFS(公区维修!$F$5:$F$404,$A$67,公区维修!$E$5:$E$404,"?*",公区维修!$C$5:$C$404,$A82)+COUNTIFS(公区维修!$G$5:$G$404,$A$67,公区维修!$E$5:$E$404,"?*",公区维修!$C$5:$C$404,$A82)+COUNTIFS(公区维修!$H$5:$H$404,$A$67,公区维修!$E$5:$E$404,"?*",公区维修!$C$5:$C$404,$A82)</f>
        <v>10</v>
      </c>
      <c r="C82" s="35" t="n">
        <f aca="false">COUNTIFS(入户维修!$F$5:$F$404,$A$67,入户维修!$K$5:$K$404,"已完成",入户维修!$C$5:$C$404,$A82)+COUNTIFS(入户维修!$G$5:$G$404,$A$67,入户维修!$K$5:$K$404,"已完成",入户维修!$C$5:$C$404,$A82)+COUNTIFS(入户维修!$H$5:$H$404,$A$67,入户维修!$K$5:$K$404,"已完成",入户维修!$C$5:$C$404,$A82)+COUNTIFS(公区维修!$F$5:$F$404,$A$67,公区维修!$K$5:$K$404,"已完成",公区维修!$C$5:$C$404,$A82)+COUNTIFS(公区维修!$G$5:$G$404,$A$67,公区维修!$K$5:$K$404,"已完成",公区维修!$C$5:$C$404,$A82)+COUNTIFS(公区维修!$H$5:$H$404,$A$67,公区维修!$K$5:$K$404,"已完成",公区维修!$C$5:$C$404,$A82)</f>
        <v>9</v>
      </c>
      <c r="D82" s="35" t="n">
        <f aca="false">COUNTIFS(入户维修!$F$5:$F$404,$A$67,入户维修!$K$5:$K$404,"跟进中",入户维修!$C$5:$C$404,$A82)+COUNTIFS(入户维修!$G$5:$G$404,$A$67,入户维修!$K$5:$K$404,"跟进中",入户维修!$C$5:$C$404,$A82)+COUNTIFS(入户维修!$H$5:$H$404,$A$67,入户维修!$K$5:$K$404,"跟进中",入户维修!$C$5:$C$404,$A82)+COUNTIFS(公区维修!$F$5:$F$404,$A$67,公区维修!$K$5:$K$404,"跟进中",公区维修!$C$5:$C$404,$A82)+COUNTIFS(公区维修!$G$5:$G$404,$A$67,公区维修!$K$5:$K$404,"跟进中",公区维修!$C$5:$C$404,$A82)+COUNTIFS(公区维修!$H$5:$H$404,$A$67,公区维修!$K$5:$K$404,"跟进中",公区维修!$C$5:$C$404,$A82)</f>
        <v>1</v>
      </c>
      <c r="E82" s="35" t="n">
        <f aca="false">COUNTIFS(入户维修!$F$5:$F$404,$A$67,入户维修!$K$5:$K$404,"需另约时间",入户维修!$C$5:$C$404,$A82)+COUNTIFS(入户维修!$G$5:$G$404,$A$67,入户维修!$K$5:$K$404,"需另约时间",入户维修!$C$5:$C$404,$A82)+COUNTIFS(入户维修!$H$5:$H$404,$A$67,入户维修!$K$5:$K$404,"需另约时间",入户维修!$C$5:$C$404,$A82)+COUNTIFS(公区维修!$F$5:$F$404,$A$67,公区维修!$K$5:$K$404,"需另约时间",公区维修!$C$5:$C$404,$A82)+COUNTIFS(公区维修!$G$5:$G$404,$A$67,公区维修!$K$5:$K$404,"需另约时间",公区维修!$C$5:$C$404,$A82)+COUNTIFS(公区维修!$H$5:$H$404,$A$67,公区维修!$K$5:$K$404,"需另约时间",公区维修!$C$5:$C$404,$A82)</f>
        <v>0</v>
      </c>
      <c r="F82" s="36" t="n">
        <f aca="false">IFERROR($C82/$B82,"")</f>
        <v>0.9</v>
      </c>
      <c r="G82" s="35" t="n">
        <f aca="false">COUNTIFS(入户维修!$F$5:$F$404,$A$67,入户维修!$O$5:$O$404,"非常满意",入户维修!$C$5:$C$404,$A82)+COUNTIFS(入户维修!$G$5:$G$404,$A$67,入户维修!$O$5:$O$404,"非常满意",入户维修!$C$5:$C$404,$A82)+COUNTIFS(入户维修!$H$5:$H$404,$A$67,入户维修!$O$5:$O$404,"非常满意",入户维修!$C$5:$C$404,$A82)+COUNTIFS(公区维修!$F$5:$F$404,$A$67,公区维修!$N$5:$N$404,"非常满意",公区维修!$C$5:$C$404,$A82)+COUNTIFS(公区维修!$G$5:$G$404,$A$67,公区维修!$N$5:$N$404,"非常满意",公区维修!$C$5:$C$404,$A82)+COUNTIFS(公区维修!$H$5:$H$404,$A$67,公区维修!$N$5:$N$404,"非常满意",公区维修!$C$5:$C$404,$A82)</f>
        <v>8</v>
      </c>
      <c r="H82" s="35" t="n">
        <f aca="false">COUNTIFS(入户维修!$F$5:$F$404,$A$67,入户维修!$O$5:$O$404,"满意",入户维修!$C$5:$C$404,$A82)+COUNTIFS(入户维修!$G$5:$G$404,$A$67,入户维修!$O$5:$O$404,"满意",入户维修!$C$5:$C$404,$A82)+COUNTIFS(入户维修!$H$5:$H$404,$A$67,入户维修!$O$5:$O$404,"满意",入户维修!$C$5:$C$404,$A82)+COUNTIFS(公区维修!$F$5:$F$404,$A$67,公区维修!$N$5:$N$404,"满意",公区维修!$C$5:$C$404,$A82)+COUNTIFS(公区维修!$G$5:$G$404,$A$67,公区维修!$N$5:$N$404,"满意",公区维修!$C$5:$C$404,$A82)+COUNTIFS(公区维修!$H$5:$H$404,$A$67,公区维修!$N$5:$N$404,"满意",公区维修!$C$5:$C$404,$A82)</f>
        <v>0</v>
      </c>
      <c r="I82" s="35" t="n">
        <f aca="false">COUNTIFS(入户维修!$F$5:$F$404,$A$67,入户维修!$O$5:$O$404,"一般",入户维修!$C$5:$C$404,$A82)+COUNTIFS(入户维修!$G$5:$G$404,$A$67,入户维修!$O$5:$O$404,"一般",入户维修!$C$5:$C$404,$A82)+COUNTIFS(入户维修!$H$5:$H$404,$A$67,入户维修!$O$5:$O$404,"一般",入户维修!$C$5:$C$404,$A82)+COUNTIFS(公区维修!$F$5:$F$404,$A$67,公区维修!$N$5:$N$404,"一般",公区维修!$C$5:$C$404,$A82)+COUNTIFS(公区维修!$G$5:$G$404,$A$67,公区维修!$N$5:$N$404,"一般",公区维修!$C$5:$C$404,$A82)+COUNTIFS(公区维修!$H$5:$H$404,$A$67,公区维修!$N$5:$N$404,"一般",公区维修!$C$5:$C$404,$A82)</f>
        <v>1</v>
      </c>
      <c r="J82" s="35" t="n">
        <f aca="false">COUNTIFS(入户维修!$F$5:$F$404,$A$67,入户维修!$O$5:$O$404,"不满意",入户维修!$C$5:$C$404,$A82)+COUNTIFS(入户维修!$G$5:$G$404,$A$67,入户维修!$O$5:$O$404,"不满意",入户维修!$C$5:$C$404,$A82)+COUNTIFS(入户维修!$H$5:$H$404,$A$67,入户维修!$O$5:$O$404,"不满意",入户维修!$C$5:$C$404,$A82)+COUNTIFS(公区维修!$F$5:$F$404,$A$67,公区维修!$N$5:$N$404,"不满意",公区维修!$C$5:$C$404,$A82)+COUNTIFS(公区维修!$G$5:$G$404,$A$67,公区维修!$N$5:$N$404,"不满意",公区维修!$C$5:$C$404,$A82)+COUNTIFS(公区维修!$H$5:$H$404,$A$67,公区维修!$N$5:$N$404,"不满意",公区维修!$C$5:$C$404,$A82)</f>
        <v>0</v>
      </c>
      <c r="K82" s="35" t="n">
        <f aca="false">SUM($G82:$J82)</f>
        <v>9</v>
      </c>
      <c r="L82" s="36" t="n">
        <f aca="false">IFERROR(($G82+$H82)/$K82,"")</f>
        <v>0.888888888888889</v>
      </c>
      <c r="M82" s="30"/>
      <c r="N82" s="30"/>
      <c r="O82" s="30"/>
      <c r="P82" s="30"/>
    </row>
    <row r="83" customFormat="false" ht="19.5" hidden="false" customHeight="true" outlineLevel="0" collapsed="false">
      <c r="A83" s="44" t="s">
        <v>43</v>
      </c>
      <c r="B83" s="35" t="n">
        <f aca="false">COUNTIFS(入户维修!$F$5:$F$404,$A$67,入户维修!$E$5:$E$404,"?*",入户维修!$C$5:$C$404,$A83)+COUNTIFS(入户维修!$G$5:$G$404,$A$67,入户维修!$E$5:$E$404,"?*",入户维修!$C$5:$C$404,$A83)+COUNTIFS(入户维修!$H$5:$H$404,$A$67,入户维修!$E$5:$E$404,"?*",入户维修!$C$5:$C$404,$A83)+COUNTIFS(公区维修!$F$5:$F$404,$A$67,公区维修!$E$5:$E$404,"?*",公区维修!$C$5:$C$404,$A83)+COUNTIFS(公区维修!$G$5:$G$404,$A$67,公区维修!$E$5:$E$404,"?*",公区维修!$C$5:$C$404,$A83)+COUNTIFS(公区维修!$H$5:$H$404,$A$67,公区维修!$E$5:$E$404,"?*",公区维修!$C$5:$C$404,$A83)</f>
        <v>8</v>
      </c>
      <c r="C83" s="35" t="n">
        <f aca="false">COUNTIFS(入户维修!$F$5:$F$404,$A$67,入户维修!$K$5:$K$404,"已完成",入户维修!$C$5:$C$404,$A83)+COUNTIFS(入户维修!$G$5:$G$404,$A$67,入户维修!$K$5:$K$404,"已完成",入户维修!$C$5:$C$404,$A83)+COUNTIFS(入户维修!$H$5:$H$404,$A$67,入户维修!$K$5:$K$404,"已完成",入户维修!$C$5:$C$404,$A83)+COUNTIFS(公区维修!$F$5:$F$404,$A$67,公区维修!$K$5:$K$404,"已完成",公区维修!$C$5:$C$404,$A83)+COUNTIFS(公区维修!$G$5:$G$404,$A$67,公区维修!$K$5:$K$404,"已完成",公区维修!$C$5:$C$404,$A83)+COUNTIFS(公区维修!$H$5:$H$404,$A$67,公区维修!$K$5:$K$404,"已完成",公区维修!$C$5:$C$404,$A83)</f>
        <v>7</v>
      </c>
      <c r="D83" s="35" t="n">
        <f aca="false">COUNTIFS(入户维修!$F$5:$F$404,$A$67,入户维修!$K$5:$K$404,"跟进中",入户维修!$C$5:$C$404,$A83)+COUNTIFS(入户维修!$G$5:$G$404,$A$67,入户维修!$K$5:$K$404,"跟进中",入户维修!$C$5:$C$404,$A83)+COUNTIFS(入户维修!$H$5:$H$404,$A$67,入户维修!$K$5:$K$404,"跟进中",入户维修!$C$5:$C$404,$A83)+COUNTIFS(公区维修!$F$5:$F$404,$A$67,公区维修!$K$5:$K$404,"跟进中",公区维修!$C$5:$C$404,$A83)+COUNTIFS(公区维修!$G$5:$G$404,$A$67,公区维修!$K$5:$K$404,"跟进中",公区维修!$C$5:$C$404,$A83)+COUNTIFS(公区维修!$H$5:$H$404,$A$67,公区维修!$K$5:$K$404,"跟进中",公区维修!$C$5:$C$404,$A83)</f>
        <v>1</v>
      </c>
      <c r="E83" s="35" t="n">
        <f aca="false">COUNTIFS(入户维修!$F$5:$F$404,$A$67,入户维修!$K$5:$K$404,"需另约时间",入户维修!$C$5:$C$404,$A83)+COUNTIFS(入户维修!$G$5:$G$404,$A$67,入户维修!$K$5:$K$404,"需另约时间",入户维修!$C$5:$C$404,$A83)+COUNTIFS(入户维修!$H$5:$H$404,$A$67,入户维修!$K$5:$K$404,"需另约时间",入户维修!$C$5:$C$404,$A83)+COUNTIFS(公区维修!$F$5:$F$404,$A$67,公区维修!$K$5:$K$404,"需另约时间",公区维修!$C$5:$C$404,$A83)+COUNTIFS(公区维修!$G$5:$G$404,$A$67,公区维修!$K$5:$K$404,"需另约时间",公区维修!$C$5:$C$404,$A83)+COUNTIFS(公区维修!$H$5:$H$404,$A$67,公区维修!$K$5:$K$404,"需另约时间",公区维修!$C$5:$C$404,$A83)</f>
        <v>0</v>
      </c>
      <c r="F83" s="36" t="n">
        <f aca="false">IFERROR($C83/$B83,"")</f>
        <v>0.875</v>
      </c>
      <c r="G83" s="35" t="n">
        <f aca="false">COUNTIFS(入户维修!$F$5:$F$404,$A$67,入户维修!$O$5:$O$404,"非常满意",入户维修!$C$5:$C$404,$A83)+COUNTIFS(入户维修!$G$5:$G$404,$A$67,入户维修!$O$5:$O$404,"非常满意",入户维修!$C$5:$C$404,$A83)+COUNTIFS(入户维修!$H$5:$H$404,$A$67,入户维修!$O$5:$O$404,"非常满意",入户维修!$C$5:$C$404,$A83)+COUNTIFS(公区维修!$F$5:$F$404,$A$67,公区维修!$N$5:$N$404,"非常满意",公区维修!$C$5:$C$404,$A83)+COUNTIFS(公区维修!$G$5:$G$404,$A$67,公区维修!$N$5:$N$404,"非常满意",公区维修!$C$5:$C$404,$A83)+COUNTIFS(公区维修!$H$5:$H$404,$A$67,公区维修!$N$5:$N$404,"非常满意",公区维修!$C$5:$C$404,$A83)</f>
        <v>7</v>
      </c>
      <c r="H83" s="35" t="n">
        <f aca="false">COUNTIFS(入户维修!$F$5:$F$404,$A$67,入户维修!$O$5:$O$404,"满意",入户维修!$C$5:$C$404,$A83)+COUNTIFS(入户维修!$G$5:$G$404,$A$67,入户维修!$O$5:$O$404,"满意",入户维修!$C$5:$C$404,$A83)+COUNTIFS(入户维修!$H$5:$H$404,$A$67,入户维修!$O$5:$O$404,"满意",入户维修!$C$5:$C$404,$A83)+COUNTIFS(公区维修!$F$5:$F$404,$A$67,公区维修!$N$5:$N$404,"满意",公区维修!$C$5:$C$404,$A83)+COUNTIFS(公区维修!$G$5:$G$404,$A$67,公区维修!$N$5:$N$404,"满意",公区维修!$C$5:$C$404,$A83)+COUNTIFS(公区维修!$H$5:$H$404,$A$67,公区维修!$N$5:$N$404,"满意",公区维修!$C$5:$C$404,$A83)</f>
        <v>1</v>
      </c>
      <c r="I83" s="35" t="n">
        <f aca="false">COUNTIFS(入户维修!$F$5:$F$404,$A$67,入户维修!$O$5:$O$404,"一般",入户维修!$C$5:$C$404,$A83)+COUNTIFS(入户维修!$G$5:$G$404,$A$67,入户维修!$O$5:$O$404,"一般",入户维修!$C$5:$C$404,$A83)+COUNTIFS(入户维修!$H$5:$H$404,$A$67,入户维修!$O$5:$O$404,"一般",入户维修!$C$5:$C$404,$A83)+COUNTIFS(公区维修!$F$5:$F$404,$A$67,公区维修!$N$5:$N$404,"一般",公区维修!$C$5:$C$404,$A83)+COUNTIFS(公区维修!$G$5:$G$404,$A$67,公区维修!$N$5:$N$404,"一般",公区维修!$C$5:$C$404,$A83)+COUNTIFS(公区维修!$H$5:$H$404,$A$67,公区维修!$N$5:$N$404,"一般",公区维修!$C$5:$C$404,$A83)</f>
        <v>0</v>
      </c>
      <c r="J83" s="35" t="n">
        <f aca="false">COUNTIFS(入户维修!$F$5:$F$404,$A$67,入户维修!$O$5:$O$404,"不满意",入户维修!$C$5:$C$404,$A83)+COUNTIFS(入户维修!$G$5:$G$404,$A$67,入户维修!$O$5:$O$404,"不满意",入户维修!$C$5:$C$404,$A83)+COUNTIFS(入户维修!$H$5:$H$404,$A$67,入户维修!$O$5:$O$404,"不满意",入户维修!$C$5:$C$404,$A83)+COUNTIFS(公区维修!$F$5:$F$404,$A$67,公区维修!$N$5:$N$404,"不满意",公区维修!$C$5:$C$404,$A83)+COUNTIFS(公区维修!$G$5:$G$404,$A$67,公区维修!$N$5:$N$404,"不满意",公区维修!$C$5:$C$404,$A83)+COUNTIFS(公区维修!$H$5:$H$404,$A$67,公区维修!$N$5:$N$404,"不满意",公区维修!$C$5:$C$404,$A83)</f>
        <v>0</v>
      </c>
      <c r="K83" s="35" t="n">
        <f aca="false">SUM($G83:$J83)</f>
        <v>8</v>
      </c>
      <c r="L83" s="36" t="n">
        <f aca="false">IFERROR(($G83+$H83)/$K83,"")</f>
        <v>1</v>
      </c>
      <c r="M83" s="30"/>
      <c r="N83" s="30"/>
      <c r="O83" s="30"/>
      <c r="P83" s="30"/>
    </row>
    <row r="84" customFormat="false" ht="19.5" hidden="false" customHeight="true" outlineLevel="0" collapsed="false">
      <c r="A84" s="44" t="s">
        <v>21</v>
      </c>
      <c r="B84" s="35" t="n">
        <f aca="false">COUNTIFS(入户维修!$F$5:$F$404,$A$67,入户维修!$E$5:$E$404,"?*",入户维修!$C$5:$C$404,$A84)+COUNTIFS(入户维修!$G$5:$G$404,$A$67,入户维修!$E$5:$E$404,"?*",入户维修!$C$5:$C$404,$A84)+COUNTIFS(入户维修!$H$5:$H$404,$A$67,入户维修!$E$5:$E$404,"?*",入户维修!$C$5:$C$404,$A84)+COUNTIFS(公区维修!$F$5:$F$404,$A$67,公区维修!$E$5:$E$404,"?*",公区维修!$C$5:$C$404,$A84)+COUNTIFS(公区维修!$G$5:$G$404,$A$67,公区维修!$E$5:$E$404,"?*",公区维修!$C$5:$C$404,$A84)+COUNTIFS(公区维修!$H$5:$H$404,$A$67,公区维修!$E$5:$E$404,"?*",公区维修!$C$5:$C$404,$A84)</f>
        <v>9</v>
      </c>
      <c r="C84" s="35" t="n">
        <f aca="false">COUNTIFS(入户维修!$F$5:$F$404,$A$67,入户维修!$K$5:$K$404,"已完成",入户维修!$C$5:$C$404,$A84)+COUNTIFS(入户维修!$G$5:$G$404,$A$67,入户维修!$K$5:$K$404,"已完成",入户维修!$C$5:$C$404,$A84)+COUNTIFS(入户维修!$H$5:$H$404,$A$67,入户维修!$K$5:$K$404,"已完成",入户维修!$C$5:$C$404,$A84)+COUNTIFS(公区维修!$F$5:$F$404,$A$67,公区维修!$K$5:$K$404,"已完成",公区维修!$C$5:$C$404,$A84)+COUNTIFS(公区维修!$G$5:$G$404,$A$67,公区维修!$K$5:$K$404,"已完成",公区维修!$C$5:$C$404,$A84)+COUNTIFS(公区维修!$H$5:$H$404,$A$67,公区维修!$K$5:$K$404,"已完成",公区维修!$C$5:$C$404,$A84)</f>
        <v>8</v>
      </c>
      <c r="D84" s="35" t="n">
        <f aca="false">COUNTIFS(入户维修!$F$5:$F$404,$A$67,入户维修!$K$5:$K$404,"跟进中",入户维修!$C$5:$C$404,$A84)+COUNTIFS(入户维修!$G$5:$G$404,$A$67,入户维修!$K$5:$K$404,"跟进中",入户维修!$C$5:$C$404,$A84)+COUNTIFS(入户维修!$H$5:$H$404,$A$67,入户维修!$K$5:$K$404,"跟进中",入户维修!$C$5:$C$404,$A84)+COUNTIFS(公区维修!$F$5:$F$404,$A$67,公区维修!$K$5:$K$404,"跟进中",公区维修!$C$5:$C$404,$A84)+COUNTIFS(公区维修!$G$5:$G$404,$A$67,公区维修!$K$5:$K$404,"跟进中",公区维修!$C$5:$C$404,$A84)+COUNTIFS(公区维修!$H$5:$H$404,$A$67,公区维修!$K$5:$K$404,"跟进中",公区维修!$C$5:$C$404,$A84)</f>
        <v>1</v>
      </c>
      <c r="E84" s="35" t="n">
        <f aca="false">COUNTIFS(入户维修!$F$5:$F$404,$A$67,入户维修!$K$5:$K$404,"需另约时间",入户维修!$C$5:$C$404,$A84)+COUNTIFS(入户维修!$G$5:$G$404,$A$67,入户维修!$K$5:$K$404,"需另约时间",入户维修!$C$5:$C$404,$A84)+COUNTIFS(入户维修!$H$5:$H$404,$A$67,入户维修!$K$5:$K$404,"需另约时间",入户维修!$C$5:$C$404,$A84)+COUNTIFS(公区维修!$F$5:$F$404,$A$67,公区维修!$K$5:$K$404,"需另约时间",公区维修!$C$5:$C$404,$A84)+COUNTIFS(公区维修!$G$5:$G$404,$A$67,公区维修!$K$5:$K$404,"需另约时间",公区维修!$C$5:$C$404,$A84)+COUNTIFS(公区维修!$H$5:$H$404,$A$67,公区维修!$K$5:$K$404,"需另约时间",公区维修!$C$5:$C$404,$A84)</f>
        <v>0</v>
      </c>
      <c r="F84" s="36" t="n">
        <f aca="false">IFERROR($C84/$B84,"")</f>
        <v>0.888888888888889</v>
      </c>
      <c r="G84" s="35" t="n">
        <f aca="false">COUNTIFS(入户维修!$F$5:$F$404,$A$67,入户维修!$O$5:$O$404,"非常满意",入户维修!$C$5:$C$404,$A84)+COUNTIFS(入户维修!$G$5:$G$404,$A$67,入户维修!$O$5:$O$404,"非常满意",入户维修!$C$5:$C$404,$A84)+COUNTIFS(入户维修!$H$5:$H$404,$A$67,入户维修!$O$5:$O$404,"非常满意",入户维修!$C$5:$C$404,$A84)+COUNTIFS(公区维修!$F$5:$F$404,$A$67,公区维修!$N$5:$N$404,"非常满意",公区维修!$C$5:$C$404,$A84)+COUNTIFS(公区维修!$G$5:$G$404,$A$67,公区维修!$N$5:$N$404,"非常满意",公区维修!$C$5:$C$404,$A84)+COUNTIFS(公区维修!$H$5:$H$404,$A$67,公区维修!$N$5:$N$404,"非常满意",公区维修!$C$5:$C$404,$A84)</f>
        <v>7</v>
      </c>
      <c r="H84" s="35" t="n">
        <f aca="false">COUNTIFS(入户维修!$F$5:$F$404,$A$67,入户维修!$O$5:$O$404,"满意",入户维修!$C$5:$C$404,$A84)+COUNTIFS(入户维修!$G$5:$G$404,$A$67,入户维修!$O$5:$O$404,"满意",入户维修!$C$5:$C$404,$A84)+COUNTIFS(入户维修!$H$5:$H$404,$A$67,入户维修!$O$5:$O$404,"满意",入户维修!$C$5:$C$404,$A84)+COUNTIFS(公区维修!$F$5:$F$404,$A$67,公区维修!$N$5:$N$404,"满意",公区维修!$C$5:$C$404,$A84)+COUNTIFS(公区维修!$G$5:$G$404,$A$67,公区维修!$N$5:$N$404,"满意",公区维修!$C$5:$C$404,$A84)+COUNTIFS(公区维修!$H$5:$H$404,$A$67,公区维修!$N$5:$N$404,"满意",公区维修!$C$5:$C$404,$A84)</f>
        <v>1</v>
      </c>
      <c r="I84" s="35" t="n">
        <f aca="false">COUNTIFS(入户维修!$F$5:$F$404,$A$67,入户维修!$O$5:$O$404,"一般",入户维修!$C$5:$C$404,$A84)+COUNTIFS(入户维修!$G$5:$G$404,$A$67,入户维修!$O$5:$O$404,"一般",入户维修!$C$5:$C$404,$A84)+COUNTIFS(入户维修!$H$5:$H$404,$A$67,入户维修!$O$5:$O$404,"一般",入户维修!$C$5:$C$404,$A84)+COUNTIFS(公区维修!$F$5:$F$404,$A$67,公区维修!$N$5:$N$404,"一般",公区维修!$C$5:$C$404,$A84)+COUNTIFS(公区维修!$G$5:$G$404,$A$67,公区维修!$N$5:$N$404,"一般",公区维修!$C$5:$C$404,$A84)+COUNTIFS(公区维修!$H$5:$H$404,$A$67,公区维修!$N$5:$N$404,"一般",公区维修!$C$5:$C$404,$A84)</f>
        <v>0</v>
      </c>
      <c r="J84" s="35" t="n">
        <f aca="false">COUNTIFS(入户维修!$F$5:$F$404,$A$67,入户维修!$O$5:$O$404,"不满意",入户维修!$C$5:$C$404,$A84)+COUNTIFS(入户维修!$G$5:$G$404,$A$67,入户维修!$O$5:$O$404,"不满意",入户维修!$C$5:$C$404,$A84)+COUNTIFS(入户维修!$H$5:$H$404,$A$67,入户维修!$O$5:$O$404,"不满意",入户维修!$C$5:$C$404,$A84)+COUNTIFS(公区维修!$F$5:$F$404,$A$67,公区维修!$N$5:$N$404,"不满意",公区维修!$C$5:$C$404,$A84)+COUNTIFS(公区维修!$G$5:$G$404,$A$67,公区维修!$N$5:$N$404,"不满意",公区维修!$C$5:$C$404,$A84)+COUNTIFS(公区维修!$H$5:$H$404,$A$67,公区维修!$N$5:$N$404,"不满意",公区维修!$C$5:$C$404,$A84)</f>
        <v>0</v>
      </c>
      <c r="K84" s="35" t="n">
        <f aca="false">SUM($G84:$J84)</f>
        <v>8</v>
      </c>
      <c r="L84" s="36" t="n">
        <f aca="false">IFERROR(($G84+$H84)/$K84,"")</f>
        <v>1</v>
      </c>
      <c r="M84" s="30"/>
      <c r="N84" s="30"/>
      <c r="O84" s="30"/>
      <c r="P84" s="30"/>
    </row>
    <row r="85" customFormat="false" ht="19.5" hidden="false" customHeight="true" outlineLevel="0" collapsed="false">
      <c r="A85" s="44" t="s">
        <v>79</v>
      </c>
      <c r="B85" s="35" t="n">
        <f aca="false">COUNTIFS(入户维修!$F$5:$F$404,$A$67,入户维修!$E$5:$E$404,"?*",入户维修!$C$5:$C$404,$A85)+COUNTIFS(入户维修!$G$5:$G$404,$A$67,入户维修!$E$5:$E$404,"?*",入户维修!$C$5:$C$404,$A85)+COUNTIFS(入户维修!$H$5:$H$404,$A$67,入户维修!$E$5:$E$404,"?*",入户维修!$C$5:$C$404,$A85)+COUNTIFS(公区维修!$F$5:$F$404,$A$67,公区维修!$E$5:$E$404,"?*",公区维修!$C$5:$C$404,$A85)+COUNTIFS(公区维修!$G$5:$G$404,$A$67,公区维修!$E$5:$E$404,"?*",公区维修!$C$5:$C$404,$A85)+COUNTIFS(公区维修!$H$5:$H$404,$A$67,公区维修!$E$5:$E$404,"?*",公区维修!$C$5:$C$404,$A85)</f>
        <v>6</v>
      </c>
      <c r="C85" s="35" t="n">
        <f aca="false">COUNTIFS(入户维修!$F$5:$F$404,$A$67,入户维修!$K$5:$K$404,"已完成",入户维修!$C$5:$C$404,$A85)+COUNTIFS(入户维修!$G$5:$G$404,$A$67,入户维修!$K$5:$K$404,"已完成",入户维修!$C$5:$C$404,$A85)+COUNTIFS(入户维修!$H$5:$H$404,$A$67,入户维修!$K$5:$K$404,"已完成",入户维修!$C$5:$C$404,$A85)+COUNTIFS(公区维修!$F$5:$F$404,$A$67,公区维修!$K$5:$K$404,"已完成",公区维修!$C$5:$C$404,$A85)+COUNTIFS(公区维修!$G$5:$G$404,$A$67,公区维修!$K$5:$K$404,"已完成",公区维修!$C$5:$C$404,$A85)+COUNTIFS(公区维修!$H$5:$H$404,$A$67,公区维修!$K$5:$K$404,"已完成",公区维修!$C$5:$C$404,$A85)</f>
        <v>6</v>
      </c>
      <c r="D85" s="35" t="n">
        <f aca="false">COUNTIFS(入户维修!$F$5:$F$404,$A$67,入户维修!$K$5:$K$404,"跟进中",入户维修!$C$5:$C$404,$A85)+COUNTIFS(入户维修!$G$5:$G$404,$A$67,入户维修!$K$5:$K$404,"跟进中",入户维修!$C$5:$C$404,$A85)+COUNTIFS(入户维修!$H$5:$H$404,$A$67,入户维修!$K$5:$K$404,"跟进中",入户维修!$C$5:$C$404,$A85)+COUNTIFS(公区维修!$F$5:$F$404,$A$67,公区维修!$K$5:$K$404,"跟进中",公区维修!$C$5:$C$404,$A85)+COUNTIFS(公区维修!$G$5:$G$404,$A$67,公区维修!$K$5:$K$404,"跟进中",公区维修!$C$5:$C$404,$A85)+COUNTIFS(公区维修!$H$5:$H$404,$A$67,公区维修!$K$5:$K$404,"跟进中",公区维修!$C$5:$C$404,$A85)</f>
        <v>0</v>
      </c>
      <c r="E85" s="35" t="n">
        <f aca="false">COUNTIFS(入户维修!$F$5:$F$404,$A$67,入户维修!$K$5:$K$404,"需另约时间",入户维修!$C$5:$C$404,$A85)+COUNTIFS(入户维修!$G$5:$G$404,$A$67,入户维修!$K$5:$K$404,"需另约时间",入户维修!$C$5:$C$404,$A85)+COUNTIFS(入户维修!$H$5:$H$404,$A$67,入户维修!$K$5:$K$404,"需另约时间",入户维修!$C$5:$C$404,$A85)+COUNTIFS(公区维修!$F$5:$F$404,$A$67,公区维修!$K$5:$K$404,"需另约时间",公区维修!$C$5:$C$404,$A85)+COUNTIFS(公区维修!$G$5:$G$404,$A$67,公区维修!$K$5:$K$404,"需另约时间",公区维修!$C$5:$C$404,$A85)+COUNTIFS(公区维修!$H$5:$H$404,$A$67,公区维修!$K$5:$K$404,"需另约时间",公区维修!$C$5:$C$404,$A85)</f>
        <v>0</v>
      </c>
      <c r="F85" s="36" t="n">
        <f aca="false">IFERROR($C85/$B85,"")</f>
        <v>1</v>
      </c>
      <c r="G85" s="35" t="n">
        <f aca="false">COUNTIFS(入户维修!$F$5:$F$404,$A$67,入户维修!$O$5:$O$404,"非常满意",入户维修!$C$5:$C$404,$A85)+COUNTIFS(入户维修!$G$5:$G$404,$A$67,入户维修!$O$5:$O$404,"非常满意",入户维修!$C$5:$C$404,$A85)+COUNTIFS(入户维修!$H$5:$H$404,$A$67,入户维修!$O$5:$O$404,"非常满意",入户维修!$C$5:$C$404,$A85)+COUNTIFS(公区维修!$F$5:$F$404,$A$67,公区维修!$N$5:$N$404,"非常满意",公区维修!$C$5:$C$404,$A85)+COUNTIFS(公区维修!$G$5:$G$404,$A$67,公区维修!$N$5:$N$404,"非常满意",公区维修!$C$5:$C$404,$A85)+COUNTIFS(公区维修!$H$5:$H$404,$A$67,公区维修!$N$5:$N$404,"非常满意",公区维修!$C$5:$C$404,$A85)</f>
        <v>5</v>
      </c>
      <c r="H85" s="35" t="n">
        <f aca="false">COUNTIFS(入户维修!$F$5:$F$404,$A$67,入户维修!$O$5:$O$404,"满意",入户维修!$C$5:$C$404,$A85)+COUNTIFS(入户维修!$G$5:$G$404,$A$67,入户维修!$O$5:$O$404,"满意",入户维修!$C$5:$C$404,$A85)+COUNTIFS(入户维修!$H$5:$H$404,$A$67,入户维修!$O$5:$O$404,"满意",入户维修!$C$5:$C$404,$A85)+COUNTIFS(公区维修!$F$5:$F$404,$A$67,公区维修!$N$5:$N$404,"满意",公区维修!$C$5:$C$404,$A85)+COUNTIFS(公区维修!$G$5:$G$404,$A$67,公区维修!$N$5:$N$404,"满意",公区维修!$C$5:$C$404,$A85)+COUNTIFS(公区维修!$H$5:$H$404,$A$67,公区维修!$N$5:$N$404,"满意",公区维修!$C$5:$C$404,$A85)</f>
        <v>0</v>
      </c>
      <c r="I85" s="35" t="n">
        <f aca="false">COUNTIFS(入户维修!$F$5:$F$404,$A$67,入户维修!$O$5:$O$404,"一般",入户维修!$C$5:$C$404,$A85)+COUNTIFS(入户维修!$G$5:$G$404,$A$67,入户维修!$O$5:$O$404,"一般",入户维修!$C$5:$C$404,$A85)+COUNTIFS(入户维修!$H$5:$H$404,$A$67,入户维修!$O$5:$O$404,"一般",入户维修!$C$5:$C$404,$A85)+COUNTIFS(公区维修!$F$5:$F$404,$A$67,公区维修!$N$5:$N$404,"一般",公区维修!$C$5:$C$404,$A85)+COUNTIFS(公区维修!$G$5:$G$404,$A$67,公区维修!$N$5:$N$404,"一般",公区维修!$C$5:$C$404,$A85)+COUNTIFS(公区维修!$H$5:$H$404,$A$67,公区维修!$N$5:$N$404,"一般",公区维修!$C$5:$C$404,$A85)</f>
        <v>0</v>
      </c>
      <c r="J85" s="35" t="n">
        <f aca="false">COUNTIFS(入户维修!$F$5:$F$404,$A$67,入户维修!$O$5:$O$404,"不满意",入户维修!$C$5:$C$404,$A85)+COUNTIFS(入户维修!$G$5:$G$404,$A$67,入户维修!$O$5:$O$404,"不满意",入户维修!$C$5:$C$404,$A85)+COUNTIFS(入户维修!$H$5:$H$404,$A$67,入户维修!$O$5:$O$404,"不满意",入户维修!$C$5:$C$404,$A85)+COUNTIFS(公区维修!$F$5:$F$404,$A$67,公区维修!$N$5:$N$404,"不满意",公区维修!$C$5:$C$404,$A85)+COUNTIFS(公区维修!$G$5:$G$404,$A$67,公区维修!$N$5:$N$404,"不满意",公区维修!$C$5:$C$404,$A85)+COUNTIFS(公区维修!$H$5:$H$404,$A$67,公区维修!$N$5:$N$404,"不满意",公区维修!$C$5:$C$404,$A85)</f>
        <v>0</v>
      </c>
      <c r="K85" s="35" t="n">
        <f aca="false">SUM($G85:$J85)</f>
        <v>5</v>
      </c>
      <c r="L85" s="36" t="n">
        <f aca="false">IFERROR(($G85+$H85)/$K85,"")</f>
        <v>1</v>
      </c>
      <c r="M85" s="30"/>
      <c r="N85" s="30"/>
      <c r="O85" s="30"/>
      <c r="P85" s="30"/>
    </row>
    <row r="86" customFormat="false" ht="19.5" hidden="false" customHeight="true" outlineLevel="0" collapsed="false">
      <c r="A86" s="44" t="s">
        <v>76</v>
      </c>
      <c r="B86" s="35" t="n">
        <f aca="false">COUNTIFS(入户维修!$F$5:$F$404,$A$67,入户维修!$E$5:$E$404,"?*",入户维修!$C$5:$C$404,$A86)+COUNTIFS(入户维修!$G$5:$G$404,$A$67,入户维修!$E$5:$E$404,"?*",入户维修!$C$5:$C$404,$A86)+COUNTIFS(入户维修!$H$5:$H$404,$A$67,入户维修!$E$5:$E$404,"?*",入户维修!$C$5:$C$404,$A86)+COUNTIFS(公区维修!$F$5:$F$404,$A$67,公区维修!$E$5:$E$404,"?*",公区维修!$C$5:$C$404,$A86)+COUNTIFS(公区维修!$G$5:$G$404,$A$67,公区维修!$E$5:$E$404,"?*",公区维修!$C$5:$C$404,$A86)+COUNTIFS(公区维修!$H$5:$H$404,$A$67,公区维修!$E$5:$E$404,"?*",公区维修!$C$5:$C$404,$A86)</f>
        <v>6</v>
      </c>
      <c r="C86" s="35" t="n">
        <f aca="false">COUNTIFS(入户维修!$F$5:$F$404,$A$67,入户维修!$K$5:$K$404,"已完成",入户维修!$C$5:$C$404,$A86)+COUNTIFS(入户维修!$G$5:$G$404,$A$67,入户维修!$K$5:$K$404,"已完成",入户维修!$C$5:$C$404,$A86)+COUNTIFS(入户维修!$H$5:$H$404,$A$67,入户维修!$K$5:$K$404,"已完成",入户维修!$C$5:$C$404,$A86)+COUNTIFS(公区维修!$F$5:$F$404,$A$67,公区维修!$K$5:$K$404,"已完成",公区维修!$C$5:$C$404,$A86)+COUNTIFS(公区维修!$G$5:$G$404,$A$67,公区维修!$K$5:$K$404,"已完成",公区维修!$C$5:$C$404,$A86)+COUNTIFS(公区维修!$H$5:$H$404,$A$67,公区维修!$K$5:$K$404,"已完成",公区维修!$C$5:$C$404,$A86)</f>
        <v>6</v>
      </c>
      <c r="D86" s="35" t="n">
        <f aca="false">COUNTIFS(入户维修!$F$5:$F$404,$A$67,入户维修!$K$5:$K$404,"跟进中",入户维修!$C$5:$C$404,$A86)+COUNTIFS(入户维修!$G$5:$G$404,$A$67,入户维修!$K$5:$K$404,"跟进中",入户维修!$C$5:$C$404,$A86)+COUNTIFS(入户维修!$H$5:$H$404,$A$67,入户维修!$K$5:$K$404,"跟进中",入户维修!$C$5:$C$404,$A86)+COUNTIFS(公区维修!$F$5:$F$404,$A$67,公区维修!$K$5:$K$404,"跟进中",公区维修!$C$5:$C$404,$A86)+COUNTIFS(公区维修!$G$5:$G$404,$A$67,公区维修!$K$5:$K$404,"跟进中",公区维修!$C$5:$C$404,$A86)+COUNTIFS(公区维修!$H$5:$H$404,$A$67,公区维修!$K$5:$K$404,"跟进中",公区维修!$C$5:$C$404,$A86)</f>
        <v>0</v>
      </c>
      <c r="E86" s="35" t="n">
        <f aca="false">COUNTIFS(入户维修!$F$5:$F$404,$A$67,入户维修!$K$5:$K$404,"需另约时间",入户维修!$C$5:$C$404,$A86)+COUNTIFS(入户维修!$G$5:$G$404,$A$67,入户维修!$K$5:$K$404,"需另约时间",入户维修!$C$5:$C$404,$A86)+COUNTIFS(入户维修!$H$5:$H$404,$A$67,入户维修!$K$5:$K$404,"需另约时间",入户维修!$C$5:$C$404,$A86)+COUNTIFS(公区维修!$F$5:$F$404,$A$67,公区维修!$K$5:$K$404,"需另约时间",公区维修!$C$5:$C$404,$A86)+COUNTIFS(公区维修!$G$5:$G$404,$A$67,公区维修!$K$5:$K$404,"需另约时间",公区维修!$C$5:$C$404,$A86)+COUNTIFS(公区维修!$H$5:$H$404,$A$67,公区维修!$K$5:$K$404,"需另约时间",公区维修!$C$5:$C$404,$A86)</f>
        <v>0</v>
      </c>
      <c r="F86" s="36" t="n">
        <f aca="false">IFERROR($C86/$B86,"")</f>
        <v>1</v>
      </c>
      <c r="G86" s="35" t="n">
        <f aca="false">COUNTIFS(入户维修!$F$5:$F$404,$A$67,入户维修!$O$5:$O$404,"非常满意",入户维修!$C$5:$C$404,$A86)+COUNTIFS(入户维修!$G$5:$G$404,$A$67,入户维修!$O$5:$O$404,"非常满意",入户维修!$C$5:$C$404,$A86)+COUNTIFS(入户维修!$H$5:$H$404,$A$67,入户维修!$O$5:$O$404,"非常满意",入户维修!$C$5:$C$404,$A86)+COUNTIFS(公区维修!$F$5:$F$404,$A$67,公区维修!$N$5:$N$404,"非常满意",公区维修!$C$5:$C$404,$A86)+COUNTIFS(公区维修!$G$5:$G$404,$A$67,公区维修!$N$5:$N$404,"非常满意",公区维修!$C$5:$C$404,$A86)+COUNTIFS(公区维修!$H$5:$H$404,$A$67,公区维修!$N$5:$N$404,"非常满意",公区维修!$C$5:$C$404,$A86)</f>
        <v>4</v>
      </c>
      <c r="H86" s="35" t="n">
        <f aca="false">COUNTIFS(入户维修!$F$5:$F$404,$A$67,入户维修!$O$5:$O$404,"满意",入户维修!$C$5:$C$404,$A86)+COUNTIFS(入户维修!$G$5:$G$404,$A$67,入户维修!$O$5:$O$404,"满意",入户维修!$C$5:$C$404,$A86)+COUNTIFS(入户维修!$H$5:$H$404,$A$67,入户维修!$O$5:$O$404,"满意",入户维修!$C$5:$C$404,$A86)+COUNTIFS(公区维修!$F$5:$F$404,$A$67,公区维修!$N$5:$N$404,"满意",公区维修!$C$5:$C$404,$A86)+COUNTIFS(公区维修!$G$5:$G$404,$A$67,公区维修!$N$5:$N$404,"满意",公区维修!$C$5:$C$404,$A86)+COUNTIFS(公区维修!$H$5:$H$404,$A$67,公区维修!$N$5:$N$404,"满意",公区维修!$C$5:$C$404,$A86)</f>
        <v>0</v>
      </c>
      <c r="I86" s="35" t="n">
        <f aca="false">COUNTIFS(入户维修!$F$5:$F$404,$A$67,入户维修!$O$5:$O$404,"一般",入户维修!$C$5:$C$404,$A86)+COUNTIFS(入户维修!$G$5:$G$404,$A$67,入户维修!$O$5:$O$404,"一般",入户维修!$C$5:$C$404,$A86)+COUNTIFS(入户维修!$H$5:$H$404,$A$67,入户维修!$O$5:$O$404,"一般",入户维修!$C$5:$C$404,$A86)+COUNTIFS(公区维修!$F$5:$F$404,$A$67,公区维修!$N$5:$N$404,"一般",公区维修!$C$5:$C$404,$A86)+COUNTIFS(公区维修!$G$5:$G$404,$A$67,公区维修!$N$5:$N$404,"一般",公区维修!$C$5:$C$404,$A86)+COUNTIFS(公区维修!$H$5:$H$404,$A$67,公区维修!$N$5:$N$404,"一般",公区维修!$C$5:$C$404,$A86)</f>
        <v>0</v>
      </c>
      <c r="J86" s="35" t="n">
        <f aca="false">COUNTIFS(入户维修!$F$5:$F$404,$A$67,入户维修!$O$5:$O$404,"不满意",入户维修!$C$5:$C$404,$A86)+COUNTIFS(入户维修!$G$5:$G$404,$A$67,入户维修!$O$5:$O$404,"不满意",入户维修!$C$5:$C$404,$A86)+COUNTIFS(入户维修!$H$5:$H$404,$A$67,入户维修!$O$5:$O$404,"不满意",入户维修!$C$5:$C$404,$A86)+COUNTIFS(公区维修!$F$5:$F$404,$A$67,公区维修!$N$5:$N$404,"不满意",公区维修!$C$5:$C$404,$A86)+COUNTIFS(公区维修!$G$5:$G$404,$A$67,公区维修!$N$5:$N$404,"不满意",公区维修!$C$5:$C$404,$A86)+COUNTIFS(公区维修!$H$5:$H$404,$A$67,公区维修!$N$5:$N$404,"不满意",公区维修!$C$5:$C$404,$A86)</f>
        <v>0</v>
      </c>
      <c r="K86" s="35" t="n">
        <f aca="false">SUM($G86:$J86)</f>
        <v>4</v>
      </c>
      <c r="L86" s="36" t="n">
        <f aca="false">IFERROR(($G86+$H86)/$K86,"")</f>
        <v>1</v>
      </c>
      <c r="M86" s="30"/>
      <c r="N86" s="30"/>
      <c r="O86" s="30"/>
      <c r="P86" s="30"/>
    </row>
    <row r="87" customFormat="false" ht="19.5" hidden="false" customHeight="true" outlineLevel="0" collapsed="false">
      <c r="A87" s="44" t="s">
        <v>93</v>
      </c>
      <c r="B87" s="35" t="n">
        <f aca="false">COUNTIFS(入户维修!$F$5:$F$404,$A$67,入户维修!$E$5:$E$404,"?*",入户维修!$C$5:$C$404,$A87)+COUNTIFS(入户维修!$G$5:$G$404,$A$67,入户维修!$E$5:$E$404,"?*",入户维修!$C$5:$C$404,$A87)+COUNTIFS(入户维修!$H$5:$H$404,$A$67,入户维修!$E$5:$E$404,"?*",入户维修!$C$5:$C$404,$A87)+COUNTIFS(公区维修!$F$5:$F$404,$A$67,公区维修!$E$5:$E$404,"?*",公区维修!$C$5:$C$404,$A87)+COUNTIFS(公区维修!$G$5:$G$404,$A$67,公区维修!$E$5:$E$404,"?*",公区维修!$C$5:$C$404,$A87)+COUNTIFS(公区维修!$H$5:$H$404,$A$67,公区维修!$E$5:$E$404,"?*",公区维修!$C$5:$C$404,$A87)</f>
        <v>7</v>
      </c>
      <c r="C87" s="35" t="n">
        <f aca="false">COUNTIFS(入户维修!$F$5:$F$404,$A$67,入户维修!$K$5:$K$404,"已完成",入户维修!$C$5:$C$404,$A87)+COUNTIFS(入户维修!$G$5:$G$404,$A$67,入户维修!$K$5:$K$404,"已完成",入户维修!$C$5:$C$404,$A87)+COUNTIFS(入户维修!$H$5:$H$404,$A$67,入户维修!$K$5:$K$404,"已完成",入户维修!$C$5:$C$404,$A87)+COUNTIFS(公区维修!$F$5:$F$404,$A$67,公区维修!$K$5:$K$404,"已完成",公区维修!$C$5:$C$404,$A87)+COUNTIFS(公区维修!$G$5:$G$404,$A$67,公区维修!$K$5:$K$404,"已完成",公区维修!$C$5:$C$404,$A87)+COUNTIFS(公区维修!$H$5:$H$404,$A$67,公区维修!$K$5:$K$404,"已完成",公区维修!$C$5:$C$404,$A87)</f>
        <v>7</v>
      </c>
      <c r="D87" s="35" t="n">
        <f aca="false">COUNTIFS(入户维修!$F$5:$F$404,$A$67,入户维修!$K$5:$K$404,"跟进中",入户维修!$C$5:$C$404,$A87)+COUNTIFS(入户维修!$G$5:$G$404,$A$67,入户维修!$K$5:$K$404,"跟进中",入户维修!$C$5:$C$404,$A87)+COUNTIFS(入户维修!$H$5:$H$404,$A$67,入户维修!$K$5:$K$404,"跟进中",入户维修!$C$5:$C$404,$A87)+COUNTIFS(公区维修!$F$5:$F$404,$A$67,公区维修!$K$5:$K$404,"跟进中",公区维修!$C$5:$C$404,$A87)+COUNTIFS(公区维修!$G$5:$G$404,$A$67,公区维修!$K$5:$K$404,"跟进中",公区维修!$C$5:$C$404,$A87)+COUNTIFS(公区维修!$H$5:$H$404,$A$67,公区维修!$K$5:$K$404,"跟进中",公区维修!$C$5:$C$404,$A87)</f>
        <v>0</v>
      </c>
      <c r="E87" s="35" t="n">
        <f aca="false">COUNTIFS(入户维修!$F$5:$F$404,$A$67,入户维修!$K$5:$K$404,"需另约时间",入户维修!$C$5:$C$404,$A87)+COUNTIFS(入户维修!$G$5:$G$404,$A$67,入户维修!$K$5:$K$404,"需另约时间",入户维修!$C$5:$C$404,$A87)+COUNTIFS(入户维修!$H$5:$H$404,$A$67,入户维修!$K$5:$K$404,"需另约时间",入户维修!$C$5:$C$404,$A87)+COUNTIFS(公区维修!$F$5:$F$404,$A$67,公区维修!$K$5:$K$404,"需另约时间",公区维修!$C$5:$C$404,$A87)+COUNTIFS(公区维修!$G$5:$G$404,$A$67,公区维修!$K$5:$K$404,"需另约时间",公区维修!$C$5:$C$404,$A87)+COUNTIFS(公区维修!$H$5:$H$404,$A$67,公区维修!$K$5:$K$404,"需另约时间",公区维修!$C$5:$C$404,$A87)</f>
        <v>0</v>
      </c>
      <c r="F87" s="36" t="n">
        <f aca="false">IFERROR($C87/$B87,"")</f>
        <v>1</v>
      </c>
      <c r="G87" s="35" t="n">
        <f aca="false">COUNTIFS(入户维修!$F$5:$F$404,$A$67,入户维修!$O$5:$O$404,"非常满意",入户维修!$C$5:$C$404,$A87)+COUNTIFS(入户维修!$G$5:$G$404,$A$67,入户维修!$O$5:$O$404,"非常满意",入户维修!$C$5:$C$404,$A87)+COUNTIFS(入户维修!$H$5:$H$404,$A$67,入户维修!$O$5:$O$404,"非常满意",入户维修!$C$5:$C$404,$A87)+COUNTIFS(公区维修!$F$5:$F$404,$A$67,公区维修!$N$5:$N$404,"非常满意",公区维修!$C$5:$C$404,$A87)+COUNTIFS(公区维修!$G$5:$G$404,$A$67,公区维修!$N$5:$N$404,"非常满意",公区维修!$C$5:$C$404,$A87)+COUNTIFS(公区维修!$H$5:$H$404,$A$67,公区维修!$N$5:$N$404,"非常满意",公区维修!$C$5:$C$404,$A87)</f>
        <v>5</v>
      </c>
      <c r="H87" s="35" t="n">
        <f aca="false">COUNTIFS(入户维修!$F$5:$F$404,$A$67,入户维修!$O$5:$O$404,"满意",入户维修!$C$5:$C$404,$A87)+COUNTIFS(入户维修!$G$5:$G$404,$A$67,入户维修!$O$5:$O$404,"满意",入户维修!$C$5:$C$404,$A87)+COUNTIFS(入户维修!$H$5:$H$404,$A$67,入户维修!$O$5:$O$404,"满意",入户维修!$C$5:$C$404,$A87)+COUNTIFS(公区维修!$F$5:$F$404,$A$67,公区维修!$N$5:$N$404,"满意",公区维修!$C$5:$C$404,$A87)+COUNTIFS(公区维修!$G$5:$G$404,$A$67,公区维修!$N$5:$N$404,"满意",公区维修!$C$5:$C$404,$A87)+COUNTIFS(公区维修!$H$5:$H$404,$A$67,公区维修!$N$5:$N$404,"满意",公区维修!$C$5:$C$404,$A87)</f>
        <v>0</v>
      </c>
      <c r="I87" s="35" t="n">
        <f aca="false">COUNTIFS(入户维修!$F$5:$F$404,$A$67,入户维修!$O$5:$O$404,"一般",入户维修!$C$5:$C$404,$A87)+COUNTIFS(入户维修!$G$5:$G$404,$A$67,入户维修!$O$5:$O$404,"一般",入户维修!$C$5:$C$404,$A87)+COUNTIFS(入户维修!$H$5:$H$404,$A$67,入户维修!$O$5:$O$404,"一般",入户维修!$C$5:$C$404,$A87)+COUNTIFS(公区维修!$F$5:$F$404,$A$67,公区维修!$N$5:$N$404,"一般",公区维修!$C$5:$C$404,$A87)+COUNTIFS(公区维修!$G$5:$G$404,$A$67,公区维修!$N$5:$N$404,"一般",公区维修!$C$5:$C$404,$A87)+COUNTIFS(公区维修!$H$5:$H$404,$A$67,公区维修!$N$5:$N$404,"一般",公区维修!$C$5:$C$404,$A87)</f>
        <v>0</v>
      </c>
      <c r="J87" s="35" t="n">
        <f aca="false">COUNTIFS(入户维修!$F$5:$F$404,$A$67,入户维修!$O$5:$O$404,"不满意",入户维修!$C$5:$C$404,$A87)+COUNTIFS(入户维修!$G$5:$G$404,$A$67,入户维修!$O$5:$O$404,"不满意",入户维修!$C$5:$C$404,$A87)+COUNTIFS(入户维修!$H$5:$H$404,$A$67,入户维修!$O$5:$O$404,"不满意",入户维修!$C$5:$C$404,$A87)+COUNTIFS(公区维修!$F$5:$F$404,$A$67,公区维修!$N$5:$N$404,"不满意",公区维修!$C$5:$C$404,$A87)+COUNTIFS(公区维修!$G$5:$G$404,$A$67,公区维修!$N$5:$N$404,"不满意",公区维修!$C$5:$C$404,$A87)+COUNTIFS(公区维修!$H$5:$H$404,$A$67,公区维修!$N$5:$N$404,"不满意",公区维修!$C$5:$C$404,$A87)</f>
        <v>0</v>
      </c>
      <c r="K87" s="35" t="n">
        <f aca="false">SUM($G87:$J87)</f>
        <v>5</v>
      </c>
      <c r="L87" s="36" t="n">
        <f aca="false">IFERROR(($G87+$H87)/$K87,"")</f>
        <v>1</v>
      </c>
      <c r="M87" s="30"/>
      <c r="N87" s="30"/>
      <c r="O87" s="30"/>
      <c r="P87" s="30"/>
    </row>
    <row r="88" customFormat="false" ht="19.5" hidden="false" customHeight="true" outlineLevel="0" collapsed="false">
      <c r="A88" s="34" t="s">
        <v>180</v>
      </c>
      <c r="B88" s="35" t="n">
        <f aca="false">COUNTIFS(入户维修!$F$5:$F$404,$A$67,入户维修!$E$5:$E$404,"?*",入户维修!$C$5:$C$404,$A88)+COUNTIFS(入户维修!$G$5:$G$404,$A$67,入户维修!$E$5:$E$404,"?*",入户维修!$C$5:$C$404,$A88)+COUNTIFS(入户维修!$H$5:$H$404,$A$67,入户维修!$E$5:$E$404,"?*",入户维修!$C$5:$C$404,$A88)+COUNTIFS(公区维修!$F$5:$F$404,$A$67,公区维修!$E$5:$E$404,"?*",公区维修!$C$5:$C$404,$A88)+COUNTIFS(公区维修!$G$5:$G$404,$A$67,公区维修!$E$5:$E$404,"?*",公区维修!$C$5:$C$404,$A88)+COUNTIFS(公区维修!$H$5:$H$404,$A$67,公区维修!$E$5:$E$404,"?*",公区维修!$C$5:$C$404,$A88)</f>
        <v>0</v>
      </c>
      <c r="C88" s="35" t="n">
        <f aca="false">COUNTIFS(入户维修!$F$5:$F$404,$A$67,入户维修!$K$5:$K$404,"已完成",入户维修!$C$5:$C$404,$A88)+COUNTIFS(入户维修!$G$5:$G$404,$A$67,入户维修!$K$5:$K$404,"已完成",入户维修!$C$5:$C$404,$A88)+COUNTIFS(入户维修!$H$5:$H$404,$A$67,入户维修!$K$5:$K$404,"已完成",入户维修!$C$5:$C$404,$A88)+COUNTIFS(公区维修!$F$5:$F$404,$A$67,公区维修!$K$5:$K$404,"已完成",公区维修!$C$5:$C$404,$A88)+COUNTIFS(公区维修!$G$5:$G$404,$A$67,公区维修!$K$5:$K$404,"已完成",公区维修!$C$5:$C$404,$A88)+COUNTIFS(公区维修!$H$5:$H$404,$A$67,公区维修!$K$5:$K$404,"已完成",公区维修!$C$5:$C$404,$A88)</f>
        <v>0</v>
      </c>
      <c r="D88" s="35" t="n">
        <f aca="false">COUNTIFS(入户维修!$F$5:$F$404,$A$67,入户维修!$K$5:$K$404,"跟进中",入户维修!$C$5:$C$404,$A88)+COUNTIFS(入户维修!$G$5:$G$404,$A$67,入户维修!$K$5:$K$404,"跟进中",入户维修!$C$5:$C$404,$A88)+COUNTIFS(入户维修!$H$5:$H$404,$A$67,入户维修!$K$5:$K$404,"跟进中",入户维修!$C$5:$C$404,$A88)+COUNTIFS(公区维修!$F$5:$F$404,$A$67,公区维修!$K$5:$K$404,"跟进中",公区维修!$C$5:$C$404,$A88)+COUNTIFS(公区维修!$G$5:$G$404,$A$67,公区维修!$K$5:$K$404,"跟进中",公区维修!$C$5:$C$404,$A88)+COUNTIFS(公区维修!$H$5:$H$404,$A$67,公区维修!$K$5:$K$404,"跟进中",公区维修!$C$5:$C$404,$A88)</f>
        <v>0</v>
      </c>
      <c r="E88" s="35" t="n">
        <f aca="false">COUNTIFS(入户维修!$F$5:$F$404,$A$67,入户维修!$K$5:$K$404,"需另约时间",入户维修!$C$5:$C$404,$A88)+COUNTIFS(入户维修!$G$5:$G$404,$A$67,入户维修!$K$5:$K$404,"需另约时间",入户维修!$C$5:$C$404,$A88)+COUNTIFS(入户维修!$H$5:$H$404,$A$67,入户维修!$K$5:$K$404,"需另约时间",入户维修!$C$5:$C$404,$A88)+COUNTIFS(公区维修!$F$5:$F$404,$A$67,公区维修!$K$5:$K$404,"需另约时间",公区维修!$C$5:$C$404,$A88)+COUNTIFS(公区维修!$G$5:$G$404,$A$67,公区维修!$K$5:$K$404,"需另约时间",公区维修!$C$5:$C$404,$A88)+COUNTIFS(公区维修!$H$5:$H$404,$A$67,公区维修!$K$5:$K$404,"需另约时间",公区维修!$C$5:$C$404,$A88)</f>
        <v>0</v>
      </c>
      <c r="F88" s="36" t="str">
        <f aca="false">IFERROR($C88/$B88,"")</f>
        <v/>
      </c>
      <c r="G88" s="35" t="n">
        <f aca="false">COUNTIFS(入户维修!$F$5:$F$404,$A$67,入户维修!$O$5:$O$404,"非常满意",入户维修!$C$5:$C$404,$A88)+COUNTIFS(入户维修!$G$5:$G$404,$A$67,入户维修!$O$5:$O$404,"非常满意",入户维修!$C$5:$C$404,$A88)+COUNTIFS(入户维修!$H$5:$H$404,$A$67,入户维修!$O$5:$O$404,"非常满意",入户维修!$C$5:$C$404,$A88)+COUNTIFS(公区维修!$F$5:$F$404,$A$67,公区维修!$N$5:$N$404,"非常满意",公区维修!$C$5:$C$404,$A88)+COUNTIFS(公区维修!$G$5:$G$404,$A$67,公区维修!$N$5:$N$404,"非常满意",公区维修!$C$5:$C$404,$A88)+COUNTIFS(公区维修!$H$5:$H$404,$A$67,公区维修!$N$5:$N$404,"非常满意",公区维修!$C$5:$C$404,$A88)</f>
        <v>0</v>
      </c>
      <c r="H88" s="35" t="n">
        <f aca="false">COUNTIFS(入户维修!$F$5:$F$404,$A$67,入户维修!$O$5:$O$404,"满意",入户维修!$C$5:$C$404,$A88)+COUNTIFS(入户维修!$G$5:$G$404,$A$67,入户维修!$O$5:$O$404,"满意",入户维修!$C$5:$C$404,$A88)+COUNTIFS(入户维修!$H$5:$H$404,$A$67,入户维修!$O$5:$O$404,"满意",入户维修!$C$5:$C$404,$A88)+COUNTIFS(公区维修!$F$5:$F$404,$A$67,公区维修!$N$5:$N$404,"满意",公区维修!$C$5:$C$404,$A88)+COUNTIFS(公区维修!$G$5:$G$404,$A$67,公区维修!$N$5:$N$404,"满意",公区维修!$C$5:$C$404,$A88)+COUNTIFS(公区维修!$H$5:$H$404,$A$67,公区维修!$N$5:$N$404,"满意",公区维修!$C$5:$C$404,$A88)</f>
        <v>0</v>
      </c>
      <c r="I88" s="35" t="n">
        <f aca="false">COUNTIFS(入户维修!$F$5:$F$404,$A$67,入户维修!$O$5:$O$404,"一般",入户维修!$C$5:$C$404,$A88)+COUNTIFS(入户维修!$G$5:$G$404,$A$67,入户维修!$O$5:$O$404,"一般",入户维修!$C$5:$C$404,$A88)+COUNTIFS(入户维修!$H$5:$H$404,$A$67,入户维修!$O$5:$O$404,"一般",入户维修!$C$5:$C$404,$A88)+COUNTIFS(公区维修!$F$5:$F$404,$A$67,公区维修!$N$5:$N$404,"一般",公区维修!$C$5:$C$404,$A88)+COUNTIFS(公区维修!$G$5:$G$404,$A$67,公区维修!$N$5:$N$404,"一般",公区维修!$C$5:$C$404,$A88)+COUNTIFS(公区维修!$H$5:$H$404,$A$67,公区维修!$N$5:$N$404,"一般",公区维修!$C$5:$C$404,$A88)</f>
        <v>0</v>
      </c>
      <c r="J88" s="35" t="n">
        <f aca="false">COUNTIFS(入户维修!$F$5:$F$404,$A$67,入户维修!$O$5:$O$404,"不满意",入户维修!$C$5:$C$404,$A88)+COUNTIFS(入户维修!$G$5:$G$404,$A$67,入户维修!$O$5:$O$404,"不满意",入户维修!$C$5:$C$404,$A88)+COUNTIFS(入户维修!$H$5:$H$404,$A$67,入户维修!$O$5:$O$404,"不满意",入户维修!$C$5:$C$404,$A88)+COUNTIFS(公区维修!$F$5:$F$404,$A$67,公区维修!$N$5:$N$404,"不满意",公区维修!$C$5:$C$404,$A88)+COUNTIFS(公区维修!$G$5:$G$404,$A$67,公区维修!$N$5:$N$404,"不满意",公区维修!$C$5:$C$404,$A88)+COUNTIFS(公区维修!$H$5:$H$404,$A$67,公区维修!$N$5:$N$404,"不满意",公区维修!$C$5:$C$404,$A88)</f>
        <v>0</v>
      </c>
      <c r="K88" s="35" t="n">
        <f aca="false">SUM($G88:$J88)</f>
        <v>0</v>
      </c>
      <c r="L88" s="36" t="str">
        <f aca="false">IFERROR(($G88+$H88)/$K88,"")</f>
        <v/>
      </c>
      <c r="M88" s="30"/>
      <c r="N88" s="30"/>
      <c r="O88" s="30"/>
      <c r="P88" s="30"/>
    </row>
    <row r="89" customFormat="false" ht="19.5" hidden="false" customHeight="true" outlineLevel="0" collapsed="false">
      <c r="A89" s="34" t="s">
        <v>385</v>
      </c>
      <c r="B89" s="35" t="n">
        <f aca="false">COUNTIFS(入户维修!$F$5:$F$404,$A$67,入户维修!$E$5:$E$404,"?*",入户维修!$C$5:$C$404,$A89)+COUNTIFS(入户维修!$G$5:$G$404,$A$67,入户维修!$E$5:$E$404,"?*",入户维修!$C$5:$C$404,$A89)+COUNTIFS(入户维修!$H$5:$H$404,$A$67,入户维修!$E$5:$E$404,"?*",入户维修!$C$5:$C$404,$A89)+COUNTIFS(公区维修!$F$5:$F$404,$A$67,公区维修!$E$5:$E$404,"?*",公区维修!$C$5:$C$404,$A89)+COUNTIFS(公区维修!$G$5:$G$404,$A$67,公区维修!$E$5:$E$404,"?*",公区维修!$C$5:$C$404,$A89)+COUNTIFS(公区维修!$H$5:$H$404,$A$67,公区维修!$E$5:$E$404,"?*",公区维修!$C$5:$C$404,$A89)</f>
        <v>3</v>
      </c>
      <c r="C89" s="35" t="n">
        <f aca="false">COUNTIFS(入户维修!$F$5:$F$404,$A$67,入户维修!$K$5:$K$404,"已完成",入户维修!$C$5:$C$404,$A89)+COUNTIFS(入户维修!$G$5:$G$404,$A$67,入户维修!$K$5:$K$404,"已完成",入户维修!$C$5:$C$404,$A89)+COUNTIFS(入户维修!$H$5:$H$404,$A$67,入户维修!$K$5:$K$404,"已完成",入户维修!$C$5:$C$404,$A89)+COUNTIFS(公区维修!$F$5:$F$404,$A$67,公区维修!$K$5:$K$404,"已完成",公区维修!$C$5:$C$404,$A89)+COUNTIFS(公区维修!$G$5:$G$404,$A$67,公区维修!$K$5:$K$404,"已完成",公区维修!$C$5:$C$404,$A89)+COUNTIFS(公区维修!$H$5:$H$404,$A$67,公区维修!$K$5:$K$404,"已完成",公区维修!$C$5:$C$404,$A89)</f>
        <v>3</v>
      </c>
      <c r="D89" s="35" t="n">
        <f aca="false">COUNTIFS(入户维修!$F$5:$F$404,$A$67,入户维修!$K$5:$K$404,"跟进中",入户维修!$C$5:$C$404,$A89)+COUNTIFS(入户维修!$G$5:$G$404,$A$67,入户维修!$K$5:$K$404,"跟进中",入户维修!$C$5:$C$404,$A89)+COUNTIFS(入户维修!$H$5:$H$404,$A$67,入户维修!$K$5:$K$404,"跟进中",入户维修!$C$5:$C$404,$A89)+COUNTIFS(公区维修!$F$5:$F$404,$A$67,公区维修!$K$5:$K$404,"跟进中",公区维修!$C$5:$C$404,$A89)+COUNTIFS(公区维修!$G$5:$G$404,$A$67,公区维修!$K$5:$K$404,"跟进中",公区维修!$C$5:$C$404,$A89)+COUNTIFS(公区维修!$H$5:$H$404,$A$67,公区维修!$K$5:$K$404,"跟进中",公区维修!$C$5:$C$404,$A89)</f>
        <v>0</v>
      </c>
      <c r="E89" s="35" t="n">
        <f aca="false">COUNTIFS(入户维修!$F$5:$F$404,$A$67,入户维修!$K$5:$K$404,"需另约时间",入户维修!$C$5:$C$404,$A89)+COUNTIFS(入户维修!$G$5:$G$404,$A$67,入户维修!$K$5:$K$404,"需另约时间",入户维修!$C$5:$C$404,$A89)+COUNTIFS(入户维修!$H$5:$H$404,$A$67,入户维修!$K$5:$K$404,"需另约时间",入户维修!$C$5:$C$404,$A89)+COUNTIFS(公区维修!$F$5:$F$404,$A$67,公区维修!$K$5:$K$404,"需另约时间",公区维修!$C$5:$C$404,$A89)+COUNTIFS(公区维修!$G$5:$G$404,$A$67,公区维修!$K$5:$K$404,"需另约时间",公区维修!$C$5:$C$404,$A89)+COUNTIFS(公区维修!$H$5:$H$404,$A$67,公区维修!$K$5:$K$404,"需另约时间",公区维修!$C$5:$C$404,$A89)</f>
        <v>0</v>
      </c>
      <c r="F89" s="36" t="n">
        <f aca="false">IFERROR($C89/$B89,"")</f>
        <v>1</v>
      </c>
      <c r="G89" s="35" t="n">
        <f aca="false">COUNTIFS(入户维修!$F$5:$F$404,$A$67,入户维修!$O$5:$O$404,"非常满意",入户维修!$C$5:$C$404,$A89)+COUNTIFS(入户维修!$G$5:$G$404,$A$67,入户维修!$O$5:$O$404,"非常满意",入户维修!$C$5:$C$404,$A89)+COUNTIFS(入户维修!$H$5:$H$404,$A$67,入户维修!$O$5:$O$404,"非常满意",入户维修!$C$5:$C$404,$A89)+COUNTIFS(公区维修!$F$5:$F$404,$A$67,公区维修!$N$5:$N$404,"非常满意",公区维修!$C$5:$C$404,$A89)+COUNTIFS(公区维修!$G$5:$G$404,$A$67,公区维修!$N$5:$N$404,"非常满意",公区维修!$C$5:$C$404,$A89)+COUNTIFS(公区维修!$H$5:$H$404,$A$67,公区维修!$N$5:$N$404,"非常满意",公区维修!$C$5:$C$404,$A89)</f>
        <v>0</v>
      </c>
      <c r="H89" s="35" t="n">
        <f aca="false">COUNTIFS(入户维修!$F$5:$F$404,$A$67,入户维修!$O$5:$O$404,"满意",入户维修!$C$5:$C$404,$A89)+COUNTIFS(入户维修!$G$5:$G$404,$A$67,入户维修!$O$5:$O$404,"满意",入户维修!$C$5:$C$404,$A89)+COUNTIFS(入户维修!$H$5:$H$404,$A$67,入户维修!$O$5:$O$404,"满意",入户维修!$C$5:$C$404,$A89)+COUNTIFS(公区维修!$F$5:$F$404,$A$67,公区维修!$N$5:$N$404,"满意",公区维修!$C$5:$C$404,$A89)+COUNTIFS(公区维修!$G$5:$G$404,$A$67,公区维修!$N$5:$N$404,"满意",公区维修!$C$5:$C$404,$A89)+COUNTIFS(公区维修!$H$5:$H$404,$A$67,公区维修!$N$5:$N$404,"满意",公区维修!$C$5:$C$404,$A89)</f>
        <v>0</v>
      </c>
      <c r="I89" s="35" t="n">
        <f aca="false">COUNTIFS(入户维修!$F$5:$F$404,$A$67,入户维修!$O$5:$O$404,"一般",入户维修!$C$5:$C$404,$A89)+COUNTIFS(入户维修!$G$5:$G$404,$A$67,入户维修!$O$5:$O$404,"一般",入户维修!$C$5:$C$404,$A89)+COUNTIFS(入户维修!$H$5:$H$404,$A$67,入户维修!$O$5:$O$404,"一般",入户维修!$C$5:$C$404,$A89)+COUNTIFS(公区维修!$F$5:$F$404,$A$67,公区维修!$N$5:$N$404,"一般",公区维修!$C$5:$C$404,$A89)+COUNTIFS(公区维修!$G$5:$G$404,$A$67,公区维修!$N$5:$N$404,"一般",公区维修!$C$5:$C$404,$A89)+COUNTIFS(公区维修!$H$5:$H$404,$A$67,公区维修!$N$5:$N$404,"一般",公区维修!$C$5:$C$404,$A89)</f>
        <v>0</v>
      </c>
      <c r="J89" s="35" t="n">
        <f aca="false">COUNTIFS(入户维修!$F$5:$F$404,$A$67,入户维修!$O$5:$O$404,"不满意",入户维修!$C$5:$C$404,$A89)+COUNTIFS(入户维修!$G$5:$G$404,$A$67,入户维修!$O$5:$O$404,"不满意",入户维修!$C$5:$C$404,$A89)+COUNTIFS(入户维修!$H$5:$H$404,$A$67,入户维修!$O$5:$O$404,"不满意",入户维修!$C$5:$C$404,$A89)+COUNTIFS(公区维修!$F$5:$F$404,$A$67,公区维修!$N$5:$N$404,"不满意",公区维修!$C$5:$C$404,$A89)+COUNTIFS(公区维修!$G$5:$G$404,$A$67,公区维修!$N$5:$N$404,"不满意",公区维修!$C$5:$C$404,$A89)+COUNTIFS(公区维修!$H$5:$H$404,$A$67,公区维修!$N$5:$N$404,"不满意",公区维修!$C$5:$C$404,$A89)</f>
        <v>0</v>
      </c>
      <c r="K89" s="35" t="n">
        <f aca="false">SUM($G89:$J89)</f>
        <v>0</v>
      </c>
      <c r="L89" s="36" t="str">
        <f aca="false">IFERROR(($G89+$H89)/$K89,"")</f>
        <v/>
      </c>
      <c r="M89" s="30"/>
      <c r="N89" s="30"/>
      <c r="O89" s="30"/>
      <c r="P89" s="30"/>
    </row>
    <row r="90" customFormat="false" ht="19.5" hidden="false" customHeight="true" outlineLevel="0" collapsed="false">
      <c r="A90" s="34" t="s">
        <v>456</v>
      </c>
      <c r="B90" s="35" t="n">
        <f aca="false">COUNTIFS(入户维修!$F$5:$F$404,$A$67,入户维修!$E$5:$E$404,"?*",入户维修!$C$5:$C$404,"")+COUNTIFS(入户维修!$G$5:$G$404,$A$67,入户维修!$E$5:$E$404,"?*",入户维修!$C$5:$C$404,"")+COUNTIFS(入户维修!$H$5:$H$404,$A$67,入户维修!$E$5:$E$404,"?*",入户维修!$C$5:$C$404,"")+COUNTIFS(公区维修!$F$5:$F$404,$A$67,公区维修!$E$5:$E$404,"?*",公区维修!$C$5:$C$404,"")+COUNTIFS(公区维修!$G$5:$G$404,$A$67,公区维修!$E$5:$E$404,"?*",公区维修!$C$5:$C$404,"")+COUNTIFS(公区维修!$H$5:$H$404,$A$67,公区维修!$E$5:$E$404,"?*",公区维修!$C$5:$C$404,"")</f>
        <v>0</v>
      </c>
      <c r="C90" s="35" t="n">
        <f aca="false">COUNTIFS(入户维修!$F$5:$F$404,$A$67,入户维修!$K$5:$K$404,"已完成",入户维修!$C$5:$C$404,"")+COUNTIFS(入户维修!$G$5:$G$404,$A$67,入户维修!$K$5:$K$404,"已完成",入户维修!$C$5:$C$404,"")+COUNTIFS(入户维修!$H$5:$H$404,$A$67,入户维修!$K$5:$K$404,"已完成",入户维修!$C$5:$C$404,"")+COUNTIFS(公区维修!$F$5:$F$404,$A$67,公区维修!$K$5:$K$404,"已完成",公区维修!$C$5:$C$404,"")+COUNTIFS(公区维修!$G$5:$G$404,$A$67,公区维修!$K$5:$K$404,"已完成",公区维修!$C$5:$C$404,"")+COUNTIFS(公区维修!$H$5:$H$404,$A$67,公区维修!$K$5:$K$404,"已完成",公区维修!$C$5:$C$404,"")</f>
        <v>0</v>
      </c>
      <c r="D90" s="35" t="n">
        <f aca="false">COUNTIFS(入户维修!$F$5:$F$404,$A$67,入户维修!$K$5:$K$404,"跟进中",入户维修!$C$5:$C$404,"")+COUNTIFS(入户维修!$G$5:$G$404,$A$67,入户维修!$K$5:$K$404,"跟进中",入户维修!$C$5:$C$404,"")+COUNTIFS(入户维修!$H$5:$H$404,$A$67,入户维修!$K$5:$K$404,"跟进中",入户维修!$C$5:$C$404,"")+COUNTIFS(公区维修!$F$5:$F$404,$A$67,公区维修!$K$5:$K$404,"跟进中",公区维修!$C$5:$C$404,"")+COUNTIFS(公区维修!$G$5:$G$404,$A$67,公区维修!$K$5:$K$404,"跟进中",公区维修!$C$5:$C$404,"")+COUNTIFS(公区维修!$H$5:$H$404,$A$67,公区维修!$K$5:$K$404,"跟进中",公区维修!$C$5:$C$404,"")</f>
        <v>0</v>
      </c>
      <c r="E90" s="35" t="n">
        <f aca="false">COUNTIFS(入户维修!$F$5:$F$404,$A$67,入户维修!$K$5:$K$404,"需另约时间",入户维修!$C$5:$C$404,"")+COUNTIFS(入户维修!$G$5:$G$404,$A$67,入户维修!$K$5:$K$404,"需另约时间",入户维修!$C$5:$C$404,"")+COUNTIFS(入户维修!$H$5:$H$404,$A$67,入户维修!$K$5:$K$404,"需另约时间",入户维修!$C$5:$C$404,"")+COUNTIFS(公区维修!$F$5:$F$404,$A$67,公区维修!$K$5:$K$404,"需另约时间",公区维修!$C$5:$C$404,"")+COUNTIFS(公区维修!$G$5:$G$404,$A$67,公区维修!$K$5:$K$404,"需另约时间",公区维修!$C$5:$C$404,"")+COUNTIFS(公区维修!$H$5:$H$404,$A$67,公区维修!$K$5:$K$404,"需另约时间",公区维修!$C$5:$C$404,"")</f>
        <v>0</v>
      </c>
      <c r="F90" s="36" t="str">
        <f aca="false">IFERROR($C90/$B90,"")</f>
        <v/>
      </c>
      <c r="G90" s="35" t="n">
        <f aca="false">COUNTIFS(入户维修!$F$5:$F$404,$A$67,入户维修!$O$5:$O$404,"非常满意",入户维修!$C$5:$C$404,"")+COUNTIFS(入户维修!$G$5:$G$404,$A$67,入户维修!$O$5:$O$404,"非常满意",入户维修!$C$5:$C$404,"")+COUNTIFS(入户维修!$H$5:$H$404,$A$67,入户维修!$O$5:$O$404,"非常满意",入户维修!$C$5:$C$404,"")+COUNTIFS(公区维修!$F$5:$F$404,$A$67,公区维修!$N$5:$N$404,"非常满意",公区维修!$C$5:$C$404,"")+COUNTIFS(公区维修!$G$5:$G$404,$A$67,公区维修!$N$5:$N$404,"非常满意",公区维修!$C$5:$C$404,"")+COUNTIFS(公区维修!$H$5:$H$404,$A$67,公区维修!$N$5:$N$404,"非常满意",公区维修!$C$5:$C$404,"")</f>
        <v>0</v>
      </c>
      <c r="H90" s="35" t="n">
        <f aca="false">COUNTIFS(入户维修!$F$5:$F$404,$A$67,入户维修!$O$5:$O$404,"满意",入户维修!$C$5:$C$404,"")+COUNTIFS(入户维修!$G$5:$G$404,$A$67,入户维修!$O$5:$O$404,"满意",入户维修!$C$5:$C$404,"")+COUNTIFS(入户维修!$H$5:$H$404,$A$67,入户维修!$O$5:$O$404,"满意",入户维修!$C$5:$C$404,"")+COUNTIFS(公区维修!$F$5:$F$404,$A$67,公区维修!$N$5:$N$404,"满意",公区维修!$C$5:$C$404,"")+COUNTIFS(公区维修!$G$5:$G$404,$A$67,公区维修!$N$5:$N$404,"满意",公区维修!$C$5:$C$404,"")+COUNTIFS(公区维修!$H$5:$H$404,$A$67,公区维修!$N$5:$N$404,"满意",公区维修!$C$5:$C$404,"")</f>
        <v>0</v>
      </c>
      <c r="I90" s="35" t="n">
        <f aca="false">COUNTIFS(入户维修!$F$5:$F$404,$A$67,入户维修!$O$5:$O$404,"一般",入户维修!$C$5:$C$404,"")+COUNTIFS(入户维修!$G$5:$G$404,$A$67,入户维修!$O$5:$O$404,"一般",入户维修!$C$5:$C$404,"")+COUNTIFS(入户维修!$H$5:$H$404,$A$67,入户维修!$O$5:$O$404,"一般",入户维修!$C$5:$C$404,"")+COUNTIFS(公区维修!$F$5:$F$404,$A$67,公区维修!$N$5:$N$404,"一般",公区维修!$C$5:$C$404,"")+COUNTIFS(公区维修!$G$5:$G$404,$A$67,公区维修!$N$5:$N$404,"一般",公区维修!$C$5:$C$404,"")+COUNTIFS(公区维修!$H$5:$H$404,$A$67,公区维修!$N$5:$N$404,"一般",公区维修!$C$5:$C$404,"")</f>
        <v>0</v>
      </c>
      <c r="J90" s="35" t="n">
        <f aca="false">COUNTIFS(入户维修!$F$5:$F$404,$A$67,入户维修!$O$5:$O$404,"不满意",入户维修!$C$5:$C$404,"")+COUNTIFS(入户维修!$G$5:$G$404,$A$67,入户维修!$O$5:$O$404,"不满意",入户维修!$C$5:$C$404,"")+COUNTIFS(入户维修!$H$5:$H$404,$A$67,入户维修!$O$5:$O$404,"不满意",入户维修!$C$5:$C$404,"")+COUNTIFS(公区维修!$F$5:$F$404,$A$67,公区维修!$N$5:$N$404,"不满意",公区维修!$C$5:$C$404,"")+COUNTIFS(公区维修!$G$5:$G$404,$A$67,公区维修!$N$5:$N$404,"不满意",公区维修!$C$5:$C$404,"")+COUNTIFS(公区维修!$H$5:$H$404,$A$67,公区维修!$N$5:$N$404,"不满意",公区维修!$C$5:$C$404,"")</f>
        <v>0</v>
      </c>
      <c r="K90" s="35" t="n">
        <f aca="false">SUM($G90:$J90)</f>
        <v>0</v>
      </c>
      <c r="L90" s="36" t="str">
        <f aca="false">IFERROR(($G90+$H90)/$K90,"")</f>
        <v/>
      </c>
      <c r="M90" s="30"/>
      <c r="N90" s="30"/>
      <c r="O90" s="30"/>
      <c r="P90" s="30"/>
    </row>
    <row r="91" customFormat="false" ht="21.75" hidden="false" customHeight="true" outlineLevel="0" collapsed="false">
      <c r="A91" s="37" t="s">
        <v>460</v>
      </c>
      <c r="B91" s="38" t="n">
        <f aca="false">SUM(B77:B90)</f>
        <v>67</v>
      </c>
      <c r="C91" s="38" t="n">
        <f aca="false">SUM(C77:C90)</f>
        <v>64</v>
      </c>
      <c r="D91" s="38" t="n">
        <f aca="false">SUM(D77:D90)</f>
        <v>3</v>
      </c>
      <c r="E91" s="38" t="n">
        <f aca="false">SUM(E77:E90)</f>
        <v>0</v>
      </c>
      <c r="F91" s="39" t="n">
        <f aca="false">IFERROR($C91/$B91,"")</f>
        <v>0.955223880597015</v>
      </c>
      <c r="G91" s="38" t="n">
        <f aca="false">SUM(G77:G90)</f>
        <v>52</v>
      </c>
      <c r="H91" s="38" t="n">
        <f aca="false">SUM(H77:H90)</f>
        <v>2</v>
      </c>
      <c r="I91" s="38" t="n">
        <f aca="false">SUM(I77:I90)</f>
        <v>1</v>
      </c>
      <c r="J91" s="38" t="n">
        <f aca="false">SUM(J77:J90)</f>
        <v>0</v>
      </c>
      <c r="K91" s="38" t="n">
        <f aca="false">SUM(K77:K90)</f>
        <v>55</v>
      </c>
      <c r="L91" s="39" t="n">
        <f aca="false">IFERROR(($G91+$H91)/$K91,"")</f>
        <v>0.981818181818182</v>
      </c>
      <c r="M91" s="30"/>
      <c r="N91" s="30"/>
      <c r="O91" s="30"/>
      <c r="P91" s="30"/>
    </row>
    <row r="92" customFormat="false" ht="9.75" hidden="false" customHeight="true" outlineLevel="0" collapsed="false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</row>
    <row r="93" customFormat="false" ht="21.75" hidden="false" customHeight="true" outlineLevel="0" collapsed="false">
      <c r="A93" s="32" t="str">
        <f aca="false">$A$68&amp;"　—　各楼栋明细"</f>
        <v>李师傅　—　各楼栋明细</v>
      </c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0"/>
      <c r="N93" s="30"/>
      <c r="O93" s="30"/>
      <c r="P93" s="30"/>
    </row>
    <row r="94" customFormat="false" ht="30" hidden="false" customHeight="true" outlineLevel="0" collapsed="false">
      <c r="A94" s="33" t="s">
        <v>7</v>
      </c>
      <c r="B94" s="33" t="s">
        <v>435</v>
      </c>
      <c r="C94" s="33" t="s">
        <v>28</v>
      </c>
      <c r="D94" s="33" t="s">
        <v>36</v>
      </c>
      <c r="E94" s="33" t="s">
        <v>436</v>
      </c>
      <c r="F94" s="33" t="s">
        <v>437</v>
      </c>
      <c r="G94" s="33" t="s">
        <v>30</v>
      </c>
      <c r="H94" s="33" t="s">
        <v>48</v>
      </c>
      <c r="I94" s="33" t="s">
        <v>53</v>
      </c>
      <c r="J94" s="33" t="s">
        <v>438</v>
      </c>
      <c r="K94" s="33" t="s">
        <v>439</v>
      </c>
      <c r="L94" s="33" t="s">
        <v>440</v>
      </c>
      <c r="M94" s="30"/>
      <c r="N94" s="30"/>
      <c r="O94" s="30"/>
      <c r="P94" s="30"/>
    </row>
    <row r="95" customFormat="false" ht="19.5" hidden="false" customHeight="true" outlineLevel="0" collapsed="false">
      <c r="A95" s="44" t="s">
        <v>83</v>
      </c>
      <c r="B95" s="35" t="n">
        <f aca="false">COUNTIFS(入户维修!$F$5:$F$404,$A$68,入户维修!$E$5:$E$404,"?*",入户维修!$C$5:$C$404,$A95)+COUNTIFS(入户维修!$G$5:$G$404,$A$68,入户维修!$E$5:$E$404,"?*",入户维修!$C$5:$C$404,$A95)+COUNTIFS(入户维修!$H$5:$H$404,$A$68,入户维修!$E$5:$E$404,"?*",入户维修!$C$5:$C$404,$A95)+COUNTIFS(公区维修!$F$5:$F$404,$A$68,公区维修!$E$5:$E$404,"?*",公区维修!$C$5:$C$404,$A95)+COUNTIFS(公区维修!$G$5:$G$404,$A$68,公区维修!$E$5:$E$404,"?*",公区维修!$C$5:$C$404,$A95)+COUNTIFS(公区维修!$H$5:$H$404,$A$68,公区维修!$E$5:$E$404,"?*",公区维修!$C$5:$C$404,$A95)</f>
        <v>0</v>
      </c>
      <c r="C95" s="35" t="n">
        <f aca="false">COUNTIFS(入户维修!$F$5:$F$404,$A$68,入户维修!$K$5:$K$404,"已完成",入户维修!$C$5:$C$404,$A95)+COUNTIFS(入户维修!$G$5:$G$404,$A$68,入户维修!$K$5:$K$404,"已完成",入户维修!$C$5:$C$404,$A95)+COUNTIFS(入户维修!$H$5:$H$404,$A$68,入户维修!$K$5:$K$404,"已完成",入户维修!$C$5:$C$404,$A95)+COUNTIFS(公区维修!$F$5:$F$404,$A$68,公区维修!$K$5:$K$404,"已完成",公区维修!$C$5:$C$404,$A95)+COUNTIFS(公区维修!$G$5:$G$404,$A$68,公区维修!$K$5:$K$404,"已完成",公区维修!$C$5:$C$404,$A95)+COUNTIFS(公区维修!$H$5:$H$404,$A$68,公区维修!$K$5:$K$404,"已完成",公区维修!$C$5:$C$404,$A95)</f>
        <v>0</v>
      </c>
      <c r="D95" s="35" t="n">
        <f aca="false">COUNTIFS(入户维修!$F$5:$F$404,$A$68,入户维修!$K$5:$K$404,"跟进中",入户维修!$C$5:$C$404,$A95)+COUNTIFS(入户维修!$G$5:$G$404,$A$68,入户维修!$K$5:$K$404,"跟进中",入户维修!$C$5:$C$404,$A95)+COUNTIFS(入户维修!$H$5:$H$404,$A$68,入户维修!$K$5:$K$404,"跟进中",入户维修!$C$5:$C$404,$A95)+COUNTIFS(公区维修!$F$5:$F$404,$A$68,公区维修!$K$5:$K$404,"跟进中",公区维修!$C$5:$C$404,$A95)+COUNTIFS(公区维修!$G$5:$G$404,$A$68,公区维修!$K$5:$K$404,"跟进中",公区维修!$C$5:$C$404,$A95)+COUNTIFS(公区维修!$H$5:$H$404,$A$68,公区维修!$K$5:$K$404,"跟进中",公区维修!$C$5:$C$404,$A95)</f>
        <v>0</v>
      </c>
      <c r="E95" s="35" t="n">
        <f aca="false">COUNTIFS(入户维修!$F$5:$F$404,$A$68,入户维修!$K$5:$K$404,"需另约时间",入户维修!$C$5:$C$404,$A95)+COUNTIFS(入户维修!$G$5:$G$404,$A$68,入户维修!$K$5:$K$404,"需另约时间",入户维修!$C$5:$C$404,$A95)+COUNTIFS(入户维修!$H$5:$H$404,$A$68,入户维修!$K$5:$K$404,"需另约时间",入户维修!$C$5:$C$404,$A95)+COUNTIFS(公区维修!$F$5:$F$404,$A$68,公区维修!$K$5:$K$404,"需另约时间",公区维修!$C$5:$C$404,$A95)+COUNTIFS(公区维修!$G$5:$G$404,$A$68,公区维修!$K$5:$K$404,"需另约时间",公区维修!$C$5:$C$404,$A95)+COUNTIFS(公区维修!$H$5:$H$404,$A$68,公区维修!$K$5:$K$404,"需另约时间",公区维修!$C$5:$C$404,$A95)</f>
        <v>0</v>
      </c>
      <c r="F95" s="36" t="str">
        <f aca="false">IFERROR($C95/$B95,"")</f>
        <v/>
      </c>
      <c r="G95" s="35" t="n">
        <f aca="false">COUNTIFS(入户维修!$F$5:$F$404,$A$68,入户维修!$O$5:$O$404,"非常满意",入户维修!$C$5:$C$404,$A95)+COUNTIFS(入户维修!$G$5:$G$404,$A$68,入户维修!$O$5:$O$404,"非常满意",入户维修!$C$5:$C$404,$A95)+COUNTIFS(入户维修!$H$5:$H$404,$A$68,入户维修!$O$5:$O$404,"非常满意",入户维修!$C$5:$C$404,$A95)+COUNTIFS(公区维修!$F$5:$F$404,$A$68,公区维修!$N$5:$N$404,"非常满意",公区维修!$C$5:$C$404,$A95)+COUNTIFS(公区维修!$G$5:$G$404,$A$68,公区维修!$N$5:$N$404,"非常满意",公区维修!$C$5:$C$404,$A95)+COUNTIFS(公区维修!$H$5:$H$404,$A$68,公区维修!$N$5:$N$404,"非常满意",公区维修!$C$5:$C$404,$A95)</f>
        <v>0</v>
      </c>
      <c r="H95" s="35" t="n">
        <f aca="false">COUNTIFS(入户维修!$F$5:$F$404,$A$68,入户维修!$O$5:$O$404,"满意",入户维修!$C$5:$C$404,$A95)+COUNTIFS(入户维修!$G$5:$G$404,$A$68,入户维修!$O$5:$O$404,"满意",入户维修!$C$5:$C$404,$A95)+COUNTIFS(入户维修!$H$5:$H$404,$A$68,入户维修!$O$5:$O$404,"满意",入户维修!$C$5:$C$404,$A95)+COUNTIFS(公区维修!$F$5:$F$404,$A$68,公区维修!$N$5:$N$404,"满意",公区维修!$C$5:$C$404,$A95)+COUNTIFS(公区维修!$G$5:$G$404,$A$68,公区维修!$N$5:$N$404,"满意",公区维修!$C$5:$C$404,$A95)+COUNTIFS(公区维修!$H$5:$H$404,$A$68,公区维修!$N$5:$N$404,"满意",公区维修!$C$5:$C$404,$A95)</f>
        <v>0</v>
      </c>
      <c r="I95" s="35" t="n">
        <f aca="false">COUNTIFS(入户维修!$F$5:$F$404,$A$68,入户维修!$O$5:$O$404,"一般",入户维修!$C$5:$C$404,$A95)+COUNTIFS(入户维修!$G$5:$G$404,$A$68,入户维修!$O$5:$O$404,"一般",入户维修!$C$5:$C$404,$A95)+COUNTIFS(入户维修!$H$5:$H$404,$A$68,入户维修!$O$5:$O$404,"一般",入户维修!$C$5:$C$404,$A95)+COUNTIFS(公区维修!$F$5:$F$404,$A$68,公区维修!$N$5:$N$404,"一般",公区维修!$C$5:$C$404,$A95)+COUNTIFS(公区维修!$G$5:$G$404,$A$68,公区维修!$N$5:$N$404,"一般",公区维修!$C$5:$C$404,$A95)+COUNTIFS(公区维修!$H$5:$H$404,$A$68,公区维修!$N$5:$N$404,"一般",公区维修!$C$5:$C$404,$A95)</f>
        <v>0</v>
      </c>
      <c r="J95" s="35" t="n">
        <f aca="false">COUNTIFS(入户维修!$F$5:$F$404,$A$68,入户维修!$O$5:$O$404,"不满意",入户维修!$C$5:$C$404,$A95)+COUNTIFS(入户维修!$G$5:$G$404,$A$68,入户维修!$O$5:$O$404,"不满意",入户维修!$C$5:$C$404,$A95)+COUNTIFS(入户维修!$H$5:$H$404,$A$68,入户维修!$O$5:$O$404,"不满意",入户维修!$C$5:$C$404,$A95)+COUNTIFS(公区维修!$F$5:$F$404,$A$68,公区维修!$N$5:$N$404,"不满意",公区维修!$C$5:$C$404,$A95)+COUNTIFS(公区维修!$G$5:$G$404,$A$68,公区维修!$N$5:$N$404,"不满意",公区维修!$C$5:$C$404,$A95)+COUNTIFS(公区维修!$H$5:$H$404,$A$68,公区维修!$N$5:$N$404,"不满意",公区维修!$C$5:$C$404,$A95)</f>
        <v>0</v>
      </c>
      <c r="K95" s="35" t="n">
        <f aca="false">SUM($G95:$J95)</f>
        <v>0</v>
      </c>
      <c r="L95" s="36" t="str">
        <f aca="false">IFERROR(($G95+$H95)/$K95,"")</f>
        <v/>
      </c>
      <c r="M95" s="30"/>
      <c r="N95" s="30"/>
      <c r="O95" s="30"/>
      <c r="P95" s="30"/>
    </row>
    <row r="96" customFormat="false" ht="19.5" hidden="false" customHeight="true" outlineLevel="0" collapsed="false">
      <c r="A96" s="44" t="s">
        <v>105</v>
      </c>
      <c r="B96" s="35" t="n">
        <f aca="false">COUNTIFS(入户维修!$F$5:$F$404,$A$68,入户维修!$E$5:$E$404,"?*",入户维修!$C$5:$C$404,$A96)+COUNTIFS(入户维修!$G$5:$G$404,$A$68,入户维修!$E$5:$E$404,"?*",入户维修!$C$5:$C$404,$A96)+COUNTIFS(入户维修!$H$5:$H$404,$A$68,入户维修!$E$5:$E$404,"?*",入户维修!$C$5:$C$404,$A96)+COUNTIFS(公区维修!$F$5:$F$404,$A$68,公区维修!$E$5:$E$404,"?*",公区维修!$C$5:$C$404,$A96)+COUNTIFS(公区维修!$G$5:$G$404,$A$68,公区维修!$E$5:$E$404,"?*",公区维修!$C$5:$C$404,$A96)+COUNTIFS(公区维修!$H$5:$H$404,$A$68,公区维修!$E$5:$E$404,"?*",公区维修!$C$5:$C$404,$A96)</f>
        <v>1</v>
      </c>
      <c r="C96" s="35" t="n">
        <f aca="false">COUNTIFS(入户维修!$F$5:$F$404,$A$68,入户维修!$K$5:$K$404,"已完成",入户维修!$C$5:$C$404,$A96)+COUNTIFS(入户维修!$G$5:$G$404,$A$68,入户维修!$K$5:$K$404,"已完成",入户维修!$C$5:$C$404,$A96)+COUNTIFS(入户维修!$H$5:$H$404,$A$68,入户维修!$K$5:$K$404,"已完成",入户维修!$C$5:$C$404,$A96)+COUNTIFS(公区维修!$F$5:$F$404,$A$68,公区维修!$K$5:$K$404,"已完成",公区维修!$C$5:$C$404,$A96)+COUNTIFS(公区维修!$G$5:$G$404,$A$68,公区维修!$K$5:$K$404,"已完成",公区维修!$C$5:$C$404,$A96)+COUNTIFS(公区维修!$H$5:$H$404,$A$68,公区维修!$K$5:$K$404,"已完成",公区维修!$C$5:$C$404,$A96)</f>
        <v>1</v>
      </c>
      <c r="D96" s="35" t="n">
        <f aca="false">COUNTIFS(入户维修!$F$5:$F$404,$A$68,入户维修!$K$5:$K$404,"跟进中",入户维修!$C$5:$C$404,$A96)+COUNTIFS(入户维修!$G$5:$G$404,$A$68,入户维修!$K$5:$K$404,"跟进中",入户维修!$C$5:$C$404,$A96)+COUNTIFS(入户维修!$H$5:$H$404,$A$68,入户维修!$K$5:$K$404,"跟进中",入户维修!$C$5:$C$404,$A96)+COUNTIFS(公区维修!$F$5:$F$404,$A$68,公区维修!$K$5:$K$404,"跟进中",公区维修!$C$5:$C$404,$A96)+COUNTIFS(公区维修!$G$5:$G$404,$A$68,公区维修!$K$5:$K$404,"跟进中",公区维修!$C$5:$C$404,$A96)+COUNTIFS(公区维修!$H$5:$H$404,$A$68,公区维修!$K$5:$K$404,"跟进中",公区维修!$C$5:$C$404,$A96)</f>
        <v>0</v>
      </c>
      <c r="E96" s="35" t="n">
        <f aca="false">COUNTIFS(入户维修!$F$5:$F$404,$A$68,入户维修!$K$5:$K$404,"需另约时间",入户维修!$C$5:$C$404,$A96)+COUNTIFS(入户维修!$G$5:$G$404,$A$68,入户维修!$K$5:$K$404,"需另约时间",入户维修!$C$5:$C$404,$A96)+COUNTIFS(入户维修!$H$5:$H$404,$A$68,入户维修!$K$5:$K$404,"需另约时间",入户维修!$C$5:$C$404,$A96)+COUNTIFS(公区维修!$F$5:$F$404,$A$68,公区维修!$K$5:$K$404,"需另约时间",公区维修!$C$5:$C$404,$A96)+COUNTIFS(公区维修!$G$5:$G$404,$A$68,公区维修!$K$5:$K$404,"需另约时间",公区维修!$C$5:$C$404,$A96)+COUNTIFS(公区维修!$H$5:$H$404,$A$68,公区维修!$K$5:$K$404,"需另约时间",公区维修!$C$5:$C$404,$A96)</f>
        <v>0</v>
      </c>
      <c r="F96" s="36" t="n">
        <f aca="false">IFERROR($C96/$B96,"")</f>
        <v>1</v>
      </c>
      <c r="G96" s="35" t="n">
        <f aca="false">COUNTIFS(入户维修!$F$5:$F$404,$A$68,入户维修!$O$5:$O$404,"非常满意",入户维修!$C$5:$C$404,$A96)+COUNTIFS(入户维修!$G$5:$G$404,$A$68,入户维修!$O$5:$O$404,"非常满意",入户维修!$C$5:$C$404,$A96)+COUNTIFS(入户维修!$H$5:$H$404,$A$68,入户维修!$O$5:$O$404,"非常满意",入户维修!$C$5:$C$404,$A96)+COUNTIFS(公区维修!$F$5:$F$404,$A$68,公区维修!$N$5:$N$404,"非常满意",公区维修!$C$5:$C$404,$A96)+COUNTIFS(公区维修!$G$5:$G$404,$A$68,公区维修!$N$5:$N$404,"非常满意",公区维修!$C$5:$C$404,$A96)+COUNTIFS(公区维修!$H$5:$H$404,$A$68,公区维修!$N$5:$N$404,"非常满意",公区维修!$C$5:$C$404,$A96)</f>
        <v>1</v>
      </c>
      <c r="H96" s="35" t="n">
        <f aca="false">COUNTIFS(入户维修!$F$5:$F$404,$A$68,入户维修!$O$5:$O$404,"满意",入户维修!$C$5:$C$404,$A96)+COUNTIFS(入户维修!$G$5:$G$404,$A$68,入户维修!$O$5:$O$404,"满意",入户维修!$C$5:$C$404,$A96)+COUNTIFS(入户维修!$H$5:$H$404,$A$68,入户维修!$O$5:$O$404,"满意",入户维修!$C$5:$C$404,$A96)+COUNTIFS(公区维修!$F$5:$F$404,$A$68,公区维修!$N$5:$N$404,"满意",公区维修!$C$5:$C$404,$A96)+COUNTIFS(公区维修!$G$5:$G$404,$A$68,公区维修!$N$5:$N$404,"满意",公区维修!$C$5:$C$404,$A96)+COUNTIFS(公区维修!$H$5:$H$404,$A$68,公区维修!$N$5:$N$404,"满意",公区维修!$C$5:$C$404,$A96)</f>
        <v>0</v>
      </c>
      <c r="I96" s="35" t="n">
        <f aca="false">COUNTIFS(入户维修!$F$5:$F$404,$A$68,入户维修!$O$5:$O$404,"一般",入户维修!$C$5:$C$404,$A96)+COUNTIFS(入户维修!$G$5:$G$404,$A$68,入户维修!$O$5:$O$404,"一般",入户维修!$C$5:$C$404,$A96)+COUNTIFS(入户维修!$H$5:$H$404,$A$68,入户维修!$O$5:$O$404,"一般",入户维修!$C$5:$C$404,$A96)+COUNTIFS(公区维修!$F$5:$F$404,$A$68,公区维修!$N$5:$N$404,"一般",公区维修!$C$5:$C$404,$A96)+COUNTIFS(公区维修!$G$5:$G$404,$A$68,公区维修!$N$5:$N$404,"一般",公区维修!$C$5:$C$404,$A96)+COUNTIFS(公区维修!$H$5:$H$404,$A$68,公区维修!$N$5:$N$404,"一般",公区维修!$C$5:$C$404,$A96)</f>
        <v>0</v>
      </c>
      <c r="J96" s="35" t="n">
        <f aca="false">COUNTIFS(入户维修!$F$5:$F$404,$A$68,入户维修!$O$5:$O$404,"不满意",入户维修!$C$5:$C$404,$A96)+COUNTIFS(入户维修!$G$5:$G$404,$A$68,入户维修!$O$5:$O$404,"不满意",入户维修!$C$5:$C$404,$A96)+COUNTIFS(入户维修!$H$5:$H$404,$A$68,入户维修!$O$5:$O$404,"不满意",入户维修!$C$5:$C$404,$A96)+COUNTIFS(公区维修!$F$5:$F$404,$A$68,公区维修!$N$5:$N$404,"不满意",公区维修!$C$5:$C$404,$A96)+COUNTIFS(公区维修!$G$5:$G$404,$A$68,公区维修!$N$5:$N$404,"不满意",公区维修!$C$5:$C$404,$A96)+COUNTIFS(公区维修!$H$5:$H$404,$A$68,公区维修!$N$5:$N$404,"不满意",公区维修!$C$5:$C$404,$A96)</f>
        <v>0</v>
      </c>
      <c r="K96" s="35" t="n">
        <f aca="false">SUM($G96:$J96)</f>
        <v>1</v>
      </c>
      <c r="L96" s="36" t="n">
        <f aca="false">IFERROR(($G96+$H96)/$K96,"")</f>
        <v>1</v>
      </c>
      <c r="M96" s="30"/>
      <c r="N96" s="30"/>
      <c r="O96" s="30"/>
      <c r="P96" s="30"/>
    </row>
    <row r="97" customFormat="false" ht="19.5" hidden="false" customHeight="true" outlineLevel="0" collapsed="false">
      <c r="A97" s="44" t="s">
        <v>245</v>
      </c>
      <c r="B97" s="35" t="n">
        <f aca="false">COUNTIFS(入户维修!$F$5:$F$404,$A$68,入户维修!$E$5:$E$404,"?*",入户维修!$C$5:$C$404,$A97)+COUNTIFS(入户维修!$G$5:$G$404,$A$68,入户维修!$E$5:$E$404,"?*",入户维修!$C$5:$C$404,$A97)+COUNTIFS(入户维修!$H$5:$H$404,$A$68,入户维修!$E$5:$E$404,"?*",入户维修!$C$5:$C$404,$A97)+COUNTIFS(公区维修!$F$5:$F$404,$A$68,公区维修!$E$5:$E$404,"?*",公区维修!$C$5:$C$404,$A97)+COUNTIFS(公区维修!$G$5:$G$404,$A$68,公区维修!$E$5:$E$404,"?*",公区维修!$C$5:$C$404,$A97)+COUNTIFS(公区维修!$H$5:$H$404,$A$68,公区维修!$E$5:$E$404,"?*",公区维修!$C$5:$C$404,$A97)</f>
        <v>2</v>
      </c>
      <c r="C97" s="35" t="n">
        <f aca="false">COUNTIFS(入户维修!$F$5:$F$404,$A$68,入户维修!$K$5:$K$404,"已完成",入户维修!$C$5:$C$404,$A97)+COUNTIFS(入户维修!$G$5:$G$404,$A$68,入户维修!$K$5:$K$404,"已完成",入户维修!$C$5:$C$404,$A97)+COUNTIFS(入户维修!$H$5:$H$404,$A$68,入户维修!$K$5:$K$404,"已完成",入户维修!$C$5:$C$404,$A97)+COUNTIFS(公区维修!$F$5:$F$404,$A$68,公区维修!$K$5:$K$404,"已完成",公区维修!$C$5:$C$404,$A97)+COUNTIFS(公区维修!$G$5:$G$404,$A$68,公区维修!$K$5:$K$404,"已完成",公区维修!$C$5:$C$404,$A97)+COUNTIFS(公区维修!$H$5:$H$404,$A$68,公区维修!$K$5:$K$404,"已完成",公区维修!$C$5:$C$404,$A97)</f>
        <v>2</v>
      </c>
      <c r="D97" s="35" t="n">
        <f aca="false">COUNTIFS(入户维修!$F$5:$F$404,$A$68,入户维修!$K$5:$K$404,"跟进中",入户维修!$C$5:$C$404,$A97)+COUNTIFS(入户维修!$G$5:$G$404,$A$68,入户维修!$K$5:$K$404,"跟进中",入户维修!$C$5:$C$404,$A97)+COUNTIFS(入户维修!$H$5:$H$404,$A$68,入户维修!$K$5:$K$404,"跟进中",入户维修!$C$5:$C$404,$A97)+COUNTIFS(公区维修!$F$5:$F$404,$A$68,公区维修!$K$5:$K$404,"跟进中",公区维修!$C$5:$C$404,$A97)+COUNTIFS(公区维修!$G$5:$G$404,$A$68,公区维修!$K$5:$K$404,"跟进中",公区维修!$C$5:$C$404,$A97)+COUNTIFS(公区维修!$H$5:$H$404,$A$68,公区维修!$K$5:$K$404,"跟进中",公区维修!$C$5:$C$404,$A97)</f>
        <v>0</v>
      </c>
      <c r="E97" s="35" t="n">
        <f aca="false">COUNTIFS(入户维修!$F$5:$F$404,$A$68,入户维修!$K$5:$K$404,"需另约时间",入户维修!$C$5:$C$404,$A97)+COUNTIFS(入户维修!$G$5:$G$404,$A$68,入户维修!$K$5:$K$404,"需另约时间",入户维修!$C$5:$C$404,$A97)+COUNTIFS(入户维修!$H$5:$H$404,$A$68,入户维修!$K$5:$K$404,"需另约时间",入户维修!$C$5:$C$404,$A97)+COUNTIFS(公区维修!$F$5:$F$404,$A$68,公区维修!$K$5:$K$404,"需另约时间",公区维修!$C$5:$C$404,$A97)+COUNTIFS(公区维修!$G$5:$G$404,$A$68,公区维修!$K$5:$K$404,"需另约时间",公区维修!$C$5:$C$404,$A97)+COUNTIFS(公区维修!$H$5:$H$404,$A$68,公区维修!$K$5:$K$404,"需另约时间",公区维修!$C$5:$C$404,$A97)</f>
        <v>0</v>
      </c>
      <c r="F97" s="36" t="n">
        <f aca="false">IFERROR($C97/$B97,"")</f>
        <v>1</v>
      </c>
      <c r="G97" s="35" t="n">
        <f aca="false">COUNTIFS(入户维修!$F$5:$F$404,$A$68,入户维修!$O$5:$O$404,"非常满意",入户维修!$C$5:$C$404,$A97)+COUNTIFS(入户维修!$G$5:$G$404,$A$68,入户维修!$O$5:$O$404,"非常满意",入户维修!$C$5:$C$404,$A97)+COUNTIFS(入户维修!$H$5:$H$404,$A$68,入户维修!$O$5:$O$404,"非常满意",入户维修!$C$5:$C$404,$A97)+COUNTIFS(公区维修!$F$5:$F$404,$A$68,公区维修!$N$5:$N$404,"非常满意",公区维修!$C$5:$C$404,$A97)+COUNTIFS(公区维修!$G$5:$G$404,$A$68,公区维修!$N$5:$N$404,"非常满意",公区维修!$C$5:$C$404,$A97)+COUNTIFS(公区维修!$H$5:$H$404,$A$68,公区维修!$N$5:$N$404,"非常满意",公区维修!$C$5:$C$404,$A97)</f>
        <v>2</v>
      </c>
      <c r="H97" s="35" t="n">
        <f aca="false">COUNTIFS(入户维修!$F$5:$F$404,$A$68,入户维修!$O$5:$O$404,"满意",入户维修!$C$5:$C$404,$A97)+COUNTIFS(入户维修!$G$5:$G$404,$A$68,入户维修!$O$5:$O$404,"满意",入户维修!$C$5:$C$404,$A97)+COUNTIFS(入户维修!$H$5:$H$404,$A$68,入户维修!$O$5:$O$404,"满意",入户维修!$C$5:$C$404,$A97)+COUNTIFS(公区维修!$F$5:$F$404,$A$68,公区维修!$N$5:$N$404,"满意",公区维修!$C$5:$C$404,$A97)+COUNTIFS(公区维修!$G$5:$G$404,$A$68,公区维修!$N$5:$N$404,"满意",公区维修!$C$5:$C$404,$A97)+COUNTIFS(公区维修!$H$5:$H$404,$A$68,公区维修!$N$5:$N$404,"满意",公区维修!$C$5:$C$404,$A97)</f>
        <v>0</v>
      </c>
      <c r="I97" s="35" t="n">
        <f aca="false">COUNTIFS(入户维修!$F$5:$F$404,$A$68,入户维修!$O$5:$O$404,"一般",入户维修!$C$5:$C$404,$A97)+COUNTIFS(入户维修!$G$5:$G$404,$A$68,入户维修!$O$5:$O$404,"一般",入户维修!$C$5:$C$404,$A97)+COUNTIFS(入户维修!$H$5:$H$404,$A$68,入户维修!$O$5:$O$404,"一般",入户维修!$C$5:$C$404,$A97)+COUNTIFS(公区维修!$F$5:$F$404,$A$68,公区维修!$N$5:$N$404,"一般",公区维修!$C$5:$C$404,$A97)+COUNTIFS(公区维修!$G$5:$G$404,$A$68,公区维修!$N$5:$N$404,"一般",公区维修!$C$5:$C$404,$A97)+COUNTIFS(公区维修!$H$5:$H$404,$A$68,公区维修!$N$5:$N$404,"一般",公区维修!$C$5:$C$404,$A97)</f>
        <v>0</v>
      </c>
      <c r="J97" s="35" t="n">
        <f aca="false">COUNTIFS(入户维修!$F$5:$F$404,$A$68,入户维修!$O$5:$O$404,"不满意",入户维修!$C$5:$C$404,$A97)+COUNTIFS(入户维修!$G$5:$G$404,$A$68,入户维修!$O$5:$O$404,"不满意",入户维修!$C$5:$C$404,$A97)+COUNTIFS(入户维修!$H$5:$H$404,$A$68,入户维修!$O$5:$O$404,"不满意",入户维修!$C$5:$C$404,$A97)+COUNTIFS(公区维修!$F$5:$F$404,$A$68,公区维修!$N$5:$N$404,"不满意",公区维修!$C$5:$C$404,$A97)+COUNTIFS(公区维修!$G$5:$G$404,$A$68,公区维修!$N$5:$N$404,"不满意",公区维修!$C$5:$C$404,$A97)+COUNTIFS(公区维修!$H$5:$H$404,$A$68,公区维修!$N$5:$N$404,"不满意",公区维修!$C$5:$C$404,$A97)</f>
        <v>0</v>
      </c>
      <c r="K97" s="35" t="n">
        <f aca="false">SUM($G97:$J97)</f>
        <v>2</v>
      </c>
      <c r="L97" s="36" t="n">
        <f aca="false">IFERROR(($G97+$H97)/$K97,"")</f>
        <v>1</v>
      </c>
      <c r="M97" s="30"/>
      <c r="N97" s="30"/>
      <c r="O97" s="30"/>
      <c r="P97" s="30"/>
    </row>
    <row r="98" customFormat="false" ht="19.5" hidden="false" customHeight="true" outlineLevel="0" collapsed="false">
      <c r="A98" s="44" t="s">
        <v>161</v>
      </c>
      <c r="B98" s="35" t="n">
        <f aca="false">COUNTIFS(入户维修!$F$5:$F$404,$A$68,入户维修!$E$5:$E$404,"?*",入户维修!$C$5:$C$404,$A98)+COUNTIFS(入户维修!$G$5:$G$404,$A$68,入户维修!$E$5:$E$404,"?*",入户维修!$C$5:$C$404,$A98)+COUNTIFS(入户维修!$H$5:$H$404,$A$68,入户维修!$E$5:$E$404,"?*",入户维修!$C$5:$C$404,$A98)+COUNTIFS(公区维修!$F$5:$F$404,$A$68,公区维修!$E$5:$E$404,"?*",公区维修!$C$5:$C$404,$A98)+COUNTIFS(公区维修!$G$5:$G$404,$A$68,公区维修!$E$5:$E$404,"?*",公区维修!$C$5:$C$404,$A98)+COUNTIFS(公区维修!$H$5:$H$404,$A$68,公区维修!$E$5:$E$404,"?*",公区维修!$C$5:$C$404,$A98)</f>
        <v>1</v>
      </c>
      <c r="C98" s="35" t="n">
        <f aca="false">COUNTIFS(入户维修!$F$5:$F$404,$A$68,入户维修!$K$5:$K$404,"已完成",入户维修!$C$5:$C$404,$A98)+COUNTIFS(入户维修!$G$5:$G$404,$A$68,入户维修!$K$5:$K$404,"已完成",入户维修!$C$5:$C$404,$A98)+COUNTIFS(入户维修!$H$5:$H$404,$A$68,入户维修!$K$5:$K$404,"已完成",入户维修!$C$5:$C$404,$A98)+COUNTIFS(公区维修!$F$5:$F$404,$A$68,公区维修!$K$5:$K$404,"已完成",公区维修!$C$5:$C$404,$A98)+COUNTIFS(公区维修!$G$5:$G$404,$A$68,公区维修!$K$5:$K$404,"已完成",公区维修!$C$5:$C$404,$A98)+COUNTIFS(公区维修!$H$5:$H$404,$A$68,公区维修!$K$5:$K$404,"已完成",公区维修!$C$5:$C$404,$A98)</f>
        <v>1</v>
      </c>
      <c r="D98" s="35" t="n">
        <f aca="false">COUNTIFS(入户维修!$F$5:$F$404,$A$68,入户维修!$K$5:$K$404,"跟进中",入户维修!$C$5:$C$404,$A98)+COUNTIFS(入户维修!$G$5:$G$404,$A$68,入户维修!$K$5:$K$404,"跟进中",入户维修!$C$5:$C$404,$A98)+COUNTIFS(入户维修!$H$5:$H$404,$A$68,入户维修!$K$5:$K$404,"跟进中",入户维修!$C$5:$C$404,$A98)+COUNTIFS(公区维修!$F$5:$F$404,$A$68,公区维修!$K$5:$K$404,"跟进中",公区维修!$C$5:$C$404,$A98)+COUNTIFS(公区维修!$G$5:$G$404,$A$68,公区维修!$K$5:$K$404,"跟进中",公区维修!$C$5:$C$404,$A98)+COUNTIFS(公区维修!$H$5:$H$404,$A$68,公区维修!$K$5:$K$404,"跟进中",公区维修!$C$5:$C$404,$A98)</f>
        <v>0</v>
      </c>
      <c r="E98" s="35" t="n">
        <f aca="false">COUNTIFS(入户维修!$F$5:$F$404,$A$68,入户维修!$K$5:$K$404,"需另约时间",入户维修!$C$5:$C$404,$A98)+COUNTIFS(入户维修!$G$5:$G$404,$A$68,入户维修!$K$5:$K$404,"需另约时间",入户维修!$C$5:$C$404,$A98)+COUNTIFS(入户维修!$H$5:$H$404,$A$68,入户维修!$K$5:$K$404,"需另约时间",入户维修!$C$5:$C$404,$A98)+COUNTIFS(公区维修!$F$5:$F$404,$A$68,公区维修!$K$5:$K$404,"需另约时间",公区维修!$C$5:$C$404,$A98)+COUNTIFS(公区维修!$G$5:$G$404,$A$68,公区维修!$K$5:$K$404,"需另约时间",公区维修!$C$5:$C$404,$A98)+COUNTIFS(公区维修!$H$5:$H$404,$A$68,公区维修!$K$5:$K$404,"需另约时间",公区维修!$C$5:$C$404,$A98)</f>
        <v>0</v>
      </c>
      <c r="F98" s="36" t="n">
        <f aca="false">IFERROR($C98/$B98,"")</f>
        <v>1</v>
      </c>
      <c r="G98" s="35" t="n">
        <f aca="false">COUNTIFS(入户维修!$F$5:$F$404,$A$68,入户维修!$O$5:$O$404,"非常满意",入户维修!$C$5:$C$404,$A98)+COUNTIFS(入户维修!$G$5:$G$404,$A$68,入户维修!$O$5:$O$404,"非常满意",入户维修!$C$5:$C$404,$A98)+COUNTIFS(入户维修!$H$5:$H$404,$A$68,入户维修!$O$5:$O$404,"非常满意",入户维修!$C$5:$C$404,$A98)+COUNTIFS(公区维修!$F$5:$F$404,$A$68,公区维修!$N$5:$N$404,"非常满意",公区维修!$C$5:$C$404,$A98)+COUNTIFS(公区维修!$G$5:$G$404,$A$68,公区维修!$N$5:$N$404,"非常满意",公区维修!$C$5:$C$404,$A98)+COUNTIFS(公区维修!$H$5:$H$404,$A$68,公区维修!$N$5:$N$404,"非常满意",公区维修!$C$5:$C$404,$A98)</f>
        <v>1</v>
      </c>
      <c r="H98" s="35" t="n">
        <f aca="false">COUNTIFS(入户维修!$F$5:$F$404,$A$68,入户维修!$O$5:$O$404,"满意",入户维修!$C$5:$C$404,$A98)+COUNTIFS(入户维修!$G$5:$G$404,$A$68,入户维修!$O$5:$O$404,"满意",入户维修!$C$5:$C$404,$A98)+COUNTIFS(入户维修!$H$5:$H$404,$A$68,入户维修!$O$5:$O$404,"满意",入户维修!$C$5:$C$404,$A98)+COUNTIFS(公区维修!$F$5:$F$404,$A$68,公区维修!$N$5:$N$404,"满意",公区维修!$C$5:$C$404,$A98)+COUNTIFS(公区维修!$G$5:$G$404,$A$68,公区维修!$N$5:$N$404,"满意",公区维修!$C$5:$C$404,$A98)+COUNTIFS(公区维修!$H$5:$H$404,$A$68,公区维修!$N$5:$N$404,"满意",公区维修!$C$5:$C$404,$A98)</f>
        <v>0</v>
      </c>
      <c r="I98" s="35" t="n">
        <f aca="false">COUNTIFS(入户维修!$F$5:$F$404,$A$68,入户维修!$O$5:$O$404,"一般",入户维修!$C$5:$C$404,$A98)+COUNTIFS(入户维修!$G$5:$G$404,$A$68,入户维修!$O$5:$O$404,"一般",入户维修!$C$5:$C$404,$A98)+COUNTIFS(入户维修!$H$5:$H$404,$A$68,入户维修!$O$5:$O$404,"一般",入户维修!$C$5:$C$404,$A98)+COUNTIFS(公区维修!$F$5:$F$404,$A$68,公区维修!$N$5:$N$404,"一般",公区维修!$C$5:$C$404,$A98)+COUNTIFS(公区维修!$G$5:$G$404,$A$68,公区维修!$N$5:$N$404,"一般",公区维修!$C$5:$C$404,$A98)+COUNTIFS(公区维修!$H$5:$H$404,$A$68,公区维修!$N$5:$N$404,"一般",公区维修!$C$5:$C$404,$A98)</f>
        <v>0</v>
      </c>
      <c r="J98" s="35" t="n">
        <f aca="false">COUNTIFS(入户维修!$F$5:$F$404,$A$68,入户维修!$O$5:$O$404,"不满意",入户维修!$C$5:$C$404,$A98)+COUNTIFS(入户维修!$G$5:$G$404,$A$68,入户维修!$O$5:$O$404,"不满意",入户维修!$C$5:$C$404,$A98)+COUNTIFS(入户维修!$H$5:$H$404,$A$68,入户维修!$O$5:$O$404,"不满意",入户维修!$C$5:$C$404,$A98)+COUNTIFS(公区维修!$F$5:$F$404,$A$68,公区维修!$N$5:$N$404,"不满意",公区维修!$C$5:$C$404,$A98)+COUNTIFS(公区维修!$G$5:$G$404,$A$68,公区维修!$N$5:$N$404,"不满意",公区维修!$C$5:$C$404,$A98)+COUNTIFS(公区维修!$H$5:$H$404,$A$68,公区维修!$N$5:$N$404,"不满意",公区维修!$C$5:$C$404,$A98)</f>
        <v>0</v>
      </c>
      <c r="K98" s="35" t="n">
        <f aca="false">SUM($G98:$J98)</f>
        <v>1</v>
      </c>
      <c r="L98" s="36" t="n">
        <f aca="false">IFERROR(($G98+$H98)/$K98,"")</f>
        <v>1</v>
      </c>
      <c r="M98" s="30"/>
      <c r="N98" s="30"/>
      <c r="O98" s="30"/>
      <c r="P98" s="30"/>
    </row>
    <row r="99" customFormat="false" ht="19.5" hidden="false" customHeight="true" outlineLevel="0" collapsed="false">
      <c r="A99" s="44" t="s">
        <v>38</v>
      </c>
      <c r="B99" s="35" t="n">
        <f aca="false">COUNTIFS(入户维修!$F$5:$F$404,$A$68,入户维修!$E$5:$E$404,"?*",入户维修!$C$5:$C$404,$A99)+COUNTIFS(入户维修!$G$5:$G$404,$A$68,入户维修!$E$5:$E$404,"?*",入户维修!$C$5:$C$404,$A99)+COUNTIFS(入户维修!$H$5:$H$404,$A$68,入户维修!$E$5:$E$404,"?*",入户维修!$C$5:$C$404,$A99)+COUNTIFS(公区维修!$F$5:$F$404,$A$68,公区维修!$E$5:$E$404,"?*",公区维修!$C$5:$C$404,$A99)+COUNTIFS(公区维修!$G$5:$G$404,$A$68,公区维修!$E$5:$E$404,"?*",公区维修!$C$5:$C$404,$A99)+COUNTIFS(公区维修!$H$5:$H$404,$A$68,公区维修!$E$5:$E$404,"?*",公区维修!$C$5:$C$404,$A99)</f>
        <v>5</v>
      </c>
      <c r="C99" s="35" t="n">
        <f aca="false">COUNTIFS(入户维修!$F$5:$F$404,$A$68,入户维修!$K$5:$K$404,"已完成",入户维修!$C$5:$C$404,$A99)+COUNTIFS(入户维修!$G$5:$G$404,$A$68,入户维修!$K$5:$K$404,"已完成",入户维修!$C$5:$C$404,$A99)+COUNTIFS(入户维修!$H$5:$H$404,$A$68,入户维修!$K$5:$K$404,"已完成",入户维修!$C$5:$C$404,$A99)+COUNTIFS(公区维修!$F$5:$F$404,$A$68,公区维修!$K$5:$K$404,"已完成",公区维修!$C$5:$C$404,$A99)+COUNTIFS(公区维修!$G$5:$G$404,$A$68,公区维修!$K$5:$K$404,"已完成",公区维修!$C$5:$C$404,$A99)+COUNTIFS(公区维修!$H$5:$H$404,$A$68,公区维修!$K$5:$K$404,"已完成",公区维修!$C$5:$C$404,$A99)</f>
        <v>4</v>
      </c>
      <c r="D99" s="35" t="n">
        <f aca="false">COUNTIFS(入户维修!$F$5:$F$404,$A$68,入户维修!$K$5:$K$404,"跟进中",入户维修!$C$5:$C$404,$A99)+COUNTIFS(入户维修!$G$5:$G$404,$A$68,入户维修!$K$5:$K$404,"跟进中",入户维修!$C$5:$C$404,$A99)+COUNTIFS(入户维修!$H$5:$H$404,$A$68,入户维修!$K$5:$K$404,"跟进中",入户维修!$C$5:$C$404,$A99)+COUNTIFS(公区维修!$F$5:$F$404,$A$68,公区维修!$K$5:$K$404,"跟进中",公区维修!$C$5:$C$404,$A99)+COUNTIFS(公区维修!$G$5:$G$404,$A$68,公区维修!$K$5:$K$404,"跟进中",公区维修!$C$5:$C$404,$A99)+COUNTIFS(公区维修!$H$5:$H$404,$A$68,公区维修!$K$5:$K$404,"跟进中",公区维修!$C$5:$C$404,$A99)</f>
        <v>1</v>
      </c>
      <c r="E99" s="35" t="n">
        <f aca="false">COUNTIFS(入户维修!$F$5:$F$404,$A$68,入户维修!$K$5:$K$404,"需另约时间",入户维修!$C$5:$C$404,$A99)+COUNTIFS(入户维修!$G$5:$G$404,$A$68,入户维修!$K$5:$K$404,"需另约时间",入户维修!$C$5:$C$404,$A99)+COUNTIFS(入户维修!$H$5:$H$404,$A$68,入户维修!$K$5:$K$404,"需另约时间",入户维修!$C$5:$C$404,$A99)+COUNTIFS(公区维修!$F$5:$F$404,$A$68,公区维修!$K$5:$K$404,"需另约时间",公区维修!$C$5:$C$404,$A99)+COUNTIFS(公区维修!$G$5:$G$404,$A$68,公区维修!$K$5:$K$404,"需另约时间",公区维修!$C$5:$C$404,$A99)+COUNTIFS(公区维修!$H$5:$H$404,$A$68,公区维修!$K$5:$K$404,"需另约时间",公区维修!$C$5:$C$404,$A99)</f>
        <v>0</v>
      </c>
      <c r="F99" s="36" t="n">
        <f aca="false">IFERROR($C99/$B99,"")</f>
        <v>0.8</v>
      </c>
      <c r="G99" s="35" t="n">
        <f aca="false">COUNTIFS(入户维修!$F$5:$F$404,$A$68,入户维修!$O$5:$O$404,"非常满意",入户维修!$C$5:$C$404,$A99)+COUNTIFS(入户维修!$G$5:$G$404,$A$68,入户维修!$O$5:$O$404,"非常满意",入户维修!$C$5:$C$404,$A99)+COUNTIFS(入户维修!$H$5:$H$404,$A$68,入户维修!$O$5:$O$404,"非常满意",入户维修!$C$5:$C$404,$A99)+COUNTIFS(公区维修!$F$5:$F$404,$A$68,公区维修!$N$5:$N$404,"非常满意",公区维修!$C$5:$C$404,$A99)+COUNTIFS(公区维修!$G$5:$G$404,$A$68,公区维修!$N$5:$N$404,"非常满意",公区维修!$C$5:$C$404,$A99)+COUNTIFS(公区维修!$H$5:$H$404,$A$68,公区维修!$N$5:$N$404,"非常满意",公区维修!$C$5:$C$404,$A99)</f>
        <v>4</v>
      </c>
      <c r="H99" s="35" t="n">
        <f aca="false">COUNTIFS(入户维修!$F$5:$F$404,$A$68,入户维修!$O$5:$O$404,"满意",入户维修!$C$5:$C$404,$A99)+COUNTIFS(入户维修!$G$5:$G$404,$A$68,入户维修!$O$5:$O$404,"满意",入户维修!$C$5:$C$404,$A99)+COUNTIFS(入户维修!$H$5:$H$404,$A$68,入户维修!$O$5:$O$404,"满意",入户维修!$C$5:$C$404,$A99)+COUNTIFS(公区维修!$F$5:$F$404,$A$68,公区维修!$N$5:$N$404,"满意",公区维修!$C$5:$C$404,$A99)+COUNTIFS(公区维修!$G$5:$G$404,$A$68,公区维修!$N$5:$N$404,"满意",公区维修!$C$5:$C$404,$A99)+COUNTIFS(公区维修!$H$5:$H$404,$A$68,公区维修!$N$5:$N$404,"满意",公区维修!$C$5:$C$404,$A99)</f>
        <v>1</v>
      </c>
      <c r="I99" s="35" t="n">
        <f aca="false">COUNTIFS(入户维修!$F$5:$F$404,$A$68,入户维修!$O$5:$O$404,"一般",入户维修!$C$5:$C$404,$A99)+COUNTIFS(入户维修!$G$5:$G$404,$A$68,入户维修!$O$5:$O$404,"一般",入户维修!$C$5:$C$404,$A99)+COUNTIFS(入户维修!$H$5:$H$404,$A$68,入户维修!$O$5:$O$404,"一般",入户维修!$C$5:$C$404,$A99)+COUNTIFS(公区维修!$F$5:$F$404,$A$68,公区维修!$N$5:$N$404,"一般",公区维修!$C$5:$C$404,$A99)+COUNTIFS(公区维修!$G$5:$G$404,$A$68,公区维修!$N$5:$N$404,"一般",公区维修!$C$5:$C$404,$A99)+COUNTIFS(公区维修!$H$5:$H$404,$A$68,公区维修!$N$5:$N$404,"一般",公区维修!$C$5:$C$404,$A99)</f>
        <v>0</v>
      </c>
      <c r="J99" s="35" t="n">
        <f aca="false">COUNTIFS(入户维修!$F$5:$F$404,$A$68,入户维修!$O$5:$O$404,"不满意",入户维修!$C$5:$C$404,$A99)+COUNTIFS(入户维修!$G$5:$G$404,$A$68,入户维修!$O$5:$O$404,"不满意",入户维修!$C$5:$C$404,$A99)+COUNTIFS(入户维修!$H$5:$H$404,$A$68,入户维修!$O$5:$O$404,"不满意",入户维修!$C$5:$C$404,$A99)+COUNTIFS(公区维修!$F$5:$F$404,$A$68,公区维修!$N$5:$N$404,"不满意",公区维修!$C$5:$C$404,$A99)+COUNTIFS(公区维修!$G$5:$G$404,$A$68,公区维修!$N$5:$N$404,"不满意",公区维修!$C$5:$C$404,$A99)+COUNTIFS(公区维修!$H$5:$H$404,$A$68,公区维修!$N$5:$N$404,"不满意",公区维修!$C$5:$C$404,$A99)</f>
        <v>0</v>
      </c>
      <c r="K99" s="35" t="n">
        <f aca="false">SUM($G99:$J99)</f>
        <v>5</v>
      </c>
      <c r="L99" s="36" t="n">
        <f aca="false">IFERROR(($G99+$H99)/$K99,"")</f>
        <v>1</v>
      </c>
      <c r="M99" s="30"/>
      <c r="N99" s="30"/>
      <c r="O99" s="30"/>
      <c r="P99" s="30"/>
    </row>
    <row r="100" customFormat="false" ht="19.5" hidden="false" customHeight="true" outlineLevel="0" collapsed="false">
      <c r="A100" s="44" t="s">
        <v>31</v>
      </c>
      <c r="B100" s="35" t="n">
        <f aca="false">COUNTIFS(入户维修!$F$5:$F$404,$A$68,入户维修!$E$5:$E$404,"?*",入户维修!$C$5:$C$404,$A100)+COUNTIFS(入户维修!$G$5:$G$404,$A$68,入户维修!$E$5:$E$404,"?*",入户维修!$C$5:$C$404,$A100)+COUNTIFS(入户维修!$H$5:$H$404,$A$68,入户维修!$E$5:$E$404,"?*",入户维修!$C$5:$C$404,$A100)+COUNTIFS(公区维修!$F$5:$F$404,$A$68,公区维修!$E$5:$E$404,"?*",公区维修!$C$5:$C$404,$A100)+COUNTIFS(公区维修!$G$5:$G$404,$A$68,公区维修!$E$5:$E$404,"?*",公区维修!$C$5:$C$404,$A100)+COUNTIFS(公区维修!$H$5:$H$404,$A$68,公区维修!$E$5:$E$404,"?*",公区维修!$C$5:$C$404,$A100)</f>
        <v>3</v>
      </c>
      <c r="C100" s="35" t="n">
        <f aca="false">COUNTIFS(入户维修!$F$5:$F$404,$A$68,入户维修!$K$5:$K$404,"已完成",入户维修!$C$5:$C$404,$A100)+COUNTIFS(入户维修!$G$5:$G$404,$A$68,入户维修!$K$5:$K$404,"已完成",入户维修!$C$5:$C$404,$A100)+COUNTIFS(入户维修!$H$5:$H$404,$A$68,入户维修!$K$5:$K$404,"已完成",入户维修!$C$5:$C$404,$A100)+COUNTIFS(公区维修!$F$5:$F$404,$A$68,公区维修!$K$5:$K$404,"已完成",公区维修!$C$5:$C$404,$A100)+COUNTIFS(公区维修!$G$5:$G$404,$A$68,公区维修!$K$5:$K$404,"已完成",公区维修!$C$5:$C$404,$A100)+COUNTIFS(公区维修!$H$5:$H$404,$A$68,公区维修!$K$5:$K$404,"已完成",公区维修!$C$5:$C$404,$A100)</f>
        <v>1</v>
      </c>
      <c r="D100" s="35" t="n">
        <f aca="false">COUNTIFS(入户维修!$F$5:$F$404,$A$68,入户维修!$K$5:$K$404,"跟进中",入户维修!$C$5:$C$404,$A100)+COUNTIFS(入户维修!$G$5:$G$404,$A$68,入户维修!$K$5:$K$404,"跟进中",入户维修!$C$5:$C$404,$A100)+COUNTIFS(入户维修!$H$5:$H$404,$A$68,入户维修!$K$5:$K$404,"跟进中",入户维修!$C$5:$C$404,$A100)+COUNTIFS(公区维修!$F$5:$F$404,$A$68,公区维修!$K$5:$K$404,"跟进中",公区维修!$C$5:$C$404,$A100)+COUNTIFS(公区维修!$G$5:$G$404,$A$68,公区维修!$K$5:$K$404,"跟进中",公区维修!$C$5:$C$404,$A100)+COUNTIFS(公区维修!$H$5:$H$404,$A$68,公区维修!$K$5:$K$404,"跟进中",公区维修!$C$5:$C$404,$A100)</f>
        <v>2</v>
      </c>
      <c r="E100" s="35" t="n">
        <f aca="false">COUNTIFS(入户维修!$F$5:$F$404,$A$68,入户维修!$K$5:$K$404,"需另约时间",入户维修!$C$5:$C$404,$A100)+COUNTIFS(入户维修!$G$5:$G$404,$A$68,入户维修!$K$5:$K$404,"需另约时间",入户维修!$C$5:$C$404,$A100)+COUNTIFS(入户维修!$H$5:$H$404,$A$68,入户维修!$K$5:$K$404,"需另约时间",入户维修!$C$5:$C$404,$A100)+COUNTIFS(公区维修!$F$5:$F$404,$A$68,公区维修!$K$5:$K$404,"需另约时间",公区维修!$C$5:$C$404,$A100)+COUNTIFS(公区维修!$G$5:$G$404,$A$68,公区维修!$K$5:$K$404,"需另约时间",公区维修!$C$5:$C$404,$A100)+COUNTIFS(公区维修!$H$5:$H$404,$A$68,公区维修!$K$5:$K$404,"需另约时间",公区维修!$C$5:$C$404,$A100)</f>
        <v>0</v>
      </c>
      <c r="F100" s="36" t="n">
        <f aca="false">IFERROR($C100/$B100,"")</f>
        <v>0.333333333333333</v>
      </c>
      <c r="G100" s="35" t="n">
        <f aca="false">COUNTIFS(入户维修!$F$5:$F$404,$A$68,入户维修!$O$5:$O$404,"非常满意",入户维修!$C$5:$C$404,$A100)+COUNTIFS(入户维修!$G$5:$G$404,$A$68,入户维修!$O$5:$O$404,"非常满意",入户维修!$C$5:$C$404,$A100)+COUNTIFS(入户维修!$H$5:$H$404,$A$68,入户维修!$O$5:$O$404,"非常满意",入户维修!$C$5:$C$404,$A100)+COUNTIFS(公区维修!$F$5:$F$404,$A$68,公区维修!$N$5:$N$404,"非常满意",公区维修!$C$5:$C$404,$A100)+COUNTIFS(公区维修!$G$5:$G$404,$A$68,公区维修!$N$5:$N$404,"非常满意",公区维修!$C$5:$C$404,$A100)+COUNTIFS(公区维修!$H$5:$H$404,$A$68,公区维修!$N$5:$N$404,"非常满意",公区维修!$C$5:$C$404,$A100)</f>
        <v>3</v>
      </c>
      <c r="H100" s="35" t="n">
        <f aca="false">COUNTIFS(入户维修!$F$5:$F$404,$A$68,入户维修!$O$5:$O$404,"满意",入户维修!$C$5:$C$404,$A100)+COUNTIFS(入户维修!$G$5:$G$404,$A$68,入户维修!$O$5:$O$404,"满意",入户维修!$C$5:$C$404,$A100)+COUNTIFS(入户维修!$H$5:$H$404,$A$68,入户维修!$O$5:$O$404,"满意",入户维修!$C$5:$C$404,$A100)+COUNTIFS(公区维修!$F$5:$F$404,$A$68,公区维修!$N$5:$N$404,"满意",公区维修!$C$5:$C$404,$A100)+COUNTIFS(公区维修!$G$5:$G$404,$A$68,公区维修!$N$5:$N$404,"满意",公区维修!$C$5:$C$404,$A100)+COUNTIFS(公区维修!$H$5:$H$404,$A$68,公区维修!$N$5:$N$404,"满意",公区维修!$C$5:$C$404,$A100)</f>
        <v>0</v>
      </c>
      <c r="I100" s="35" t="n">
        <f aca="false">COUNTIFS(入户维修!$F$5:$F$404,$A$68,入户维修!$O$5:$O$404,"一般",入户维修!$C$5:$C$404,$A100)+COUNTIFS(入户维修!$G$5:$G$404,$A$68,入户维修!$O$5:$O$404,"一般",入户维修!$C$5:$C$404,$A100)+COUNTIFS(入户维修!$H$5:$H$404,$A$68,入户维修!$O$5:$O$404,"一般",入户维修!$C$5:$C$404,$A100)+COUNTIFS(公区维修!$F$5:$F$404,$A$68,公区维修!$N$5:$N$404,"一般",公区维修!$C$5:$C$404,$A100)+COUNTIFS(公区维修!$G$5:$G$404,$A$68,公区维修!$N$5:$N$404,"一般",公区维修!$C$5:$C$404,$A100)+COUNTIFS(公区维修!$H$5:$H$404,$A$68,公区维修!$N$5:$N$404,"一般",公区维修!$C$5:$C$404,$A100)</f>
        <v>0</v>
      </c>
      <c r="J100" s="35" t="n">
        <f aca="false">COUNTIFS(入户维修!$F$5:$F$404,$A$68,入户维修!$O$5:$O$404,"不满意",入户维修!$C$5:$C$404,$A100)+COUNTIFS(入户维修!$G$5:$G$404,$A$68,入户维修!$O$5:$O$404,"不满意",入户维修!$C$5:$C$404,$A100)+COUNTIFS(入户维修!$H$5:$H$404,$A$68,入户维修!$O$5:$O$404,"不满意",入户维修!$C$5:$C$404,$A100)+COUNTIFS(公区维修!$F$5:$F$404,$A$68,公区维修!$N$5:$N$404,"不满意",公区维修!$C$5:$C$404,$A100)+COUNTIFS(公区维修!$G$5:$G$404,$A$68,公区维修!$N$5:$N$404,"不满意",公区维修!$C$5:$C$404,$A100)+COUNTIFS(公区维修!$H$5:$H$404,$A$68,公区维修!$N$5:$N$404,"不满意",公区维修!$C$5:$C$404,$A100)</f>
        <v>0</v>
      </c>
      <c r="K100" s="35" t="n">
        <f aca="false">SUM($G100:$J100)</f>
        <v>3</v>
      </c>
      <c r="L100" s="36" t="n">
        <f aca="false">IFERROR(($G100+$H100)/$K100,"")</f>
        <v>1</v>
      </c>
      <c r="M100" s="30"/>
      <c r="N100" s="30"/>
      <c r="O100" s="30"/>
      <c r="P100" s="30"/>
    </row>
    <row r="101" customFormat="false" ht="19.5" hidden="false" customHeight="true" outlineLevel="0" collapsed="false">
      <c r="A101" s="44" t="s">
        <v>43</v>
      </c>
      <c r="B101" s="35" t="n">
        <f aca="false">COUNTIFS(入户维修!$F$5:$F$404,$A$68,入户维修!$E$5:$E$404,"?*",入户维修!$C$5:$C$404,$A101)+COUNTIFS(入户维修!$G$5:$G$404,$A$68,入户维修!$E$5:$E$404,"?*",入户维修!$C$5:$C$404,$A101)+COUNTIFS(入户维修!$H$5:$H$404,$A$68,入户维修!$E$5:$E$404,"?*",入户维修!$C$5:$C$404,$A101)+COUNTIFS(公区维修!$F$5:$F$404,$A$68,公区维修!$E$5:$E$404,"?*",公区维修!$C$5:$C$404,$A101)+COUNTIFS(公区维修!$G$5:$G$404,$A$68,公区维修!$E$5:$E$404,"?*",公区维修!$C$5:$C$404,$A101)+COUNTIFS(公区维修!$H$5:$H$404,$A$68,公区维修!$E$5:$E$404,"?*",公区维修!$C$5:$C$404,$A101)</f>
        <v>5</v>
      </c>
      <c r="C101" s="35" t="n">
        <f aca="false">COUNTIFS(入户维修!$F$5:$F$404,$A$68,入户维修!$K$5:$K$404,"已完成",入户维修!$C$5:$C$404,$A101)+COUNTIFS(入户维修!$G$5:$G$404,$A$68,入户维修!$K$5:$K$404,"已完成",入户维修!$C$5:$C$404,$A101)+COUNTIFS(入户维修!$H$5:$H$404,$A$68,入户维修!$K$5:$K$404,"已完成",入户维修!$C$5:$C$404,$A101)+COUNTIFS(公区维修!$F$5:$F$404,$A$68,公区维修!$K$5:$K$404,"已完成",公区维修!$C$5:$C$404,$A101)+COUNTIFS(公区维修!$G$5:$G$404,$A$68,公区维修!$K$5:$K$404,"已完成",公区维修!$C$5:$C$404,$A101)+COUNTIFS(公区维修!$H$5:$H$404,$A$68,公区维修!$K$5:$K$404,"已完成",公区维修!$C$5:$C$404,$A101)</f>
        <v>4</v>
      </c>
      <c r="D101" s="35" t="n">
        <f aca="false">COUNTIFS(入户维修!$F$5:$F$404,$A$68,入户维修!$K$5:$K$404,"跟进中",入户维修!$C$5:$C$404,$A101)+COUNTIFS(入户维修!$G$5:$G$404,$A$68,入户维修!$K$5:$K$404,"跟进中",入户维修!$C$5:$C$404,$A101)+COUNTIFS(入户维修!$H$5:$H$404,$A$68,入户维修!$K$5:$K$404,"跟进中",入户维修!$C$5:$C$404,$A101)+COUNTIFS(公区维修!$F$5:$F$404,$A$68,公区维修!$K$5:$K$404,"跟进中",公区维修!$C$5:$C$404,$A101)+COUNTIFS(公区维修!$G$5:$G$404,$A$68,公区维修!$K$5:$K$404,"跟进中",公区维修!$C$5:$C$404,$A101)+COUNTIFS(公区维修!$H$5:$H$404,$A$68,公区维修!$K$5:$K$404,"跟进中",公区维修!$C$5:$C$404,$A101)</f>
        <v>1</v>
      </c>
      <c r="E101" s="35" t="n">
        <f aca="false">COUNTIFS(入户维修!$F$5:$F$404,$A$68,入户维修!$K$5:$K$404,"需另约时间",入户维修!$C$5:$C$404,$A101)+COUNTIFS(入户维修!$G$5:$G$404,$A$68,入户维修!$K$5:$K$404,"需另约时间",入户维修!$C$5:$C$404,$A101)+COUNTIFS(入户维修!$H$5:$H$404,$A$68,入户维修!$K$5:$K$404,"需另约时间",入户维修!$C$5:$C$404,$A101)+COUNTIFS(公区维修!$F$5:$F$404,$A$68,公区维修!$K$5:$K$404,"需另约时间",公区维修!$C$5:$C$404,$A101)+COUNTIFS(公区维修!$G$5:$G$404,$A$68,公区维修!$K$5:$K$404,"需另约时间",公区维修!$C$5:$C$404,$A101)+COUNTIFS(公区维修!$H$5:$H$404,$A$68,公区维修!$K$5:$K$404,"需另约时间",公区维修!$C$5:$C$404,$A101)</f>
        <v>0</v>
      </c>
      <c r="F101" s="36" t="n">
        <f aca="false">IFERROR($C101/$B101,"")</f>
        <v>0.8</v>
      </c>
      <c r="G101" s="35" t="n">
        <f aca="false">COUNTIFS(入户维修!$F$5:$F$404,$A$68,入户维修!$O$5:$O$404,"非常满意",入户维修!$C$5:$C$404,$A101)+COUNTIFS(入户维修!$G$5:$G$404,$A$68,入户维修!$O$5:$O$404,"非常满意",入户维修!$C$5:$C$404,$A101)+COUNTIFS(入户维修!$H$5:$H$404,$A$68,入户维修!$O$5:$O$404,"非常满意",入户维修!$C$5:$C$404,$A101)+COUNTIFS(公区维修!$F$5:$F$404,$A$68,公区维修!$N$5:$N$404,"非常满意",公区维修!$C$5:$C$404,$A101)+COUNTIFS(公区维修!$G$5:$G$404,$A$68,公区维修!$N$5:$N$404,"非常满意",公区维修!$C$5:$C$404,$A101)+COUNTIFS(公区维修!$H$5:$H$404,$A$68,公区维修!$N$5:$N$404,"非常满意",公区维修!$C$5:$C$404,$A101)</f>
        <v>4</v>
      </c>
      <c r="H101" s="35" t="n">
        <f aca="false">COUNTIFS(入户维修!$F$5:$F$404,$A$68,入户维修!$O$5:$O$404,"满意",入户维修!$C$5:$C$404,$A101)+COUNTIFS(入户维修!$G$5:$G$404,$A$68,入户维修!$O$5:$O$404,"满意",入户维修!$C$5:$C$404,$A101)+COUNTIFS(入户维修!$H$5:$H$404,$A$68,入户维修!$O$5:$O$404,"满意",入户维修!$C$5:$C$404,$A101)+COUNTIFS(公区维修!$F$5:$F$404,$A$68,公区维修!$N$5:$N$404,"满意",公区维修!$C$5:$C$404,$A101)+COUNTIFS(公区维修!$G$5:$G$404,$A$68,公区维修!$N$5:$N$404,"满意",公区维修!$C$5:$C$404,$A101)+COUNTIFS(公区维修!$H$5:$H$404,$A$68,公区维修!$N$5:$N$404,"满意",公区维修!$C$5:$C$404,$A101)</f>
        <v>0</v>
      </c>
      <c r="I101" s="35" t="n">
        <f aca="false">COUNTIFS(入户维修!$F$5:$F$404,$A$68,入户维修!$O$5:$O$404,"一般",入户维修!$C$5:$C$404,$A101)+COUNTIFS(入户维修!$G$5:$G$404,$A$68,入户维修!$O$5:$O$404,"一般",入户维修!$C$5:$C$404,$A101)+COUNTIFS(入户维修!$H$5:$H$404,$A$68,入户维修!$O$5:$O$404,"一般",入户维修!$C$5:$C$404,$A101)+COUNTIFS(公区维修!$F$5:$F$404,$A$68,公区维修!$N$5:$N$404,"一般",公区维修!$C$5:$C$404,$A101)+COUNTIFS(公区维修!$G$5:$G$404,$A$68,公区维修!$N$5:$N$404,"一般",公区维修!$C$5:$C$404,$A101)+COUNTIFS(公区维修!$H$5:$H$404,$A$68,公区维修!$N$5:$N$404,"一般",公区维修!$C$5:$C$404,$A101)</f>
        <v>0</v>
      </c>
      <c r="J101" s="35" t="n">
        <f aca="false">COUNTIFS(入户维修!$F$5:$F$404,$A$68,入户维修!$O$5:$O$404,"不满意",入户维修!$C$5:$C$404,$A101)+COUNTIFS(入户维修!$G$5:$G$404,$A$68,入户维修!$O$5:$O$404,"不满意",入户维修!$C$5:$C$404,$A101)+COUNTIFS(入户维修!$H$5:$H$404,$A$68,入户维修!$O$5:$O$404,"不满意",入户维修!$C$5:$C$404,$A101)+COUNTIFS(公区维修!$F$5:$F$404,$A$68,公区维修!$N$5:$N$404,"不满意",公区维修!$C$5:$C$404,$A101)+COUNTIFS(公区维修!$G$5:$G$404,$A$68,公区维修!$N$5:$N$404,"不满意",公区维修!$C$5:$C$404,$A101)+COUNTIFS(公区维修!$H$5:$H$404,$A$68,公区维修!$N$5:$N$404,"不满意",公区维修!$C$5:$C$404,$A101)</f>
        <v>0</v>
      </c>
      <c r="K101" s="35" t="n">
        <f aca="false">SUM($G101:$J101)</f>
        <v>4</v>
      </c>
      <c r="L101" s="36" t="n">
        <f aca="false">IFERROR(($G101+$H101)/$K101,"")</f>
        <v>1</v>
      </c>
      <c r="M101" s="30"/>
      <c r="N101" s="30"/>
      <c r="O101" s="30"/>
      <c r="P101" s="30"/>
    </row>
    <row r="102" customFormat="false" ht="19.5" hidden="false" customHeight="true" outlineLevel="0" collapsed="false">
      <c r="A102" s="44" t="s">
        <v>21</v>
      </c>
      <c r="B102" s="35" t="n">
        <f aca="false">COUNTIFS(入户维修!$F$5:$F$404,$A$68,入户维修!$E$5:$E$404,"?*",入户维修!$C$5:$C$404,$A102)+COUNTIFS(入户维修!$G$5:$G$404,$A$68,入户维修!$E$5:$E$404,"?*",入户维修!$C$5:$C$404,$A102)+COUNTIFS(入户维修!$H$5:$H$404,$A$68,入户维修!$E$5:$E$404,"?*",入户维修!$C$5:$C$404,$A102)+COUNTIFS(公区维修!$F$5:$F$404,$A$68,公区维修!$E$5:$E$404,"?*",公区维修!$C$5:$C$404,$A102)+COUNTIFS(公区维修!$G$5:$G$404,$A$68,公区维修!$E$5:$E$404,"?*",公区维修!$C$5:$C$404,$A102)+COUNTIFS(公区维修!$H$5:$H$404,$A$68,公区维修!$E$5:$E$404,"?*",公区维修!$C$5:$C$404,$A102)</f>
        <v>6</v>
      </c>
      <c r="C102" s="35" t="n">
        <f aca="false">COUNTIFS(入户维修!$F$5:$F$404,$A$68,入户维修!$K$5:$K$404,"已完成",入户维修!$C$5:$C$404,$A102)+COUNTIFS(入户维修!$G$5:$G$404,$A$68,入户维修!$K$5:$K$404,"已完成",入户维修!$C$5:$C$404,$A102)+COUNTIFS(入户维修!$H$5:$H$404,$A$68,入户维修!$K$5:$K$404,"已完成",入户维修!$C$5:$C$404,$A102)+COUNTIFS(公区维修!$F$5:$F$404,$A$68,公区维修!$K$5:$K$404,"已完成",公区维修!$C$5:$C$404,$A102)+COUNTIFS(公区维修!$G$5:$G$404,$A$68,公区维修!$K$5:$K$404,"已完成",公区维修!$C$5:$C$404,$A102)+COUNTIFS(公区维修!$H$5:$H$404,$A$68,公区维修!$K$5:$K$404,"已完成",公区维修!$C$5:$C$404,$A102)</f>
        <v>6</v>
      </c>
      <c r="D102" s="35" t="n">
        <f aca="false">COUNTIFS(入户维修!$F$5:$F$404,$A$68,入户维修!$K$5:$K$404,"跟进中",入户维修!$C$5:$C$404,$A102)+COUNTIFS(入户维修!$G$5:$G$404,$A$68,入户维修!$K$5:$K$404,"跟进中",入户维修!$C$5:$C$404,$A102)+COUNTIFS(入户维修!$H$5:$H$404,$A$68,入户维修!$K$5:$K$404,"跟进中",入户维修!$C$5:$C$404,$A102)+COUNTIFS(公区维修!$F$5:$F$404,$A$68,公区维修!$K$5:$K$404,"跟进中",公区维修!$C$5:$C$404,$A102)+COUNTIFS(公区维修!$G$5:$G$404,$A$68,公区维修!$K$5:$K$404,"跟进中",公区维修!$C$5:$C$404,$A102)+COUNTIFS(公区维修!$H$5:$H$404,$A$68,公区维修!$K$5:$K$404,"跟进中",公区维修!$C$5:$C$404,$A102)</f>
        <v>0</v>
      </c>
      <c r="E102" s="35" t="n">
        <f aca="false">COUNTIFS(入户维修!$F$5:$F$404,$A$68,入户维修!$K$5:$K$404,"需另约时间",入户维修!$C$5:$C$404,$A102)+COUNTIFS(入户维修!$G$5:$G$404,$A$68,入户维修!$K$5:$K$404,"需另约时间",入户维修!$C$5:$C$404,$A102)+COUNTIFS(入户维修!$H$5:$H$404,$A$68,入户维修!$K$5:$K$404,"需另约时间",入户维修!$C$5:$C$404,$A102)+COUNTIFS(公区维修!$F$5:$F$404,$A$68,公区维修!$K$5:$K$404,"需另约时间",公区维修!$C$5:$C$404,$A102)+COUNTIFS(公区维修!$G$5:$G$404,$A$68,公区维修!$K$5:$K$404,"需另约时间",公区维修!$C$5:$C$404,$A102)+COUNTIFS(公区维修!$H$5:$H$404,$A$68,公区维修!$K$5:$K$404,"需另约时间",公区维修!$C$5:$C$404,$A102)</f>
        <v>0</v>
      </c>
      <c r="F102" s="36" t="n">
        <f aca="false">IFERROR($C102/$B102,"")</f>
        <v>1</v>
      </c>
      <c r="G102" s="35" t="n">
        <f aca="false">COUNTIFS(入户维修!$F$5:$F$404,$A$68,入户维修!$O$5:$O$404,"非常满意",入户维修!$C$5:$C$404,$A102)+COUNTIFS(入户维修!$G$5:$G$404,$A$68,入户维修!$O$5:$O$404,"非常满意",入户维修!$C$5:$C$404,$A102)+COUNTIFS(入户维修!$H$5:$H$404,$A$68,入户维修!$O$5:$O$404,"非常满意",入户维修!$C$5:$C$404,$A102)+COUNTIFS(公区维修!$F$5:$F$404,$A$68,公区维修!$N$5:$N$404,"非常满意",公区维修!$C$5:$C$404,$A102)+COUNTIFS(公区维修!$G$5:$G$404,$A$68,公区维修!$N$5:$N$404,"非常满意",公区维修!$C$5:$C$404,$A102)+COUNTIFS(公区维修!$H$5:$H$404,$A$68,公区维修!$N$5:$N$404,"非常满意",公区维修!$C$5:$C$404,$A102)</f>
        <v>5</v>
      </c>
      <c r="H102" s="35" t="n">
        <f aca="false">COUNTIFS(入户维修!$F$5:$F$404,$A$68,入户维修!$O$5:$O$404,"满意",入户维修!$C$5:$C$404,$A102)+COUNTIFS(入户维修!$G$5:$G$404,$A$68,入户维修!$O$5:$O$404,"满意",入户维修!$C$5:$C$404,$A102)+COUNTIFS(入户维修!$H$5:$H$404,$A$68,入户维修!$O$5:$O$404,"满意",入户维修!$C$5:$C$404,$A102)+COUNTIFS(公区维修!$F$5:$F$404,$A$68,公区维修!$N$5:$N$404,"满意",公区维修!$C$5:$C$404,$A102)+COUNTIFS(公区维修!$G$5:$G$404,$A$68,公区维修!$N$5:$N$404,"满意",公区维修!$C$5:$C$404,$A102)+COUNTIFS(公区维修!$H$5:$H$404,$A$68,公区维修!$N$5:$N$404,"满意",公区维修!$C$5:$C$404,$A102)</f>
        <v>1</v>
      </c>
      <c r="I102" s="35" t="n">
        <f aca="false">COUNTIFS(入户维修!$F$5:$F$404,$A$68,入户维修!$O$5:$O$404,"一般",入户维修!$C$5:$C$404,$A102)+COUNTIFS(入户维修!$G$5:$G$404,$A$68,入户维修!$O$5:$O$404,"一般",入户维修!$C$5:$C$404,$A102)+COUNTIFS(入户维修!$H$5:$H$404,$A$68,入户维修!$O$5:$O$404,"一般",入户维修!$C$5:$C$404,$A102)+COUNTIFS(公区维修!$F$5:$F$404,$A$68,公区维修!$N$5:$N$404,"一般",公区维修!$C$5:$C$404,$A102)+COUNTIFS(公区维修!$G$5:$G$404,$A$68,公区维修!$N$5:$N$404,"一般",公区维修!$C$5:$C$404,$A102)+COUNTIFS(公区维修!$H$5:$H$404,$A$68,公区维修!$N$5:$N$404,"一般",公区维修!$C$5:$C$404,$A102)</f>
        <v>0</v>
      </c>
      <c r="J102" s="35" t="n">
        <f aca="false">COUNTIFS(入户维修!$F$5:$F$404,$A$68,入户维修!$O$5:$O$404,"不满意",入户维修!$C$5:$C$404,$A102)+COUNTIFS(入户维修!$G$5:$G$404,$A$68,入户维修!$O$5:$O$404,"不满意",入户维修!$C$5:$C$404,$A102)+COUNTIFS(入户维修!$H$5:$H$404,$A$68,入户维修!$O$5:$O$404,"不满意",入户维修!$C$5:$C$404,$A102)+COUNTIFS(公区维修!$F$5:$F$404,$A$68,公区维修!$N$5:$N$404,"不满意",公区维修!$C$5:$C$404,$A102)+COUNTIFS(公区维修!$G$5:$G$404,$A$68,公区维修!$N$5:$N$404,"不满意",公区维修!$C$5:$C$404,$A102)+COUNTIFS(公区维修!$H$5:$H$404,$A$68,公区维修!$N$5:$N$404,"不满意",公区维修!$C$5:$C$404,$A102)</f>
        <v>0</v>
      </c>
      <c r="K102" s="35" t="n">
        <f aca="false">SUM($G102:$J102)</f>
        <v>6</v>
      </c>
      <c r="L102" s="36" t="n">
        <f aca="false">IFERROR(($G102+$H102)/$K102,"")</f>
        <v>1</v>
      </c>
      <c r="M102" s="30"/>
      <c r="N102" s="30"/>
      <c r="O102" s="30"/>
      <c r="P102" s="30"/>
    </row>
    <row r="103" customFormat="false" ht="19.5" hidden="false" customHeight="true" outlineLevel="0" collapsed="false">
      <c r="A103" s="44" t="s">
        <v>79</v>
      </c>
      <c r="B103" s="35" t="n">
        <f aca="false">COUNTIFS(入户维修!$F$5:$F$404,$A$68,入户维修!$E$5:$E$404,"?*",入户维修!$C$5:$C$404,$A103)+COUNTIFS(入户维修!$G$5:$G$404,$A$68,入户维修!$E$5:$E$404,"?*",入户维修!$C$5:$C$404,$A103)+COUNTIFS(入户维修!$H$5:$H$404,$A$68,入户维修!$E$5:$E$404,"?*",入户维修!$C$5:$C$404,$A103)+COUNTIFS(公区维修!$F$5:$F$404,$A$68,公区维修!$E$5:$E$404,"?*",公区维修!$C$5:$C$404,$A103)+COUNTIFS(公区维修!$G$5:$G$404,$A$68,公区维修!$E$5:$E$404,"?*",公区维修!$C$5:$C$404,$A103)+COUNTIFS(公区维修!$H$5:$H$404,$A$68,公区维修!$E$5:$E$404,"?*",公区维修!$C$5:$C$404,$A103)</f>
        <v>6</v>
      </c>
      <c r="C103" s="35" t="n">
        <f aca="false">COUNTIFS(入户维修!$F$5:$F$404,$A$68,入户维修!$K$5:$K$404,"已完成",入户维修!$C$5:$C$404,$A103)+COUNTIFS(入户维修!$G$5:$G$404,$A$68,入户维修!$K$5:$K$404,"已完成",入户维修!$C$5:$C$404,$A103)+COUNTIFS(入户维修!$H$5:$H$404,$A$68,入户维修!$K$5:$K$404,"已完成",入户维修!$C$5:$C$404,$A103)+COUNTIFS(公区维修!$F$5:$F$404,$A$68,公区维修!$K$5:$K$404,"已完成",公区维修!$C$5:$C$404,$A103)+COUNTIFS(公区维修!$G$5:$G$404,$A$68,公区维修!$K$5:$K$404,"已完成",公区维修!$C$5:$C$404,$A103)+COUNTIFS(公区维修!$H$5:$H$404,$A$68,公区维修!$K$5:$K$404,"已完成",公区维修!$C$5:$C$404,$A103)</f>
        <v>6</v>
      </c>
      <c r="D103" s="35" t="n">
        <f aca="false">COUNTIFS(入户维修!$F$5:$F$404,$A$68,入户维修!$K$5:$K$404,"跟进中",入户维修!$C$5:$C$404,$A103)+COUNTIFS(入户维修!$G$5:$G$404,$A$68,入户维修!$K$5:$K$404,"跟进中",入户维修!$C$5:$C$404,$A103)+COUNTIFS(入户维修!$H$5:$H$404,$A$68,入户维修!$K$5:$K$404,"跟进中",入户维修!$C$5:$C$404,$A103)+COUNTIFS(公区维修!$F$5:$F$404,$A$68,公区维修!$K$5:$K$404,"跟进中",公区维修!$C$5:$C$404,$A103)+COUNTIFS(公区维修!$G$5:$G$404,$A$68,公区维修!$K$5:$K$404,"跟进中",公区维修!$C$5:$C$404,$A103)+COUNTIFS(公区维修!$H$5:$H$404,$A$68,公区维修!$K$5:$K$404,"跟进中",公区维修!$C$5:$C$404,$A103)</f>
        <v>0</v>
      </c>
      <c r="E103" s="35" t="n">
        <f aca="false">COUNTIFS(入户维修!$F$5:$F$404,$A$68,入户维修!$K$5:$K$404,"需另约时间",入户维修!$C$5:$C$404,$A103)+COUNTIFS(入户维修!$G$5:$G$404,$A$68,入户维修!$K$5:$K$404,"需另约时间",入户维修!$C$5:$C$404,$A103)+COUNTIFS(入户维修!$H$5:$H$404,$A$68,入户维修!$K$5:$K$404,"需另约时间",入户维修!$C$5:$C$404,$A103)+COUNTIFS(公区维修!$F$5:$F$404,$A$68,公区维修!$K$5:$K$404,"需另约时间",公区维修!$C$5:$C$404,$A103)+COUNTIFS(公区维修!$G$5:$G$404,$A$68,公区维修!$K$5:$K$404,"需另约时间",公区维修!$C$5:$C$404,$A103)+COUNTIFS(公区维修!$H$5:$H$404,$A$68,公区维修!$K$5:$K$404,"需另约时间",公区维修!$C$5:$C$404,$A103)</f>
        <v>0</v>
      </c>
      <c r="F103" s="36" t="n">
        <f aca="false">IFERROR($C103/$B103,"")</f>
        <v>1</v>
      </c>
      <c r="G103" s="35" t="n">
        <f aca="false">COUNTIFS(入户维修!$F$5:$F$404,$A$68,入户维修!$O$5:$O$404,"非常满意",入户维修!$C$5:$C$404,$A103)+COUNTIFS(入户维修!$G$5:$G$404,$A$68,入户维修!$O$5:$O$404,"非常满意",入户维修!$C$5:$C$404,$A103)+COUNTIFS(入户维修!$H$5:$H$404,$A$68,入户维修!$O$5:$O$404,"非常满意",入户维修!$C$5:$C$404,$A103)+COUNTIFS(公区维修!$F$5:$F$404,$A$68,公区维修!$N$5:$N$404,"非常满意",公区维修!$C$5:$C$404,$A103)+COUNTIFS(公区维修!$G$5:$G$404,$A$68,公区维修!$N$5:$N$404,"非常满意",公区维修!$C$5:$C$404,$A103)+COUNTIFS(公区维修!$H$5:$H$404,$A$68,公区维修!$N$5:$N$404,"非常满意",公区维修!$C$5:$C$404,$A103)</f>
        <v>6</v>
      </c>
      <c r="H103" s="35" t="n">
        <f aca="false">COUNTIFS(入户维修!$F$5:$F$404,$A$68,入户维修!$O$5:$O$404,"满意",入户维修!$C$5:$C$404,$A103)+COUNTIFS(入户维修!$G$5:$G$404,$A$68,入户维修!$O$5:$O$404,"满意",入户维修!$C$5:$C$404,$A103)+COUNTIFS(入户维修!$H$5:$H$404,$A$68,入户维修!$O$5:$O$404,"满意",入户维修!$C$5:$C$404,$A103)+COUNTIFS(公区维修!$F$5:$F$404,$A$68,公区维修!$N$5:$N$404,"满意",公区维修!$C$5:$C$404,$A103)+COUNTIFS(公区维修!$G$5:$G$404,$A$68,公区维修!$N$5:$N$404,"满意",公区维修!$C$5:$C$404,$A103)+COUNTIFS(公区维修!$H$5:$H$404,$A$68,公区维修!$N$5:$N$404,"满意",公区维修!$C$5:$C$404,$A103)</f>
        <v>0</v>
      </c>
      <c r="I103" s="35" t="n">
        <f aca="false">COUNTIFS(入户维修!$F$5:$F$404,$A$68,入户维修!$O$5:$O$404,"一般",入户维修!$C$5:$C$404,$A103)+COUNTIFS(入户维修!$G$5:$G$404,$A$68,入户维修!$O$5:$O$404,"一般",入户维修!$C$5:$C$404,$A103)+COUNTIFS(入户维修!$H$5:$H$404,$A$68,入户维修!$O$5:$O$404,"一般",入户维修!$C$5:$C$404,$A103)+COUNTIFS(公区维修!$F$5:$F$404,$A$68,公区维修!$N$5:$N$404,"一般",公区维修!$C$5:$C$404,$A103)+COUNTIFS(公区维修!$G$5:$G$404,$A$68,公区维修!$N$5:$N$404,"一般",公区维修!$C$5:$C$404,$A103)+COUNTIFS(公区维修!$H$5:$H$404,$A$68,公区维修!$N$5:$N$404,"一般",公区维修!$C$5:$C$404,$A103)</f>
        <v>0</v>
      </c>
      <c r="J103" s="35" t="n">
        <f aca="false">COUNTIFS(入户维修!$F$5:$F$404,$A$68,入户维修!$O$5:$O$404,"不满意",入户维修!$C$5:$C$404,$A103)+COUNTIFS(入户维修!$G$5:$G$404,$A$68,入户维修!$O$5:$O$404,"不满意",入户维修!$C$5:$C$404,$A103)+COUNTIFS(入户维修!$H$5:$H$404,$A$68,入户维修!$O$5:$O$404,"不满意",入户维修!$C$5:$C$404,$A103)+COUNTIFS(公区维修!$F$5:$F$404,$A$68,公区维修!$N$5:$N$404,"不满意",公区维修!$C$5:$C$404,$A103)+COUNTIFS(公区维修!$G$5:$G$404,$A$68,公区维修!$N$5:$N$404,"不满意",公区维修!$C$5:$C$404,$A103)+COUNTIFS(公区维修!$H$5:$H$404,$A$68,公区维修!$N$5:$N$404,"不满意",公区维修!$C$5:$C$404,$A103)</f>
        <v>0</v>
      </c>
      <c r="K103" s="35" t="n">
        <f aca="false">SUM($G103:$J103)</f>
        <v>6</v>
      </c>
      <c r="L103" s="36" t="n">
        <f aca="false">IFERROR(($G103+$H103)/$K103,"")</f>
        <v>1</v>
      </c>
      <c r="M103" s="30"/>
      <c r="N103" s="30"/>
      <c r="O103" s="30"/>
      <c r="P103" s="30"/>
    </row>
    <row r="104" customFormat="false" ht="19.5" hidden="false" customHeight="true" outlineLevel="0" collapsed="false">
      <c r="A104" s="44" t="s">
        <v>76</v>
      </c>
      <c r="B104" s="35" t="n">
        <f aca="false">COUNTIFS(入户维修!$F$5:$F$404,$A$68,入户维修!$E$5:$E$404,"?*",入户维修!$C$5:$C$404,$A104)+COUNTIFS(入户维修!$G$5:$G$404,$A$68,入户维修!$E$5:$E$404,"?*",入户维修!$C$5:$C$404,$A104)+COUNTIFS(入户维修!$H$5:$H$404,$A$68,入户维修!$E$5:$E$404,"?*",入户维修!$C$5:$C$404,$A104)+COUNTIFS(公区维修!$F$5:$F$404,$A$68,公区维修!$E$5:$E$404,"?*",公区维修!$C$5:$C$404,$A104)+COUNTIFS(公区维修!$G$5:$G$404,$A$68,公区维修!$E$5:$E$404,"?*",公区维修!$C$5:$C$404,$A104)+COUNTIFS(公区维修!$H$5:$H$404,$A$68,公区维修!$E$5:$E$404,"?*",公区维修!$C$5:$C$404,$A104)</f>
        <v>8</v>
      </c>
      <c r="C104" s="35" t="n">
        <f aca="false">COUNTIFS(入户维修!$F$5:$F$404,$A$68,入户维修!$K$5:$K$404,"已完成",入户维修!$C$5:$C$404,$A104)+COUNTIFS(入户维修!$G$5:$G$404,$A$68,入户维修!$K$5:$K$404,"已完成",入户维修!$C$5:$C$404,$A104)+COUNTIFS(入户维修!$H$5:$H$404,$A$68,入户维修!$K$5:$K$404,"已完成",入户维修!$C$5:$C$404,$A104)+COUNTIFS(公区维修!$F$5:$F$404,$A$68,公区维修!$K$5:$K$404,"已完成",公区维修!$C$5:$C$404,$A104)+COUNTIFS(公区维修!$G$5:$G$404,$A$68,公区维修!$K$5:$K$404,"已完成",公区维修!$C$5:$C$404,$A104)+COUNTIFS(公区维修!$H$5:$H$404,$A$68,公区维修!$K$5:$K$404,"已完成",公区维修!$C$5:$C$404,$A104)</f>
        <v>6</v>
      </c>
      <c r="D104" s="35" t="n">
        <f aca="false">COUNTIFS(入户维修!$F$5:$F$404,$A$68,入户维修!$K$5:$K$404,"跟进中",入户维修!$C$5:$C$404,$A104)+COUNTIFS(入户维修!$G$5:$G$404,$A$68,入户维修!$K$5:$K$404,"跟进中",入户维修!$C$5:$C$404,$A104)+COUNTIFS(入户维修!$H$5:$H$404,$A$68,入户维修!$K$5:$K$404,"跟进中",入户维修!$C$5:$C$404,$A104)+COUNTIFS(公区维修!$F$5:$F$404,$A$68,公区维修!$K$5:$K$404,"跟进中",公区维修!$C$5:$C$404,$A104)+COUNTIFS(公区维修!$G$5:$G$404,$A$68,公区维修!$K$5:$K$404,"跟进中",公区维修!$C$5:$C$404,$A104)+COUNTIFS(公区维修!$H$5:$H$404,$A$68,公区维修!$K$5:$K$404,"跟进中",公区维修!$C$5:$C$404,$A104)</f>
        <v>2</v>
      </c>
      <c r="E104" s="35" t="n">
        <f aca="false">COUNTIFS(入户维修!$F$5:$F$404,$A$68,入户维修!$K$5:$K$404,"需另约时间",入户维修!$C$5:$C$404,$A104)+COUNTIFS(入户维修!$G$5:$G$404,$A$68,入户维修!$K$5:$K$404,"需另约时间",入户维修!$C$5:$C$404,$A104)+COUNTIFS(入户维修!$H$5:$H$404,$A$68,入户维修!$K$5:$K$404,"需另约时间",入户维修!$C$5:$C$404,$A104)+COUNTIFS(公区维修!$F$5:$F$404,$A$68,公区维修!$K$5:$K$404,"需另约时间",公区维修!$C$5:$C$404,$A104)+COUNTIFS(公区维修!$G$5:$G$404,$A$68,公区维修!$K$5:$K$404,"需另约时间",公区维修!$C$5:$C$404,$A104)+COUNTIFS(公区维修!$H$5:$H$404,$A$68,公区维修!$K$5:$K$404,"需另约时间",公区维修!$C$5:$C$404,$A104)</f>
        <v>0</v>
      </c>
      <c r="F104" s="36" t="n">
        <f aca="false">IFERROR($C104/$B104,"")</f>
        <v>0.75</v>
      </c>
      <c r="G104" s="35" t="n">
        <f aca="false">COUNTIFS(入户维修!$F$5:$F$404,$A$68,入户维修!$O$5:$O$404,"非常满意",入户维修!$C$5:$C$404,$A104)+COUNTIFS(入户维修!$G$5:$G$404,$A$68,入户维修!$O$5:$O$404,"非常满意",入户维修!$C$5:$C$404,$A104)+COUNTIFS(入户维修!$H$5:$H$404,$A$68,入户维修!$O$5:$O$404,"非常满意",入户维修!$C$5:$C$404,$A104)+COUNTIFS(公区维修!$F$5:$F$404,$A$68,公区维修!$N$5:$N$404,"非常满意",公区维修!$C$5:$C$404,$A104)+COUNTIFS(公区维修!$G$5:$G$404,$A$68,公区维修!$N$5:$N$404,"非常满意",公区维修!$C$5:$C$404,$A104)+COUNTIFS(公区维修!$H$5:$H$404,$A$68,公区维修!$N$5:$N$404,"非常满意",公区维修!$C$5:$C$404,$A104)</f>
        <v>4</v>
      </c>
      <c r="H104" s="35" t="n">
        <f aca="false">COUNTIFS(入户维修!$F$5:$F$404,$A$68,入户维修!$O$5:$O$404,"满意",入户维修!$C$5:$C$404,$A104)+COUNTIFS(入户维修!$G$5:$G$404,$A$68,入户维修!$O$5:$O$404,"满意",入户维修!$C$5:$C$404,$A104)+COUNTIFS(入户维修!$H$5:$H$404,$A$68,入户维修!$O$5:$O$404,"满意",入户维修!$C$5:$C$404,$A104)+COUNTIFS(公区维修!$F$5:$F$404,$A$68,公区维修!$N$5:$N$404,"满意",公区维修!$C$5:$C$404,$A104)+COUNTIFS(公区维修!$G$5:$G$404,$A$68,公区维修!$N$5:$N$404,"满意",公区维修!$C$5:$C$404,$A104)+COUNTIFS(公区维修!$H$5:$H$404,$A$68,公区维修!$N$5:$N$404,"满意",公区维修!$C$5:$C$404,$A104)</f>
        <v>2</v>
      </c>
      <c r="I104" s="35" t="n">
        <f aca="false">COUNTIFS(入户维修!$F$5:$F$404,$A$68,入户维修!$O$5:$O$404,"一般",入户维修!$C$5:$C$404,$A104)+COUNTIFS(入户维修!$G$5:$G$404,$A$68,入户维修!$O$5:$O$404,"一般",入户维修!$C$5:$C$404,$A104)+COUNTIFS(入户维修!$H$5:$H$404,$A$68,入户维修!$O$5:$O$404,"一般",入户维修!$C$5:$C$404,$A104)+COUNTIFS(公区维修!$F$5:$F$404,$A$68,公区维修!$N$5:$N$404,"一般",公区维修!$C$5:$C$404,$A104)+COUNTIFS(公区维修!$G$5:$G$404,$A$68,公区维修!$N$5:$N$404,"一般",公区维修!$C$5:$C$404,$A104)+COUNTIFS(公区维修!$H$5:$H$404,$A$68,公区维修!$N$5:$N$404,"一般",公区维修!$C$5:$C$404,$A104)</f>
        <v>0</v>
      </c>
      <c r="J104" s="35" t="n">
        <f aca="false">COUNTIFS(入户维修!$F$5:$F$404,$A$68,入户维修!$O$5:$O$404,"不满意",入户维修!$C$5:$C$404,$A104)+COUNTIFS(入户维修!$G$5:$G$404,$A$68,入户维修!$O$5:$O$404,"不满意",入户维修!$C$5:$C$404,$A104)+COUNTIFS(入户维修!$H$5:$H$404,$A$68,入户维修!$O$5:$O$404,"不满意",入户维修!$C$5:$C$404,$A104)+COUNTIFS(公区维修!$F$5:$F$404,$A$68,公区维修!$N$5:$N$404,"不满意",公区维修!$C$5:$C$404,$A104)+COUNTIFS(公区维修!$G$5:$G$404,$A$68,公区维修!$N$5:$N$404,"不满意",公区维修!$C$5:$C$404,$A104)+COUNTIFS(公区维修!$H$5:$H$404,$A$68,公区维修!$N$5:$N$404,"不满意",公区维修!$C$5:$C$404,$A104)</f>
        <v>0</v>
      </c>
      <c r="K104" s="35" t="n">
        <f aca="false">SUM($G104:$J104)</f>
        <v>6</v>
      </c>
      <c r="L104" s="36" t="n">
        <f aca="false">IFERROR(($G104+$H104)/$K104,"")</f>
        <v>1</v>
      </c>
      <c r="M104" s="30"/>
      <c r="N104" s="30"/>
      <c r="O104" s="30"/>
      <c r="P104" s="30"/>
    </row>
    <row r="105" customFormat="false" ht="19.5" hidden="false" customHeight="true" outlineLevel="0" collapsed="false">
      <c r="A105" s="44" t="s">
        <v>93</v>
      </c>
      <c r="B105" s="35" t="n">
        <f aca="false">COUNTIFS(入户维修!$F$5:$F$404,$A$68,入户维修!$E$5:$E$404,"?*",入户维修!$C$5:$C$404,$A105)+COUNTIFS(入户维修!$G$5:$G$404,$A$68,入户维修!$E$5:$E$404,"?*",入户维修!$C$5:$C$404,$A105)+COUNTIFS(入户维修!$H$5:$H$404,$A$68,入户维修!$E$5:$E$404,"?*",入户维修!$C$5:$C$404,$A105)+COUNTIFS(公区维修!$F$5:$F$404,$A$68,公区维修!$E$5:$E$404,"?*",公区维修!$C$5:$C$404,$A105)+COUNTIFS(公区维修!$G$5:$G$404,$A$68,公区维修!$E$5:$E$404,"?*",公区维修!$C$5:$C$404,$A105)+COUNTIFS(公区维修!$H$5:$H$404,$A$68,公区维修!$E$5:$E$404,"?*",公区维修!$C$5:$C$404,$A105)</f>
        <v>3</v>
      </c>
      <c r="C105" s="35" t="n">
        <f aca="false">COUNTIFS(入户维修!$F$5:$F$404,$A$68,入户维修!$K$5:$K$404,"已完成",入户维修!$C$5:$C$404,$A105)+COUNTIFS(入户维修!$G$5:$G$404,$A$68,入户维修!$K$5:$K$404,"已完成",入户维修!$C$5:$C$404,$A105)+COUNTIFS(入户维修!$H$5:$H$404,$A$68,入户维修!$K$5:$K$404,"已完成",入户维修!$C$5:$C$404,$A105)+COUNTIFS(公区维修!$F$5:$F$404,$A$68,公区维修!$K$5:$K$404,"已完成",公区维修!$C$5:$C$404,$A105)+COUNTIFS(公区维修!$G$5:$G$404,$A$68,公区维修!$K$5:$K$404,"已完成",公区维修!$C$5:$C$404,$A105)+COUNTIFS(公区维修!$H$5:$H$404,$A$68,公区维修!$K$5:$K$404,"已完成",公区维修!$C$5:$C$404,$A105)</f>
        <v>2</v>
      </c>
      <c r="D105" s="35" t="n">
        <f aca="false">COUNTIFS(入户维修!$F$5:$F$404,$A$68,入户维修!$K$5:$K$404,"跟进中",入户维修!$C$5:$C$404,$A105)+COUNTIFS(入户维修!$G$5:$G$404,$A$68,入户维修!$K$5:$K$404,"跟进中",入户维修!$C$5:$C$404,$A105)+COUNTIFS(入户维修!$H$5:$H$404,$A$68,入户维修!$K$5:$K$404,"跟进中",入户维修!$C$5:$C$404,$A105)+COUNTIFS(公区维修!$F$5:$F$404,$A$68,公区维修!$K$5:$K$404,"跟进中",公区维修!$C$5:$C$404,$A105)+COUNTIFS(公区维修!$G$5:$G$404,$A$68,公区维修!$K$5:$K$404,"跟进中",公区维修!$C$5:$C$404,$A105)+COUNTIFS(公区维修!$H$5:$H$404,$A$68,公区维修!$K$5:$K$404,"跟进中",公区维修!$C$5:$C$404,$A105)</f>
        <v>1</v>
      </c>
      <c r="E105" s="35" t="n">
        <f aca="false">COUNTIFS(入户维修!$F$5:$F$404,$A$68,入户维修!$K$5:$K$404,"需另约时间",入户维修!$C$5:$C$404,$A105)+COUNTIFS(入户维修!$G$5:$G$404,$A$68,入户维修!$K$5:$K$404,"需另约时间",入户维修!$C$5:$C$404,$A105)+COUNTIFS(入户维修!$H$5:$H$404,$A$68,入户维修!$K$5:$K$404,"需另约时间",入户维修!$C$5:$C$404,$A105)+COUNTIFS(公区维修!$F$5:$F$404,$A$68,公区维修!$K$5:$K$404,"需另约时间",公区维修!$C$5:$C$404,$A105)+COUNTIFS(公区维修!$G$5:$G$404,$A$68,公区维修!$K$5:$K$404,"需另约时间",公区维修!$C$5:$C$404,$A105)+COUNTIFS(公区维修!$H$5:$H$404,$A$68,公区维修!$K$5:$K$404,"需另约时间",公区维修!$C$5:$C$404,$A105)</f>
        <v>0</v>
      </c>
      <c r="F105" s="36" t="n">
        <f aca="false">IFERROR($C105/$B105,"")</f>
        <v>0.666666666666667</v>
      </c>
      <c r="G105" s="35" t="n">
        <f aca="false">COUNTIFS(入户维修!$F$5:$F$404,$A$68,入户维修!$O$5:$O$404,"非常满意",入户维修!$C$5:$C$404,$A105)+COUNTIFS(入户维修!$G$5:$G$404,$A$68,入户维修!$O$5:$O$404,"非常满意",入户维修!$C$5:$C$404,$A105)+COUNTIFS(入户维修!$H$5:$H$404,$A$68,入户维修!$O$5:$O$404,"非常满意",入户维修!$C$5:$C$404,$A105)+COUNTIFS(公区维修!$F$5:$F$404,$A$68,公区维修!$N$5:$N$404,"非常满意",公区维修!$C$5:$C$404,$A105)+COUNTIFS(公区维修!$G$5:$G$404,$A$68,公区维修!$N$5:$N$404,"非常满意",公区维修!$C$5:$C$404,$A105)+COUNTIFS(公区维修!$H$5:$H$404,$A$68,公区维修!$N$5:$N$404,"非常满意",公区维修!$C$5:$C$404,$A105)</f>
        <v>2</v>
      </c>
      <c r="H105" s="35" t="n">
        <f aca="false">COUNTIFS(入户维修!$F$5:$F$404,$A$68,入户维修!$O$5:$O$404,"满意",入户维修!$C$5:$C$404,$A105)+COUNTIFS(入户维修!$G$5:$G$404,$A$68,入户维修!$O$5:$O$404,"满意",入户维修!$C$5:$C$404,$A105)+COUNTIFS(入户维修!$H$5:$H$404,$A$68,入户维修!$O$5:$O$404,"满意",入户维修!$C$5:$C$404,$A105)+COUNTIFS(公区维修!$F$5:$F$404,$A$68,公区维修!$N$5:$N$404,"满意",公区维修!$C$5:$C$404,$A105)+COUNTIFS(公区维修!$G$5:$G$404,$A$68,公区维修!$N$5:$N$404,"满意",公区维修!$C$5:$C$404,$A105)+COUNTIFS(公区维修!$H$5:$H$404,$A$68,公区维修!$N$5:$N$404,"满意",公区维修!$C$5:$C$404,$A105)</f>
        <v>0</v>
      </c>
      <c r="I105" s="35" t="n">
        <f aca="false">COUNTIFS(入户维修!$F$5:$F$404,$A$68,入户维修!$O$5:$O$404,"一般",入户维修!$C$5:$C$404,$A105)+COUNTIFS(入户维修!$G$5:$G$404,$A$68,入户维修!$O$5:$O$404,"一般",入户维修!$C$5:$C$404,$A105)+COUNTIFS(入户维修!$H$5:$H$404,$A$68,入户维修!$O$5:$O$404,"一般",入户维修!$C$5:$C$404,$A105)+COUNTIFS(公区维修!$F$5:$F$404,$A$68,公区维修!$N$5:$N$404,"一般",公区维修!$C$5:$C$404,$A105)+COUNTIFS(公区维修!$G$5:$G$404,$A$68,公区维修!$N$5:$N$404,"一般",公区维修!$C$5:$C$404,$A105)+COUNTIFS(公区维修!$H$5:$H$404,$A$68,公区维修!$N$5:$N$404,"一般",公区维修!$C$5:$C$404,$A105)</f>
        <v>0</v>
      </c>
      <c r="J105" s="35" t="n">
        <f aca="false">COUNTIFS(入户维修!$F$5:$F$404,$A$68,入户维修!$O$5:$O$404,"不满意",入户维修!$C$5:$C$404,$A105)+COUNTIFS(入户维修!$G$5:$G$404,$A$68,入户维修!$O$5:$O$404,"不满意",入户维修!$C$5:$C$404,$A105)+COUNTIFS(入户维修!$H$5:$H$404,$A$68,入户维修!$O$5:$O$404,"不满意",入户维修!$C$5:$C$404,$A105)+COUNTIFS(公区维修!$F$5:$F$404,$A$68,公区维修!$N$5:$N$404,"不满意",公区维修!$C$5:$C$404,$A105)+COUNTIFS(公区维修!$G$5:$G$404,$A$68,公区维修!$N$5:$N$404,"不满意",公区维修!$C$5:$C$404,$A105)+COUNTIFS(公区维修!$H$5:$H$404,$A$68,公区维修!$N$5:$N$404,"不满意",公区维修!$C$5:$C$404,$A105)</f>
        <v>0</v>
      </c>
      <c r="K105" s="35" t="n">
        <f aca="false">SUM($G105:$J105)</f>
        <v>2</v>
      </c>
      <c r="L105" s="36" t="n">
        <f aca="false">IFERROR(($G105+$H105)/$K105,"")</f>
        <v>1</v>
      </c>
      <c r="M105" s="30"/>
      <c r="N105" s="30"/>
      <c r="O105" s="30"/>
      <c r="P105" s="30"/>
    </row>
    <row r="106" customFormat="false" ht="19.5" hidden="false" customHeight="true" outlineLevel="0" collapsed="false">
      <c r="A106" s="34" t="s">
        <v>180</v>
      </c>
      <c r="B106" s="35" t="n">
        <f aca="false">COUNTIFS(入户维修!$F$5:$F$404,$A$68,入户维修!$E$5:$E$404,"?*",入户维修!$C$5:$C$404,$A106)+COUNTIFS(入户维修!$G$5:$G$404,$A$68,入户维修!$E$5:$E$404,"?*",入户维修!$C$5:$C$404,$A106)+COUNTIFS(入户维修!$H$5:$H$404,$A$68,入户维修!$E$5:$E$404,"?*",入户维修!$C$5:$C$404,$A106)+COUNTIFS(公区维修!$F$5:$F$404,$A$68,公区维修!$E$5:$E$404,"?*",公区维修!$C$5:$C$404,$A106)+COUNTIFS(公区维修!$G$5:$G$404,$A$68,公区维修!$E$5:$E$404,"?*",公区维修!$C$5:$C$404,$A106)+COUNTIFS(公区维修!$H$5:$H$404,$A$68,公区维修!$E$5:$E$404,"?*",公区维修!$C$5:$C$404,$A106)</f>
        <v>0</v>
      </c>
      <c r="C106" s="35" t="n">
        <f aca="false">COUNTIFS(入户维修!$F$5:$F$404,$A$68,入户维修!$K$5:$K$404,"已完成",入户维修!$C$5:$C$404,$A106)+COUNTIFS(入户维修!$G$5:$G$404,$A$68,入户维修!$K$5:$K$404,"已完成",入户维修!$C$5:$C$404,$A106)+COUNTIFS(入户维修!$H$5:$H$404,$A$68,入户维修!$K$5:$K$404,"已完成",入户维修!$C$5:$C$404,$A106)+COUNTIFS(公区维修!$F$5:$F$404,$A$68,公区维修!$K$5:$K$404,"已完成",公区维修!$C$5:$C$404,$A106)+COUNTIFS(公区维修!$G$5:$G$404,$A$68,公区维修!$K$5:$K$404,"已完成",公区维修!$C$5:$C$404,$A106)+COUNTIFS(公区维修!$H$5:$H$404,$A$68,公区维修!$K$5:$K$404,"已完成",公区维修!$C$5:$C$404,$A106)</f>
        <v>0</v>
      </c>
      <c r="D106" s="35" t="n">
        <f aca="false">COUNTIFS(入户维修!$F$5:$F$404,$A$68,入户维修!$K$5:$K$404,"跟进中",入户维修!$C$5:$C$404,$A106)+COUNTIFS(入户维修!$G$5:$G$404,$A$68,入户维修!$K$5:$K$404,"跟进中",入户维修!$C$5:$C$404,$A106)+COUNTIFS(入户维修!$H$5:$H$404,$A$68,入户维修!$K$5:$K$404,"跟进中",入户维修!$C$5:$C$404,$A106)+COUNTIFS(公区维修!$F$5:$F$404,$A$68,公区维修!$K$5:$K$404,"跟进中",公区维修!$C$5:$C$404,$A106)+COUNTIFS(公区维修!$G$5:$G$404,$A$68,公区维修!$K$5:$K$404,"跟进中",公区维修!$C$5:$C$404,$A106)+COUNTIFS(公区维修!$H$5:$H$404,$A$68,公区维修!$K$5:$K$404,"跟进中",公区维修!$C$5:$C$404,$A106)</f>
        <v>0</v>
      </c>
      <c r="E106" s="35" t="n">
        <f aca="false">COUNTIFS(入户维修!$F$5:$F$404,$A$68,入户维修!$K$5:$K$404,"需另约时间",入户维修!$C$5:$C$404,$A106)+COUNTIFS(入户维修!$G$5:$G$404,$A$68,入户维修!$K$5:$K$404,"需另约时间",入户维修!$C$5:$C$404,$A106)+COUNTIFS(入户维修!$H$5:$H$404,$A$68,入户维修!$K$5:$K$404,"需另约时间",入户维修!$C$5:$C$404,$A106)+COUNTIFS(公区维修!$F$5:$F$404,$A$68,公区维修!$K$5:$K$404,"需另约时间",公区维修!$C$5:$C$404,$A106)+COUNTIFS(公区维修!$G$5:$G$404,$A$68,公区维修!$K$5:$K$404,"需另约时间",公区维修!$C$5:$C$404,$A106)+COUNTIFS(公区维修!$H$5:$H$404,$A$68,公区维修!$K$5:$K$404,"需另约时间",公区维修!$C$5:$C$404,$A106)</f>
        <v>0</v>
      </c>
      <c r="F106" s="36" t="str">
        <f aca="false">IFERROR($C106/$B106,"")</f>
        <v/>
      </c>
      <c r="G106" s="35" t="n">
        <f aca="false">COUNTIFS(入户维修!$F$5:$F$404,$A$68,入户维修!$O$5:$O$404,"非常满意",入户维修!$C$5:$C$404,$A106)+COUNTIFS(入户维修!$G$5:$G$404,$A$68,入户维修!$O$5:$O$404,"非常满意",入户维修!$C$5:$C$404,$A106)+COUNTIFS(入户维修!$H$5:$H$404,$A$68,入户维修!$O$5:$O$404,"非常满意",入户维修!$C$5:$C$404,$A106)+COUNTIFS(公区维修!$F$5:$F$404,$A$68,公区维修!$N$5:$N$404,"非常满意",公区维修!$C$5:$C$404,$A106)+COUNTIFS(公区维修!$G$5:$G$404,$A$68,公区维修!$N$5:$N$404,"非常满意",公区维修!$C$5:$C$404,$A106)+COUNTIFS(公区维修!$H$5:$H$404,$A$68,公区维修!$N$5:$N$404,"非常满意",公区维修!$C$5:$C$404,$A106)</f>
        <v>0</v>
      </c>
      <c r="H106" s="35" t="n">
        <f aca="false">COUNTIFS(入户维修!$F$5:$F$404,$A$68,入户维修!$O$5:$O$404,"满意",入户维修!$C$5:$C$404,$A106)+COUNTIFS(入户维修!$G$5:$G$404,$A$68,入户维修!$O$5:$O$404,"满意",入户维修!$C$5:$C$404,$A106)+COUNTIFS(入户维修!$H$5:$H$404,$A$68,入户维修!$O$5:$O$404,"满意",入户维修!$C$5:$C$404,$A106)+COUNTIFS(公区维修!$F$5:$F$404,$A$68,公区维修!$N$5:$N$404,"满意",公区维修!$C$5:$C$404,$A106)+COUNTIFS(公区维修!$G$5:$G$404,$A$68,公区维修!$N$5:$N$404,"满意",公区维修!$C$5:$C$404,$A106)+COUNTIFS(公区维修!$H$5:$H$404,$A$68,公区维修!$N$5:$N$404,"满意",公区维修!$C$5:$C$404,$A106)</f>
        <v>0</v>
      </c>
      <c r="I106" s="35" t="n">
        <f aca="false">COUNTIFS(入户维修!$F$5:$F$404,$A$68,入户维修!$O$5:$O$404,"一般",入户维修!$C$5:$C$404,$A106)+COUNTIFS(入户维修!$G$5:$G$404,$A$68,入户维修!$O$5:$O$404,"一般",入户维修!$C$5:$C$404,$A106)+COUNTIFS(入户维修!$H$5:$H$404,$A$68,入户维修!$O$5:$O$404,"一般",入户维修!$C$5:$C$404,$A106)+COUNTIFS(公区维修!$F$5:$F$404,$A$68,公区维修!$N$5:$N$404,"一般",公区维修!$C$5:$C$404,$A106)+COUNTIFS(公区维修!$G$5:$G$404,$A$68,公区维修!$N$5:$N$404,"一般",公区维修!$C$5:$C$404,$A106)+COUNTIFS(公区维修!$H$5:$H$404,$A$68,公区维修!$N$5:$N$404,"一般",公区维修!$C$5:$C$404,$A106)</f>
        <v>0</v>
      </c>
      <c r="J106" s="35" t="n">
        <f aca="false">COUNTIFS(入户维修!$F$5:$F$404,$A$68,入户维修!$O$5:$O$404,"不满意",入户维修!$C$5:$C$404,$A106)+COUNTIFS(入户维修!$G$5:$G$404,$A$68,入户维修!$O$5:$O$404,"不满意",入户维修!$C$5:$C$404,$A106)+COUNTIFS(入户维修!$H$5:$H$404,$A$68,入户维修!$O$5:$O$404,"不满意",入户维修!$C$5:$C$404,$A106)+COUNTIFS(公区维修!$F$5:$F$404,$A$68,公区维修!$N$5:$N$404,"不满意",公区维修!$C$5:$C$404,$A106)+COUNTIFS(公区维修!$G$5:$G$404,$A$68,公区维修!$N$5:$N$404,"不满意",公区维修!$C$5:$C$404,$A106)+COUNTIFS(公区维修!$H$5:$H$404,$A$68,公区维修!$N$5:$N$404,"不满意",公区维修!$C$5:$C$404,$A106)</f>
        <v>0</v>
      </c>
      <c r="K106" s="35" t="n">
        <f aca="false">SUM($G106:$J106)</f>
        <v>0</v>
      </c>
      <c r="L106" s="36" t="str">
        <f aca="false">IFERROR(($G106+$H106)/$K106,"")</f>
        <v/>
      </c>
      <c r="M106" s="30"/>
      <c r="N106" s="30"/>
      <c r="O106" s="30"/>
      <c r="P106" s="30"/>
    </row>
    <row r="107" customFormat="false" ht="19.5" hidden="false" customHeight="true" outlineLevel="0" collapsed="false">
      <c r="A107" s="34" t="s">
        <v>385</v>
      </c>
      <c r="B107" s="35" t="n">
        <f aca="false">COUNTIFS(入户维修!$F$5:$F$404,$A$68,入户维修!$E$5:$E$404,"?*",入户维修!$C$5:$C$404,$A107)+COUNTIFS(入户维修!$G$5:$G$404,$A$68,入户维修!$E$5:$E$404,"?*",入户维修!$C$5:$C$404,$A107)+COUNTIFS(入户维修!$H$5:$H$404,$A$68,入户维修!$E$5:$E$404,"?*",入户维修!$C$5:$C$404,$A107)+COUNTIFS(公区维修!$F$5:$F$404,$A$68,公区维修!$E$5:$E$404,"?*",公区维修!$C$5:$C$404,$A107)+COUNTIFS(公区维修!$G$5:$G$404,$A$68,公区维修!$E$5:$E$404,"?*",公区维修!$C$5:$C$404,$A107)+COUNTIFS(公区维修!$H$5:$H$404,$A$68,公区维修!$E$5:$E$404,"?*",公区维修!$C$5:$C$404,$A107)</f>
        <v>0</v>
      </c>
      <c r="C107" s="35" t="n">
        <f aca="false">COUNTIFS(入户维修!$F$5:$F$404,$A$68,入户维修!$K$5:$K$404,"已完成",入户维修!$C$5:$C$404,$A107)+COUNTIFS(入户维修!$G$5:$G$404,$A$68,入户维修!$K$5:$K$404,"已完成",入户维修!$C$5:$C$404,$A107)+COUNTIFS(入户维修!$H$5:$H$404,$A$68,入户维修!$K$5:$K$404,"已完成",入户维修!$C$5:$C$404,$A107)+COUNTIFS(公区维修!$F$5:$F$404,$A$68,公区维修!$K$5:$K$404,"已完成",公区维修!$C$5:$C$404,$A107)+COUNTIFS(公区维修!$G$5:$G$404,$A$68,公区维修!$K$5:$K$404,"已完成",公区维修!$C$5:$C$404,$A107)+COUNTIFS(公区维修!$H$5:$H$404,$A$68,公区维修!$K$5:$K$404,"已完成",公区维修!$C$5:$C$404,$A107)</f>
        <v>0</v>
      </c>
      <c r="D107" s="35" t="n">
        <f aca="false">COUNTIFS(入户维修!$F$5:$F$404,$A$68,入户维修!$K$5:$K$404,"跟进中",入户维修!$C$5:$C$404,$A107)+COUNTIFS(入户维修!$G$5:$G$404,$A$68,入户维修!$K$5:$K$404,"跟进中",入户维修!$C$5:$C$404,$A107)+COUNTIFS(入户维修!$H$5:$H$404,$A$68,入户维修!$K$5:$K$404,"跟进中",入户维修!$C$5:$C$404,$A107)+COUNTIFS(公区维修!$F$5:$F$404,$A$68,公区维修!$K$5:$K$404,"跟进中",公区维修!$C$5:$C$404,$A107)+COUNTIFS(公区维修!$G$5:$G$404,$A$68,公区维修!$K$5:$K$404,"跟进中",公区维修!$C$5:$C$404,$A107)+COUNTIFS(公区维修!$H$5:$H$404,$A$68,公区维修!$K$5:$K$404,"跟进中",公区维修!$C$5:$C$404,$A107)</f>
        <v>0</v>
      </c>
      <c r="E107" s="35" t="n">
        <f aca="false">COUNTIFS(入户维修!$F$5:$F$404,$A$68,入户维修!$K$5:$K$404,"需另约时间",入户维修!$C$5:$C$404,$A107)+COUNTIFS(入户维修!$G$5:$G$404,$A$68,入户维修!$K$5:$K$404,"需另约时间",入户维修!$C$5:$C$404,$A107)+COUNTIFS(入户维修!$H$5:$H$404,$A$68,入户维修!$K$5:$K$404,"需另约时间",入户维修!$C$5:$C$404,$A107)+COUNTIFS(公区维修!$F$5:$F$404,$A$68,公区维修!$K$5:$K$404,"需另约时间",公区维修!$C$5:$C$404,$A107)+COUNTIFS(公区维修!$G$5:$G$404,$A$68,公区维修!$K$5:$K$404,"需另约时间",公区维修!$C$5:$C$404,$A107)+COUNTIFS(公区维修!$H$5:$H$404,$A$68,公区维修!$K$5:$K$404,"需另约时间",公区维修!$C$5:$C$404,$A107)</f>
        <v>0</v>
      </c>
      <c r="F107" s="36" t="str">
        <f aca="false">IFERROR($C107/$B107,"")</f>
        <v/>
      </c>
      <c r="G107" s="35" t="n">
        <f aca="false">COUNTIFS(入户维修!$F$5:$F$404,$A$68,入户维修!$O$5:$O$404,"非常满意",入户维修!$C$5:$C$404,$A107)+COUNTIFS(入户维修!$G$5:$G$404,$A$68,入户维修!$O$5:$O$404,"非常满意",入户维修!$C$5:$C$404,$A107)+COUNTIFS(入户维修!$H$5:$H$404,$A$68,入户维修!$O$5:$O$404,"非常满意",入户维修!$C$5:$C$404,$A107)+COUNTIFS(公区维修!$F$5:$F$404,$A$68,公区维修!$N$5:$N$404,"非常满意",公区维修!$C$5:$C$404,$A107)+COUNTIFS(公区维修!$G$5:$G$404,$A$68,公区维修!$N$5:$N$404,"非常满意",公区维修!$C$5:$C$404,$A107)+COUNTIFS(公区维修!$H$5:$H$404,$A$68,公区维修!$N$5:$N$404,"非常满意",公区维修!$C$5:$C$404,$A107)</f>
        <v>0</v>
      </c>
      <c r="H107" s="35" t="n">
        <f aca="false">COUNTIFS(入户维修!$F$5:$F$404,$A$68,入户维修!$O$5:$O$404,"满意",入户维修!$C$5:$C$404,$A107)+COUNTIFS(入户维修!$G$5:$G$404,$A$68,入户维修!$O$5:$O$404,"满意",入户维修!$C$5:$C$404,$A107)+COUNTIFS(入户维修!$H$5:$H$404,$A$68,入户维修!$O$5:$O$404,"满意",入户维修!$C$5:$C$404,$A107)+COUNTIFS(公区维修!$F$5:$F$404,$A$68,公区维修!$N$5:$N$404,"满意",公区维修!$C$5:$C$404,$A107)+COUNTIFS(公区维修!$G$5:$G$404,$A$68,公区维修!$N$5:$N$404,"满意",公区维修!$C$5:$C$404,$A107)+COUNTIFS(公区维修!$H$5:$H$404,$A$68,公区维修!$N$5:$N$404,"满意",公区维修!$C$5:$C$404,$A107)</f>
        <v>0</v>
      </c>
      <c r="I107" s="35" t="n">
        <f aca="false">COUNTIFS(入户维修!$F$5:$F$404,$A$68,入户维修!$O$5:$O$404,"一般",入户维修!$C$5:$C$404,$A107)+COUNTIFS(入户维修!$G$5:$G$404,$A$68,入户维修!$O$5:$O$404,"一般",入户维修!$C$5:$C$404,$A107)+COUNTIFS(入户维修!$H$5:$H$404,$A$68,入户维修!$O$5:$O$404,"一般",入户维修!$C$5:$C$404,$A107)+COUNTIFS(公区维修!$F$5:$F$404,$A$68,公区维修!$N$5:$N$404,"一般",公区维修!$C$5:$C$404,$A107)+COUNTIFS(公区维修!$G$5:$G$404,$A$68,公区维修!$N$5:$N$404,"一般",公区维修!$C$5:$C$404,$A107)+COUNTIFS(公区维修!$H$5:$H$404,$A$68,公区维修!$N$5:$N$404,"一般",公区维修!$C$5:$C$404,$A107)</f>
        <v>0</v>
      </c>
      <c r="J107" s="35" t="n">
        <f aca="false">COUNTIFS(入户维修!$F$5:$F$404,$A$68,入户维修!$O$5:$O$404,"不满意",入户维修!$C$5:$C$404,$A107)+COUNTIFS(入户维修!$G$5:$G$404,$A$68,入户维修!$O$5:$O$404,"不满意",入户维修!$C$5:$C$404,$A107)+COUNTIFS(入户维修!$H$5:$H$404,$A$68,入户维修!$O$5:$O$404,"不满意",入户维修!$C$5:$C$404,$A107)+COUNTIFS(公区维修!$F$5:$F$404,$A$68,公区维修!$N$5:$N$404,"不满意",公区维修!$C$5:$C$404,$A107)+COUNTIFS(公区维修!$G$5:$G$404,$A$68,公区维修!$N$5:$N$404,"不满意",公区维修!$C$5:$C$404,$A107)+COUNTIFS(公区维修!$H$5:$H$404,$A$68,公区维修!$N$5:$N$404,"不满意",公区维修!$C$5:$C$404,$A107)</f>
        <v>0</v>
      </c>
      <c r="K107" s="35" t="n">
        <f aca="false">SUM($G107:$J107)</f>
        <v>0</v>
      </c>
      <c r="L107" s="36" t="str">
        <f aca="false">IFERROR(($G107+$H107)/$K107,"")</f>
        <v/>
      </c>
      <c r="M107" s="30"/>
      <c r="N107" s="30"/>
      <c r="O107" s="30"/>
      <c r="P107" s="30"/>
    </row>
    <row r="108" customFormat="false" ht="19.5" hidden="false" customHeight="true" outlineLevel="0" collapsed="false">
      <c r="A108" s="34" t="s">
        <v>456</v>
      </c>
      <c r="B108" s="35" t="n">
        <f aca="false">COUNTIFS(入户维修!$F$5:$F$404,$A$68,入户维修!$E$5:$E$404,"?*",入户维修!$C$5:$C$404,"")+COUNTIFS(入户维修!$G$5:$G$404,$A$68,入户维修!$E$5:$E$404,"?*",入户维修!$C$5:$C$404,"")+COUNTIFS(入户维修!$H$5:$H$404,$A$68,入户维修!$E$5:$E$404,"?*",入户维修!$C$5:$C$404,"")+COUNTIFS(公区维修!$F$5:$F$404,$A$68,公区维修!$E$5:$E$404,"?*",公区维修!$C$5:$C$404,"")+COUNTIFS(公区维修!$G$5:$G$404,$A$68,公区维修!$E$5:$E$404,"?*",公区维修!$C$5:$C$404,"")+COUNTIFS(公区维修!$H$5:$H$404,$A$68,公区维修!$E$5:$E$404,"?*",公区维修!$C$5:$C$404,"")</f>
        <v>0</v>
      </c>
      <c r="C108" s="35" t="n">
        <f aca="false">COUNTIFS(入户维修!$F$5:$F$404,$A$68,入户维修!$K$5:$K$404,"已完成",入户维修!$C$5:$C$404,"")+COUNTIFS(入户维修!$G$5:$G$404,$A$68,入户维修!$K$5:$K$404,"已完成",入户维修!$C$5:$C$404,"")+COUNTIFS(入户维修!$H$5:$H$404,$A$68,入户维修!$K$5:$K$404,"已完成",入户维修!$C$5:$C$404,"")+COUNTIFS(公区维修!$F$5:$F$404,$A$68,公区维修!$K$5:$K$404,"已完成",公区维修!$C$5:$C$404,"")+COUNTIFS(公区维修!$G$5:$G$404,$A$68,公区维修!$K$5:$K$404,"已完成",公区维修!$C$5:$C$404,"")+COUNTIFS(公区维修!$H$5:$H$404,$A$68,公区维修!$K$5:$K$404,"已完成",公区维修!$C$5:$C$404,"")</f>
        <v>0</v>
      </c>
      <c r="D108" s="35" t="n">
        <f aca="false">COUNTIFS(入户维修!$F$5:$F$404,$A$68,入户维修!$K$5:$K$404,"跟进中",入户维修!$C$5:$C$404,"")+COUNTIFS(入户维修!$G$5:$G$404,$A$68,入户维修!$K$5:$K$404,"跟进中",入户维修!$C$5:$C$404,"")+COUNTIFS(入户维修!$H$5:$H$404,$A$68,入户维修!$K$5:$K$404,"跟进中",入户维修!$C$5:$C$404,"")+COUNTIFS(公区维修!$F$5:$F$404,$A$68,公区维修!$K$5:$K$404,"跟进中",公区维修!$C$5:$C$404,"")+COUNTIFS(公区维修!$G$5:$G$404,$A$68,公区维修!$K$5:$K$404,"跟进中",公区维修!$C$5:$C$404,"")+COUNTIFS(公区维修!$H$5:$H$404,$A$68,公区维修!$K$5:$K$404,"跟进中",公区维修!$C$5:$C$404,"")</f>
        <v>0</v>
      </c>
      <c r="E108" s="35" t="n">
        <f aca="false">COUNTIFS(入户维修!$F$5:$F$404,$A$68,入户维修!$K$5:$K$404,"需另约时间",入户维修!$C$5:$C$404,"")+COUNTIFS(入户维修!$G$5:$G$404,$A$68,入户维修!$K$5:$K$404,"需另约时间",入户维修!$C$5:$C$404,"")+COUNTIFS(入户维修!$H$5:$H$404,$A$68,入户维修!$K$5:$K$404,"需另约时间",入户维修!$C$5:$C$404,"")+COUNTIFS(公区维修!$F$5:$F$404,$A$68,公区维修!$K$5:$K$404,"需另约时间",公区维修!$C$5:$C$404,"")+COUNTIFS(公区维修!$G$5:$G$404,$A$68,公区维修!$K$5:$K$404,"需另约时间",公区维修!$C$5:$C$404,"")+COUNTIFS(公区维修!$H$5:$H$404,$A$68,公区维修!$K$5:$K$404,"需另约时间",公区维修!$C$5:$C$404,"")</f>
        <v>0</v>
      </c>
      <c r="F108" s="36" t="str">
        <f aca="false">IFERROR($C108/$B108,"")</f>
        <v/>
      </c>
      <c r="G108" s="35" t="n">
        <f aca="false">COUNTIFS(入户维修!$F$5:$F$404,$A$68,入户维修!$O$5:$O$404,"非常满意",入户维修!$C$5:$C$404,"")+COUNTIFS(入户维修!$G$5:$G$404,$A$68,入户维修!$O$5:$O$404,"非常满意",入户维修!$C$5:$C$404,"")+COUNTIFS(入户维修!$H$5:$H$404,$A$68,入户维修!$O$5:$O$404,"非常满意",入户维修!$C$5:$C$404,"")+COUNTIFS(公区维修!$F$5:$F$404,$A$68,公区维修!$N$5:$N$404,"非常满意",公区维修!$C$5:$C$404,"")+COUNTIFS(公区维修!$G$5:$G$404,$A$68,公区维修!$N$5:$N$404,"非常满意",公区维修!$C$5:$C$404,"")+COUNTIFS(公区维修!$H$5:$H$404,$A$68,公区维修!$N$5:$N$404,"非常满意",公区维修!$C$5:$C$404,"")</f>
        <v>0</v>
      </c>
      <c r="H108" s="35" t="n">
        <f aca="false">COUNTIFS(入户维修!$F$5:$F$404,$A$68,入户维修!$O$5:$O$404,"满意",入户维修!$C$5:$C$404,"")+COUNTIFS(入户维修!$G$5:$G$404,$A$68,入户维修!$O$5:$O$404,"满意",入户维修!$C$5:$C$404,"")+COUNTIFS(入户维修!$H$5:$H$404,$A$68,入户维修!$O$5:$O$404,"满意",入户维修!$C$5:$C$404,"")+COUNTIFS(公区维修!$F$5:$F$404,$A$68,公区维修!$N$5:$N$404,"满意",公区维修!$C$5:$C$404,"")+COUNTIFS(公区维修!$G$5:$G$404,$A$68,公区维修!$N$5:$N$404,"满意",公区维修!$C$5:$C$404,"")+COUNTIFS(公区维修!$H$5:$H$404,$A$68,公区维修!$N$5:$N$404,"满意",公区维修!$C$5:$C$404,"")</f>
        <v>0</v>
      </c>
      <c r="I108" s="35" t="n">
        <f aca="false">COUNTIFS(入户维修!$F$5:$F$404,$A$68,入户维修!$O$5:$O$404,"一般",入户维修!$C$5:$C$404,"")+COUNTIFS(入户维修!$G$5:$G$404,$A$68,入户维修!$O$5:$O$404,"一般",入户维修!$C$5:$C$404,"")+COUNTIFS(入户维修!$H$5:$H$404,$A$68,入户维修!$O$5:$O$404,"一般",入户维修!$C$5:$C$404,"")+COUNTIFS(公区维修!$F$5:$F$404,$A$68,公区维修!$N$5:$N$404,"一般",公区维修!$C$5:$C$404,"")+COUNTIFS(公区维修!$G$5:$G$404,$A$68,公区维修!$N$5:$N$404,"一般",公区维修!$C$5:$C$404,"")+COUNTIFS(公区维修!$H$5:$H$404,$A$68,公区维修!$N$5:$N$404,"一般",公区维修!$C$5:$C$404,"")</f>
        <v>0</v>
      </c>
      <c r="J108" s="35" t="n">
        <f aca="false">COUNTIFS(入户维修!$F$5:$F$404,$A$68,入户维修!$O$5:$O$404,"不满意",入户维修!$C$5:$C$404,"")+COUNTIFS(入户维修!$G$5:$G$404,$A$68,入户维修!$O$5:$O$404,"不满意",入户维修!$C$5:$C$404,"")+COUNTIFS(入户维修!$H$5:$H$404,$A$68,入户维修!$O$5:$O$404,"不满意",入户维修!$C$5:$C$404,"")+COUNTIFS(公区维修!$F$5:$F$404,$A$68,公区维修!$N$5:$N$404,"不满意",公区维修!$C$5:$C$404,"")+COUNTIFS(公区维修!$G$5:$G$404,$A$68,公区维修!$N$5:$N$404,"不满意",公区维修!$C$5:$C$404,"")+COUNTIFS(公区维修!$H$5:$H$404,$A$68,公区维修!$N$5:$N$404,"不满意",公区维修!$C$5:$C$404,"")</f>
        <v>0</v>
      </c>
      <c r="K108" s="35" t="n">
        <f aca="false">SUM($G108:$J108)</f>
        <v>0</v>
      </c>
      <c r="L108" s="36" t="str">
        <f aca="false">IFERROR(($G108+$H108)/$K108,"")</f>
        <v/>
      </c>
      <c r="M108" s="30"/>
      <c r="N108" s="30"/>
      <c r="O108" s="30"/>
      <c r="P108" s="30"/>
    </row>
    <row r="109" customFormat="false" ht="21.75" hidden="false" customHeight="true" outlineLevel="0" collapsed="false">
      <c r="A109" s="37" t="s">
        <v>460</v>
      </c>
      <c r="B109" s="38" t="n">
        <f aca="false">SUM(B95:B108)</f>
        <v>40</v>
      </c>
      <c r="C109" s="38" t="n">
        <f aca="false">SUM(C95:C108)</f>
        <v>33</v>
      </c>
      <c r="D109" s="38" t="n">
        <f aca="false">SUM(D95:D108)</f>
        <v>7</v>
      </c>
      <c r="E109" s="38" t="n">
        <f aca="false">SUM(E95:E108)</f>
        <v>0</v>
      </c>
      <c r="F109" s="39" t="n">
        <f aca="false">IFERROR($C109/$B109,"")</f>
        <v>0.825</v>
      </c>
      <c r="G109" s="38" t="n">
        <f aca="false">SUM(G95:G108)</f>
        <v>32</v>
      </c>
      <c r="H109" s="38" t="n">
        <f aca="false">SUM(H95:H108)</f>
        <v>4</v>
      </c>
      <c r="I109" s="38" t="n">
        <f aca="false">SUM(I95:I108)</f>
        <v>0</v>
      </c>
      <c r="J109" s="38" t="n">
        <f aca="false">SUM(J95:J108)</f>
        <v>0</v>
      </c>
      <c r="K109" s="38" t="n">
        <f aca="false">SUM(K95:K108)</f>
        <v>36</v>
      </c>
      <c r="L109" s="39" t="n">
        <f aca="false">IFERROR(($G109+$H109)/$K109,"")</f>
        <v>1</v>
      </c>
      <c r="M109" s="30"/>
      <c r="N109" s="30"/>
      <c r="O109" s="30"/>
      <c r="P109" s="30"/>
    </row>
    <row r="110" customFormat="false" ht="9.75" hidden="false" customHeight="true" outlineLevel="0" collapsed="false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</row>
    <row r="111" customFormat="false" ht="21.75" hidden="false" customHeight="true" outlineLevel="0" collapsed="false">
      <c r="A111" s="32" t="str">
        <f aca="false">$A$69&amp;"　—　各楼栋明细"</f>
        <v>王师傅　—　各楼栋明细</v>
      </c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0"/>
      <c r="N111" s="30"/>
      <c r="O111" s="30"/>
      <c r="P111" s="30"/>
    </row>
    <row r="112" customFormat="false" ht="30" hidden="false" customHeight="true" outlineLevel="0" collapsed="false">
      <c r="A112" s="33" t="s">
        <v>7</v>
      </c>
      <c r="B112" s="33" t="s">
        <v>435</v>
      </c>
      <c r="C112" s="33" t="s">
        <v>28</v>
      </c>
      <c r="D112" s="33" t="s">
        <v>36</v>
      </c>
      <c r="E112" s="33" t="s">
        <v>436</v>
      </c>
      <c r="F112" s="33" t="s">
        <v>437</v>
      </c>
      <c r="G112" s="33" t="s">
        <v>30</v>
      </c>
      <c r="H112" s="33" t="s">
        <v>48</v>
      </c>
      <c r="I112" s="33" t="s">
        <v>53</v>
      </c>
      <c r="J112" s="33" t="s">
        <v>438</v>
      </c>
      <c r="K112" s="33" t="s">
        <v>439</v>
      </c>
      <c r="L112" s="33" t="s">
        <v>440</v>
      </c>
      <c r="M112" s="30"/>
      <c r="N112" s="30"/>
      <c r="O112" s="30"/>
      <c r="P112" s="30"/>
    </row>
    <row r="113" customFormat="false" ht="19.5" hidden="false" customHeight="true" outlineLevel="0" collapsed="false">
      <c r="A113" s="44" t="s">
        <v>83</v>
      </c>
      <c r="B113" s="35" t="n">
        <f aca="false">COUNTIFS(入户维修!$F$5:$F$404,$A$69,入户维修!$E$5:$E$404,"?*",入户维修!$C$5:$C$404,$A113)+COUNTIFS(入户维修!$G$5:$G$404,$A$69,入户维修!$E$5:$E$404,"?*",入户维修!$C$5:$C$404,$A113)+COUNTIFS(入户维修!$H$5:$H$404,$A$69,入户维修!$E$5:$E$404,"?*",入户维修!$C$5:$C$404,$A113)+COUNTIFS(公区维修!$F$5:$F$404,$A$69,公区维修!$E$5:$E$404,"?*",公区维修!$C$5:$C$404,$A113)+COUNTIFS(公区维修!$G$5:$G$404,$A$69,公区维修!$E$5:$E$404,"?*",公区维修!$C$5:$C$404,$A113)+COUNTIFS(公区维修!$H$5:$H$404,$A$69,公区维修!$E$5:$E$404,"?*",公区维修!$C$5:$C$404,$A113)</f>
        <v>0</v>
      </c>
      <c r="C113" s="35" t="n">
        <f aca="false">COUNTIFS(入户维修!$F$5:$F$404,$A$69,入户维修!$K$5:$K$404,"已完成",入户维修!$C$5:$C$404,$A113)+COUNTIFS(入户维修!$G$5:$G$404,$A$69,入户维修!$K$5:$K$404,"已完成",入户维修!$C$5:$C$404,$A113)+COUNTIFS(入户维修!$H$5:$H$404,$A$69,入户维修!$K$5:$K$404,"已完成",入户维修!$C$5:$C$404,$A113)+COUNTIFS(公区维修!$F$5:$F$404,$A$69,公区维修!$K$5:$K$404,"已完成",公区维修!$C$5:$C$404,$A113)+COUNTIFS(公区维修!$G$5:$G$404,$A$69,公区维修!$K$5:$K$404,"已完成",公区维修!$C$5:$C$404,$A113)+COUNTIFS(公区维修!$H$5:$H$404,$A$69,公区维修!$K$5:$K$404,"已完成",公区维修!$C$5:$C$404,$A113)</f>
        <v>0</v>
      </c>
      <c r="D113" s="35" t="n">
        <f aca="false">COUNTIFS(入户维修!$F$5:$F$404,$A$69,入户维修!$K$5:$K$404,"跟进中",入户维修!$C$5:$C$404,$A113)+COUNTIFS(入户维修!$G$5:$G$404,$A$69,入户维修!$K$5:$K$404,"跟进中",入户维修!$C$5:$C$404,$A113)+COUNTIFS(入户维修!$H$5:$H$404,$A$69,入户维修!$K$5:$K$404,"跟进中",入户维修!$C$5:$C$404,$A113)+COUNTIFS(公区维修!$F$5:$F$404,$A$69,公区维修!$K$5:$K$404,"跟进中",公区维修!$C$5:$C$404,$A113)+COUNTIFS(公区维修!$G$5:$G$404,$A$69,公区维修!$K$5:$K$404,"跟进中",公区维修!$C$5:$C$404,$A113)+COUNTIFS(公区维修!$H$5:$H$404,$A$69,公区维修!$K$5:$K$404,"跟进中",公区维修!$C$5:$C$404,$A113)</f>
        <v>0</v>
      </c>
      <c r="E113" s="35" t="n">
        <f aca="false">COUNTIFS(入户维修!$F$5:$F$404,$A$69,入户维修!$K$5:$K$404,"需另约时间",入户维修!$C$5:$C$404,$A113)+COUNTIFS(入户维修!$G$5:$G$404,$A$69,入户维修!$K$5:$K$404,"需另约时间",入户维修!$C$5:$C$404,$A113)+COUNTIFS(入户维修!$H$5:$H$404,$A$69,入户维修!$K$5:$K$404,"需另约时间",入户维修!$C$5:$C$404,$A113)+COUNTIFS(公区维修!$F$5:$F$404,$A$69,公区维修!$K$5:$K$404,"需另约时间",公区维修!$C$5:$C$404,$A113)+COUNTIFS(公区维修!$G$5:$G$404,$A$69,公区维修!$K$5:$K$404,"需另约时间",公区维修!$C$5:$C$404,$A113)+COUNTIFS(公区维修!$H$5:$H$404,$A$69,公区维修!$K$5:$K$404,"需另约时间",公区维修!$C$5:$C$404,$A113)</f>
        <v>0</v>
      </c>
      <c r="F113" s="36" t="str">
        <f aca="false">IFERROR($C113/$B113,"")</f>
        <v/>
      </c>
      <c r="G113" s="35" t="n">
        <f aca="false">COUNTIFS(入户维修!$F$5:$F$404,$A$69,入户维修!$O$5:$O$404,"非常满意",入户维修!$C$5:$C$404,$A113)+COUNTIFS(入户维修!$G$5:$G$404,$A$69,入户维修!$O$5:$O$404,"非常满意",入户维修!$C$5:$C$404,$A113)+COUNTIFS(入户维修!$H$5:$H$404,$A$69,入户维修!$O$5:$O$404,"非常满意",入户维修!$C$5:$C$404,$A113)+COUNTIFS(公区维修!$F$5:$F$404,$A$69,公区维修!$N$5:$N$404,"非常满意",公区维修!$C$5:$C$404,$A113)+COUNTIFS(公区维修!$G$5:$G$404,$A$69,公区维修!$N$5:$N$404,"非常满意",公区维修!$C$5:$C$404,$A113)+COUNTIFS(公区维修!$H$5:$H$404,$A$69,公区维修!$N$5:$N$404,"非常满意",公区维修!$C$5:$C$404,$A113)</f>
        <v>0</v>
      </c>
      <c r="H113" s="35" t="n">
        <f aca="false">COUNTIFS(入户维修!$F$5:$F$404,$A$69,入户维修!$O$5:$O$404,"满意",入户维修!$C$5:$C$404,$A113)+COUNTIFS(入户维修!$G$5:$G$404,$A$69,入户维修!$O$5:$O$404,"满意",入户维修!$C$5:$C$404,$A113)+COUNTIFS(入户维修!$H$5:$H$404,$A$69,入户维修!$O$5:$O$404,"满意",入户维修!$C$5:$C$404,$A113)+COUNTIFS(公区维修!$F$5:$F$404,$A$69,公区维修!$N$5:$N$404,"满意",公区维修!$C$5:$C$404,$A113)+COUNTIFS(公区维修!$G$5:$G$404,$A$69,公区维修!$N$5:$N$404,"满意",公区维修!$C$5:$C$404,$A113)+COUNTIFS(公区维修!$H$5:$H$404,$A$69,公区维修!$N$5:$N$404,"满意",公区维修!$C$5:$C$404,$A113)</f>
        <v>0</v>
      </c>
      <c r="I113" s="35" t="n">
        <f aca="false">COUNTIFS(入户维修!$F$5:$F$404,$A$69,入户维修!$O$5:$O$404,"一般",入户维修!$C$5:$C$404,$A113)+COUNTIFS(入户维修!$G$5:$G$404,$A$69,入户维修!$O$5:$O$404,"一般",入户维修!$C$5:$C$404,$A113)+COUNTIFS(入户维修!$H$5:$H$404,$A$69,入户维修!$O$5:$O$404,"一般",入户维修!$C$5:$C$404,$A113)+COUNTIFS(公区维修!$F$5:$F$404,$A$69,公区维修!$N$5:$N$404,"一般",公区维修!$C$5:$C$404,$A113)+COUNTIFS(公区维修!$G$5:$G$404,$A$69,公区维修!$N$5:$N$404,"一般",公区维修!$C$5:$C$404,$A113)+COUNTIFS(公区维修!$H$5:$H$404,$A$69,公区维修!$N$5:$N$404,"一般",公区维修!$C$5:$C$404,$A113)</f>
        <v>0</v>
      </c>
      <c r="J113" s="35" t="n">
        <f aca="false">COUNTIFS(入户维修!$F$5:$F$404,$A$69,入户维修!$O$5:$O$404,"不满意",入户维修!$C$5:$C$404,$A113)+COUNTIFS(入户维修!$G$5:$G$404,$A$69,入户维修!$O$5:$O$404,"不满意",入户维修!$C$5:$C$404,$A113)+COUNTIFS(入户维修!$H$5:$H$404,$A$69,入户维修!$O$5:$O$404,"不满意",入户维修!$C$5:$C$404,$A113)+COUNTIFS(公区维修!$F$5:$F$404,$A$69,公区维修!$N$5:$N$404,"不满意",公区维修!$C$5:$C$404,$A113)+COUNTIFS(公区维修!$G$5:$G$404,$A$69,公区维修!$N$5:$N$404,"不满意",公区维修!$C$5:$C$404,$A113)+COUNTIFS(公区维修!$H$5:$H$404,$A$69,公区维修!$N$5:$N$404,"不满意",公区维修!$C$5:$C$404,$A113)</f>
        <v>0</v>
      </c>
      <c r="K113" s="35" t="n">
        <f aca="false">SUM($G113:$J113)</f>
        <v>0</v>
      </c>
      <c r="L113" s="36" t="str">
        <f aca="false">IFERROR(($G113+$H113)/$K113,"")</f>
        <v/>
      </c>
      <c r="M113" s="30"/>
      <c r="N113" s="30"/>
      <c r="O113" s="30"/>
      <c r="P113" s="30"/>
    </row>
    <row r="114" customFormat="false" ht="19.5" hidden="false" customHeight="true" outlineLevel="0" collapsed="false">
      <c r="A114" s="44" t="s">
        <v>105</v>
      </c>
      <c r="B114" s="35" t="n">
        <f aca="false">COUNTIFS(入户维修!$F$5:$F$404,$A$69,入户维修!$E$5:$E$404,"?*",入户维修!$C$5:$C$404,$A114)+COUNTIFS(入户维修!$G$5:$G$404,$A$69,入户维修!$E$5:$E$404,"?*",入户维修!$C$5:$C$404,$A114)+COUNTIFS(入户维修!$H$5:$H$404,$A$69,入户维修!$E$5:$E$404,"?*",入户维修!$C$5:$C$404,$A114)+COUNTIFS(公区维修!$F$5:$F$404,$A$69,公区维修!$E$5:$E$404,"?*",公区维修!$C$5:$C$404,$A114)+COUNTIFS(公区维修!$G$5:$G$404,$A$69,公区维修!$E$5:$E$404,"?*",公区维修!$C$5:$C$404,$A114)+COUNTIFS(公区维修!$H$5:$H$404,$A$69,公区维修!$E$5:$E$404,"?*",公区维修!$C$5:$C$404,$A114)</f>
        <v>1</v>
      </c>
      <c r="C114" s="35" t="n">
        <f aca="false">COUNTIFS(入户维修!$F$5:$F$404,$A$69,入户维修!$K$5:$K$404,"已完成",入户维修!$C$5:$C$404,$A114)+COUNTIFS(入户维修!$G$5:$G$404,$A$69,入户维修!$K$5:$K$404,"已完成",入户维修!$C$5:$C$404,$A114)+COUNTIFS(入户维修!$H$5:$H$404,$A$69,入户维修!$K$5:$K$404,"已完成",入户维修!$C$5:$C$404,$A114)+COUNTIFS(公区维修!$F$5:$F$404,$A$69,公区维修!$K$5:$K$404,"已完成",公区维修!$C$5:$C$404,$A114)+COUNTIFS(公区维修!$G$5:$G$404,$A$69,公区维修!$K$5:$K$404,"已完成",公区维修!$C$5:$C$404,$A114)+COUNTIFS(公区维修!$H$5:$H$404,$A$69,公区维修!$K$5:$K$404,"已完成",公区维修!$C$5:$C$404,$A114)</f>
        <v>1</v>
      </c>
      <c r="D114" s="35" t="n">
        <f aca="false">COUNTIFS(入户维修!$F$5:$F$404,$A$69,入户维修!$K$5:$K$404,"跟进中",入户维修!$C$5:$C$404,$A114)+COUNTIFS(入户维修!$G$5:$G$404,$A$69,入户维修!$K$5:$K$404,"跟进中",入户维修!$C$5:$C$404,$A114)+COUNTIFS(入户维修!$H$5:$H$404,$A$69,入户维修!$K$5:$K$404,"跟进中",入户维修!$C$5:$C$404,$A114)+COUNTIFS(公区维修!$F$5:$F$404,$A$69,公区维修!$K$5:$K$404,"跟进中",公区维修!$C$5:$C$404,$A114)+COUNTIFS(公区维修!$G$5:$G$404,$A$69,公区维修!$K$5:$K$404,"跟进中",公区维修!$C$5:$C$404,$A114)+COUNTIFS(公区维修!$H$5:$H$404,$A$69,公区维修!$K$5:$K$404,"跟进中",公区维修!$C$5:$C$404,$A114)</f>
        <v>0</v>
      </c>
      <c r="E114" s="35" t="n">
        <f aca="false">COUNTIFS(入户维修!$F$5:$F$404,$A$69,入户维修!$K$5:$K$404,"需另约时间",入户维修!$C$5:$C$404,$A114)+COUNTIFS(入户维修!$G$5:$G$404,$A$69,入户维修!$K$5:$K$404,"需另约时间",入户维修!$C$5:$C$404,$A114)+COUNTIFS(入户维修!$H$5:$H$404,$A$69,入户维修!$K$5:$K$404,"需另约时间",入户维修!$C$5:$C$404,$A114)+COUNTIFS(公区维修!$F$5:$F$404,$A$69,公区维修!$K$5:$K$404,"需另约时间",公区维修!$C$5:$C$404,$A114)+COUNTIFS(公区维修!$G$5:$G$404,$A$69,公区维修!$K$5:$K$404,"需另约时间",公区维修!$C$5:$C$404,$A114)+COUNTIFS(公区维修!$H$5:$H$404,$A$69,公区维修!$K$5:$K$404,"需另约时间",公区维修!$C$5:$C$404,$A114)</f>
        <v>0</v>
      </c>
      <c r="F114" s="36" t="n">
        <f aca="false">IFERROR($C114/$B114,"")</f>
        <v>1</v>
      </c>
      <c r="G114" s="35" t="n">
        <f aca="false">COUNTIFS(入户维修!$F$5:$F$404,$A$69,入户维修!$O$5:$O$404,"非常满意",入户维修!$C$5:$C$404,$A114)+COUNTIFS(入户维修!$G$5:$G$404,$A$69,入户维修!$O$5:$O$404,"非常满意",入户维修!$C$5:$C$404,$A114)+COUNTIFS(入户维修!$H$5:$H$404,$A$69,入户维修!$O$5:$O$404,"非常满意",入户维修!$C$5:$C$404,$A114)+COUNTIFS(公区维修!$F$5:$F$404,$A$69,公区维修!$N$5:$N$404,"非常满意",公区维修!$C$5:$C$404,$A114)+COUNTIFS(公区维修!$G$5:$G$404,$A$69,公区维修!$N$5:$N$404,"非常满意",公区维修!$C$5:$C$404,$A114)+COUNTIFS(公区维修!$H$5:$H$404,$A$69,公区维修!$N$5:$N$404,"非常满意",公区维修!$C$5:$C$404,$A114)</f>
        <v>0</v>
      </c>
      <c r="H114" s="35" t="n">
        <f aca="false">COUNTIFS(入户维修!$F$5:$F$404,$A$69,入户维修!$O$5:$O$404,"满意",入户维修!$C$5:$C$404,$A114)+COUNTIFS(入户维修!$G$5:$G$404,$A$69,入户维修!$O$5:$O$404,"满意",入户维修!$C$5:$C$404,$A114)+COUNTIFS(入户维修!$H$5:$H$404,$A$69,入户维修!$O$5:$O$404,"满意",入户维修!$C$5:$C$404,$A114)+COUNTIFS(公区维修!$F$5:$F$404,$A$69,公区维修!$N$5:$N$404,"满意",公区维修!$C$5:$C$404,$A114)+COUNTIFS(公区维修!$G$5:$G$404,$A$69,公区维修!$N$5:$N$404,"满意",公区维修!$C$5:$C$404,$A114)+COUNTIFS(公区维修!$H$5:$H$404,$A$69,公区维修!$N$5:$N$404,"满意",公区维修!$C$5:$C$404,$A114)</f>
        <v>0</v>
      </c>
      <c r="I114" s="35" t="n">
        <f aca="false">COUNTIFS(入户维修!$F$5:$F$404,$A$69,入户维修!$O$5:$O$404,"一般",入户维修!$C$5:$C$404,$A114)+COUNTIFS(入户维修!$G$5:$G$404,$A$69,入户维修!$O$5:$O$404,"一般",入户维修!$C$5:$C$404,$A114)+COUNTIFS(入户维修!$H$5:$H$404,$A$69,入户维修!$O$5:$O$404,"一般",入户维修!$C$5:$C$404,$A114)+COUNTIFS(公区维修!$F$5:$F$404,$A$69,公区维修!$N$5:$N$404,"一般",公区维修!$C$5:$C$404,$A114)+COUNTIFS(公区维修!$G$5:$G$404,$A$69,公区维修!$N$5:$N$404,"一般",公区维修!$C$5:$C$404,$A114)+COUNTIFS(公区维修!$H$5:$H$404,$A$69,公区维修!$N$5:$N$404,"一般",公区维修!$C$5:$C$404,$A114)</f>
        <v>0</v>
      </c>
      <c r="J114" s="35" t="n">
        <f aca="false">COUNTIFS(入户维修!$F$5:$F$404,$A$69,入户维修!$O$5:$O$404,"不满意",入户维修!$C$5:$C$404,$A114)+COUNTIFS(入户维修!$G$5:$G$404,$A$69,入户维修!$O$5:$O$404,"不满意",入户维修!$C$5:$C$404,$A114)+COUNTIFS(入户维修!$H$5:$H$404,$A$69,入户维修!$O$5:$O$404,"不满意",入户维修!$C$5:$C$404,$A114)+COUNTIFS(公区维修!$F$5:$F$404,$A$69,公区维修!$N$5:$N$404,"不满意",公区维修!$C$5:$C$404,$A114)+COUNTIFS(公区维修!$G$5:$G$404,$A$69,公区维修!$N$5:$N$404,"不满意",公区维修!$C$5:$C$404,$A114)+COUNTIFS(公区维修!$H$5:$H$404,$A$69,公区维修!$N$5:$N$404,"不满意",公区维修!$C$5:$C$404,$A114)</f>
        <v>0</v>
      </c>
      <c r="K114" s="35" t="n">
        <f aca="false">SUM($G114:$J114)</f>
        <v>0</v>
      </c>
      <c r="L114" s="36" t="str">
        <f aca="false">IFERROR(($G114+$H114)/$K114,"")</f>
        <v/>
      </c>
      <c r="M114" s="30"/>
      <c r="N114" s="30"/>
      <c r="O114" s="30"/>
      <c r="P114" s="30"/>
    </row>
    <row r="115" customFormat="false" ht="19.5" hidden="false" customHeight="true" outlineLevel="0" collapsed="false">
      <c r="A115" s="44" t="s">
        <v>245</v>
      </c>
      <c r="B115" s="35" t="n">
        <f aca="false">COUNTIFS(入户维修!$F$5:$F$404,$A$69,入户维修!$E$5:$E$404,"?*",入户维修!$C$5:$C$404,$A115)+COUNTIFS(入户维修!$G$5:$G$404,$A$69,入户维修!$E$5:$E$404,"?*",入户维修!$C$5:$C$404,$A115)+COUNTIFS(入户维修!$H$5:$H$404,$A$69,入户维修!$E$5:$E$404,"?*",入户维修!$C$5:$C$404,$A115)+COUNTIFS(公区维修!$F$5:$F$404,$A$69,公区维修!$E$5:$E$404,"?*",公区维修!$C$5:$C$404,$A115)+COUNTIFS(公区维修!$G$5:$G$404,$A$69,公区维修!$E$5:$E$404,"?*",公区维修!$C$5:$C$404,$A115)+COUNTIFS(公区维修!$H$5:$H$404,$A$69,公区维修!$E$5:$E$404,"?*",公区维修!$C$5:$C$404,$A115)</f>
        <v>0</v>
      </c>
      <c r="C115" s="35" t="n">
        <f aca="false">COUNTIFS(入户维修!$F$5:$F$404,$A$69,入户维修!$K$5:$K$404,"已完成",入户维修!$C$5:$C$404,$A115)+COUNTIFS(入户维修!$G$5:$G$404,$A$69,入户维修!$K$5:$K$404,"已完成",入户维修!$C$5:$C$404,$A115)+COUNTIFS(入户维修!$H$5:$H$404,$A$69,入户维修!$K$5:$K$404,"已完成",入户维修!$C$5:$C$404,$A115)+COUNTIFS(公区维修!$F$5:$F$404,$A$69,公区维修!$K$5:$K$404,"已完成",公区维修!$C$5:$C$404,$A115)+COUNTIFS(公区维修!$G$5:$G$404,$A$69,公区维修!$K$5:$K$404,"已完成",公区维修!$C$5:$C$404,$A115)+COUNTIFS(公区维修!$H$5:$H$404,$A$69,公区维修!$K$5:$K$404,"已完成",公区维修!$C$5:$C$404,$A115)</f>
        <v>0</v>
      </c>
      <c r="D115" s="35" t="n">
        <f aca="false">COUNTIFS(入户维修!$F$5:$F$404,$A$69,入户维修!$K$5:$K$404,"跟进中",入户维修!$C$5:$C$404,$A115)+COUNTIFS(入户维修!$G$5:$G$404,$A$69,入户维修!$K$5:$K$404,"跟进中",入户维修!$C$5:$C$404,$A115)+COUNTIFS(入户维修!$H$5:$H$404,$A$69,入户维修!$K$5:$K$404,"跟进中",入户维修!$C$5:$C$404,$A115)+COUNTIFS(公区维修!$F$5:$F$404,$A$69,公区维修!$K$5:$K$404,"跟进中",公区维修!$C$5:$C$404,$A115)+COUNTIFS(公区维修!$G$5:$G$404,$A$69,公区维修!$K$5:$K$404,"跟进中",公区维修!$C$5:$C$404,$A115)+COUNTIFS(公区维修!$H$5:$H$404,$A$69,公区维修!$K$5:$K$404,"跟进中",公区维修!$C$5:$C$404,$A115)</f>
        <v>0</v>
      </c>
      <c r="E115" s="35" t="n">
        <f aca="false">COUNTIFS(入户维修!$F$5:$F$404,$A$69,入户维修!$K$5:$K$404,"需另约时间",入户维修!$C$5:$C$404,$A115)+COUNTIFS(入户维修!$G$5:$G$404,$A$69,入户维修!$K$5:$K$404,"需另约时间",入户维修!$C$5:$C$404,$A115)+COUNTIFS(入户维修!$H$5:$H$404,$A$69,入户维修!$K$5:$K$404,"需另约时间",入户维修!$C$5:$C$404,$A115)+COUNTIFS(公区维修!$F$5:$F$404,$A$69,公区维修!$K$5:$K$404,"需另约时间",公区维修!$C$5:$C$404,$A115)+COUNTIFS(公区维修!$G$5:$G$404,$A$69,公区维修!$K$5:$K$404,"需另约时间",公区维修!$C$5:$C$404,$A115)+COUNTIFS(公区维修!$H$5:$H$404,$A$69,公区维修!$K$5:$K$404,"需另约时间",公区维修!$C$5:$C$404,$A115)</f>
        <v>0</v>
      </c>
      <c r="F115" s="36" t="str">
        <f aca="false">IFERROR($C115/$B115,"")</f>
        <v/>
      </c>
      <c r="G115" s="35" t="n">
        <f aca="false">COUNTIFS(入户维修!$F$5:$F$404,$A$69,入户维修!$O$5:$O$404,"非常满意",入户维修!$C$5:$C$404,$A115)+COUNTIFS(入户维修!$G$5:$G$404,$A$69,入户维修!$O$5:$O$404,"非常满意",入户维修!$C$5:$C$404,$A115)+COUNTIFS(入户维修!$H$5:$H$404,$A$69,入户维修!$O$5:$O$404,"非常满意",入户维修!$C$5:$C$404,$A115)+COUNTIFS(公区维修!$F$5:$F$404,$A$69,公区维修!$N$5:$N$404,"非常满意",公区维修!$C$5:$C$404,$A115)+COUNTIFS(公区维修!$G$5:$G$404,$A$69,公区维修!$N$5:$N$404,"非常满意",公区维修!$C$5:$C$404,$A115)+COUNTIFS(公区维修!$H$5:$H$404,$A$69,公区维修!$N$5:$N$404,"非常满意",公区维修!$C$5:$C$404,$A115)</f>
        <v>0</v>
      </c>
      <c r="H115" s="35" t="n">
        <f aca="false">COUNTIFS(入户维修!$F$5:$F$404,$A$69,入户维修!$O$5:$O$404,"满意",入户维修!$C$5:$C$404,$A115)+COUNTIFS(入户维修!$G$5:$G$404,$A$69,入户维修!$O$5:$O$404,"满意",入户维修!$C$5:$C$404,$A115)+COUNTIFS(入户维修!$H$5:$H$404,$A$69,入户维修!$O$5:$O$404,"满意",入户维修!$C$5:$C$404,$A115)+COUNTIFS(公区维修!$F$5:$F$404,$A$69,公区维修!$N$5:$N$404,"满意",公区维修!$C$5:$C$404,$A115)+COUNTIFS(公区维修!$G$5:$G$404,$A$69,公区维修!$N$5:$N$404,"满意",公区维修!$C$5:$C$404,$A115)+COUNTIFS(公区维修!$H$5:$H$404,$A$69,公区维修!$N$5:$N$404,"满意",公区维修!$C$5:$C$404,$A115)</f>
        <v>0</v>
      </c>
      <c r="I115" s="35" t="n">
        <f aca="false">COUNTIFS(入户维修!$F$5:$F$404,$A$69,入户维修!$O$5:$O$404,"一般",入户维修!$C$5:$C$404,$A115)+COUNTIFS(入户维修!$G$5:$G$404,$A$69,入户维修!$O$5:$O$404,"一般",入户维修!$C$5:$C$404,$A115)+COUNTIFS(入户维修!$H$5:$H$404,$A$69,入户维修!$O$5:$O$404,"一般",入户维修!$C$5:$C$404,$A115)+COUNTIFS(公区维修!$F$5:$F$404,$A$69,公区维修!$N$5:$N$404,"一般",公区维修!$C$5:$C$404,$A115)+COUNTIFS(公区维修!$G$5:$G$404,$A$69,公区维修!$N$5:$N$404,"一般",公区维修!$C$5:$C$404,$A115)+COUNTIFS(公区维修!$H$5:$H$404,$A$69,公区维修!$N$5:$N$404,"一般",公区维修!$C$5:$C$404,$A115)</f>
        <v>0</v>
      </c>
      <c r="J115" s="35" t="n">
        <f aca="false">COUNTIFS(入户维修!$F$5:$F$404,$A$69,入户维修!$O$5:$O$404,"不满意",入户维修!$C$5:$C$404,$A115)+COUNTIFS(入户维修!$G$5:$G$404,$A$69,入户维修!$O$5:$O$404,"不满意",入户维修!$C$5:$C$404,$A115)+COUNTIFS(入户维修!$H$5:$H$404,$A$69,入户维修!$O$5:$O$404,"不满意",入户维修!$C$5:$C$404,$A115)+COUNTIFS(公区维修!$F$5:$F$404,$A$69,公区维修!$N$5:$N$404,"不满意",公区维修!$C$5:$C$404,$A115)+COUNTIFS(公区维修!$G$5:$G$404,$A$69,公区维修!$N$5:$N$404,"不满意",公区维修!$C$5:$C$404,$A115)+COUNTIFS(公区维修!$H$5:$H$404,$A$69,公区维修!$N$5:$N$404,"不满意",公区维修!$C$5:$C$404,$A115)</f>
        <v>0</v>
      </c>
      <c r="K115" s="35" t="n">
        <f aca="false">SUM($G115:$J115)</f>
        <v>0</v>
      </c>
      <c r="L115" s="36" t="str">
        <f aca="false">IFERROR(($G115+$H115)/$K115,"")</f>
        <v/>
      </c>
      <c r="M115" s="30"/>
      <c r="N115" s="30"/>
      <c r="O115" s="30"/>
      <c r="P115" s="30"/>
    </row>
    <row r="116" customFormat="false" ht="19.5" hidden="false" customHeight="true" outlineLevel="0" collapsed="false">
      <c r="A116" s="44" t="s">
        <v>161</v>
      </c>
      <c r="B116" s="35" t="n">
        <f aca="false">COUNTIFS(入户维修!$F$5:$F$404,$A$69,入户维修!$E$5:$E$404,"?*",入户维修!$C$5:$C$404,$A116)+COUNTIFS(入户维修!$G$5:$G$404,$A$69,入户维修!$E$5:$E$404,"?*",入户维修!$C$5:$C$404,$A116)+COUNTIFS(入户维修!$H$5:$H$404,$A$69,入户维修!$E$5:$E$404,"?*",入户维修!$C$5:$C$404,$A116)+COUNTIFS(公区维修!$F$5:$F$404,$A$69,公区维修!$E$5:$E$404,"?*",公区维修!$C$5:$C$404,$A116)+COUNTIFS(公区维修!$G$5:$G$404,$A$69,公区维修!$E$5:$E$404,"?*",公区维修!$C$5:$C$404,$A116)+COUNTIFS(公区维修!$H$5:$H$404,$A$69,公区维修!$E$5:$E$404,"?*",公区维修!$C$5:$C$404,$A116)</f>
        <v>0</v>
      </c>
      <c r="C116" s="35" t="n">
        <f aca="false">COUNTIFS(入户维修!$F$5:$F$404,$A$69,入户维修!$K$5:$K$404,"已完成",入户维修!$C$5:$C$404,$A116)+COUNTIFS(入户维修!$G$5:$G$404,$A$69,入户维修!$K$5:$K$404,"已完成",入户维修!$C$5:$C$404,$A116)+COUNTIFS(入户维修!$H$5:$H$404,$A$69,入户维修!$K$5:$K$404,"已完成",入户维修!$C$5:$C$404,$A116)+COUNTIFS(公区维修!$F$5:$F$404,$A$69,公区维修!$K$5:$K$404,"已完成",公区维修!$C$5:$C$404,$A116)+COUNTIFS(公区维修!$G$5:$G$404,$A$69,公区维修!$K$5:$K$404,"已完成",公区维修!$C$5:$C$404,$A116)+COUNTIFS(公区维修!$H$5:$H$404,$A$69,公区维修!$K$5:$K$404,"已完成",公区维修!$C$5:$C$404,$A116)</f>
        <v>0</v>
      </c>
      <c r="D116" s="35" t="n">
        <f aca="false">COUNTIFS(入户维修!$F$5:$F$404,$A$69,入户维修!$K$5:$K$404,"跟进中",入户维修!$C$5:$C$404,$A116)+COUNTIFS(入户维修!$G$5:$G$404,$A$69,入户维修!$K$5:$K$404,"跟进中",入户维修!$C$5:$C$404,$A116)+COUNTIFS(入户维修!$H$5:$H$404,$A$69,入户维修!$K$5:$K$404,"跟进中",入户维修!$C$5:$C$404,$A116)+COUNTIFS(公区维修!$F$5:$F$404,$A$69,公区维修!$K$5:$K$404,"跟进中",公区维修!$C$5:$C$404,$A116)+COUNTIFS(公区维修!$G$5:$G$404,$A$69,公区维修!$K$5:$K$404,"跟进中",公区维修!$C$5:$C$404,$A116)+COUNTIFS(公区维修!$H$5:$H$404,$A$69,公区维修!$K$5:$K$404,"跟进中",公区维修!$C$5:$C$404,$A116)</f>
        <v>0</v>
      </c>
      <c r="E116" s="35" t="n">
        <f aca="false">COUNTIFS(入户维修!$F$5:$F$404,$A$69,入户维修!$K$5:$K$404,"需另约时间",入户维修!$C$5:$C$404,$A116)+COUNTIFS(入户维修!$G$5:$G$404,$A$69,入户维修!$K$5:$K$404,"需另约时间",入户维修!$C$5:$C$404,$A116)+COUNTIFS(入户维修!$H$5:$H$404,$A$69,入户维修!$K$5:$K$404,"需另约时间",入户维修!$C$5:$C$404,$A116)+COUNTIFS(公区维修!$F$5:$F$404,$A$69,公区维修!$K$5:$K$404,"需另约时间",公区维修!$C$5:$C$404,$A116)+COUNTIFS(公区维修!$G$5:$G$404,$A$69,公区维修!$K$5:$K$404,"需另约时间",公区维修!$C$5:$C$404,$A116)+COUNTIFS(公区维修!$H$5:$H$404,$A$69,公区维修!$K$5:$K$404,"需另约时间",公区维修!$C$5:$C$404,$A116)</f>
        <v>0</v>
      </c>
      <c r="F116" s="36" t="str">
        <f aca="false">IFERROR($C116/$B116,"")</f>
        <v/>
      </c>
      <c r="G116" s="35" t="n">
        <f aca="false">COUNTIFS(入户维修!$F$5:$F$404,$A$69,入户维修!$O$5:$O$404,"非常满意",入户维修!$C$5:$C$404,$A116)+COUNTIFS(入户维修!$G$5:$G$404,$A$69,入户维修!$O$5:$O$404,"非常满意",入户维修!$C$5:$C$404,$A116)+COUNTIFS(入户维修!$H$5:$H$404,$A$69,入户维修!$O$5:$O$404,"非常满意",入户维修!$C$5:$C$404,$A116)+COUNTIFS(公区维修!$F$5:$F$404,$A$69,公区维修!$N$5:$N$404,"非常满意",公区维修!$C$5:$C$404,$A116)+COUNTIFS(公区维修!$G$5:$G$404,$A$69,公区维修!$N$5:$N$404,"非常满意",公区维修!$C$5:$C$404,$A116)+COUNTIFS(公区维修!$H$5:$H$404,$A$69,公区维修!$N$5:$N$404,"非常满意",公区维修!$C$5:$C$404,$A116)</f>
        <v>0</v>
      </c>
      <c r="H116" s="35" t="n">
        <f aca="false">COUNTIFS(入户维修!$F$5:$F$404,$A$69,入户维修!$O$5:$O$404,"满意",入户维修!$C$5:$C$404,$A116)+COUNTIFS(入户维修!$G$5:$G$404,$A$69,入户维修!$O$5:$O$404,"满意",入户维修!$C$5:$C$404,$A116)+COUNTIFS(入户维修!$H$5:$H$404,$A$69,入户维修!$O$5:$O$404,"满意",入户维修!$C$5:$C$404,$A116)+COUNTIFS(公区维修!$F$5:$F$404,$A$69,公区维修!$N$5:$N$404,"满意",公区维修!$C$5:$C$404,$A116)+COUNTIFS(公区维修!$G$5:$G$404,$A$69,公区维修!$N$5:$N$404,"满意",公区维修!$C$5:$C$404,$A116)+COUNTIFS(公区维修!$H$5:$H$404,$A$69,公区维修!$N$5:$N$404,"满意",公区维修!$C$5:$C$404,$A116)</f>
        <v>0</v>
      </c>
      <c r="I116" s="35" t="n">
        <f aca="false">COUNTIFS(入户维修!$F$5:$F$404,$A$69,入户维修!$O$5:$O$404,"一般",入户维修!$C$5:$C$404,$A116)+COUNTIFS(入户维修!$G$5:$G$404,$A$69,入户维修!$O$5:$O$404,"一般",入户维修!$C$5:$C$404,$A116)+COUNTIFS(入户维修!$H$5:$H$404,$A$69,入户维修!$O$5:$O$404,"一般",入户维修!$C$5:$C$404,$A116)+COUNTIFS(公区维修!$F$5:$F$404,$A$69,公区维修!$N$5:$N$404,"一般",公区维修!$C$5:$C$404,$A116)+COUNTIFS(公区维修!$G$5:$G$404,$A$69,公区维修!$N$5:$N$404,"一般",公区维修!$C$5:$C$404,$A116)+COUNTIFS(公区维修!$H$5:$H$404,$A$69,公区维修!$N$5:$N$404,"一般",公区维修!$C$5:$C$404,$A116)</f>
        <v>0</v>
      </c>
      <c r="J116" s="35" t="n">
        <f aca="false">COUNTIFS(入户维修!$F$5:$F$404,$A$69,入户维修!$O$5:$O$404,"不满意",入户维修!$C$5:$C$404,$A116)+COUNTIFS(入户维修!$G$5:$G$404,$A$69,入户维修!$O$5:$O$404,"不满意",入户维修!$C$5:$C$404,$A116)+COUNTIFS(入户维修!$H$5:$H$404,$A$69,入户维修!$O$5:$O$404,"不满意",入户维修!$C$5:$C$404,$A116)+COUNTIFS(公区维修!$F$5:$F$404,$A$69,公区维修!$N$5:$N$404,"不满意",公区维修!$C$5:$C$404,$A116)+COUNTIFS(公区维修!$G$5:$G$404,$A$69,公区维修!$N$5:$N$404,"不满意",公区维修!$C$5:$C$404,$A116)+COUNTIFS(公区维修!$H$5:$H$404,$A$69,公区维修!$N$5:$N$404,"不满意",公区维修!$C$5:$C$404,$A116)</f>
        <v>0</v>
      </c>
      <c r="K116" s="35" t="n">
        <f aca="false">SUM($G116:$J116)</f>
        <v>0</v>
      </c>
      <c r="L116" s="36" t="str">
        <f aca="false">IFERROR(($G116+$H116)/$K116,"")</f>
        <v/>
      </c>
      <c r="M116" s="30"/>
      <c r="N116" s="30"/>
      <c r="O116" s="30"/>
      <c r="P116" s="30"/>
    </row>
    <row r="117" customFormat="false" ht="19.5" hidden="false" customHeight="true" outlineLevel="0" collapsed="false">
      <c r="A117" s="44" t="s">
        <v>38</v>
      </c>
      <c r="B117" s="35" t="n">
        <f aca="false">COUNTIFS(入户维修!$F$5:$F$404,$A$69,入户维修!$E$5:$E$404,"?*",入户维修!$C$5:$C$404,$A117)+COUNTIFS(入户维修!$G$5:$G$404,$A$69,入户维修!$E$5:$E$404,"?*",入户维修!$C$5:$C$404,$A117)+COUNTIFS(入户维修!$H$5:$H$404,$A$69,入户维修!$E$5:$E$404,"?*",入户维修!$C$5:$C$404,$A117)+COUNTIFS(公区维修!$F$5:$F$404,$A$69,公区维修!$E$5:$E$404,"?*",公区维修!$C$5:$C$404,$A117)+COUNTIFS(公区维修!$G$5:$G$404,$A$69,公区维修!$E$5:$E$404,"?*",公区维修!$C$5:$C$404,$A117)+COUNTIFS(公区维修!$H$5:$H$404,$A$69,公区维修!$E$5:$E$404,"?*",公区维修!$C$5:$C$404,$A117)</f>
        <v>0</v>
      </c>
      <c r="C117" s="35" t="n">
        <f aca="false">COUNTIFS(入户维修!$F$5:$F$404,$A$69,入户维修!$K$5:$K$404,"已完成",入户维修!$C$5:$C$404,$A117)+COUNTIFS(入户维修!$G$5:$G$404,$A$69,入户维修!$K$5:$K$404,"已完成",入户维修!$C$5:$C$404,$A117)+COUNTIFS(入户维修!$H$5:$H$404,$A$69,入户维修!$K$5:$K$404,"已完成",入户维修!$C$5:$C$404,$A117)+COUNTIFS(公区维修!$F$5:$F$404,$A$69,公区维修!$K$5:$K$404,"已完成",公区维修!$C$5:$C$404,$A117)+COUNTIFS(公区维修!$G$5:$G$404,$A$69,公区维修!$K$5:$K$404,"已完成",公区维修!$C$5:$C$404,$A117)+COUNTIFS(公区维修!$H$5:$H$404,$A$69,公区维修!$K$5:$K$404,"已完成",公区维修!$C$5:$C$404,$A117)</f>
        <v>0</v>
      </c>
      <c r="D117" s="35" t="n">
        <f aca="false">COUNTIFS(入户维修!$F$5:$F$404,$A$69,入户维修!$K$5:$K$404,"跟进中",入户维修!$C$5:$C$404,$A117)+COUNTIFS(入户维修!$G$5:$G$404,$A$69,入户维修!$K$5:$K$404,"跟进中",入户维修!$C$5:$C$404,$A117)+COUNTIFS(入户维修!$H$5:$H$404,$A$69,入户维修!$K$5:$K$404,"跟进中",入户维修!$C$5:$C$404,$A117)+COUNTIFS(公区维修!$F$5:$F$404,$A$69,公区维修!$K$5:$K$404,"跟进中",公区维修!$C$5:$C$404,$A117)+COUNTIFS(公区维修!$G$5:$G$404,$A$69,公区维修!$K$5:$K$404,"跟进中",公区维修!$C$5:$C$404,$A117)+COUNTIFS(公区维修!$H$5:$H$404,$A$69,公区维修!$K$5:$K$404,"跟进中",公区维修!$C$5:$C$404,$A117)</f>
        <v>0</v>
      </c>
      <c r="E117" s="35" t="n">
        <f aca="false">COUNTIFS(入户维修!$F$5:$F$404,$A$69,入户维修!$K$5:$K$404,"需另约时间",入户维修!$C$5:$C$404,$A117)+COUNTIFS(入户维修!$G$5:$G$404,$A$69,入户维修!$K$5:$K$404,"需另约时间",入户维修!$C$5:$C$404,$A117)+COUNTIFS(入户维修!$H$5:$H$404,$A$69,入户维修!$K$5:$K$404,"需另约时间",入户维修!$C$5:$C$404,$A117)+COUNTIFS(公区维修!$F$5:$F$404,$A$69,公区维修!$K$5:$K$404,"需另约时间",公区维修!$C$5:$C$404,$A117)+COUNTIFS(公区维修!$G$5:$G$404,$A$69,公区维修!$K$5:$K$404,"需另约时间",公区维修!$C$5:$C$404,$A117)+COUNTIFS(公区维修!$H$5:$H$404,$A$69,公区维修!$K$5:$K$404,"需另约时间",公区维修!$C$5:$C$404,$A117)</f>
        <v>0</v>
      </c>
      <c r="F117" s="36" t="str">
        <f aca="false">IFERROR($C117/$B117,"")</f>
        <v/>
      </c>
      <c r="G117" s="35" t="n">
        <f aca="false">COUNTIFS(入户维修!$F$5:$F$404,$A$69,入户维修!$O$5:$O$404,"非常满意",入户维修!$C$5:$C$404,$A117)+COUNTIFS(入户维修!$G$5:$G$404,$A$69,入户维修!$O$5:$O$404,"非常满意",入户维修!$C$5:$C$404,$A117)+COUNTIFS(入户维修!$H$5:$H$404,$A$69,入户维修!$O$5:$O$404,"非常满意",入户维修!$C$5:$C$404,$A117)+COUNTIFS(公区维修!$F$5:$F$404,$A$69,公区维修!$N$5:$N$404,"非常满意",公区维修!$C$5:$C$404,$A117)+COUNTIFS(公区维修!$G$5:$G$404,$A$69,公区维修!$N$5:$N$404,"非常满意",公区维修!$C$5:$C$404,$A117)+COUNTIFS(公区维修!$H$5:$H$404,$A$69,公区维修!$N$5:$N$404,"非常满意",公区维修!$C$5:$C$404,$A117)</f>
        <v>0</v>
      </c>
      <c r="H117" s="35" t="n">
        <f aca="false">COUNTIFS(入户维修!$F$5:$F$404,$A$69,入户维修!$O$5:$O$404,"满意",入户维修!$C$5:$C$404,$A117)+COUNTIFS(入户维修!$G$5:$G$404,$A$69,入户维修!$O$5:$O$404,"满意",入户维修!$C$5:$C$404,$A117)+COUNTIFS(入户维修!$H$5:$H$404,$A$69,入户维修!$O$5:$O$404,"满意",入户维修!$C$5:$C$404,$A117)+COUNTIFS(公区维修!$F$5:$F$404,$A$69,公区维修!$N$5:$N$404,"满意",公区维修!$C$5:$C$404,$A117)+COUNTIFS(公区维修!$G$5:$G$404,$A$69,公区维修!$N$5:$N$404,"满意",公区维修!$C$5:$C$404,$A117)+COUNTIFS(公区维修!$H$5:$H$404,$A$69,公区维修!$N$5:$N$404,"满意",公区维修!$C$5:$C$404,$A117)</f>
        <v>0</v>
      </c>
      <c r="I117" s="35" t="n">
        <f aca="false">COUNTIFS(入户维修!$F$5:$F$404,$A$69,入户维修!$O$5:$O$404,"一般",入户维修!$C$5:$C$404,$A117)+COUNTIFS(入户维修!$G$5:$G$404,$A$69,入户维修!$O$5:$O$404,"一般",入户维修!$C$5:$C$404,$A117)+COUNTIFS(入户维修!$H$5:$H$404,$A$69,入户维修!$O$5:$O$404,"一般",入户维修!$C$5:$C$404,$A117)+COUNTIFS(公区维修!$F$5:$F$404,$A$69,公区维修!$N$5:$N$404,"一般",公区维修!$C$5:$C$404,$A117)+COUNTIFS(公区维修!$G$5:$G$404,$A$69,公区维修!$N$5:$N$404,"一般",公区维修!$C$5:$C$404,$A117)+COUNTIFS(公区维修!$H$5:$H$404,$A$69,公区维修!$N$5:$N$404,"一般",公区维修!$C$5:$C$404,$A117)</f>
        <v>0</v>
      </c>
      <c r="J117" s="35" t="n">
        <f aca="false">COUNTIFS(入户维修!$F$5:$F$404,$A$69,入户维修!$O$5:$O$404,"不满意",入户维修!$C$5:$C$404,$A117)+COUNTIFS(入户维修!$G$5:$G$404,$A$69,入户维修!$O$5:$O$404,"不满意",入户维修!$C$5:$C$404,$A117)+COUNTIFS(入户维修!$H$5:$H$404,$A$69,入户维修!$O$5:$O$404,"不满意",入户维修!$C$5:$C$404,$A117)+COUNTIFS(公区维修!$F$5:$F$404,$A$69,公区维修!$N$5:$N$404,"不满意",公区维修!$C$5:$C$404,$A117)+COUNTIFS(公区维修!$G$5:$G$404,$A$69,公区维修!$N$5:$N$404,"不满意",公区维修!$C$5:$C$404,$A117)+COUNTIFS(公区维修!$H$5:$H$404,$A$69,公区维修!$N$5:$N$404,"不满意",公区维修!$C$5:$C$404,$A117)</f>
        <v>0</v>
      </c>
      <c r="K117" s="35" t="n">
        <f aca="false">SUM($G117:$J117)</f>
        <v>0</v>
      </c>
      <c r="L117" s="36" t="str">
        <f aca="false">IFERROR(($G117+$H117)/$K117,"")</f>
        <v/>
      </c>
      <c r="M117" s="30"/>
      <c r="N117" s="30"/>
      <c r="O117" s="30"/>
      <c r="P117" s="30"/>
    </row>
    <row r="118" customFormat="false" ht="19.5" hidden="false" customHeight="true" outlineLevel="0" collapsed="false">
      <c r="A118" s="44" t="s">
        <v>31</v>
      </c>
      <c r="B118" s="35" t="n">
        <f aca="false">COUNTIFS(入户维修!$F$5:$F$404,$A$69,入户维修!$E$5:$E$404,"?*",入户维修!$C$5:$C$404,$A118)+COUNTIFS(入户维修!$G$5:$G$404,$A$69,入户维修!$E$5:$E$404,"?*",入户维修!$C$5:$C$404,$A118)+COUNTIFS(入户维修!$H$5:$H$404,$A$69,入户维修!$E$5:$E$404,"?*",入户维修!$C$5:$C$404,$A118)+COUNTIFS(公区维修!$F$5:$F$404,$A$69,公区维修!$E$5:$E$404,"?*",公区维修!$C$5:$C$404,$A118)+COUNTIFS(公区维修!$G$5:$G$404,$A$69,公区维修!$E$5:$E$404,"?*",公区维修!$C$5:$C$404,$A118)+COUNTIFS(公区维修!$H$5:$H$404,$A$69,公区维修!$E$5:$E$404,"?*",公区维修!$C$5:$C$404,$A118)</f>
        <v>2</v>
      </c>
      <c r="C118" s="35" t="n">
        <f aca="false">COUNTIFS(入户维修!$F$5:$F$404,$A$69,入户维修!$K$5:$K$404,"已完成",入户维修!$C$5:$C$404,$A118)+COUNTIFS(入户维修!$G$5:$G$404,$A$69,入户维修!$K$5:$K$404,"已完成",入户维修!$C$5:$C$404,$A118)+COUNTIFS(入户维修!$H$5:$H$404,$A$69,入户维修!$K$5:$K$404,"已完成",入户维修!$C$5:$C$404,$A118)+COUNTIFS(公区维修!$F$5:$F$404,$A$69,公区维修!$K$5:$K$404,"已完成",公区维修!$C$5:$C$404,$A118)+COUNTIFS(公区维修!$G$5:$G$404,$A$69,公区维修!$K$5:$K$404,"已完成",公区维修!$C$5:$C$404,$A118)+COUNTIFS(公区维修!$H$5:$H$404,$A$69,公区维修!$K$5:$K$404,"已完成",公区维修!$C$5:$C$404,$A118)</f>
        <v>2</v>
      </c>
      <c r="D118" s="35" t="n">
        <f aca="false">COUNTIFS(入户维修!$F$5:$F$404,$A$69,入户维修!$K$5:$K$404,"跟进中",入户维修!$C$5:$C$404,$A118)+COUNTIFS(入户维修!$G$5:$G$404,$A$69,入户维修!$K$5:$K$404,"跟进中",入户维修!$C$5:$C$404,$A118)+COUNTIFS(入户维修!$H$5:$H$404,$A$69,入户维修!$K$5:$K$404,"跟进中",入户维修!$C$5:$C$404,$A118)+COUNTIFS(公区维修!$F$5:$F$404,$A$69,公区维修!$K$5:$K$404,"跟进中",公区维修!$C$5:$C$404,$A118)+COUNTIFS(公区维修!$G$5:$G$404,$A$69,公区维修!$K$5:$K$404,"跟进中",公区维修!$C$5:$C$404,$A118)+COUNTIFS(公区维修!$H$5:$H$404,$A$69,公区维修!$K$5:$K$404,"跟进中",公区维修!$C$5:$C$404,$A118)</f>
        <v>0</v>
      </c>
      <c r="E118" s="35" t="n">
        <f aca="false">COUNTIFS(入户维修!$F$5:$F$404,$A$69,入户维修!$K$5:$K$404,"需另约时间",入户维修!$C$5:$C$404,$A118)+COUNTIFS(入户维修!$G$5:$G$404,$A$69,入户维修!$K$5:$K$404,"需另约时间",入户维修!$C$5:$C$404,$A118)+COUNTIFS(入户维修!$H$5:$H$404,$A$69,入户维修!$K$5:$K$404,"需另约时间",入户维修!$C$5:$C$404,$A118)+COUNTIFS(公区维修!$F$5:$F$404,$A$69,公区维修!$K$5:$K$404,"需另约时间",公区维修!$C$5:$C$404,$A118)+COUNTIFS(公区维修!$G$5:$G$404,$A$69,公区维修!$K$5:$K$404,"需另约时间",公区维修!$C$5:$C$404,$A118)+COUNTIFS(公区维修!$H$5:$H$404,$A$69,公区维修!$K$5:$K$404,"需另约时间",公区维修!$C$5:$C$404,$A118)</f>
        <v>0</v>
      </c>
      <c r="F118" s="36" t="n">
        <f aca="false">IFERROR($C118/$B118,"")</f>
        <v>1</v>
      </c>
      <c r="G118" s="35" t="n">
        <f aca="false">COUNTIFS(入户维修!$F$5:$F$404,$A$69,入户维修!$O$5:$O$404,"非常满意",入户维修!$C$5:$C$404,$A118)+COUNTIFS(入户维修!$G$5:$G$404,$A$69,入户维修!$O$5:$O$404,"非常满意",入户维修!$C$5:$C$404,$A118)+COUNTIFS(入户维修!$H$5:$H$404,$A$69,入户维修!$O$5:$O$404,"非常满意",入户维修!$C$5:$C$404,$A118)+COUNTIFS(公区维修!$F$5:$F$404,$A$69,公区维修!$N$5:$N$404,"非常满意",公区维修!$C$5:$C$404,$A118)+COUNTIFS(公区维修!$G$5:$G$404,$A$69,公区维修!$N$5:$N$404,"非常满意",公区维修!$C$5:$C$404,$A118)+COUNTIFS(公区维修!$H$5:$H$404,$A$69,公区维修!$N$5:$N$404,"非常满意",公区维修!$C$5:$C$404,$A118)</f>
        <v>1</v>
      </c>
      <c r="H118" s="35" t="n">
        <f aca="false">COUNTIFS(入户维修!$F$5:$F$404,$A$69,入户维修!$O$5:$O$404,"满意",入户维修!$C$5:$C$404,$A118)+COUNTIFS(入户维修!$G$5:$G$404,$A$69,入户维修!$O$5:$O$404,"满意",入户维修!$C$5:$C$404,$A118)+COUNTIFS(入户维修!$H$5:$H$404,$A$69,入户维修!$O$5:$O$404,"满意",入户维修!$C$5:$C$404,$A118)+COUNTIFS(公区维修!$F$5:$F$404,$A$69,公区维修!$N$5:$N$404,"满意",公区维修!$C$5:$C$404,$A118)+COUNTIFS(公区维修!$G$5:$G$404,$A$69,公区维修!$N$5:$N$404,"满意",公区维修!$C$5:$C$404,$A118)+COUNTIFS(公区维修!$H$5:$H$404,$A$69,公区维修!$N$5:$N$404,"满意",公区维修!$C$5:$C$404,$A118)</f>
        <v>1</v>
      </c>
      <c r="I118" s="35" t="n">
        <f aca="false">COUNTIFS(入户维修!$F$5:$F$404,$A$69,入户维修!$O$5:$O$404,"一般",入户维修!$C$5:$C$404,$A118)+COUNTIFS(入户维修!$G$5:$G$404,$A$69,入户维修!$O$5:$O$404,"一般",入户维修!$C$5:$C$404,$A118)+COUNTIFS(入户维修!$H$5:$H$404,$A$69,入户维修!$O$5:$O$404,"一般",入户维修!$C$5:$C$404,$A118)+COUNTIFS(公区维修!$F$5:$F$404,$A$69,公区维修!$N$5:$N$404,"一般",公区维修!$C$5:$C$404,$A118)+COUNTIFS(公区维修!$G$5:$G$404,$A$69,公区维修!$N$5:$N$404,"一般",公区维修!$C$5:$C$404,$A118)+COUNTIFS(公区维修!$H$5:$H$404,$A$69,公区维修!$N$5:$N$404,"一般",公区维修!$C$5:$C$404,$A118)</f>
        <v>0</v>
      </c>
      <c r="J118" s="35" t="n">
        <f aca="false">COUNTIFS(入户维修!$F$5:$F$404,$A$69,入户维修!$O$5:$O$404,"不满意",入户维修!$C$5:$C$404,$A118)+COUNTIFS(入户维修!$G$5:$G$404,$A$69,入户维修!$O$5:$O$404,"不满意",入户维修!$C$5:$C$404,$A118)+COUNTIFS(入户维修!$H$5:$H$404,$A$69,入户维修!$O$5:$O$404,"不满意",入户维修!$C$5:$C$404,$A118)+COUNTIFS(公区维修!$F$5:$F$404,$A$69,公区维修!$N$5:$N$404,"不满意",公区维修!$C$5:$C$404,$A118)+COUNTIFS(公区维修!$G$5:$G$404,$A$69,公区维修!$N$5:$N$404,"不满意",公区维修!$C$5:$C$404,$A118)+COUNTIFS(公区维修!$H$5:$H$404,$A$69,公区维修!$N$5:$N$404,"不满意",公区维修!$C$5:$C$404,$A118)</f>
        <v>0</v>
      </c>
      <c r="K118" s="35" t="n">
        <f aca="false">SUM($G118:$J118)</f>
        <v>2</v>
      </c>
      <c r="L118" s="36" t="n">
        <f aca="false">IFERROR(($G118+$H118)/$K118,"")</f>
        <v>1</v>
      </c>
      <c r="M118" s="30"/>
      <c r="N118" s="30"/>
      <c r="O118" s="30"/>
      <c r="P118" s="30"/>
    </row>
    <row r="119" customFormat="false" ht="19.5" hidden="false" customHeight="true" outlineLevel="0" collapsed="false">
      <c r="A119" s="44" t="s">
        <v>43</v>
      </c>
      <c r="B119" s="35" t="n">
        <f aca="false">COUNTIFS(入户维修!$F$5:$F$404,$A$69,入户维修!$E$5:$E$404,"?*",入户维修!$C$5:$C$404,$A119)+COUNTIFS(入户维修!$G$5:$G$404,$A$69,入户维修!$E$5:$E$404,"?*",入户维修!$C$5:$C$404,$A119)+COUNTIFS(入户维修!$H$5:$H$404,$A$69,入户维修!$E$5:$E$404,"?*",入户维修!$C$5:$C$404,$A119)+COUNTIFS(公区维修!$F$5:$F$404,$A$69,公区维修!$E$5:$E$404,"?*",公区维修!$C$5:$C$404,$A119)+COUNTIFS(公区维修!$G$5:$G$404,$A$69,公区维修!$E$5:$E$404,"?*",公区维修!$C$5:$C$404,$A119)+COUNTIFS(公区维修!$H$5:$H$404,$A$69,公区维修!$E$5:$E$404,"?*",公区维修!$C$5:$C$404,$A119)</f>
        <v>1</v>
      </c>
      <c r="C119" s="35" t="n">
        <f aca="false">COUNTIFS(入户维修!$F$5:$F$404,$A$69,入户维修!$K$5:$K$404,"已完成",入户维修!$C$5:$C$404,$A119)+COUNTIFS(入户维修!$G$5:$G$404,$A$69,入户维修!$K$5:$K$404,"已完成",入户维修!$C$5:$C$404,$A119)+COUNTIFS(入户维修!$H$5:$H$404,$A$69,入户维修!$K$5:$K$404,"已完成",入户维修!$C$5:$C$404,$A119)+COUNTIFS(公区维修!$F$5:$F$404,$A$69,公区维修!$K$5:$K$404,"已完成",公区维修!$C$5:$C$404,$A119)+COUNTIFS(公区维修!$G$5:$G$404,$A$69,公区维修!$K$5:$K$404,"已完成",公区维修!$C$5:$C$404,$A119)+COUNTIFS(公区维修!$H$5:$H$404,$A$69,公区维修!$K$5:$K$404,"已完成",公区维修!$C$5:$C$404,$A119)</f>
        <v>0</v>
      </c>
      <c r="D119" s="35" t="n">
        <f aca="false">COUNTIFS(入户维修!$F$5:$F$404,$A$69,入户维修!$K$5:$K$404,"跟进中",入户维修!$C$5:$C$404,$A119)+COUNTIFS(入户维修!$G$5:$G$404,$A$69,入户维修!$K$5:$K$404,"跟进中",入户维修!$C$5:$C$404,$A119)+COUNTIFS(入户维修!$H$5:$H$404,$A$69,入户维修!$K$5:$K$404,"跟进中",入户维修!$C$5:$C$404,$A119)+COUNTIFS(公区维修!$F$5:$F$404,$A$69,公区维修!$K$5:$K$404,"跟进中",公区维修!$C$5:$C$404,$A119)+COUNTIFS(公区维修!$G$5:$G$404,$A$69,公区维修!$K$5:$K$404,"跟进中",公区维修!$C$5:$C$404,$A119)+COUNTIFS(公区维修!$H$5:$H$404,$A$69,公区维修!$K$5:$K$404,"跟进中",公区维修!$C$5:$C$404,$A119)</f>
        <v>1</v>
      </c>
      <c r="E119" s="35" t="n">
        <f aca="false">COUNTIFS(入户维修!$F$5:$F$404,$A$69,入户维修!$K$5:$K$404,"需另约时间",入户维修!$C$5:$C$404,$A119)+COUNTIFS(入户维修!$G$5:$G$404,$A$69,入户维修!$K$5:$K$404,"需另约时间",入户维修!$C$5:$C$404,$A119)+COUNTIFS(入户维修!$H$5:$H$404,$A$69,入户维修!$K$5:$K$404,"需另约时间",入户维修!$C$5:$C$404,$A119)+COUNTIFS(公区维修!$F$5:$F$404,$A$69,公区维修!$K$5:$K$404,"需另约时间",公区维修!$C$5:$C$404,$A119)+COUNTIFS(公区维修!$G$5:$G$404,$A$69,公区维修!$K$5:$K$404,"需另约时间",公区维修!$C$5:$C$404,$A119)+COUNTIFS(公区维修!$H$5:$H$404,$A$69,公区维修!$K$5:$K$404,"需另约时间",公区维修!$C$5:$C$404,$A119)</f>
        <v>0</v>
      </c>
      <c r="F119" s="36" t="n">
        <f aca="false">IFERROR($C119/$B119,"")</f>
        <v>0</v>
      </c>
      <c r="G119" s="35" t="n">
        <f aca="false">COUNTIFS(入户维修!$F$5:$F$404,$A$69,入户维修!$O$5:$O$404,"非常满意",入户维修!$C$5:$C$404,$A119)+COUNTIFS(入户维修!$G$5:$G$404,$A$69,入户维修!$O$5:$O$404,"非常满意",入户维修!$C$5:$C$404,$A119)+COUNTIFS(入户维修!$H$5:$H$404,$A$69,入户维修!$O$5:$O$404,"非常满意",入户维修!$C$5:$C$404,$A119)+COUNTIFS(公区维修!$F$5:$F$404,$A$69,公区维修!$N$5:$N$404,"非常满意",公区维修!$C$5:$C$404,$A119)+COUNTIFS(公区维修!$G$5:$G$404,$A$69,公区维修!$N$5:$N$404,"非常满意",公区维修!$C$5:$C$404,$A119)+COUNTIFS(公区维修!$H$5:$H$404,$A$69,公区维修!$N$5:$N$404,"非常满意",公区维修!$C$5:$C$404,$A119)</f>
        <v>0</v>
      </c>
      <c r="H119" s="35" t="n">
        <f aca="false">COUNTIFS(入户维修!$F$5:$F$404,$A$69,入户维修!$O$5:$O$404,"满意",入户维修!$C$5:$C$404,$A119)+COUNTIFS(入户维修!$G$5:$G$404,$A$69,入户维修!$O$5:$O$404,"满意",入户维修!$C$5:$C$404,$A119)+COUNTIFS(入户维修!$H$5:$H$404,$A$69,入户维修!$O$5:$O$404,"满意",入户维修!$C$5:$C$404,$A119)+COUNTIFS(公区维修!$F$5:$F$404,$A$69,公区维修!$N$5:$N$404,"满意",公区维修!$C$5:$C$404,$A119)+COUNTIFS(公区维修!$G$5:$G$404,$A$69,公区维修!$N$5:$N$404,"满意",公区维修!$C$5:$C$404,$A119)+COUNTIFS(公区维修!$H$5:$H$404,$A$69,公区维修!$N$5:$N$404,"满意",公区维修!$C$5:$C$404,$A119)</f>
        <v>0</v>
      </c>
      <c r="I119" s="35" t="n">
        <f aca="false">COUNTIFS(入户维修!$F$5:$F$404,$A$69,入户维修!$O$5:$O$404,"一般",入户维修!$C$5:$C$404,$A119)+COUNTIFS(入户维修!$G$5:$G$404,$A$69,入户维修!$O$5:$O$404,"一般",入户维修!$C$5:$C$404,$A119)+COUNTIFS(入户维修!$H$5:$H$404,$A$69,入户维修!$O$5:$O$404,"一般",入户维修!$C$5:$C$404,$A119)+COUNTIFS(公区维修!$F$5:$F$404,$A$69,公区维修!$N$5:$N$404,"一般",公区维修!$C$5:$C$404,$A119)+COUNTIFS(公区维修!$G$5:$G$404,$A$69,公区维修!$N$5:$N$404,"一般",公区维修!$C$5:$C$404,$A119)+COUNTIFS(公区维修!$H$5:$H$404,$A$69,公区维修!$N$5:$N$404,"一般",公区维修!$C$5:$C$404,$A119)</f>
        <v>0</v>
      </c>
      <c r="J119" s="35" t="n">
        <f aca="false">COUNTIFS(入户维修!$F$5:$F$404,$A$69,入户维修!$O$5:$O$404,"不满意",入户维修!$C$5:$C$404,$A119)+COUNTIFS(入户维修!$G$5:$G$404,$A$69,入户维修!$O$5:$O$404,"不满意",入户维修!$C$5:$C$404,$A119)+COUNTIFS(入户维修!$H$5:$H$404,$A$69,入户维修!$O$5:$O$404,"不满意",入户维修!$C$5:$C$404,$A119)+COUNTIFS(公区维修!$F$5:$F$404,$A$69,公区维修!$N$5:$N$404,"不满意",公区维修!$C$5:$C$404,$A119)+COUNTIFS(公区维修!$G$5:$G$404,$A$69,公区维修!$N$5:$N$404,"不满意",公区维修!$C$5:$C$404,$A119)+COUNTIFS(公区维修!$H$5:$H$404,$A$69,公区维修!$N$5:$N$404,"不满意",公区维修!$C$5:$C$404,$A119)</f>
        <v>0</v>
      </c>
      <c r="K119" s="35" t="n">
        <f aca="false">SUM($G119:$J119)</f>
        <v>0</v>
      </c>
      <c r="L119" s="36" t="str">
        <f aca="false">IFERROR(($G119+$H119)/$K119,"")</f>
        <v/>
      </c>
      <c r="M119" s="30"/>
      <c r="N119" s="30"/>
      <c r="O119" s="30"/>
      <c r="P119" s="30"/>
    </row>
    <row r="120" customFormat="false" ht="19.5" hidden="false" customHeight="true" outlineLevel="0" collapsed="false">
      <c r="A120" s="44" t="s">
        <v>21</v>
      </c>
      <c r="B120" s="35" t="n">
        <f aca="false">COUNTIFS(入户维修!$F$5:$F$404,$A$69,入户维修!$E$5:$E$404,"?*",入户维修!$C$5:$C$404,$A120)+COUNTIFS(入户维修!$G$5:$G$404,$A$69,入户维修!$E$5:$E$404,"?*",入户维修!$C$5:$C$404,$A120)+COUNTIFS(入户维修!$H$5:$H$404,$A$69,入户维修!$E$5:$E$404,"?*",入户维修!$C$5:$C$404,$A120)+COUNTIFS(公区维修!$F$5:$F$404,$A$69,公区维修!$E$5:$E$404,"?*",公区维修!$C$5:$C$404,$A120)+COUNTIFS(公区维修!$G$5:$G$404,$A$69,公区维修!$E$5:$E$404,"?*",公区维修!$C$5:$C$404,$A120)+COUNTIFS(公区维修!$H$5:$H$404,$A$69,公区维修!$E$5:$E$404,"?*",公区维修!$C$5:$C$404,$A120)</f>
        <v>1</v>
      </c>
      <c r="C120" s="35" t="n">
        <f aca="false">COUNTIFS(入户维修!$F$5:$F$404,$A$69,入户维修!$K$5:$K$404,"已完成",入户维修!$C$5:$C$404,$A120)+COUNTIFS(入户维修!$G$5:$G$404,$A$69,入户维修!$K$5:$K$404,"已完成",入户维修!$C$5:$C$404,$A120)+COUNTIFS(入户维修!$H$5:$H$404,$A$69,入户维修!$K$5:$K$404,"已完成",入户维修!$C$5:$C$404,$A120)+COUNTIFS(公区维修!$F$5:$F$404,$A$69,公区维修!$K$5:$K$404,"已完成",公区维修!$C$5:$C$404,$A120)+COUNTIFS(公区维修!$G$5:$G$404,$A$69,公区维修!$K$5:$K$404,"已完成",公区维修!$C$5:$C$404,$A120)+COUNTIFS(公区维修!$H$5:$H$404,$A$69,公区维修!$K$5:$K$404,"已完成",公区维修!$C$5:$C$404,$A120)</f>
        <v>1</v>
      </c>
      <c r="D120" s="35" t="n">
        <f aca="false">COUNTIFS(入户维修!$F$5:$F$404,$A$69,入户维修!$K$5:$K$404,"跟进中",入户维修!$C$5:$C$404,$A120)+COUNTIFS(入户维修!$G$5:$G$404,$A$69,入户维修!$K$5:$K$404,"跟进中",入户维修!$C$5:$C$404,$A120)+COUNTIFS(入户维修!$H$5:$H$404,$A$69,入户维修!$K$5:$K$404,"跟进中",入户维修!$C$5:$C$404,$A120)+COUNTIFS(公区维修!$F$5:$F$404,$A$69,公区维修!$K$5:$K$404,"跟进中",公区维修!$C$5:$C$404,$A120)+COUNTIFS(公区维修!$G$5:$G$404,$A$69,公区维修!$K$5:$K$404,"跟进中",公区维修!$C$5:$C$404,$A120)+COUNTIFS(公区维修!$H$5:$H$404,$A$69,公区维修!$K$5:$K$404,"跟进中",公区维修!$C$5:$C$404,$A120)</f>
        <v>0</v>
      </c>
      <c r="E120" s="35" t="n">
        <f aca="false">COUNTIFS(入户维修!$F$5:$F$404,$A$69,入户维修!$K$5:$K$404,"需另约时间",入户维修!$C$5:$C$404,$A120)+COUNTIFS(入户维修!$G$5:$G$404,$A$69,入户维修!$K$5:$K$404,"需另约时间",入户维修!$C$5:$C$404,$A120)+COUNTIFS(入户维修!$H$5:$H$404,$A$69,入户维修!$K$5:$K$404,"需另约时间",入户维修!$C$5:$C$404,$A120)+COUNTIFS(公区维修!$F$5:$F$404,$A$69,公区维修!$K$5:$K$404,"需另约时间",公区维修!$C$5:$C$404,$A120)+COUNTIFS(公区维修!$G$5:$G$404,$A$69,公区维修!$K$5:$K$404,"需另约时间",公区维修!$C$5:$C$404,$A120)+COUNTIFS(公区维修!$H$5:$H$404,$A$69,公区维修!$K$5:$K$404,"需另约时间",公区维修!$C$5:$C$404,$A120)</f>
        <v>0</v>
      </c>
      <c r="F120" s="36" t="n">
        <f aca="false">IFERROR($C120/$B120,"")</f>
        <v>1</v>
      </c>
      <c r="G120" s="35" t="n">
        <f aca="false">COUNTIFS(入户维修!$F$5:$F$404,$A$69,入户维修!$O$5:$O$404,"非常满意",入户维修!$C$5:$C$404,$A120)+COUNTIFS(入户维修!$G$5:$G$404,$A$69,入户维修!$O$5:$O$404,"非常满意",入户维修!$C$5:$C$404,$A120)+COUNTIFS(入户维修!$H$5:$H$404,$A$69,入户维修!$O$5:$O$404,"非常满意",入户维修!$C$5:$C$404,$A120)+COUNTIFS(公区维修!$F$5:$F$404,$A$69,公区维修!$N$5:$N$404,"非常满意",公区维修!$C$5:$C$404,$A120)+COUNTIFS(公区维修!$G$5:$G$404,$A$69,公区维修!$N$5:$N$404,"非常满意",公区维修!$C$5:$C$404,$A120)+COUNTIFS(公区维修!$H$5:$H$404,$A$69,公区维修!$N$5:$N$404,"非常满意",公区维修!$C$5:$C$404,$A120)</f>
        <v>1</v>
      </c>
      <c r="H120" s="35" t="n">
        <f aca="false">COUNTIFS(入户维修!$F$5:$F$404,$A$69,入户维修!$O$5:$O$404,"满意",入户维修!$C$5:$C$404,$A120)+COUNTIFS(入户维修!$G$5:$G$404,$A$69,入户维修!$O$5:$O$404,"满意",入户维修!$C$5:$C$404,$A120)+COUNTIFS(入户维修!$H$5:$H$404,$A$69,入户维修!$O$5:$O$404,"满意",入户维修!$C$5:$C$404,$A120)+COUNTIFS(公区维修!$F$5:$F$404,$A$69,公区维修!$N$5:$N$404,"满意",公区维修!$C$5:$C$404,$A120)+COUNTIFS(公区维修!$G$5:$G$404,$A$69,公区维修!$N$5:$N$404,"满意",公区维修!$C$5:$C$404,$A120)+COUNTIFS(公区维修!$H$5:$H$404,$A$69,公区维修!$N$5:$N$404,"满意",公区维修!$C$5:$C$404,$A120)</f>
        <v>0</v>
      </c>
      <c r="I120" s="35" t="n">
        <f aca="false">COUNTIFS(入户维修!$F$5:$F$404,$A$69,入户维修!$O$5:$O$404,"一般",入户维修!$C$5:$C$404,$A120)+COUNTIFS(入户维修!$G$5:$G$404,$A$69,入户维修!$O$5:$O$404,"一般",入户维修!$C$5:$C$404,$A120)+COUNTIFS(入户维修!$H$5:$H$404,$A$69,入户维修!$O$5:$O$404,"一般",入户维修!$C$5:$C$404,$A120)+COUNTIFS(公区维修!$F$5:$F$404,$A$69,公区维修!$N$5:$N$404,"一般",公区维修!$C$5:$C$404,$A120)+COUNTIFS(公区维修!$G$5:$G$404,$A$69,公区维修!$N$5:$N$404,"一般",公区维修!$C$5:$C$404,$A120)+COUNTIFS(公区维修!$H$5:$H$404,$A$69,公区维修!$N$5:$N$404,"一般",公区维修!$C$5:$C$404,$A120)</f>
        <v>0</v>
      </c>
      <c r="J120" s="35" t="n">
        <f aca="false">COUNTIFS(入户维修!$F$5:$F$404,$A$69,入户维修!$O$5:$O$404,"不满意",入户维修!$C$5:$C$404,$A120)+COUNTIFS(入户维修!$G$5:$G$404,$A$69,入户维修!$O$5:$O$404,"不满意",入户维修!$C$5:$C$404,$A120)+COUNTIFS(入户维修!$H$5:$H$404,$A$69,入户维修!$O$5:$O$404,"不满意",入户维修!$C$5:$C$404,$A120)+COUNTIFS(公区维修!$F$5:$F$404,$A$69,公区维修!$N$5:$N$404,"不满意",公区维修!$C$5:$C$404,$A120)+COUNTIFS(公区维修!$G$5:$G$404,$A$69,公区维修!$N$5:$N$404,"不满意",公区维修!$C$5:$C$404,$A120)+COUNTIFS(公区维修!$H$5:$H$404,$A$69,公区维修!$N$5:$N$404,"不满意",公区维修!$C$5:$C$404,$A120)</f>
        <v>0</v>
      </c>
      <c r="K120" s="35" t="n">
        <f aca="false">SUM($G120:$J120)</f>
        <v>1</v>
      </c>
      <c r="L120" s="36" t="n">
        <f aca="false">IFERROR(($G120+$H120)/$K120,"")</f>
        <v>1</v>
      </c>
      <c r="M120" s="30"/>
      <c r="N120" s="30"/>
      <c r="O120" s="30"/>
      <c r="P120" s="30"/>
    </row>
    <row r="121" customFormat="false" ht="19.5" hidden="false" customHeight="true" outlineLevel="0" collapsed="false">
      <c r="A121" s="44" t="s">
        <v>79</v>
      </c>
      <c r="B121" s="35" t="n">
        <f aca="false">COUNTIFS(入户维修!$F$5:$F$404,$A$69,入户维修!$E$5:$E$404,"?*",入户维修!$C$5:$C$404,$A121)+COUNTIFS(入户维修!$G$5:$G$404,$A$69,入户维修!$E$5:$E$404,"?*",入户维修!$C$5:$C$404,$A121)+COUNTIFS(入户维修!$H$5:$H$404,$A$69,入户维修!$E$5:$E$404,"?*",入户维修!$C$5:$C$404,$A121)+COUNTIFS(公区维修!$F$5:$F$404,$A$69,公区维修!$E$5:$E$404,"?*",公区维修!$C$5:$C$404,$A121)+COUNTIFS(公区维修!$G$5:$G$404,$A$69,公区维修!$E$5:$E$404,"?*",公区维修!$C$5:$C$404,$A121)+COUNTIFS(公区维修!$H$5:$H$404,$A$69,公区维修!$E$5:$E$404,"?*",公区维修!$C$5:$C$404,$A121)</f>
        <v>0</v>
      </c>
      <c r="C121" s="35" t="n">
        <f aca="false">COUNTIFS(入户维修!$F$5:$F$404,$A$69,入户维修!$K$5:$K$404,"已完成",入户维修!$C$5:$C$404,$A121)+COUNTIFS(入户维修!$G$5:$G$404,$A$69,入户维修!$K$5:$K$404,"已完成",入户维修!$C$5:$C$404,$A121)+COUNTIFS(入户维修!$H$5:$H$404,$A$69,入户维修!$K$5:$K$404,"已完成",入户维修!$C$5:$C$404,$A121)+COUNTIFS(公区维修!$F$5:$F$404,$A$69,公区维修!$K$5:$K$404,"已完成",公区维修!$C$5:$C$404,$A121)+COUNTIFS(公区维修!$G$5:$G$404,$A$69,公区维修!$K$5:$K$404,"已完成",公区维修!$C$5:$C$404,$A121)+COUNTIFS(公区维修!$H$5:$H$404,$A$69,公区维修!$K$5:$K$404,"已完成",公区维修!$C$5:$C$404,$A121)</f>
        <v>0</v>
      </c>
      <c r="D121" s="35" t="n">
        <f aca="false">COUNTIFS(入户维修!$F$5:$F$404,$A$69,入户维修!$K$5:$K$404,"跟进中",入户维修!$C$5:$C$404,$A121)+COUNTIFS(入户维修!$G$5:$G$404,$A$69,入户维修!$K$5:$K$404,"跟进中",入户维修!$C$5:$C$404,$A121)+COUNTIFS(入户维修!$H$5:$H$404,$A$69,入户维修!$K$5:$K$404,"跟进中",入户维修!$C$5:$C$404,$A121)+COUNTIFS(公区维修!$F$5:$F$404,$A$69,公区维修!$K$5:$K$404,"跟进中",公区维修!$C$5:$C$404,$A121)+COUNTIFS(公区维修!$G$5:$G$404,$A$69,公区维修!$K$5:$K$404,"跟进中",公区维修!$C$5:$C$404,$A121)+COUNTIFS(公区维修!$H$5:$H$404,$A$69,公区维修!$K$5:$K$404,"跟进中",公区维修!$C$5:$C$404,$A121)</f>
        <v>0</v>
      </c>
      <c r="E121" s="35" t="n">
        <f aca="false">COUNTIFS(入户维修!$F$5:$F$404,$A$69,入户维修!$K$5:$K$404,"需另约时间",入户维修!$C$5:$C$404,$A121)+COUNTIFS(入户维修!$G$5:$G$404,$A$69,入户维修!$K$5:$K$404,"需另约时间",入户维修!$C$5:$C$404,$A121)+COUNTIFS(入户维修!$H$5:$H$404,$A$69,入户维修!$K$5:$K$404,"需另约时间",入户维修!$C$5:$C$404,$A121)+COUNTIFS(公区维修!$F$5:$F$404,$A$69,公区维修!$K$5:$K$404,"需另约时间",公区维修!$C$5:$C$404,$A121)+COUNTIFS(公区维修!$G$5:$G$404,$A$69,公区维修!$K$5:$K$404,"需另约时间",公区维修!$C$5:$C$404,$A121)+COUNTIFS(公区维修!$H$5:$H$404,$A$69,公区维修!$K$5:$K$404,"需另约时间",公区维修!$C$5:$C$404,$A121)</f>
        <v>0</v>
      </c>
      <c r="F121" s="36" t="str">
        <f aca="false">IFERROR($C121/$B121,"")</f>
        <v/>
      </c>
      <c r="G121" s="35" t="n">
        <f aca="false">COUNTIFS(入户维修!$F$5:$F$404,$A$69,入户维修!$O$5:$O$404,"非常满意",入户维修!$C$5:$C$404,$A121)+COUNTIFS(入户维修!$G$5:$G$404,$A$69,入户维修!$O$5:$O$404,"非常满意",入户维修!$C$5:$C$404,$A121)+COUNTIFS(入户维修!$H$5:$H$404,$A$69,入户维修!$O$5:$O$404,"非常满意",入户维修!$C$5:$C$404,$A121)+COUNTIFS(公区维修!$F$5:$F$404,$A$69,公区维修!$N$5:$N$404,"非常满意",公区维修!$C$5:$C$404,$A121)+COUNTIFS(公区维修!$G$5:$G$404,$A$69,公区维修!$N$5:$N$404,"非常满意",公区维修!$C$5:$C$404,$A121)+COUNTIFS(公区维修!$H$5:$H$404,$A$69,公区维修!$N$5:$N$404,"非常满意",公区维修!$C$5:$C$404,$A121)</f>
        <v>0</v>
      </c>
      <c r="H121" s="35" t="n">
        <f aca="false">COUNTIFS(入户维修!$F$5:$F$404,$A$69,入户维修!$O$5:$O$404,"满意",入户维修!$C$5:$C$404,$A121)+COUNTIFS(入户维修!$G$5:$G$404,$A$69,入户维修!$O$5:$O$404,"满意",入户维修!$C$5:$C$404,$A121)+COUNTIFS(入户维修!$H$5:$H$404,$A$69,入户维修!$O$5:$O$404,"满意",入户维修!$C$5:$C$404,$A121)+COUNTIFS(公区维修!$F$5:$F$404,$A$69,公区维修!$N$5:$N$404,"满意",公区维修!$C$5:$C$404,$A121)+COUNTIFS(公区维修!$G$5:$G$404,$A$69,公区维修!$N$5:$N$404,"满意",公区维修!$C$5:$C$404,$A121)+COUNTIFS(公区维修!$H$5:$H$404,$A$69,公区维修!$N$5:$N$404,"满意",公区维修!$C$5:$C$404,$A121)</f>
        <v>0</v>
      </c>
      <c r="I121" s="35" t="n">
        <f aca="false">COUNTIFS(入户维修!$F$5:$F$404,$A$69,入户维修!$O$5:$O$404,"一般",入户维修!$C$5:$C$404,$A121)+COUNTIFS(入户维修!$G$5:$G$404,$A$69,入户维修!$O$5:$O$404,"一般",入户维修!$C$5:$C$404,$A121)+COUNTIFS(入户维修!$H$5:$H$404,$A$69,入户维修!$O$5:$O$404,"一般",入户维修!$C$5:$C$404,$A121)+COUNTIFS(公区维修!$F$5:$F$404,$A$69,公区维修!$N$5:$N$404,"一般",公区维修!$C$5:$C$404,$A121)+COUNTIFS(公区维修!$G$5:$G$404,$A$69,公区维修!$N$5:$N$404,"一般",公区维修!$C$5:$C$404,$A121)+COUNTIFS(公区维修!$H$5:$H$404,$A$69,公区维修!$N$5:$N$404,"一般",公区维修!$C$5:$C$404,$A121)</f>
        <v>0</v>
      </c>
      <c r="J121" s="35" t="n">
        <f aca="false">COUNTIFS(入户维修!$F$5:$F$404,$A$69,入户维修!$O$5:$O$404,"不满意",入户维修!$C$5:$C$404,$A121)+COUNTIFS(入户维修!$G$5:$G$404,$A$69,入户维修!$O$5:$O$404,"不满意",入户维修!$C$5:$C$404,$A121)+COUNTIFS(入户维修!$H$5:$H$404,$A$69,入户维修!$O$5:$O$404,"不满意",入户维修!$C$5:$C$404,$A121)+COUNTIFS(公区维修!$F$5:$F$404,$A$69,公区维修!$N$5:$N$404,"不满意",公区维修!$C$5:$C$404,$A121)+COUNTIFS(公区维修!$G$5:$G$404,$A$69,公区维修!$N$5:$N$404,"不满意",公区维修!$C$5:$C$404,$A121)+COUNTIFS(公区维修!$H$5:$H$404,$A$69,公区维修!$N$5:$N$404,"不满意",公区维修!$C$5:$C$404,$A121)</f>
        <v>0</v>
      </c>
      <c r="K121" s="35" t="n">
        <f aca="false">SUM($G121:$J121)</f>
        <v>0</v>
      </c>
      <c r="L121" s="36" t="str">
        <f aca="false">IFERROR(($G121+$H121)/$K121,"")</f>
        <v/>
      </c>
      <c r="M121" s="30"/>
      <c r="N121" s="30"/>
      <c r="O121" s="30"/>
      <c r="P121" s="30"/>
    </row>
    <row r="122" customFormat="false" ht="19.5" hidden="false" customHeight="true" outlineLevel="0" collapsed="false">
      <c r="A122" s="44" t="s">
        <v>76</v>
      </c>
      <c r="B122" s="35" t="n">
        <f aca="false">COUNTIFS(入户维修!$F$5:$F$404,$A$69,入户维修!$E$5:$E$404,"?*",入户维修!$C$5:$C$404,$A122)+COUNTIFS(入户维修!$G$5:$G$404,$A$69,入户维修!$E$5:$E$404,"?*",入户维修!$C$5:$C$404,$A122)+COUNTIFS(入户维修!$H$5:$H$404,$A$69,入户维修!$E$5:$E$404,"?*",入户维修!$C$5:$C$404,$A122)+COUNTIFS(公区维修!$F$5:$F$404,$A$69,公区维修!$E$5:$E$404,"?*",公区维修!$C$5:$C$404,$A122)+COUNTIFS(公区维修!$G$5:$G$404,$A$69,公区维修!$E$5:$E$404,"?*",公区维修!$C$5:$C$404,$A122)+COUNTIFS(公区维修!$H$5:$H$404,$A$69,公区维修!$E$5:$E$404,"?*",公区维修!$C$5:$C$404,$A122)</f>
        <v>0</v>
      </c>
      <c r="C122" s="35" t="n">
        <f aca="false">COUNTIFS(入户维修!$F$5:$F$404,$A$69,入户维修!$K$5:$K$404,"已完成",入户维修!$C$5:$C$404,$A122)+COUNTIFS(入户维修!$G$5:$G$404,$A$69,入户维修!$K$5:$K$404,"已完成",入户维修!$C$5:$C$404,$A122)+COUNTIFS(入户维修!$H$5:$H$404,$A$69,入户维修!$K$5:$K$404,"已完成",入户维修!$C$5:$C$404,$A122)+COUNTIFS(公区维修!$F$5:$F$404,$A$69,公区维修!$K$5:$K$404,"已完成",公区维修!$C$5:$C$404,$A122)+COUNTIFS(公区维修!$G$5:$G$404,$A$69,公区维修!$K$5:$K$404,"已完成",公区维修!$C$5:$C$404,$A122)+COUNTIFS(公区维修!$H$5:$H$404,$A$69,公区维修!$K$5:$K$404,"已完成",公区维修!$C$5:$C$404,$A122)</f>
        <v>0</v>
      </c>
      <c r="D122" s="35" t="n">
        <f aca="false">COUNTIFS(入户维修!$F$5:$F$404,$A$69,入户维修!$K$5:$K$404,"跟进中",入户维修!$C$5:$C$404,$A122)+COUNTIFS(入户维修!$G$5:$G$404,$A$69,入户维修!$K$5:$K$404,"跟进中",入户维修!$C$5:$C$404,$A122)+COUNTIFS(入户维修!$H$5:$H$404,$A$69,入户维修!$K$5:$K$404,"跟进中",入户维修!$C$5:$C$404,$A122)+COUNTIFS(公区维修!$F$5:$F$404,$A$69,公区维修!$K$5:$K$404,"跟进中",公区维修!$C$5:$C$404,$A122)+COUNTIFS(公区维修!$G$5:$G$404,$A$69,公区维修!$K$5:$K$404,"跟进中",公区维修!$C$5:$C$404,$A122)+COUNTIFS(公区维修!$H$5:$H$404,$A$69,公区维修!$K$5:$K$404,"跟进中",公区维修!$C$5:$C$404,$A122)</f>
        <v>0</v>
      </c>
      <c r="E122" s="35" t="n">
        <f aca="false">COUNTIFS(入户维修!$F$5:$F$404,$A$69,入户维修!$K$5:$K$404,"需另约时间",入户维修!$C$5:$C$404,$A122)+COUNTIFS(入户维修!$G$5:$G$404,$A$69,入户维修!$K$5:$K$404,"需另约时间",入户维修!$C$5:$C$404,$A122)+COUNTIFS(入户维修!$H$5:$H$404,$A$69,入户维修!$K$5:$K$404,"需另约时间",入户维修!$C$5:$C$404,$A122)+COUNTIFS(公区维修!$F$5:$F$404,$A$69,公区维修!$K$5:$K$404,"需另约时间",公区维修!$C$5:$C$404,$A122)+COUNTIFS(公区维修!$G$5:$G$404,$A$69,公区维修!$K$5:$K$404,"需另约时间",公区维修!$C$5:$C$404,$A122)+COUNTIFS(公区维修!$H$5:$H$404,$A$69,公区维修!$K$5:$K$404,"需另约时间",公区维修!$C$5:$C$404,$A122)</f>
        <v>0</v>
      </c>
      <c r="F122" s="36" t="str">
        <f aca="false">IFERROR($C122/$B122,"")</f>
        <v/>
      </c>
      <c r="G122" s="35" t="n">
        <f aca="false">COUNTIFS(入户维修!$F$5:$F$404,$A$69,入户维修!$O$5:$O$404,"非常满意",入户维修!$C$5:$C$404,$A122)+COUNTIFS(入户维修!$G$5:$G$404,$A$69,入户维修!$O$5:$O$404,"非常满意",入户维修!$C$5:$C$404,$A122)+COUNTIFS(入户维修!$H$5:$H$404,$A$69,入户维修!$O$5:$O$404,"非常满意",入户维修!$C$5:$C$404,$A122)+COUNTIFS(公区维修!$F$5:$F$404,$A$69,公区维修!$N$5:$N$404,"非常满意",公区维修!$C$5:$C$404,$A122)+COUNTIFS(公区维修!$G$5:$G$404,$A$69,公区维修!$N$5:$N$404,"非常满意",公区维修!$C$5:$C$404,$A122)+COUNTIFS(公区维修!$H$5:$H$404,$A$69,公区维修!$N$5:$N$404,"非常满意",公区维修!$C$5:$C$404,$A122)</f>
        <v>0</v>
      </c>
      <c r="H122" s="35" t="n">
        <f aca="false">COUNTIFS(入户维修!$F$5:$F$404,$A$69,入户维修!$O$5:$O$404,"满意",入户维修!$C$5:$C$404,$A122)+COUNTIFS(入户维修!$G$5:$G$404,$A$69,入户维修!$O$5:$O$404,"满意",入户维修!$C$5:$C$404,$A122)+COUNTIFS(入户维修!$H$5:$H$404,$A$69,入户维修!$O$5:$O$404,"满意",入户维修!$C$5:$C$404,$A122)+COUNTIFS(公区维修!$F$5:$F$404,$A$69,公区维修!$N$5:$N$404,"满意",公区维修!$C$5:$C$404,$A122)+COUNTIFS(公区维修!$G$5:$G$404,$A$69,公区维修!$N$5:$N$404,"满意",公区维修!$C$5:$C$404,$A122)+COUNTIFS(公区维修!$H$5:$H$404,$A$69,公区维修!$N$5:$N$404,"满意",公区维修!$C$5:$C$404,$A122)</f>
        <v>0</v>
      </c>
      <c r="I122" s="35" t="n">
        <f aca="false">COUNTIFS(入户维修!$F$5:$F$404,$A$69,入户维修!$O$5:$O$404,"一般",入户维修!$C$5:$C$404,$A122)+COUNTIFS(入户维修!$G$5:$G$404,$A$69,入户维修!$O$5:$O$404,"一般",入户维修!$C$5:$C$404,$A122)+COUNTIFS(入户维修!$H$5:$H$404,$A$69,入户维修!$O$5:$O$404,"一般",入户维修!$C$5:$C$404,$A122)+COUNTIFS(公区维修!$F$5:$F$404,$A$69,公区维修!$N$5:$N$404,"一般",公区维修!$C$5:$C$404,$A122)+COUNTIFS(公区维修!$G$5:$G$404,$A$69,公区维修!$N$5:$N$404,"一般",公区维修!$C$5:$C$404,$A122)+COUNTIFS(公区维修!$H$5:$H$404,$A$69,公区维修!$N$5:$N$404,"一般",公区维修!$C$5:$C$404,$A122)</f>
        <v>0</v>
      </c>
      <c r="J122" s="35" t="n">
        <f aca="false">COUNTIFS(入户维修!$F$5:$F$404,$A$69,入户维修!$O$5:$O$404,"不满意",入户维修!$C$5:$C$404,$A122)+COUNTIFS(入户维修!$G$5:$G$404,$A$69,入户维修!$O$5:$O$404,"不满意",入户维修!$C$5:$C$404,$A122)+COUNTIFS(入户维修!$H$5:$H$404,$A$69,入户维修!$O$5:$O$404,"不满意",入户维修!$C$5:$C$404,$A122)+COUNTIFS(公区维修!$F$5:$F$404,$A$69,公区维修!$N$5:$N$404,"不满意",公区维修!$C$5:$C$404,$A122)+COUNTIFS(公区维修!$G$5:$G$404,$A$69,公区维修!$N$5:$N$404,"不满意",公区维修!$C$5:$C$404,$A122)+COUNTIFS(公区维修!$H$5:$H$404,$A$69,公区维修!$N$5:$N$404,"不满意",公区维修!$C$5:$C$404,$A122)</f>
        <v>0</v>
      </c>
      <c r="K122" s="35" t="n">
        <f aca="false">SUM($G122:$J122)</f>
        <v>0</v>
      </c>
      <c r="L122" s="36" t="str">
        <f aca="false">IFERROR(($G122+$H122)/$K122,"")</f>
        <v/>
      </c>
      <c r="M122" s="30"/>
      <c r="N122" s="30"/>
      <c r="O122" s="30"/>
      <c r="P122" s="30"/>
    </row>
    <row r="123" customFormat="false" ht="19.5" hidden="false" customHeight="true" outlineLevel="0" collapsed="false">
      <c r="A123" s="44" t="s">
        <v>93</v>
      </c>
      <c r="B123" s="35" t="n">
        <f aca="false">COUNTIFS(入户维修!$F$5:$F$404,$A$69,入户维修!$E$5:$E$404,"?*",入户维修!$C$5:$C$404,$A123)+COUNTIFS(入户维修!$G$5:$G$404,$A$69,入户维修!$E$5:$E$404,"?*",入户维修!$C$5:$C$404,$A123)+COUNTIFS(入户维修!$H$5:$H$404,$A$69,入户维修!$E$5:$E$404,"?*",入户维修!$C$5:$C$404,$A123)+COUNTIFS(公区维修!$F$5:$F$404,$A$69,公区维修!$E$5:$E$404,"?*",公区维修!$C$5:$C$404,$A123)+COUNTIFS(公区维修!$G$5:$G$404,$A$69,公区维修!$E$5:$E$404,"?*",公区维修!$C$5:$C$404,$A123)+COUNTIFS(公区维修!$H$5:$H$404,$A$69,公区维修!$E$5:$E$404,"?*",公区维修!$C$5:$C$404,$A123)</f>
        <v>0</v>
      </c>
      <c r="C123" s="35" t="n">
        <f aca="false">COUNTIFS(入户维修!$F$5:$F$404,$A$69,入户维修!$K$5:$K$404,"已完成",入户维修!$C$5:$C$404,$A123)+COUNTIFS(入户维修!$G$5:$G$404,$A$69,入户维修!$K$5:$K$404,"已完成",入户维修!$C$5:$C$404,$A123)+COUNTIFS(入户维修!$H$5:$H$404,$A$69,入户维修!$K$5:$K$404,"已完成",入户维修!$C$5:$C$404,$A123)+COUNTIFS(公区维修!$F$5:$F$404,$A$69,公区维修!$K$5:$K$404,"已完成",公区维修!$C$5:$C$404,$A123)+COUNTIFS(公区维修!$G$5:$G$404,$A$69,公区维修!$K$5:$K$404,"已完成",公区维修!$C$5:$C$404,$A123)+COUNTIFS(公区维修!$H$5:$H$404,$A$69,公区维修!$K$5:$K$404,"已完成",公区维修!$C$5:$C$404,$A123)</f>
        <v>0</v>
      </c>
      <c r="D123" s="35" t="n">
        <f aca="false">COUNTIFS(入户维修!$F$5:$F$404,$A$69,入户维修!$K$5:$K$404,"跟进中",入户维修!$C$5:$C$404,$A123)+COUNTIFS(入户维修!$G$5:$G$404,$A$69,入户维修!$K$5:$K$404,"跟进中",入户维修!$C$5:$C$404,$A123)+COUNTIFS(入户维修!$H$5:$H$404,$A$69,入户维修!$K$5:$K$404,"跟进中",入户维修!$C$5:$C$404,$A123)+COUNTIFS(公区维修!$F$5:$F$404,$A$69,公区维修!$K$5:$K$404,"跟进中",公区维修!$C$5:$C$404,$A123)+COUNTIFS(公区维修!$G$5:$G$404,$A$69,公区维修!$K$5:$K$404,"跟进中",公区维修!$C$5:$C$404,$A123)+COUNTIFS(公区维修!$H$5:$H$404,$A$69,公区维修!$K$5:$K$404,"跟进中",公区维修!$C$5:$C$404,$A123)</f>
        <v>0</v>
      </c>
      <c r="E123" s="35" t="n">
        <f aca="false">COUNTIFS(入户维修!$F$5:$F$404,$A$69,入户维修!$K$5:$K$404,"需另约时间",入户维修!$C$5:$C$404,$A123)+COUNTIFS(入户维修!$G$5:$G$404,$A$69,入户维修!$K$5:$K$404,"需另约时间",入户维修!$C$5:$C$404,$A123)+COUNTIFS(入户维修!$H$5:$H$404,$A$69,入户维修!$K$5:$K$404,"需另约时间",入户维修!$C$5:$C$404,$A123)+COUNTIFS(公区维修!$F$5:$F$404,$A$69,公区维修!$K$5:$K$404,"需另约时间",公区维修!$C$5:$C$404,$A123)+COUNTIFS(公区维修!$G$5:$G$404,$A$69,公区维修!$K$5:$K$404,"需另约时间",公区维修!$C$5:$C$404,$A123)+COUNTIFS(公区维修!$H$5:$H$404,$A$69,公区维修!$K$5:$K$404,"需另约时间",公区维修!$C$5:$C$404,$A123)</f>
        <v>0</v>
      </c>
      <c r="F123" s="36" t="str">
        <f aca="false">IFERROR($C123/$B123,"")</f>
        <v/>
      </c>
      <c r="G123" s="35" t="n">
        <f aca="false">COUNTIFS(入户维修!$F$5:$F$404,$A$69,入户维修!$O$5:$O$404,"非常满意",入户维修!$C$5:$C$404,$A123)+COUNTIFS(入户维修!$G$5:$G$404,$A$69,入户维修!$O$5:$O$404,"非常满意",入户维修!$C$5:$C$404,$A123)+COUNTIFS(入户维修!$H$5:$H$404,$A$69,入户维修!$O$5:$O$404,"非常满意",入户维修!$C$5:$C$404,$A123)+COUNTIFS(公区维修!$F$5:$F$404,$A$69,公区维修!$N$5:$N$404,"非常满意",公区维修!$C$5:$C$404,$A123)+COUNTIFS(公区维修!$G$5:$G$404,$A$69,公区维修!$N$5:$N$404,"非常满意",公区维修!$C$5:$C$404,$A123)+COUNTIFS(公区维修!$H$5:$H$404,$A$69,公区维修!$N$5:$N$404,"非常满意",公区维修!$C$5:$C$404,$A123)</f>
        <v>0</v>
      </c>
      <c r="H123" s="35" t="n">
        <f aca="false">COUNTIFS(入户维修!$F$5:$F$404,$A$69,入户维修!$O$5:$O$404,"满意",入户维修!$C$5:$C$404,$A123)+COUNTIFS(入户维修!$G$5:$G$404,$A$69,入户维修!$O$5:$O$404,"满意",入户维修!$C$5:$C$404,$A123)+COUNTIFS(入户维修!$H$5:$H$404,$A$69,入户维修!$O$5:$O$404,"满意",入户维修!$C$5:$C$404,$A123)+COUNTIFS(公区维修!$F$5:$F$404,$A$69,公区维修!$N$5:$N$404,"满意",公区维修!$C$5:$C$404,$A123)+COUNTIFS(公区维修!$G$5:$G$404,$A$69,公区维修!$N$5:$N$404,"满意",公区维修!$C$5:$C$404,$A123)+COUNTIFS(公区维修!$H$5:$H$404,$A$69,公区维修!$N$5:$N$404,"满意",公区维修!$C$5:$C$404,$A123)</f>
        <v>0</v>
      </c>
      <c r="I123" s="35" t="n">
        <f aca="false">COUNTIFS(入户维修!$F$5:$F$404,$A$69,入户维修!$O$5:$O$404,"一般",入户维修!$C$5:$C$404,$A123)+COUNTIFS(入户维修!$G$5:$G$404,$A$69,入户维修!$O$5:$O$404,"一般",入户维修!$C$5:$C$404,$A123)+COUNTIFS(入户维修!$H$5:$H$404,$A$69,入户维修!$O$5:$O$404,"一般",入户维修!$C$5:$C$404,$A123)+COUNTIFS(公区维修!$F$5:$F$404,$A$69,公区维修!$N$5:$N$404,"一般",公区维修!$C$5:$C$404,$A123)+COUNTIFS(公区维修!$G$5:$G$404,$A$69,公区维修!$N$5:$N$404,"一般",公区维修!$C$5:$C$404,$A123)+COUNTIFS(公区维修!$H$5:$H$404,$A$69,公区维修!$N$5:$N$404,"一般",公区维修!$C$5:$C$404,$A123)</f>
        <v>0</v>
      </c>
      <c r="J123" s="35" t="n">
        <f aca="false">COUNTIFS(入户维修!$F$5:$F$404,$A$69,入户维修!$O$5:$O$404,"不满意",入户维修!$C$5:$C$404,$A123)+COUNTIFS(入户维修!$G$5:$G$404,$A$69,入户维修!$O$5:$O$404,"不满意",入户维修!$C$5:$C$404,$A123)+COUNTIFS(入户维修!$H$5:$H$404,$A$69,入户维修!$O$5:$O$404,"不满意",入户维修!$C$5:$C$404,$A123)+COUNTIFS(公区维修!$F$5:$F$404,$A$69,公区维修!$N$5:$N$404,"不满意",公区维修!$C$5:$C$404,$A123)+COUNTIFS(公区维修!$G$5:$G$404,$A$69,公区维修!$N$5:$N$404,"不满意",公区维修!$C$5:$C$404,$A123)+COUNTIFS(公区维修!$H$5:$H$404,$A$69,公区维修!$N$5:$N$404,"不满意",公区维修!$C$5:$C$404,$A123)</f>
        <v>0</v>
      </c>
      <c r="K123" s="35" t="n">
        <f aca="false">SUM($G123:$J123)</f>
        <v>0</v>
      </c>
      <c r="L123" s="36" t="str">
        <f aca="false">IFERROR(($G123+$H123)/$K123,"")</f>
        <v/>
      </c>
      <c r="M123" s="30"/>
      <c r="N123" s="30"/>
      <c r="O123" s="30"/>
      <c r="P123" s="30"/>
    </row>
    <row r="124" customFormat="false" ht="19.5" hidden="false" customHeight="true" outlineLevel="0" collapsed="false">
      <c r="A124" s="34" t="s">
        <v>180</v>
      </c>
      <c r="B124" s="35" t="n">
        <f aca="false">COUNTIFS(入户维修!$F$5:$F$404,$A$69,入户维修!$E$5:$E$404,"?*",入户维修!$C$5:$C$404,$A124)+COUNTIFS(入户维修!$G$5:$G$404,$A$69,入户维修!$E$5:$E$404,"?*",入户维修!$C$5:$C$404,$A124)+COUNTIFS(入户维修!$H$5:$H$404,$A$69,入户维修!$E$5:$E$404,"?*",入户维修!$C$5:$C$404,$A124)+COUNTIFS(公区维修!$F$5:$F$404,$A$69,公区维修!$E$5:$E$404,"?*",公区维修!$C$5:$C$404,$A124)+COUNTIFS(公区维修!$G$5:$G$404,$A$69,公区维修!$E$5:$E$404,"?*",公区维修!$C$5:$C$404,$A124)+COUNTIFS(公区维修!$H$5:$H$404,$A$69,公区维修!$E$5:$E$404,"?*",公区维修!$C$5:$C$404,$A124)</f>
        <v>1</v>
      </c>
      <c r="C124" s="35" t="n">
        <f aca="false">COUNTIFS(入户维修!$F$5:$F$404,$A$69,入户维修!$K$5:$K$404,"已完成",入户维修!$C$5:$C$404,$A124)+COUNTIFS(入户维修!$G$5:$G$404,$A$69,入户维修!$K$5:$K$404,"已完成",入户维修!$C$5:$C$404,$A124)+COUNTIFS(入户维修!$H$5:$H$404,$A$69,入户维修!$K$5:$K$404,"已完成",入户维修!$C$5:$C$404,$A124)+COUNTIFS(公区维修!$F$5:$F$404,$A$69,公区维修!$K$5:$K$404,"已完成",公区维修!$C$5:$C$404,$A124)+COUNTIFS(公区维修!$G$5:$G$404,$A$69,公区维修!$K$5:$K$404,"已完成",公区维修!$C$5:$C$404,$A124)+COUNTIFS(公区维修!$H$5:$H$404,$A$69,公区维修!$K$5:$K$404,"已完成",公区维修!$C$5:$C$404,$A124)</f>
        <v>1</v>
      </c>
      <c r="D124" s="35" t="n">
        <f aca="false">COUNTIFS(入户维修!$F$5:$F$404,$A$69,入户维修!$K$5:$K$404,"跟进中",入户维修!$C$5:$C$404,$A124)+COUNTIFS(入户维修!$G$5:$G$404,$A$69,入户维修!$K$5:$K$404,"跟进中",入户维修!$C$5:$C$404,$A124)+COUNTIFS(入户维修!$H$5:$H$404,$A$69,入户维修!$K$5:$K$404,"跟进中",入户维修!$C$5:$C$404,$A124)+COUNTIFS(公区维修!$F$5:$F$404,$A$69,公区维修!$K$5:$K$404,"跟进中",公区维修!$C$5:$C$404,$A124)+COUNTIFS(公区维修!$G$5:$G$404,$A$69,公区维修!$K$5:$K$404,"跟进中",公区维修!$C$5:$C$404,$A124)+COUNTIFS(公区维修!$H$5:$H$404,$A$69,公区维修!$K$5:$K$404,"跟进中",公区维修!$C$5:$C$404,$A124)</f>
        <v>0</v>
      </c>
      <c r="E124" s="35" t="n">
        <f aca="false">COUNTIFS(入户维修!$F$5:$F$404,$A$69,入户维修!$K$5:$K$404,"需另约时间",入户维修!$C$5:$C$404,$A124)+COUNTIFS(入户维修!$G$5:$G$404,$A$69,入户维修!$K$5:$K$404,"需另约时间",入户维修!$C$5:$C$404,$A124)+COUNTIFS(入户维修!$H$5:$H$404,$A$69,入户维修!$K$5:$K$404,"需另约时间",入户维修!$C$5:$C$404,$A124)+COUNTIFS(公区维修!$F$5:$F$404,$A$69,公区维修!$K$5:$K$404,"需另约时间",公区维修!$C$5:$C$404,$A124)+COUNTIFS(公区维修!$G$5:$G$404,$A$69,公区维修!$K$5:$K$404,"需另约时间",公区维修!$C$5:$C$404,$A124)+COUNTIFS(公区维修!$H$5:$H$404,$A$69,公区维修!$K$5:$K$404,"需另约时间",公区维修!$C$5:$C$404,$A124)</f>
        <v>0</v>
      </c>
      <c r="F124" s="36" t="n">
        <f aca="false">IFERROR($C124/$B124,"")</f>
        <v>1</v>
      </c>
      <c r="G124" s="35" t="n">
        <f aca="false">COUNTIFS(入户维修!$F$5:$F$404,$A$69,入户维修!$O$5:$O$404,"非常满意",入户维修!$C$5:$C$404,$A124)+COUNTIFS(入户维修!$G$5:$G$404,$A$69,入户维修!$O$5:$O$404,"非常满意",入户维修!$C$5:$C$404,$A124)+COUNTIFS(入户维修!$H$5:$H$404,$A$69,入户维修!$O$5:$O$404,"非常满意",入户维修!$C$5:$C$404,$A124)+COUNTIFS(公区维修!$F$5:$F$404,$A$69,公区维修!$N$5:$N$404,"非常满意",公区维修!$C$5:$C$404,$A124)+COUNTIFS(公区维修!$G$5:$G$404,$A$69,公区维修!$N$5:$N$404,"非常满意",公区维修!$C$5:$C$404,$A124)+COUNTIFS(公区维修!$H$5:$H$404,$A$69,公区维修!$N$5:$N$404,"非常满意",公区维修!$C$5:$C$404,$A124)</f>
        <v>1</v>
      </c>
      <c r="H124" s="35" t="n">
        <f aca="false">COUNTIFS(入户维修!$F$5:$F$404,$A$69,入户维修!$O$5:$O$404,"满意",入户维修!$C$5:$C$404,$A124)+COUNTIFS(入户维修!$G$5:$G$404,$A$69,入户维修!$O$5:$O$404,"满意",入户维修!$C$5:$C$404,$A124)+COUNTIFS(入户维修!$H$5:$H$404,$A$69,入户维修!$O$5:$O$404,"满意",入户维修!$C$5:$C$404,$A124)+COUNTIFS(公区维修!$F$5:$F$404,$A$69,公区维修!$N$5:$N$404,"满意",公区维修!$C$5:$C$404,$A124)+COUNTIFS(公区维修!$G$5:$G$404,$A$69,公区维修!$N$5:$N$404,"满意",公区维修!$C$5:$C$404,$A124)+COUNTIFS(公区维修!$H$5:$H$404,$A$69,公区维修!$N$5:$N$404,"满意",公区维修!$C$5:$C$404,$A124)</f>
        <v>0</v>
      </c>
      <c r="I124" s="35" t="n">
        <f aca="false">COUNTIFS(入户维修!$F$5:$F$404,$A$69,入户维修!$O$5:$O$404,"一般",入户维修!$C$5:$C$404,$A124)+COUNTIFS(入户维修!$G$5:$G$404,$A$69,入户维修!$O$5:$O$404,"一般",入户维修!$C$5:$C$404,$A124)+COUNTIFS(入户维修!$H$5:$H$404,$A$69,入户维修!$O$5:$O$404,"一般",入户维修!$C$5:$C$404,$A124)+COUNTIFS(公区维修!$F$5:$F$404,$A$69,公区维修!$N$5:$N$404,"一般",公区维修!$C$5:$C$404,$A124)+COUNTIFS(公区维修!$G$5:$G$404,$A$69,公区维修!$N$5:$N$404,"一般",公区维修!$C$5:$C$404,$A124)+COUNTIFS(公区维修!$H$5:$H$404,$A$69,公区维修!$N$5:$N$404,"一般",公区维修!$C$5:$C$404,$A124)</f>
        <v>0</v>
      </c>
      <c r="J124" s="35" t="n">
        <f aca="false">COUNTIFS(入户维修!$F$5:$F$404,$A$69,入户维修!$O$5:$O$404,"不满意",入户维修!$C$5:$C$404,$A124)+COUNTIFS(入户维修!$G$5:$G$404,$A$69,入户维修!$O$5:$O$404,"不满意",入户维修!$C$5:$C$404,$A124)+COUNTIFS(入户维修!$H$5:$H$404,$A$69,入户维修!$O$5:$O$404,"不满意",入户维修!$C$5:$C$404,$A124)+COUNTIFS(公区维修!$F$5:$F$404,$A$69,公区维修!$N$5:$N$404,"不满意",公区维修!$C$5:$C$404,$A124)+COUNTIFS(公区维修!$G$5:$G$404,$A$69,公区维修!$N$5:$N$404,"不满意",公区维修!$C$5:$C$404,$A124)+COUNTIFS(公区维修!$H$5:$H$404,$A$69,公区维修!$N$5:$N$404,"不满意",公区维修!$C$5:$C$404,$A124)</f>
        <v>0</v>
      </c>
      <c r="K124" s="35" t="n">
        <f aca="false">SUM($G124:$J124)</f>
        <v>1</v>
      </c>
      <c r="L124" s="36" t="n">
        <f aca="false">IFERROR(($G124+$H124)/$K124,"")</f>
        <v>1</v>
      </c>
      <c r="M124" s="30"/>
      <c r="N124" s="30"/>
      <c r="O124" s="30"/>
      <c r="P124" s="30"/>
    </row>
    <row r="125" customFormat="false" ht="19.5" hidden="false" customHeight="true" outlineLevel="0" collapsed="false">
      <c r="A125" s="34" t="s">
        <v>385</v>
      </c>
      <c r="B125" s="35" t="n">
        <f aca="false">COUNTIFS(入户维修!$F$5:$F$404,$A$69,入户维修!$E$5:$E$404,"?*",入户维修!$C$5:$C$404,$A125)+COUNTIFS(入户维修!$G$5:$G$404,$A$69,入户维修!$E$5:$E$404,"?*",入户维修!$C$5:$C$404,$A125)+COUNTIFS(入户维修!$H$5:$H$404,$A$69,入户维修!$E$5:$E$404,"?*",入户维修!$C$5:$C$404,$A125)+COUNTIFS(公区维修!$F$5:$F$404,$A$69,公区维修!$E$5:$E$404,"?*",公区维修!$C$5:$C$404,$A125)+COUNTIFS(公区维修!$G$5:$G$404,$A$69,公区维修!$E$5:$E$404,"?*",公区维修!$C$5:$C$404,$A125)+COUNTIFS(公区维修!$H$5:$H$404,$A$69,公区维修!$E$5:$E$404,"?*",公区维修!$C$5:$C$404,$A125)</f>
        <v>2</v>
      </c>
      <c r="C125" s="35" t="n">
        <f aca="false">COUNTIFS(入户维修!$F$5:$F$404,$A$69,入户维修!$K$5:$K$404,"已完成",入户维修!$C$5:$C$404,$A125)+COUNTIFS(入户维修!$G$5:$G$404,$A$69,入户维修!$K$5:$K$404,"已完成",入户维修!$C$5:$C$404,$A125)+COUNTIFS(入户维修!$H$5:$H$404,$A$69,入户维修!$K$5:$K$404,"已完成",入户维修!$C$5:$C$404,$A125)+COUNTIFS(公区维修!$F$5:$F$404,$A$69,公区维修!$K$5:$K$404,"已完成",公区维修!$C$5:$C$404,$A125)+COUNTIFS(公区维修!$G$5:$G$404,$A$69,公区维修!$K$5:$K$404,"已完成",公区维修!$C$5:$C$404,$A125)+COUNTIFS(公区维修!$H$5:$H$404,$A$69,公区维修!$K$5:$K$404,"已完成",公区维修!$C$5:$C$404,$A125)</f>
        <v>2</v>
      </c>
      <c r="D125" s="35" t="n">
        <f aca="false">COUNTIFS(入户维修!$F$5:$F$404,$A$69,入户维修!$K$5:$K$404,"跟进中",入户维修!$C$5:$C$404,$A125)+COUNTIFS(入户维修!$G$5:$G$404,$A$69,入户维修!$K$5:$K$404,"跟进中",入户维修!$C$5:$C$404,$A125)+COUNTIFS(入户维修!$H$5:$H$404,$A$69,入户维修!$K$5:$K$404,"跟进中",入户维修!$C$5:$C$404,$A125)+COUNTIFS(公区维修!$F$5:$F$404,$A$69,公区维修!$K$5:$K$404,"跟进中",公区维修!$C$5:$C$404,$A125)+COUNTIFS(公区维修!$G$5:$G$404,$A$69,公区维修!$K$5:$K$404,"跟进中",公区维修!$C$5:$C$404,$A125)+COUNTIFS(公区维修!$H$5:$H$404,$A$69,公区维修!$K$5:$K$404,"跟进中",公区维修!$C$5:$C$404,$A125)</f>
        <v>0</v>
      </c>
      <c r="E125" s="35" t="n">
        <f aca="false">COUNTIFS(入户维修!$F$5:$F$404,$A$69,入户维修!$K$5:$K$404,"需另约时间",入户维修!$C$5:$C$404,$A125)+COUNTIFS(入户维修!$G$5:$G$404,$A$69,入户维修!$K$5:$K$404,"需另约时间",入户维修!$C$5:$C$404,$A125)+COUNTIFS(入户维修!$H$5:$H$404,$A$69,入户维修!$K$5:$K$404,"需另约时间",入户维修!$C$5:$C$404,$A125)+COUNTIFS(公区维修!$F$5:$F$404,$A$69,公区维修!$K$5:$K$404,"需另约时间",公区维修!$C$5:$C$404,$A125)+COUNTIFS(公区维修!$G$5:$G$404,$A$69,公区维修!$K$5:$K$404,"需另约时间",公区维修!$C$5:$C$404,$A125)+COUNTIFS(公区维修!$H$5:$H$404,$A$69,公区维修!$K$5:$K$404,"需另约时间",公区维修!$C$5:$C$404,$A125)</f>
        <v>0</v>
      </c>
      <c r="F125" s="36" t="n">
        <f aca="false">IFERROR($C125/$B125,"")</f>
        <v>1</v>
      </c>
      <c r="G125" s="35" t="n">
        <f aca="false">COUNTIFS(入户维修!$F$5:$F$404,$A$69,入户维修!$O$5:$O$404,"非常满意",入户维修!$C$5:$C$404,$A125)+COUNTIFS(入户维修!$G$5:$G$404,$A$69,入户维修!$O$5:$O$404,"非常满意",入户维修!$C$5:$C$404,$A125)+COUNTIFS(入户维修!$H$5:$H$404,$A$69,入户维修!$O$5:$O$404,"非常满意",入户维修!$C$5:$C$404,$A125)+COUNTIFS(公区维修!$F$5:$F$404,$A$69,公区维修!$N$5:$N$404,"非常满意",公区维修!$C$5:$C$404,$A125)+COUNTIFS(公区维修!$G$5:$G$404,$A$69,公区维修!$N$5:$N$404,"非常满意",公区维修!$C$5:$C$404,$A125)+COUNTIFS(公区维修!$H$5:$H$404,$A$69,公区维修!$N$5:$N$404,"非常满意",公区维修!$C$5:$C$404,$A125)</f>
        <v>0</v>
      </c>
      <c r="H125" s="35" t="n">
        <f aca="false">COUNTIFS(入户维修!$F$5:$F$404,$A$69,入户维修!$O$5:$O$404,"满意",入户维修!$C$5:$C$404,$A125)+COUNTIFS(入户维修!$G$5:$G$404,$A$69,入户维修!$O$5:$O$404,"满意",入户维修!$C$5:$C$404,$A125)+COUNTIFS(入户维修!$H$5:$H$404,$A$69,入户维修!$O$5:$O$404,"满意",入户维修!$C$5:$C$404,$A125)+COUNTIFS(公区维修!$F$5:$F$404,$A$69,公区维修!$N$5:$N$404,"满意",公区维修!$C$5:$C$404,$A125)+COUNTIFS(公区维修!$G$5:$G$404,$A$69,公区维修!$N$5:$N$404,"满意",公区维修!$C$5:$C$404,$A125)+COUNTIFS(公区维修!$H$5:$H$404,$A$69,公区维修!$N$5:$N$404,"满意",公区维修!$C$5:$C$404,$A125)</f>
        <v>0</v>
      </c>
      <c r="I125" s="35" t="n">
        <f aca="false">COUNTIFS(入户维修!$F$5:$F$404,$A$69,入户维修!$O$5:$O$404,"一般",入户维修!$C$5:$C$404,$A125)+COUNTIFS(入户维修!$G$5:$G$404,$A$69,入户维修!$O$5:$O$404,"一般",入户维修!$C$5:$C$404,$A125)+COUNTIFS(入户维修!$H$5:$H$404,$A$69,入户维修!$O$5:$O$404,"一般",入户维修!$C$5:$C$404,$A125)+COUNTIFS(公区维修!$F$5:$F$404,$A$69,公区维修!$N$5:$N$404,"一般",公区维修!$C$5:$C$404,$A125)+COUNTIFS(公区维修!$G$5:$G$404,$A$69,公区维修!$N$5:$N$404,"一般",公区维修!$C$5:$C$404,$A125)+COUNTIFS(公区维修!$H$5:$H$404,$A$69,公区维修!$N$5:$N$404,"一般",公区维修!$C$5:$C$404,$A125)</f>
        <v>0</v>
      </c>
      <c r="J125" s="35" t="n">
        <f aca="false">COUNTIFS(入户维修!$F$5:$F$404,$A$69,入户维修!$O$5:$O$404,"不满意",入户维修!$C$5:$C$404,$A125)+COUNTIFS(入户维修!$G$5:$G$404,$A$69,入户维修!$O$5:$O$404,"不满意",入户维修!$C$5:$C$404,$A125)+COUNTIFS(入户维修!$H$5:$H$404,$A$69,入户维修!$O$5:$O$404,"不满意",入户维修!$C$5:$C$404,$A125)+COUNTIFS(公区维修!$F$5:$F$404,$A$69,公区维修!$N$5:$N$404,"不满意",公区维修!$C$5:$C$404,$A125)+COUNTIFS(公区维修!$G$5:$G$404,$A$69,公区维修!$N$5:$N$404,"不满意",公区维修!$C$5:$C$404,$A125)+COUNTIFS(公区维修!$H$5:$H$404,$A$69,公区维修!$N$5:$N$404,"不满意",公区维修!$C$5:$C$404,$A125)</f>
        <v>0</v>
      </c>
      <c r="K125" s="35" t="n">
        <f aca="false">SUM($G125:$J125)</f>
        <v>0</v>
      </c>
      <c r="L125" s="36" t="str">
        <f aca="false">IFERROR(($G125+$H125)/$K125,"")</f>
        <v/>
      </c>
      <c r="M125" s="30"/>
      <c r="N125" s="30"/>
      <c r="O125" s="30"/>
      <c r="P125" s="30"/>
    </row>
    <row r="126" customFormat="false" ht="19.5" hidden="false" customHeight="true" outlineLevel="0" collapsed="false">
      <c r="A126" s="34" t="s">
        <v>456</v>
      </c>
      <c r="B126" s="35" t="n">
        <f aca="false">COUNTIFS(入户维修!$F$5:$F$404,$A$69,入户维修!$E$5:$E$404,"?*",入户维修!$C$5:$C$404,"")+COUNTIFS(入户维修!$G$5:$G$404,$A$69,入户维修!$E$5:$E$404,"?*",入户维修!$C$5:$C$404,"")+COUNTIFS(入户维修!$H$5:$H$404,$A$69,入户维修!$E$5:$E$404,"?*",入户维修!$C$5:$C$404,"")+COUNTIFS(公区维修!$F$5:$F$404,$A$69,公区维修!$E$5:$E$404,"?*",公区维修!$C$5:$C$404,"")+COUNTIFS(公区维修!$G$5:$G$404,$A$69,公区维修!$E$5:$E$404,"?*",公区维修!$C$5:$C$404,"")+COUNTIFS(公区维修!$H$5:$H$404,$A$69,公区维修!$E$5:$E$404,"?*",公区维修!$C$5:$C$404,"")</f>
        <v>0</v>
      </c>
      <c r="C126" s="35" t="n">
        <f aca="false">COUNTIFS(入户维修!$F$5:$F$404,$A$69,入户维修!$K$5:$K$404,"已完成",入户维修!$C$5:$C$404,"")+COUNTIFS(入户维修!$G$5:$G$404,$A$69,入户维修!$K$5:$K$404,"已完成",入户维修!$C$5:$C$404,"")+COUNTIFS(入户维修!$H$5:$H$404,$A$69,入户维修!$K$5:$K$404,"已完成",入户维修!$C$5:$C$404,"")+COUNTIFS(公区维修!$F$5:$F$404,$A$69,公区维修!$K$5:$K$404,"已完成",公区维修!$C$5:$C$404,"")+COUNTIFS(公区维修!$G$5:$G$404,$A$69,公区维修!$K$5:$K$404,"已完成",公区维修!$C$5:$C$404,"")+COUNTIFS(公区维修!$H$5:$H$404,$A$69,公区维修!$K$5:$K$404,"已完成",公区维修!$C$5:$C$404,"")</f>
        <v>0</v>
      </c>
      <c r="D126" s="35" t="n">
        <f aca="false">COUNTIFS(入户维修!$F$5:$F$404,$A$69,入户维修!$K$5:$K$404,"跟进中",入户维修!$C$5:$C$404,"")+COUNTIFS(入户维修!$G$5:$G$404,$A$69,入户维修!$K$5:$K$404,"跟进中",入户维修!$C$5:$C$404,"")+COUNTIFS(入户维修!$H$5:$H$404,$A$69,入户维修!$K$5:$K$404,"跟进中",入户维修!$C$5:$C$404,"")+COUNTIFS(公区维修!$F$5:$F$404,$A$69,公区维修!$K$5:$K$404,"跟进中",公区维修!$C$5:$C$404,"")+COUNTIFS(公区维修!$G$5:$G$404,$A$69,公区维修!$K$5:$K$404,"跟进中",公区维修!$C$5:$C$404,"")+COUNTIFS(公区维修!$H$5:$H$404,$A$69,公区维修!$K$5:$K$404,"跟进中",公区维修!$C$5:$C$404,"")</f>
        <v>0</v>
      </c>
      <c r="E126" s="35" t="n">
        <f aca="false">COUNTIFS(入户维修!$F$5:$F$404,$A$69,入户维修!$K$5:$K$404,"需另约时间",入户维修!$C$5:$C$404,"")+COUNTIFS(入户维修!$G$5:$G$404,$A$69,入户维修!$K$5:$K$404,"需另约时间",入户维修!$C$5:$C$404,"")+COUNTIFS(入户维修!$H$5:$H$404,$A$69,入户维修!$K$5:$K$404,"需另约时间",入户维修!$C$5:$C$404,"")+COUNTIFS(公区维修!$F$5:$F$404,$A$69,公区维修!$K$5:$K$404,"需另约时间",公区维修!$C$5:$C$404,"")+COUNTIFS(公区维修!$G$5:$G$404,$A$69,公区维修!$K$5:$K$404,"需另约时间",公区维修!$C$5:$C$404,"")+COUNTIFS(公区维修!$H$5:$H$404,$A$69,公区维修!$K$5:$K$404,"需另约时间",公区维修!$C$5:$C$404,"")</f>
        <v>0</v>
      </c>
      <c r="F126" s="36" t="str">
        <f aca="false">IFERROR($C126/$B126,"")</f>
        <v/>
      </c>
      <c r="G126" s="35" t="n">
        <f aca="false">COUNTIFS(入户维修!$F$5:$F$404,$A$69,入户维修!$O$5:$O$404,"非常满意",入户维修!$C$5:$C$404,"")+COUNTIFS(入户维修!$G$5:$G$404,$A$69,入户维修!$O$5:$O$404,"非常满意",入户维修!$C$5:$C$404,"")+COUNTIFS(入户维修!$H$5:$H$404,$A$69,入户维修!$O$5:$O$404,"非常满意",入户维修!$C$5:$C$404,"")+COUNTIFS(公区维修!$F$5:$F$404,$A$69,公区维修!$N$5:$N$404,"非常满意",公区维修!$C$5:$C$404,"")+COUNTIFS(公区维修!$G$5:$G$404,$A$69,公区维修!$N$5:$N$404,"非常满意",公区维修!$C$5:$C$404,"")+COUNTIFS(公区维修!$H$5:$H$404,$A$69,公区维修!$N$5:$N$404,"非常满意",公区维修!$C$5:$C$404,"")</f>
        <v>0</v>
      </c>
      <c r="H126" s="35" t="n">
        <f aca="false">COUNTIFS(入户维修!$F$5:$F$404,$A$69,入户维修!$O$5:$O$404,"满意",入户维修!$C$5:$C$404,"")+COUNTIFS(入户维修!$G$5:$G$404,$A$69,入户维修!$O$5:$O$404,"满意",入户维修!$C$5:$C$404,"")+COUNTIFS(入户维修!$H$5:$H$404,$A$69,入户维修!$O$5:$O$404,"满意",入户维修!$C$5:$C$404,"")+COUNTIFS(公区维修!$F$5:$F$404,$A$69,公区维修!$N$5:$N$404,"满意",公区维修!$C$5:$C$404,"")+COUNTIFS(公区维修!$G$5:$G$404,$A$69,公区维修!$N$5:$N$404,"满意",公区维修!$C$5:$C$404,"")+COUNTIFS(公区维修!$H$5:$H$404,$A$69,公区维修!$N$5:$N$404,"满意",公区维修!$C$5:$C$404,"")</f>
        <v>0</v>
      </c>
      <c r="I126" s="35" t="n">
        <f aca="false">COUNTIFS(入户维修!$F$5:$F$404,$A$69,入户维修!$O$5:$O$404,"一般",入户维修!$C$5:$C$404,"")+COUNTIFS(入户维修!$G$5:$G$404,$A$69,入户维修!$O$5:$O$404,"一般",入户维修!$C$5:$C$404,"")+COUNTIFS(入户维修!$H$5:$H$404,$A$69,入户维修!$O$5:$O$404,"一般",入户维修!$C$5:$C$404,"")+COUNTIFS(公区维修!$F$5:$F$404,$A$69,公区维修!$N$5:$N$404,"一般",公区维修!$C$5:$C$404,"")+COUNTIFS(公区维修!$G$5:$G$404,$A$69,公区维修!$N$5:$N$404,"一般",公区维修!$C$5:$C$404,"")+COUNTIFS(公区维修!$H$5:$H$404,$A$69,公区维修!$N$5:$N$404,"一般",公区维修!$C$5:$C$404,"")</f>
        <v>0</v>
      </c>
      <c r="J126" s="35" t="n">
        <f aca="false">COUNTIFS(入户维修!$F$5:$F$404,$A$69,入户维修!$O$5:$O$404,"不满意",入户维修!$C$5:$C$404,"")+COUNTIFS(入户维修!$G$5:$G$404,$A$69,入户维修!$O$5:$O$404,"不满意",入户维修!$C$5:$C$404,"")+COUNTIFS(入户维修!$H$5:$H$404,$A$69,入户维修!$O$5:$O$404,"不满意",入户维修!$C$5:$C$404,"")+COUNTIFS(公区维修!$F$5:$F$404,$A$69,公区维修!$N$5:$N$404,"不满意",公区维修!$C$5:$C$404,"")+COUNTIFS(公区维修!$G$5:$G$404,$A$69,公区维修!$N$5:$N$404,"不满意",公区维修!$C$5:$C$404,"")+COUNTIFS(公区维修!$H$5:$H$404,$A$69,公区维修!$N$5:$N$404,"不满意",公区维修!$C$5:$C$404,"")</f>
        <v>0</v>
      </c>
      <c r="K126" s="35" t="n">
        <f aca="false">SUM($G126:$J126)</f>
        <v>0</v>
      </c>
      <c r="L126" s="36" t="str">
        <f aca="false">IFERROR(($G126+$H126)/$K126,"")</f>
        <v/>
      </c>
      <c r="M126" s="30"/>
      <c r="N126" s="30"/>
      <c r="O126" s="30"/>
      <c r="P126" s="30"/>
    </row>
    <row r="127" customFormat="false" ht="21.75" hidden="false" customHeight="true" outlineLevel="0" collapsed="false">
      <c r="A127" s="37" t="s">
        <v>460</v>
      </c>
      <c r="B127" s="38" t="n">
        <f aca="false">SUM(B113:B126)</f>
        <v>8</v>
      </c>
      <c r="C127" s="38" t="n">
        <f aca="false">SUM(C113:C126)</f>
        <v>7</v>
      </c>
      <c r="D127" s="38" t="n">
        <f aca="false">SUM(D113:D126)</f>
        <v>1</v>
      </c>
      <c r="E127" s="38" t="n">
        <f aca="false">SUM(E113:E126)</f>
        <v>0</v>
      </c>
      <c r="F127" s="39" t="n">
        <f aca="false">IFERROR($C127/$B127,"")</f>
        <v>0.875</v>
      </c>
      <c r="G127" s="38" t="n">
        <f aca="false">SUM(G113:G126)</f>
        <v>3</v>
      </c>
      <c r="H127" s="38" t="n">
        <f aca="false">SUM(H113:H126)</f>
        <v>1</v>
      </c>
      <c r="I127" s="38" t="n">
        <f aca="false">SUM(I113:I126)</f>
        <v>0</v>
      </c>
      <c r="J127" s="38" t="n">
        <f aca="false">SUM(J113:J126)</f>
        <v>0</v>
      </c>
      <c r="K127" s="38" t="n">
        <f aca="false">SUM(K113:K126)</f>
        <v>4</v>
      </c>
      <c r="L127" s="39" t="n">
        <f aca="false">IFERROR(($G127+$H127)/$K127,"")</f>
        <v>1</v>
      </c>
      <c r="M127" s="30"/>
      <c r="N127" s="30"/>
      <c r="O127" s="30"/>
      <c r="P127" s="30"/>
    </row>
    <row r="128" customFormat="false" ht="9.75" hidden="false" customHeight="true" outlineLevel="0" collapsed="false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</row>
    <row r="129" customFormat="false" ht="21.75" hidden="false" customHeight="true" outlineLevel="0" collapsed="false">
      <c r="A129" s="32" t="str">
        <f aca="false">$A$70&amp;"　—　各楼栋明细"</f>
        <v>陈师傅　—　各楼栋明细</v>
      </c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0"/>
      <c r="N129" s="30"/>
      <c r="O129" s="30"/>
      <c r="P129" s="30"/>
    </row>
    <row r="130" customFormat="false" ht="30" hidden="false" customHeight="true" outlineLevel="0" collapsed="false">
      <c r="A130" s="33" t="s">
        <v>7</v>
      </c>
      <c r="B130" s="33" t="s">
        <v>435</v>
      </c>
      <c r="C130" s="33" t="s">
        <v>28</v>
      </c>
      <c r="D130" s="33" t="s">
        <v>36</v>
      </c>
      <c r="E130" s="33" t="s">
        <v>436</v>
      </c>
      <c r="F130" s="33" t="s">
        <v>437</v>
      </c>
      <c r="G130" s="33" t="s">
        <v>30</v>
      </c>
      <c r="H130" s="33" t="s">
        <v>48</v>
      </c>
      <c r="I130" s="33" t="s">
        <v>53</v>
      </c>
      <c r="J130" s="33" t="s">
        <v>438</v>
      </c>
      <c r="K130" s="33" t="s">
        <v>439</v>
      </c>
      <c r="L130" s="33" t="s">
        <v>440</v>
      </c>
      <c r="M130" s="30"/>
      <c r="N130" s="30"/>
      <c r="O130" s="30"/>
      <c r="P130" s="30"/>
    </row>
    <row r="131" customFormat="false" ht="19.5" hidden="false" customHeight="true" outlineLevel="0" collapsed="false">
      <c r="A131" s="44" t="s">
        <v>83</v>
      </c>
      <c r="B131" s="35" t="n">
        <f aca="false">COUNTIFS(入户维修!$F$5:$F$404,$A$70,入户维修!$E$5:$E$404,"?*",入户维修!$C$5:$C$404,$A131)+COUNTIFS(入户维修!$G$5:$G$404,$A$70,入户维修!$E$5:$E$404,"?*",入户维修!$C$5:$C$404,$A131)+COUNTIFS(入户维修!$H$5:$H$404,$A$70,入户维修!$E$5:$E$404,"?*",入户维修!$C$5:$C$404,$A131)+COUNTIFS(公区维修!$F$5:$F$404,$A$70,公区维修!$E$5:$E$404,"?*",公区维修!$C$5:$C$404,$A131)+COUNTIFS(公区维修!$G$5:$G$404,$A$70,公区维修!$E$5:$E$404,"?*",公区维修!$C$5:$C$404,$A131)+COUNTIFS(公区维修!$H$5:$H$404,$A$70,公区维修!$E$5:$E$404,"?*",公区维修!$C$5:$C$404,$A131)</f>
        <v>0</v>
      </c>
      <c r="C131" s="35" t="n">
        <f aca="false">COUNTIFS(入户维修!$F$5:$F$404,$A$70,入户维修!$K$5:$K$404,"已完成",入户维修!$C$5:$C$404,$A131)+COUNTIFS(入户维修!$G$5:$G$404,$A$70,入户维修!$K$5:$K$404,"已完成",入户维修!$C$5:$C$404,$A131)+COUNTIFS(入户维修!$H$5:$H$404,$A$70,入户维修!$K$5:$K$404,"已完成",入户维修!$C$5:$C$404,$A131)+COUNTIFS(公区维修!$F$5:$F$404,$A$70,公区维修!$K$5:$K$404,"已完成",公区维修!$C$5:$C$404,$A131)+COUNTIFS(公区维修!$G$5:$G$404,$A$70,公区维修!$K$5:$K$404,"已完成",公区维修!$C$5:$C$404,$A131)+COUNTIFS(公区维修!$H$5:$H$404,$A$70,公区维修!$K$5:$K$404,"已完成",公区维修!$C$5:$C$404,$A131)</f>
        <v>0</v>
      </c>
      <c r="D131" s="35" t="n">
        <f aca="false">COUNTIFS(入户维修!$F$5:$F$404,$A$70,入户维修!$K$5:$K$404,"跟进中",入户维修!$C$5:$C$404,$A131)+COUNTIFS(入户维修!$G$5:$G$404,$A$70,入户维修!$K$5:$K$404,"跟进中",入户维修!$C$5:$C$404,$A131)+COUNTIFS(入户维修!$H$5:$H$404,$A$70,入户维修!$K$5:$K$404,"跟进中",入户维修!$C$5:$C$404,$A131)+COUNTIFS(公区维修!$F$5:$F$404,$A$70,公区维修!$K$5:$K$404,"跟进中",公区维修!$C$5:$C$404,$A131)+COUNTIFS(公区维修!$G$5:$G$404,$A$70,公区维修!$K$5:$K$404,"跟进中",公区维修!$C$5:$C$404,$A131)+COUNTIFS(公区维修!$H$5:$H$404,$A$70,公区维修!$K$5:$K$404,"跟进中",公区维修!$C$5:$C$404,$A131)</f>
        <v>0</v>
      </c>
      <c r="E131" s="35" t="n">
        <f aca="false">COUNTIFS(入户维修!$F$5:$F$404,$A$70,入户维修!$K$5:$K$404,"需另约时间",入户维修!$C$5:$C$404,$A131)+COUNTIFS(入户维修!$G$5:$G$404,$A$70,入户维修!$K$5:$K$404,"需另约时间",入户维修!$C$5:$C$404,$A131)+COUNTIFS(入户维修!$H$5:$H$404,$A$70,入户维修!$K$5:$K$404,"需另约时间",入户维修!$C$5:$C$404,$A131)+COUNTIFS(公区维修!$F$5:$F$404,$A$70,公区维修!$K$5:$K$404,"需另约时间",公区维修!$C$5:$C$404,$A131)+COUNTIFS(公区维修!$G$5:$G$404,$A$70,公区维修!$K$5:$K$404,"需另约时间",公区维修!$C$5:$C$404,$A131)+COUNTIFS(公区维修!$H$5:$H$404,$A$70,公区维修!$K$5:$K$404,"需另约时间",公区维修!$C$5:$C$404,$A131)</f>
        <v>0</v>
      </c>
      <c r="F131" s="36" t="str">
        <f aca="false">IFERROR($C131/$B131,"")</f>
        <v/>
      </c>
      <c r="G131" s="35" t="n">
        <f aca="false">COUNTIFS(入户维修!$F$5:$F$404,$A$70,入户维修!$O$5:$O$404,"非常满意",入户维修!$C$5:$C$404,$A131)+COUNTIFS(入户维修!$G$5:$G$404,$A$70,入户维修!$O$5:$O$404,"非常满意",入户维修!$C$5:$C$404,$A131)+COUNTIFS(入户维修!$H$5:$H$404,$A$70,入户维修!$O$5:$O$404,"非常满意",入户维修!$C$5:$C$404,$A131)+COUNTIFS(公区维修!$F$5:$F$404,$A$70,公区维修!$N$5:$N$404,"非常满意",公区维修!$C$5:$C$404,$A131)+COUNTIFS(公区维修!$G$5:$G$404,$A$70,公区维修!$N$5:$N$404,"非常满意",公区维修!$C$5:$C$404,$A131)+COUNTIFS(公区维修!$H$5:$H$404,$A$70,公区维修!$N$5:$N$404,"非常满意",公区维修!$C$5:$C$404,$A131)</f>
        <v>0</v>
      </c>
      <c r="H131" s="35" t="n">
        <f aca="false">COUNTIFS(入户维修!$F$5:$F$404,$A$70,入户维修!$O$5:$O$404,"满意",入户维修!$C$5:$C$404,$A131)+COUNTIFS(入户维修!$G$5:$G$404,$A$70,入户维修!$O$5:$O$404,"满意",入户维修!$C$5:$C$404,$A131)+COUNTIFS(入户维修!$H$5:$H$404,$A$70,入户维修!$O$5:$O$404,"满意",入户维修!$C$5:$C$404,$A131)+COUNTIFS(公区维修!$F$5:$F$404,$A$70,公区维修!$N$5:$N$404,"满意",公区维修!$C$5:$C$404,$A131)+COUNTIFS(公区维修!$G$5:$G$404,$A$70,公区维修!$N$5:$N$404,"满意",公区维修!$C$5:$C$404,$A131)+COUNTIFS(公区维修!$H$5:$H$404,$A$70,公区维修!$N$5:$N$404,"满意",公区维修!$C$5:$C$404,$A131)</f>
        <v>0</v>
      </c>
      <c r="I131" s="35" t="n">
        <f aca="false">COUNTIFS(入户维修!$F$5:$F$404,$A$70,入户维修!$O$5:$O$404,"一般",入户维修!$C$5:$C$404,$A131)+COUNTIFS(入户维修!$G$5:$G$404,$A$70,入户维修!$O$5:$O$404,"一般",入户维修!$C$5:$C$404,$A131)+COUNTIFS(入户维修!$H$5:$H$404,$A$70,入户维修!$O$5:$O$404,"一般",入户维修!$C$5:$C$404,$A131)+COUNTIFS(公区维修!$F$5:$F$404,$A$70,公区维修!$N$5:$N$404,"一般",公区维修!$C$5:$C$404,$A131)+COUNTIFS(公区维修!$G$5:$G$404,$A$70,公区维修!$N$5:$N$404,"一般",公区维修!$C$5:$C$404,$A131)+COUNTIFS(公区维修!$H$5:$H$404,$A$70,公区维修!$N$5:$N$404,"一般",公区维修!$C$5:$C$404,$A131)</f>
        <v>0</v>
      </c>
      <c r="J131" s="35" t="n">
        <f aca="false">COUNTIFS(入户维修!$F$5:$F$404,$A$70,入户维修!$O$5:$O$404,"不满意",入户维修!$C$5:$C$404,$A131)+COUNTIFS(入户维修!$G$5:$G$404,$A$70,入户维修!$O$5:$O$404,"不满意",入户维修!$C$5:$C$404,$A131)+COUNTIFS(入户维修!$H$5:$H$404,$A$70,入户维修!$O$5:$O$404,"不满意",入户维修!$C$5:$C$404,$A131)+COUNTIFS(公区维修!$F$5:$F$404,$A$70,公区维修!$N$5:$N$404,"不满意",公区维修!$C$5:$C$404,$A131)+COUNTIFS(公区维修!$G$5:$G$404,$A$70,公区维修!$N$5:$N$404,"不满意",公区维修!$C$5:$C$404,$A131)+COUNTIFS(公区维修!$H$5:$H$404,$A$70,公区维修!$N$5:$N$404,"不满意",公区维修!$C$5:$C$404,$A131)</f>
        <v>0</v>
      </c>
      <c r="K131" s="35" t="n">
        <f aca="false">SUM($G131:$J131)</f>
        <v>0</v>
      </c>
      <c r="L131" s="36" t="str">
        <f aca="false">IFERROR(($G131+$H131)/$K131,"")</f>
        <v/>
      </c>
      <c r="M131" s="30"/>
      <c r="N131" s="30"/>
      <c r="O131" s="30"/>
      <c r="P131" s="30"/>
    </row>
    <row r="132" customFormat="false" ht="19.5" hidden="false" customHeight="true" outlineLevel="0" collapsed="false">
      <c r="A132" s="44" t="s">
        <v>105</v>
      </c>
      <c r="B132" s="35" t="n">
        <f aca="false">COUNTIFS(入户维修!$F$5:$F$404,$A$70,入户维修!$E$5:$E$404,"?*",入户维修!$C$5:$C$404,$A132)+COUNTIFS(入户维修!$G$5:$G$404,$A$70,入户维修!$E$5:$E$404,"?*",入户维修!$C$5:$C$404,$A132)+COUNTIFS(入户维修!$H$5:$H$404,$A$70,入户维修!$E$5:$E$404,"?*",入户维修!$C$5:$C$404,$A132)+COUNTIFS(公区维修!$F$5:$F$404,$A$70,公区维修!$E$5:$E$404,"?*",公区维修!$C$5:$C$404,$A132)+COUNTIFS(公区维修!$G$5:$G$404,$A$70,公区维修!$E$5:$E$404,"?*",公区维修!$C$5:$C$404,$A132)+COUNTIFS(公区维修!$H$5:$H$404,$A$70,公区维修!$E$5:$E$404,"?*",公区维修!$C$5:$C$404,$A132)</f>
        <v>1</v>
      </c>
      <c r="C132" s="35" t="n">
        <f aca="false">COUNTIFS(入户维修!$F$5:$F$404,$A$70,入户维修!$K$5:$K$404,"已完成",入户维修!$C$5:$C$404,$A132)+COUNTIFS(入户维修!$G$5:$G$404,$A$70,入户维修!$K$5:$K$404,"已完成",入户维修!$C$5:$C$404,$A132)+COUNTIFS(入户维修!$H$5:$H$404,$A$70,入户维修!$K$5:$K$404,"已完成",入户维修!$C$5:$C$404,$A132)+COUNTIFS(公区维修!$F$5:$F$404,$A$70,公区维修!$K$5:$K$404,"已完成",公区维修!$C$5:$C$404,$A132)+COUNTIFS(公区维修!$G$5:$G$404,$A$70,公区维修!$K$5:$K$404,"已完成",公区维修!$C$5:$C$404,$A132)+COUNTIFS(公区维修!$H$5:$H$404,$A$70,公区维修!$K$5:$K$404,"已完成",公区维修!$C$5:$C$404,$A132)</f>
        <v>1</v>
      </c>
      <c r="D132" s="35" t="n">
        <f aca="false">COUNTIFS(入户维修!$F$5:$F$404,$A$70,入户维修!$K$5:$K$404,"跟进中",入户维修!$C$5:$C$404,$A132)+COUNTIFS(入户维修!$G$5:$G$404,$A$70,入户维修!$K$5:$K$404,"跟进中",入户维修!$C$5:$C$404,$A132)+COUNTIFS(入户维修!$H$5:$H$404,$A$70,入户维修!$K$5:$K$404,"跟进中",入户维修!$C$5:$C$404,$A132)+COUNTIFS(公区维修!$F$5:$F$404,$A$70,公区维修!$K$5:$K$404,"跟进中",公区维修!$C$5:$C$404,$A132)+COUNTIFS(公区维修!$G$5:$G$404,$A$70,公区维修!$K$5:$K$404,"跟进中",公区维修!$C$5:$C$404,$A132)+COUNTIFS(公区维修!$H$5:$H$404,$A$70,公区维修!$K$5:$K$404,"跟进中",公区维修!$C$5:$C$404,$A132)</f>
        <v>0</v>
      </c>
      <c r="E132" s="35" t="n">
        <f aca="false">COUNTIFS(入户维修!$F$5:$F$404,$A$70,入户维修!$K$5:$K$404,"需另约时间",入户维修!$C$5:$C$404,$A132)+COUNTIFS(入户维修!$G$5:$G$404,$A$70,入户维修!$K$5:$K$404,"需另约时间",入户维修!$C$5:$C$404,$A132)+COUNTIFS(入户维修!$H$5:$H$404,$A$70,入户维修!$K$5:$K$404,"需另约时间",入户维修!$C$5:$C$404,$A132)+COUNTIFS(公区维修!$F$5:$F$404,$A$70,公区维修!$K$5:$K$404,"需另约时间",公区维修!$C$5:$C$404,$A132)+COUNTIFS(公区维修!$G$5:$G$404,$A$70,公区维修!$K$5:$K$404,"需另约时间",公区维修!$C$5:$C$404,$A132)+COUNTIFS(公区维修!$H$5:$H$404,$A$70,公区维修!$K$5:$K$404,"需另约时间",公区维修!$C$5:$C$404,$A132)</f>
        <v>0</v>
      </c>
      <c r="F132" s="36" t="n">
        <f aca="false">IFERROR($C132/$B132,"")</f>
        <v>1</v>
      </c>
      <c r="G132" s="35" t="n">
        <f aca="false">COUNTIFS(入户维修!$F$5:$F$404,$A$70,入户维修!$O$5:$O$404,"非常满意",入户维修!$C$5:$C$404,$A132)+COUNTIFS(入户维修!$G$5:$G$404,$A$70,入户维修!$O$5:$O$404,"非常满意",入户维修!$C$5:$C$404,$A132)+COUNTIFS(入户维修!$H$5:$H$404,$A$70,入户维修!$O$5:$O$404,"非常满意",入户维修!$C$5:$C$404,$A132)+COUNTIFS(公区维修!$F$5:$F$404,$A$70,公区维修!$N$5:$N$404,"非常满意",公区维修!$C$5:$C$404,$A132)+COUNTIFS(公区维修!$G$5:$G$404,$A$70,公区维修!$N$5:$N$404,"非常满意",公区维修!$C$5:$C$404,$A132)+COUNTIFS(公区维修!$H$5:$H$404,$A$70,公区维修!$N$5:$N$404,"非常满意",公区维修!$C$5:$C$404,$A132)</f>
        <v>0</v>
      </c>
      <c r="H132" s="35" t="n">
        <f aca="false">COUNTIFS(入户维修!$F$5:$F$404,$A$70,入户维修!$O$5:$O$404,"满意",入户维修!$C$5:$C$404,$A132)+COUNTIFS(入户维修!$G$5:$G$404,$A$70,入户维修!$O$5:$O$404,"满意",入户维修!$C$5:$C$404,$A132)+COUNTIFS(入户维修!$H$5:$H$404,$A$70,入户维修!$O$5:$O$404,"满意",入户维修!$C$5:$C$404,$A132)+COUNTIFS(公区维修!$F$5:$F$404,$A$70,公区维修!$N$5:$N$404,"满意",公区维修!$C$5:$C$404,$A132)+COUNTIFS(公区维修!$G$5:$G$404,$A$70,公区维修!$N$5:$N$404,"满意",公区维修!$C$5:$C$404,$A132)+COUNTIFS(公区维修!$H$5:$H$404,$A$70,公区维修!$N$5:$N$404,"满意",公区维修!$C$5:$C$404,$A132)</f>
        <v>0</v>
      </c>
      <c r="I132" s="35" t="n">
        <f aca="false">COUNTIFS(入户维修!$F$5:$F$404,$A$70,入户维修!$O$5:$O$404,"一般",入户维修!$C$5:$C$404,$A132)+COUNTIFS(入户维修!$G$5:$G$404,$A$70,入户维修!$O$5:$O$404,"一般",入户维修!$C$5:$C$404,$A132)+COUNTIFS(入户维修!$H$5:$H$404,$A$70,入户维修!$O$5:$O$404,"一般",入户维修!$C$5:$C$404,$A132)+COUNTIFS(公区维修!$F$5:$F$404,$A$70,公区维修!$N$5:$N$404,"一般",公区维修!$C$5:$C$404,$A132)+COUNTIFS(公区维修!$G$5:$G$404,$A$70,公区维修!$N$5:$N$404,"一般",公区维修!$C$5:$C$404,$A132)+COUNTIFS(公区维修!$H$5:$H$404,$A$70,公区维修!$N$5:$N$404,"一般",公区维修!$C$5:$C$404,$A132)</f>
        <v>0</v>
      </c>
      <c r="J132" s="35" t="n">
        <f aca="false">COUNTIFS(入户维修!$F$5:$F$404,$A$70,入户维修!$O$5:$O$404,"不满意",入户维修!$C$5:$C$404,$A132)+COUNTIFS(入户维修!$G$5:$G$404,$A$70,入户维修!$O$5:$O$404,"不满意",入户维修!$C$5:$C$404,$A132)+COUNTIFS(入户维修!$H$5:$H$404,$A$70,入户维修!$O$5:$O$404,"不满意",入户维修!$C$5:$C$404,$A132)+COUNTIFS(公区维修!$F$5:$F$404,$A$70,公区维修!$N$5:$N$404,"不满意",公区维修!$C$5:$C$404,$A132)+COUNTIFS(公区维修!$G$5:$G$404,$A$70,公区维修!$N$5:$N$404,"不满意",公区维修!$C$5:$C$404,$A132)+COUNTIFS(公区维修!$H$5:$H$404,$A$70,公区维修!$N$5:$N$404,"不满意",公区维修!$C$5:$C$404,$A132)</f>
        <v>0</v>
      </c>
      <c r="K132" s="35" t="n">
        <f aca="false">SUM($G132:$J132)</f>
        <v>0</v>
      </c>
      <c r="L132" s="36" t="str">
        <f aca="false">IFERROR(($G132+$H132)/$K132,"")</f>
        <v/>
      </c>
      <c r="M132" s="30"/>
      <c r="N132" s="30"/>
      <c r="O132" s="30"/>
      <c r="P132" s="30"/>
    </row>
    <row r="133" customFormat="false" ht="19.5" hidden="false" customHeight="true" outlineLevel="0" collapsed="false">
      <c r="A133" s="44" t="s">
        <v>245</v>
      </c>
      <c r="B133" s="35" t="n">
        <f aca="false">COUNTIFS(入户维修!$F$5:$F$404,$A$70,入户维修!$E$5:$E$404,"?*",入户维修!$C$5:$C$404,$A133)+COUNTIFS(入户维修!$G$5:$G$404,$A$70,入户维修!$E$5:$E$404,"?*",入户维修!$C$5:$C$404,$A133)+COUNTIFS(入户维修!$H$5:$H$404,$A$70,入户维修!$E$5:$E$404,"?*",入户维修!$C$5:$C$404,$A133)+COUNTIFS(公区维修!$F$5:$F$404,$A$70,公区维修!$E$5:$E$404,"?*",公区维修!$C$5:$C$404,$A133)+COUNTIFS(公区维修!$G$5:$G$404,$A$70,公区维修!$E$5:$E$404,"?*",公区维修!$C$5:$C$404,$A133)+COUNTIFS(公区维修!$H$5:$H$404,$A$70,公区维修!$E$5:$E$404,"?*",公区维修!$C$5:$C$404,$A133)</f>
        <v>3</v>
      </c>
      <c r="C133" s="35" t="n">
        <f aca="false">COUNTIFS(入户维修!$F$5:$F$404,$A$70,入户维修!$K$5:$K$404,"已完成",入户维修!$C$5:$C$404,$A133)+COUNTIFS(入户维修!$G$5:$G$404,$A$70,入户维修!$K$5:$K$404,"已完成",入户维修!$C$5:$C$404,$A133)+COUNTIFS(入户维修!$H$5:$H$404,$A$70,入户维修!$K$5:$K$404,"已完成",入户维修!$C$5:$C$404,$A133)+COUNTIFS(公区维修!$F$5:$F$404,$A$70,公区维修!$K$5:$K$404,"已完成",公区维修!$C$5:$C$404,$A133)+COUNTIFS(公区维修!$G$5:$G$404,$A$70,公区维修!$K$5:$K$404,"已完成",公区维修!$C$5:$C$404,$A133)+COUNTIFS(公区维修!$H$5:$H$404,$A$70,公区维修!$K$5:$K$404,"已完成",公区维修!$C$5:$C$404,$A133)</f>
        <v>2</v>
      </c>
      <c r="D133" s="35" t="n">
        <f aca="false">COUNTIFS(入户维修!$F$5:$F$404,$A$70,入户维修!$K$5:$K$404,"跟进中",入户维修!$C$5:$C$404,$A133)+COUNTIFS(入户维修!$G$5:$G$404,$A$70,入户维修!$K$5:$K$404,"跟进中",入户维修!$C$5:$C$404,$A133)+COUNTIFS(入户维修!$H$5:$H$404,$A$70,入户维修!$K$5:$K$404,"跟进中",入户维修!$C$5:$C$404,$A133)+COUNTIFS(公区维修!$F$5:$F$404,$A$70,公区维修!$K$5:$K$404,"跟进中",公区维修!$C$5:$C$404,$A133)+COUNTIFS(公区维修!$G$5:$G$404,$A$70,公区维修!$K$5:$K$404,"跟进中",公区维修!$C$5:$C$404,$A133)+COUNTIFS(公区维修!$H$5:$H$404,$A$70,公区维修!$K$5:$K$404,"跟进中",公区维修!$C$5:$C$404,$A133)</f>
        <v>1</v>
      </c>
      <c r="E133" s="35" t="n">
        <f aca="false">COUNTIFS(入户维修!$F$5:$F$404,$A$70,入户维修!$K$5:$K$404,"需另约时间",入户维修!$C$5:$C$404,$A133)+COUNTIFS(入户维修!$G$5:$G$404,$A$70,入户维修!$K$5:$K$404,"需另约时间",入户维修!$C$5:$C$404,$A133)+COUNTIFS(入户维修!$H$5:$H$404,$A$70,入户维修!$K$5:$K$404,"需另约时间",入户维修!$C$5:$C$404,$A133)+COUNTIFS(公区维修!$F$5:$F$404,$A$70,公区维修!$K$5:$K$404,"需另约时间",公区维修!$C$5:$C$404,$A133)+COUNTIFS(公区维修!$G$5:$G$404,$A$70,公区维修!$K$5:$K$404,"需另约时间",公区维修!$C$5:$C$404,$A133)+COUNTIFS(公区维修!$H$5:$H$404,$A$70,公区维修!$K$5:$K$404,"需另约时间",公区维修!$C$5:$C$404,$A133)</f>
        <v>0</v>
      </c>
      <c r="F133" s="36" t="n">
        <f aca="false">IFERROR($C133/$B133,"")</f>
        <v>0.666666666666667</v>
      </c>
      <c r="G133" s="35" t="n">
        <f aca="false">COUNTIFS(入户维修!$F$5:$F$404,$A$70,入户维修!$O$5:$O$404,"非常满意",入户维修!$C$5:$C$404,$A133)+COUNTIFS(入户维修!$G$5:$G$404,$A$70,入户维修!$O$5:$O$404,"非常满意",入户维修!$C$5:$C$404,$A133)+COUNTIFS(入户维修!$H$5:$H$404,$A$70,入户维修!$O$5:$O$404,"非常满意",入户维修!$C$5:$C$404,$A133)+COUNTIFS(公区维修!$F$5:$F$404,$A$70,公区维修!$N$5:$N$404,"非常满意",公区维修!$C$5:$C$404,$A133)+COUNTIFS(公区维修!$G$5:$G$404,$A$70,公区维修!$N$5:$N$404,"非常满意",公区维修!$C$5:$C$404,$A133)+COUNTIFS(公区维修!$H$5:$H$404,$A$70,公区维修!$N$5:$N$404,"非常满意",公区维修!$C$5:$C$404,$A133)</f>
        <v>0</v>
      </c>
      <c r="H133" s="35" t="n">
        <f aca="false">COUNTIFS(入户维修!$F$5:$F$404,$A$70,入户维修!$O$5:$O$404,"满意",入户维修!$C$5:$C$404,$A133)+COUNTIFS(入户维修!$G$5:$G$404,$A$70,入户维修!$O$5:$O$404,"满意",入户维修!$C$5:$C$404,$A133)+COUNTIFS(入户维修!$H$5:$H$404,$A$70,入户维修!$O$5:$O$404,"满意",入户维修!$C$5:$C$404,$A133)+COUNTIFS(公区维修!$F$5:$F$404,$A$70,公区维修!$N$5:$N$404,"满意",公区维修!$C$5:$C$404,$A133)+COUNTIFS(公区维修!$G$5:$G$404,$A$70,公区维修!$N$5:$N$404,"满意",公区维修!$C$5:$C$404,$A133)+COUNTIFS(公区维修!$H$5:$H$404,$A$70,公区维修!$N$5:$N$404,"满意",公区维修!$C$5:$C$404,$A133)</f>
        <v>1</v>
      </c>
      <c r="I133" s="35" t="n">
        <f aca="false">COUNTIFS(入户维修!$F$5:$F$404,$A$70,入户维修!$O$5:$O$404,"一般",入户维修!$C$5:$C$404,$A133)+COUNTIFS(入户维修!$G$5:$G$404,$A$70,入户维修!$O$5:$O$404,"一般",入户维修!$C$5:$C$404,$A133)+COUNTIFS(入户维修!$H$5:$H$404,$A$70,入户维修!$O$5:$O$404,"一般",入户维修!$C$5:$C$404,$A133)+COUNTIFS(公区维修!$F$5:$F$404,$A$70,公区维修!$N$5:$N$404,"一般",公区维修!$C$5:$C$404,$A133)+COUNTIFS(公区维修!$G$5:$G$404,$A$70,公区维修!$N$5:$N$404,"一般",公区维修!$C$5:$C$404,$A133)+COUNTIFS(公区维修!$H$5:$H$404,$A$70,公区维修!$N$5:$N$404,"一般",公区维修!$C$5:$C$404,$A133)</f>
        <v>0</v>
      </c>
      <c r="J133" s="35" t="n">
        <f aca="false">COUNTIFS(入户维修!$F$5:$F$404,$A$70,入户维修!$O$5:$O$404,"不满意",入户维修!$C$5:$C$404,$A133)+COUNTIFS(入户维修!$G$5:$G$404,$A$70,入户维修!$O$5:$O$404,"不满意",入户维修!$C$5:$C$404,$A133)+COUNTIFS(入户维修!$H$5:$H$404,$A$70,入户维修!$O$5:$O$404,"不满意",入户维修!$C$5:$C$404,$A133)+COUNTIFS(公区维修!$F$5:$F$404,$A$70,公区维修!$N$5:$N$404,"不满意",公区维修!$C$5:$C$404,$A133)+COUNTIFS(公区维修!$G$5:$G$404,$A$70,公区维修!$N$5:$N$404,"不满意",公区维修!$C$5:$C$404,$A133)+COUNTIFS(公区维修!$H$5:$H$404,$A$70,公区维修!$N$5:$N$404,"不满意",公区维修!$C$5:$C$404,$A133)</f>
        <v>0</v>
      </c>
      <c r="K133" s="35" t="n">
        <f aca="false">SUM($G133:$J133)</f>
        <v>1</v>
      </c>
      <c r="L133" s="36" t="n">
        <f aca="false">IFERROR(($G133+$H133)/$K133,"")</f>
        <v>1</v>
      </c>
      <c r="M133" s="30"/>
      <c r="N133" s="30"/>
      <c r="O133" s="30"/>
      <c r="P133" s="30"/>
    </row>
    <row r="134" customFormat="false" ht="19.5" hidden="false" customHeight="true" outlineLevel="0" collapsed="false">
      <c r="A134" s="44" t="s">
        <v>161</v>
      </c>
      <c r="B134" s="35" t="n">
        <f aca="false">COUNTIFS(入户维修!$F$5:$F$404,$A$70,入户维修!$E$5:$E$404,"?*",入户维修!$C$5:$C$404,$A134)+COUNTIFS(入户维修!$G$5:$G$404,$A$70,入户维修!$E$5:$E$404,"?*",入户维修!$C$5:$C$404,$A134)+COUNTIFS(入户维修!$H$5:$H$404,$A$70,入户维修!$E$5:$E$404,"?*",入户维修!$C$5:$C$404,$A134)+COUNTIFS(公区维修!$F$5:$F$404,$A$70,公区维修!$E$5:$E$404,"?*",公区维修!$C$5:$C$404,$A134)+COUNTIFS(公区维修!$G$5:$G$404,$A$70,公区维修!$E$5:$E$404,"?*",公区维修!$C$5:$C$404,$A134)+COUNTIFS(公区维修!$H$5:$H$404,$A$70,公区维修!$E$5:$E$404,"?*",公区维修!$C$5:$C$404,$A134)</f>
        <v>0</v>
      </c>
      <c r="C134" s="35" t="n">
        <f aca="false">COUNTIFS(入户维修!$F$5:$F$404,$A$70,入户维修!$K$5:$K$404,"已完成",入户维修!$C$5:$C$404,$A134)+COUNTIFS(入户维修!$G$5:$G$404,$A$70,入户维修!$K$5:$K$404,"已完成",入户维修!$C$5:$C$404,$A134)+COUNTIFS(入户维修!$H$5:$H$404,$A$70,入户维修!$K$5:$K$404,"已完成",入户维修!$C$5:$C$404,$A134)+COUNTIFS(公区维修!$F$5:$F$404,$A$70,公区维修!$K$5:$K$404,"已完成",公区维修!$C$5:$C$404,$A134)+COUNTIFS(公区维修!$G$5:$G$404,$A$70,公区维修!$K$5:$K$404,"已完成",公区维修!$C$5:$C$404,$A134)+COUNTIFS(公区维修!$H$5:$H$404,$A$70,公区维修!$K$5:$K$404,"已完成",公区维修!$C$5:$C$404,$A134)</f>
        <v>0</v>
      </c>
      <c r="D134" s="35" t="n">
        <f aca="false">COUNTIFS(入户维修!$F$5:$F$404,$A$70,入户维修!$K$5:$K$404,"跟进中",入户维修!$C$5:$C$404,$A134)+COUNTIFS(入户维修!$G$5:$G$404,$A$70,入户维修!$K$5:$K$404,"跟进中",入户维修!$C$5:$C$404,$A134)+COUNTIFS(入户维修!$H$5:$H$404,$A$70,入户维修!$K$5:$K$404,"跟进中",入户维修!$C$5:$C$404,$A134)+COUNTIFS(公区维修!$F$5:$F$404,$A$70,公区维修!$K$5:$K$404,"跟进中",公区维修!$C$5:$C$404,$A134)+COUNTIFS(公区维修!$G$5:$G$404,$A$70,公区维修!$K$5:$K$404,"跟进中",公区维修!$C$5:$C$404,$A134)+COUNTIFS(公区维修!$H$5:$H$404,$A$70,公区维修!$K$5:$K$404,"跟进中",公区维修!$C$5:$C$404,$A134)</f>
        <v>0</v>
      </c>
      <c r="E134" s="35" t="n">
        <f aca="false">COUNTIFS(入户维修!$F$5:$F$404,$A$70,入户维修!$K$5:$K$404,"需另约时间",入户维修!$C$5:$C$404,$A134)+COUNTIFS(入户维修!$G$5:$G$404,$A$70,入户维修!$K$5:$K$404,"需另约时间",入户维修!$C$5:$C$404,$A134)+COUNTIFS(入户维修!$H$5:$H$404,$A$70,入户维修!$K$5:$K$404,"需另约时间",入户维修!$C$5:$C$404,$A134)+COUNTIFS(公区维修!$F$5:$F$404,$A$70,公区维修!$K$5:$K$404,"需另约时间",公区维修!$C$5:$C$404,$A134)+COUNTIFS(公区维修!$G$5:$G$404,$A$70,公区维修!$K$5:$K$404,"需另约时间",公区维修!$C$5:$C$404,$A134)+COUNTIFS(公区维修!$H$5:$H$404,$A$70,公区维修!$K$5:$K$404,"需另约时间",公区维修!$C$5:$C$404,$A134)</f>
        <v>0</v>
      </c>
      <c r="F134" s="36" t="str">
        <f aca="false">IFERROR($C134/$B134,"")</f>
        <v/>
      </c>
      <c r="G134" s="35" t="n">
        <f aca="false">COUNTIFS(入户维修!$F$5:$F$404,$A$70,入户维修!$O$5:$O$404,"非常满意",入户维修!$C$5:$C$404,$A134)+COUNTIFS(入户维修!$G$5:$G$404,$A$70,入户维修!$O$5:$O$404,"非常满意",入户维修!$C$5:$C$404,$A134)+COUNTIFS(入户维修!$H$5:$H$404,$A$70,入户维修!$O$5:$O$404,"非常满意",入户维修!$C$5:$C$404,$A134)+COUNTIFS(公区维修!$F$5:$F$404,$A$70,公区维修!$N$5:$N$404,"非常满意",公区维修!$C$5:$C$404,$A134)+COUNTIFS(公区维修!$G$5:$G$404,$A$70,公区维修!$N$5:$N$404,"非常满意",公区维修!$C$5:$C$404,$A134)+COUNTIFS(公区维修!$H$5:$H$404,$A$70,公区维修!$N$5:$N$404,"非常满意",公区维修!$C$5:$C$404,$A134)</f>
        <v>0</v>
      </c>
      <c r="H134" s="35" t="n">
        <f aca="false">COUNTIFS(入户维修!$F$5:$F$404,$A$70,入户维修!$O$5:$O$404,"满意",入户维修!$C$5:$C$404,$A134)+COUNTIFS(入户维修!$G$5:$G$404,$A$70,入户维修!$O$5:$O$404,"满意",入户维修!$C$5:$C$404,$A134)+COUNTIFS(入户维修!$H$5:$H$404,$A$70,入户维修!$O$5:$O$404,"满意",入户维修!$C$5:$C$404,$A134)+COUNTIFS(公区维修!$F$5:$F$404,$A$70,公区维修!$N$5:$N$404,"满意",公区维修!$C$5:$C$404,$A134)+COUNTIFS(公区维修!$G$5:$G$404,$A$70,公区维修!$N$5:$N$404,"满意",公区维修!$C$5:$C$404,$A134)+COUNTIFS(公区维修!$H$5:$H$404,$A$70,公区维修!$N$5:$N$404,"满意",公区维修!$C$5:$C$404,$A134)</f>
        <v>0</v>
      </c>
      <c r="I134" s="35" t="n">
        <f aca="false">COUNTIFS(入户维修!$F$5:$F$404,$A$70,入户维修!$O$5:$O$404,"一般",入户维修!$C$5:$C$404,$A134)+COUNTIFS(入户维修!$G$5:$G$404,$A$70,入户维修!$O$5:$O$404,"一般",入户维修!$C$5:$C$404,$A134)+COUNTIFS(入户维修!$H$5:$H$404,$A$70,入户维修!$O$5:$O$404,"一般",入户维修!$C$5:$C$404,$A134)+COUNTIFS(公区维修!$F$5:$F$404,$A$70,公区维修!$N$5:$N$404,"一般",公区维修!$C$5:$C$404,$A134)+COUNTIFS(公区维修!$G$5:$G$404,$A$70,公区维修!$N$5:$N$404,"一般",公区维修!$C$5:$C$404,$A134)+COUNTIFS(公区维修!$H$5:$H$404,$A$70,公区维修!$N$5:$N$404,"一般",公区维修!$C$5:$C$404,$A134)</f>
        <v>0</v>
      </c>
      <c r="J134" s="35" t="n">
        <f aca="false">COUNTIFS(入户维修!$F$5:$F$404,$A$70,入户维修!$O$5:$O$404,"不满意",入户维修!$C$5:$C$404,$A134)+COUNTIFS(入户维修!$G$5:$G$404,$A$70,入户维修!$O$5:$O$404,"不满意",入户维修!$C$5:$C$404,$A134)+COUNTIFS(入户维修!$H$5:$H$404,$A$70,入户维修!$O$5:$O$404,"不满意",入户维修!$C$5:$C$404,$A134)+COUNTIFS(公区维修!$F$5:$F$404,$A$70,公区维修!$N$5:$N$404,"不满意",公区维修!$C$5:$C$404,$A134)+COUNTIFS(公区维修!$G$5:$G$404,$A$70,公区维修!$N$5:$N$404,"不满意",公区维修!$C$5:$C$404,$A134)+COUNTIFS(公区维修!$H$5:$H$404,$A$70,公区维修!$N$5:$N$404,"不满意",公区维修!$C$5:$C$404,$A134)</f>
        <v>0</v>
      </c>
      <c r="K134" s="35" t="n">
        <f aca="false">SUM($G134:$J134)</f>
        <v>0</v>
      </c>
      <c r="L134" s="36" t="str">
        <f aca="false">IFERROR(($G134+$H134)/$K134,"")</f>
        <v/>
      </c>
      <c r="M134" s="30"/>
      <c r="N134" s="30"/>
      <c r="O134" s="30"/>
      <c r="P134" s="30"/>
    </row>
    <row r="135" customFormat="false" ht="19.5" hidden="false" customHeight="true" outlineLevel="0" collapsed="false">
      <c r="A135" s="44" t="s">
        <v>38</v>
      </c>
      <c r="B135" s="35" t="n">
        <f aca="false">COUNTIFS(入户维修!$F$5:$F$404,$A$70,入户维修!$E$5:$E$404,"?*",入户维修!$C$5:$C$404,$A135)+COUNTIFS(入户维修!$G$5:$G$404,$A$70,入户维修!$E$5:$E$404,"?*",入户维修!$C$5:$C$404,$A135)+COUNTIFS(入户维修!$H$5:$H$404,$A$70,入户维修!$E$5:$E$404,"?*",入户维修!$C$5:$C$404,$A135)+COUNTIFS(公区维修!$F$5:$F$404,$A$70,公区维修!$E$5:$E$404,"?*",公区维修!$C$5:$C$404,$A135)+COUNTIFS(公区维修!$G$5:$G$404,$A$70,公区维修!$E$5:$E$404,"?*",公区维修!$C$5:$C$404,$A135)+COUNTIFS(公区维修!$H$5:$H$404,$A$70,公区维修!$E$5:$E$404,"?*",公区维修!$C$5:$C$404,$A135)</f>
        <v>2</v>
      </c>
      <c r="C135" s="35" t="n">
        <f aca="false">COUNTIFS(入户维修!$F$5:$F$404,$A$70,入户维修!$K$5:$K$404,"已完成",入户维修!$C$5:$C$404,$A135)+COUNTIFS(入户维修!$G$5:$G$404,$A$70,入户维修!$K$5:$K$404,"已完成",入户维修!$C$5:$C$404,$A135)+COUNTIFS(入户维修!$H$5:$H$404,$A$70,入户维修!$K$5:$K$404,"已完成",入户维修!$C$5:$C$404,$A135)+COUNTIFS(公区维修!$F$5:$F$404,$A$70,公区维修!$K$5:$K$404,"已完成",公区维修!$C$5:$C$404,$A135)+COUNTIFS(公区维修!$G$5:$G$404,$A$70,公区维修!$K$5:$K$404,"已完成",公区维修!$C$5:$C$404,$A135)+COUNTIFS(公区维修!$H$5:$H$404,$A$70,公区维修!$K$5:$K$404,"已完成",公区维修!$C$5:$C$404,$A135)</f>
        <v>1</v>
      </c>
      <c r="D135" s="35" t="n">
        <f aca="false">COUNTIFS(入户维修!$F$5:$F$404,$A$70,入户维修!$K$5:$K$404,"跟进中",入户维修!$C$5:$C$404,$A135)+COUNTIFS(入户维修!$G$5:$G$404,$A$70,入户维修!$K$5:$K$404,"跟进中",入户维修!$C$5:$C$404,$A135)+COUNTIFS(入户维修!$H$5:$H$404,$A$70,入户维修!$K$5:$K$404,"跟进中",入户维修!$C$5:$C$404,$A135)+COUNTIFS(公区维修!$F$5:$F$404,$A$70,公区维修!$K$5:$K$404,"跟进中",公区维修!$C$5:$C$404,$A135)+COUNTIFS(公区维修!$G$5:$G$404,$A$70,公区维修!$K$5:$K$404,"跟进中",公区维修!$C$5:$C$404,$A135)+COUNTIFS(公区维修!$H$5:$H$404,$A$70,公区维修!$K$5:$K$404,"跟进中",公区维修!$C$5:$C$404,$A135)</f>
        <v>1</v>
      </c>
      <c r="E135" s="35" t="n">
        <f aca="false">COUNTIFS(入户维修!$F$5:$F$404,$A$70,入户维修!$K$5:$K$404,"需另约时间",入户维修!$C$5:$C$404,$A135)+COUNTIFS(入户维修!$G$5:$G$404,$A$70,入户维修!$K$5:$K$404,"需另约时间",入户维修!$C$5:$C$404,$A135)+COUNTIFS(入户维修!$H$5:$H$404,$A$70,入户维修!$K$5:$K$404,"需另约时间",入户维修!$C$5:$C$404,$A135)+COUNTIFS(公区维修!$F$5:$F$404,$A$70,公区维修!$K$5:$K$404,"需另约时间",公区维修!$C$5:$C$404,$A135)+COUNTIFS(公区维修!$G$5:$G$404,$A$70,公区维修!$K$5:$K$404,"需另约时间",公区维修!$C$5:$C$404,$A135)+COUNTIFS(公区维修!$H$5:$H$404,$A$70,公区维修!$K$5:$K$404,"需另约时间",公区维修!$C$5:$C$404,$A135)</f>
        <v>0</v>
      </c>
      <c r="F135" s="36" t="n">
        <f aca="false">IFERROR($C135/$B135,"")</f>
        <v>0.5</v>
      </c>
      <c r="G135" s="35" t="n">
        <f aca="false">COUNTIFS(入户维修!$F$5:$F$404,$A$70,入户维修!$O$5:$O$404,"非常满意",入户维修!$C$5:$C$404,$A135)+COUNTIFS(入户维修!$G$5:$G$404,$A$70,入户维修!$O$5:$O$404,"非常满意",入户维修!$C$5:$C$404,$A135)+COUNTIFS(入户维修!$H$5:$H$404,$A$70,入户维修!$O$5:$O$404,"非常满意",入户维修!$C$5:$C$404,$A135)+COUNTIFS(公区维修!$F$5:$F$404,$A$70,公区维修!$N$5:$N$404,"非常满意",公区维修!$C$5:$C$404,$A135)+COUNTIFS(公区维修!$G$5:$G$404,$A$70,公区维修!$N$5:$N$404,"非常满意",公区维修!$C$5:$C$404,$A135)+COUNTIFS(公区维修!$H$5:$H$404,$A$70,公区维修!$N$5:$N$404,"非常满意",公区维修!$C$5:$C$404,$A135)</f>
        <v>1</v>
      </c>
      <c r="H135" s="35" t="n">
        <f aca="false">COUNTIFS(入户维修!$F$5:$F$404,$A$70,入户维修!$O$5:$O$404,"满意",入户维修!$C$5:$C$404,$A135)+COUNTIFS(入户维修!$G$5:$G$404,$A$70,入户维修!$O$5:$O$404,"满意",入户维修!$C$5:$C$404,$A135)+COUNTIFS(入户维修!$H$5:$H$404,$A$70,入户维修!$O$5:$O$404,"满意",入户维修!$C$5:$C$404,$A135)+COUNTIFS(公区维修!$F$5:$F$404,$A$70,公区维修!$N$5:$N$404,"满意",公区维修!$C$5:$C$404,$A135)+COUNTIFS(公区维修!$G$5:$G$404,$A$70,公区维修!$N$5:$N$404,"满意",公区维修!$C$5:$C$404,$A135)+COUNTIFS(公区维修!$H$5:$H$404,$A$70,公区维修!$N$5:$N$404,"满意",公区维修!$C$5:$C$404,$A135)</f>
        <v>0</v>
      </c>
      <c r="I135" s="35" t="n">
        <f aca="false">COUNTIFS(入户维修!$F$5:$F$404,$A$70,入户维修!$O$5:$O$404,"一般",入户维修!$C$5:$C$404,$A135)+COUNTIFS(入户维修!$G$5:$G$404,$A$70,入户维修!$O$5:$O$404,"一般",入户维修!$C$5:$C$404,$A135)+COUNTIFS(入户维修!$H$5:$H$404,$A$70,入户维修!$O$5:$O$404,"一般",入户维修!$C$5:$C$404,$A135)+COUNTIFS(公区维修!$F$5:$F$404,$A$70,公区维修!$N$5:$N$404,"一般",公区维修!$C$5:$C$404,$A135)+COUNTIFS(公区维修!$G$5:$G$404,$A$70,公区维修!$N$5:$N$404,"一般",公区维修!$C$5:$C$404,$A135)+COUNTIFS(公区维修!$H$5:$H$404,$A$70,公区维修!$N$5:$N$404,"一般",公区维修!$C$5:$C$404,$A135)</f>
        <v>0</v>
      </c>
      <c r="J135" s="35" t="n">
        <f aca="false">COUNTIFS(入户维修!$F$5:$F$404,$A$70,入户维修!$O$5:$O$404,"不满意",入户维修!$C$5:$C$404,$A135)+COUNTIFS(入户维修!$G$5:$G$404,$A$70,入户维修!$O$5:$O$404,"不满意",入户维修!$C$5:$C$404,$A135)+COUNTIFS(入户维修!$H$5:$H$404,$A$70,入户维修!$O$5:$O$404,"不满意",入户维修!$C$5:$C$404,$A135)+COUNTIFS(公区维修!$F$5:$F$404,$A$70,公区维修!$N$5:$N$404,"不满意",公区维修!$C$5:$C$404,$A135)+COUNTIFS(公区维修!$G$5:$G$404,$A$70,公区维修!$N$5:$N$404,"不满意",公区维修!$C$5:$C$404,$A135)+COUNTIFS(公区维修!$H$5:$H$404,$A$70,公区维修!$N$5:$N$404,"不满意",公区维修!$C$5:$C$404,$A135)</f>
        <v>0</v>
      </c>
      <c r="K135" s="35" t="n">
        <f aca="false">SUM($G135:$J135)</f>
        <v>1</v>
      </c>
      <c r="L135" s="36" t="n">
        <f aca="false">IFERROR(($G135+$H135)/$K135,"")</f>
        <v>1</v>
      </c>
      <c r="M135" s="30"/>
      <c r="N135" s="30"/>
      <c r="O135" s="30"/>
      <c r="P135" s="30"/>
    </row>
    <row r="136" customFormat="false" ht="19.5" hidden="false" customHeight="true" outlineLevel="0" collapsed="false">
      <c r="A136" s="44" t="s">
        <v>31</v>
      </c>
      <c r="B136" s="35" t="n">
        <f aca="false">COUNTIFS(入户维修!$F$5:$F$404,$A$70,入户维修!$E$5:$E$404,"?*",入户维修!$C$5:$C$404,$A136)+COUNTIFS(入户维修!$G$5:$G$404,$A$70,入户维修!$E$5:$E$404,"?*",入户维修!$C$5:$C$404,$A136)+COUNTIFS(入户维修!$H$5:$H$404,$A$70,入户维修!$E$5:$E$404,"?*",入户维修!$C$5:$C$404,$A136)+COUNTIFS(公区维修!$F$5:$F$404,$A$70,公区维修!$E$5:$E$404,"?*",公区维修!$C$5:$C$404,$A136)+COUNTIFS(公区维修!$G$5:$G$404,$A$70,公区维修!$E$5:$E$404,"?*",公区维修!$C$5:$C$404,$A136)+COUNTIFS(公区维修!$H$5:$H$404,$A$70,公区维修!$E$5:$E$404,"?*",公区维修!$C$5:$C$404,$A136)</f>
        <v>1</v>
      </c>
      <c r="C136" s="35" t="n">
        <f aca="false">COUNTIFS(入户维修!$F$5:$F$404,$A$70,入户维修!$K$5:$K$404,"已完成",入户维修!$C$5:$C$404,$A136)+COUNTIFS(入户维修!$G$5:$G$404,$A$70,入户维修!$K$5:$K$404,"已完成",入户维修!$C$5:$C$404,$A136)+COUNTIFS(入户维修!$H$5:$H$404,$A$70,入户维修!$K$5:$K$404,"已完成",入户维修!$C$5:$C$404,$A136)+COUNTIFS(公区维修!$F$5:$F$404,$A$70,公区维修!$K$5:$K$404,"已完成",公区维修!$C$5:$C$404,$A136)+COUNTIFS(公区维修!$G$5:$G$404,$A$70,公区维修!$K$5:$K$404,"已完成",公区维修!$C$5:$C$404,$A136)+COUNTIFS(公区维修!$H$5:$H$404,$A$70,公区维修!$K$5:$K$404,"已完成",公区维修!$C$5:$C$404,$A136)</f>
        <v>0</v>
      </c>
      <c r="D136" s="35" t="n">
        <f aca="false">COUNTIFS(入户维修!$F$5:$F$404,$A$70,入户维修!$K$5:$K$404,"跟进中",入户维修!$C$5:$C$404,$A136)+COUNTIFS(入户维修!$G$5:$G$404,$A$70,入户维修!$K$5:$K$404,"跟进中",入户维修!$C$5:$C$404,$A136)+COUNTIFS(入户维修!$H$5:$H$404,$A$70,入户维修!$K$5:$K$404,"跟进中",入户维修!$C$5:$C$404,$A136)+COUNTIFS(公区维修!$F$5:$F$404,$A$70,公区维修!$K$5:$K$404,"跟进中",公区维修!$C$5:$C$404,$A136)+COUNTIFS(公区维修!$G$5:$G$404,$A$70,公区维修!$K$5:$K$404,"跟进中",公区维修!$C$5:$C$404,$A136)+COUNTIFS(公区维修!$H$5:$H$404,$A$70,公区维修!$K$5:$K$404,"跟进中",公区维修!$C$5:$C$404,$A136)</f>
        <v>1</v>
      </c>
      <c r="E136" s="35" t="n">
        <f aca="false">COUNTIFS(入户维修!$F$5:$F$404,$A$70,入户维修!$K$5:$K$404,"需另约时间",入户维修!$C$5:$C$404,$A136)+COUNTIFS(入户维修!$G$5:$G$404,$A$70,入户维修!$K$5:$K$404,"需另约时间",入户维修!$C$5:$C$404,$A136)+COUNTIFS(入户维修!$H$5:$H$404,$A$70,入户维修!$K$5:$K$404,"需另约时间",入户维修!$C$5:$C$404,$A136)+COUNTIFS(公区维修!$F$5:$F$404,$A$70,公区维修!$K$5:$K$404,"需另约时间",公区维修!$C$5:$C$404,$A136)+COUNTIFS(公区维修!$G$5:$G$404,$A$70,公区维修!$K$5:$K$404,"需另约时间",公区维修!$C$5:$C$404,$A136)+COUNTIFS(公区维修!$H$5:$H$404,$A$70,公区维修!$K$5:$K$404,"需另约时间",公区维修!$C$5:$C$404,$A136)</f>
        <v>0</v>
      </c>
      <c r="F136" s="36" t="n">
        <f aca="false">IFERROR($C136/$B136,"")</f>
        <v>0</v>
      </c>
      <c r="G136" s="35" t="n">
        <f aca="false">COUNTIFS(入户维修!$F$5:$F$404,$A$70,入户维修!$O$5:$O$404,"非常满意",入户维修!$C$5:$C$404,$A136)+COUNTIFS(入户维修!$G$5:$G$404,$A$70,入户维修!$O$5:$O$404,"非常满意",入户维修!$C$5:$C$404,$A136)+COUNTIFS(入户维修!$H$5:$H$404,$A$70,入户维修!$O$5:$O$404,"非常满意",入户维修!$C$5:$C$404,$A136)+COUNTIFS(公区维修!$F$5:$F$404,$A$70,公区维修!$N$5:$N$404,"非常满意",公区维修!$C$5:$C$404,$A136)+COUNTIFS(公区维修!$G$5:$G$404,$A$70,公区维修!$N$5:$N$404,"非常满意",公区维修!$C$5:$C$404,$A136)+COUNTIFS(公区维修!$H$5:$H$404,$A$70,公区维修!$N$5:$N$404,"非常满意",公区维修!$C$5:$C$404,$A136)</f>
        <v>0</v>
      </c>
      <c r="H136" s="35" t="n">
        <f aca="false">COUNTIFS(入户维修!$F$5:$F$404,$A$70,入户维修!$O$5:$O$404,"满意",入户维修!$C$5:$C$404,$A136)+COUNTIFS(入户维修!$G$5:$G$404,$A$70,入户维修!$O$5:$O$404,"满意",入户维修!$C$5:$C$404,$A136)+COUNTIFS(入户维修!$H$5:$H$404,$A$70,入户维修!$O$5:$O$404,"满意",入户维修!$C$5:$C$404,$A136)+COUNTIFS(公区维修!$F$5:$F$404,$A$70,公区维修!$N$5:$N$404,"满意",公区维修!$C$5:$C$404,$A136)+COUNTIFS(公区维修!$G$5:$G$404,$A$70,公区维修!$N$5:$N$404,"满意",公区维修!$C$5:$C$404,$A136)+COUNTIFS(公区维修!$H$5:$H$404,$A$70,公区维修!$N$5:$N$404,"满意",公区维修!$C$5:$C$404,$A136)</f>
        <v>0</v>
      </c>
      <c r="I136" s="35" t="n">
        <f aca="false">COUNTIFS(入户维修!$F$5:$F$404,$A$70,入户维修!$O$5:$O$404,"一般",入户维修!$C$5:$C$404,$A136)+COUNTIFS(入户维修!$G$5:$G$404,$A$70,入户维修!$O$5:$O$404,"一般",入户维修!$C$5:$C$404,$A136)+COUNTIFS(入户维修!$H$5:$H$404,$A$70,入户维修!$O$5:$O$404,"一般",入户维修!$C$5:$C$404,$A136)+COUNTIFS(公区维修!$F$5:$F$404,$A$70,公区维修!$N$5:$N$404,"一般",公区维修!$C$5:$C$404,$A136)+COUNTIFS(公区维修!$G$5:$G$404,$A$70,公区维修!$N$5:$N$404,"一般",公区维修!$C$5:$C$404,$A136)+COUNTIFS(公区维修!$H$5:$H$404,$A$70,公区维修!$N$5:$N$404,"一般",公区维修!$C$5:$C$404,$A136)</f>
        <v>0</v>
      </c>
      <c r="J136" s="35" t="n">
        <f aca="false">COUNTIFS(入户维修!$F$5:$F$404,$A$70,入户维修!$O$5:$O$404,"不满意",入户维修!$C$5:$C$404,$A136)+COUNTIFS(入户维修!$G$5:$G$404,$A$70,入户维修!$O$5:$O$404,"不满意",入户维修!$C$5:$C$404,$A136)+COUNTIFS(入户维修!$H$5:$H$404,$A$70,入户维修!$O$5:$O$404,"不满意",入户维修!$C$5:$C$404,$A136)+COUNTIFS(公区维修!$F$5:$F$404,$A$70,公区维修!$N$5:$N$404,"不满意",公区维修!$C$5:$C$404,$A136)+COUNTIFS(公区维修!$G$5:$G$404,$A$70,公区维修!$N$5:$N$404,"不满意",公区维修!$C$5:$C$404,$A136)+COUNTIFS(公区维修!$H$5:$H$404,$A$70,公区维修!$N$5:$N$404,"不满意",公区维修!$C$5:$C$404,$A136)</f>
        <v>0</v>
      </c>
      <c r="K136" s="35" t="n">
        <f aca="false">SUM($G136:$J136)</f>
        <v>0</v>
      </c>
      <c r="L136" s="36" t="str">
        <f aca="false">IFERROR(($G136+$H136)/$K136,"")</f>
        <v/>
      </c>
      <c r="M136" s="30"/>
      <c r="N136" s="30"/>
      <c r="O136" s="30"/>
      <c r="P136" s="30"/>
    </row>
    <row r="137" customFormat="false" ht="19.5" hidden="false" customHeight="true" outlineLevel="0" collapsed="false">
      <c r="A137" s="44" t="s">
        <v>43</v>
      </c>
      <c r="B137" s="35" t="n">
        <f aca="false">COUNTIFS(入户维修!$F$5:$F$404,$A$70,入户维修!$E$5:$E$404,"?*",入户维修!$C$5:$C$404,$A137)+COUNTIFS(入户维修!$G$5:$G$404,$A$70,入户维修!$E$5:$E$404,"?*",入户维修!$C$5:$C$404,$A137)+COUNTIFS(入户维修!$H$5:$H$404,$A$70,入户维修!$E$5:$E$404,"?*",入户维修!$C$5:$C$404,$A137)+COUNTIFS(公区维修!$F$5:$F$404,$A$70,公区维修!$E$5:$E$404,"?*",公区维修!$C$5:$C$404,$A137)+COUNTIFS(公区维修!$G$5:$G$404,$A$70,公区维修!$E$5:$E$404,"?*",公区维修!$C$5:$C$404,$A137)+COUNTIFS(公区维修!$H$5:$H$404,$A$70,公区维修!$E$5:$E$404,"?*",公区维修!$C$5:$C$404,$A137)</f>
        <v>1</v>
      </c>
      <c r="C137" s="35" t="n">
        <f aca="false">COUNTIFS(入户维修!$F$5:$F$404,$A$70,入户维修!$K$5:$K$404,"已完成",入户维修!$C$5:$C$404,$A137)+COUNTIFS(入户维修!$G$5:$G$404,$A$70,入户维修!$K$5:$K$404,"已完成",入户维修!$C$5:$C$404,$A137)+COUNTIFS(入户维修!$H$5:$H$404,$A$70,入户维修!$K$5:$K$404,"已完成",入户维修!$C$5:$C$404,$A137)+COUNTIFS(公区维修!$F$5:$F$404,$A$70,公区维修!$K$5:$K$404,"已完成",公区维修!$C$5:$C$404,$A137)+COUNTIFS(公区维修!$G$5:$G$404,$A$70,公区维修!$K$5:$K$404,"已完成",公区维修!$C$5:$C$404,$A137)+COUNTIFS(公区维修!$H$5:$H$404,$A$70,公区维修!$K$5:$K$404,"已完成",公区维修!$C$5:$C$404,$A137)</f>
        <v>0</v>
      </c>
      <c r="D137" s="35" t="n">
        <f aca="false">COUNTIFS(入户维修!$F$5:$F$404,$A$70,入户维修!$K$5:$K$404,"跟进中",入户维修!$C$5:$C$404,$A137)+COUNTIFS(入户维修!$G$5:$G$404,$A$70,入户维修!$K$5:$K$404,"跟进中",入户维修!$C$5:$C$404,$A137)+COUNTIFS(入户维修!$H$5:$H$404,$A$70,入户维修!$K$5:$K$404,"跟进中",入户维修!$C$5:$C$404,$A137)+COUNTIFS(公区维修!$F$5:$F$404,$A$70,公区维修!$K$5:$K$404,"跟进中",公区维修!$C$5:$C$404,$A137)+COUNTIFS(公区维修!$G$5:$G$404,$A$70,公区维修!$K$5:$K$404,"跟进中",公区维修!$C$5:$C$404,$A137)+COUNTIFS(公区维修!$H$5:$H$404,$A$70,公区维修!$K$5:$K$404,"跟进中",公区维修!$C$5:$C$404,$A137)</f>
        <v>1</v>
      </c>
      <c r="E137" s="35" t="n">
        <f aca="false">COUNTIFS(入户维修!$F$5:$F$404,$A$70,入户维修!$K$5:$K$404,"需另约时间",入户维修!$C$5:$C$404,$A137)+COUNTIFS(入户维修!$G$5:$G$404,$A$70,入户维修!$K$5:$K$404,"需另约时间",入户维修!$C$5:$C$404,$A137)+COUNTIFS(入户维修!$H$5:$H$404,$A$70,入户维修!$K$5:$K$404,"需另约时间",入户维修!$C$5:$C$404,$A137)+COUNTIFS(公区维修!$F$5:$F$404,$A$70,公区维修!$K$5:$K$404,"需另约时间",公区维修!$C$5:$C$404,$A137)+COUNTIFS(公区维修!$G$5:$G$404,$A$70,公区维修!$K$5:$K$404,"需另约时间",公区维修!$C$5:$C$404,$A137)+COUNTIFS(公区维修!$H$5:$H$404,$A$70,公区维修!$K$5:$K$404,"需另约时间",公区维修!$C$5:$C$404,$A137)</f>
        <v>0</v>
      </c>
      <c r="F137" s="36" t="n">
        <f aca="false">IFERROR($C137/$B137,"")</f>
        <v>0</v>
      </c>
      <c r="G137" s="35" t="n">
        <f aca="false">COUNTIFS(入户维修!$F$5:$F$404,$A$70,入户维修!$O$5:$O$404,"非常满意",入户维修!$C$5:$C$404,$A137)+COUNTIFS(入户维修!$G$5:$G$404,$A$70,入户维修!$O$5:$O$404,"非常满意",入户维修!$C$5:$C$404,$A137)+COUNTIFS(入户维修!$H$5:$H$404,$A$70,入户维修!$O$5:$O$404,"非常满意",入户维修!$C$5:$C$404,$A137)+COUNTIFS(公区维修!$F$5:$F$404,$A$70,公区维修!$N$5:$N$404,"非常满意",公区维修!$C$5:$C$404,$A137)+COUNTIFS(公区维修!$G$5:$G$404,$A$70,公区维修!$N$5:$N$404,"非常满意",公区维修!$C$5:$C$404,$A137)+COUNTIFS(公区维修!$H$5:$H$404,$A$70,公区维修!$N$5:$N$404,"非常满意",公区维修!$C$5:$C$404,$A137)</f>
        <v>0</v>
      </c>
      <c r="H137" s="35" t="n">
        <f aca="false">COUNTIFS(入户维修!$F$5:$F$404,$A$70,入户维修!$O$5:$O$404,"满意",入户维修!$C$5:$C$404,$A137)+COUNTIFS(入户维修!$G$5:$G$404,$A$70,入户维修!$O$5:$O$404,"满意",入户维修!$C$5:$C$404,$A137)+COUNTIFS(入户维修!$H$5:$H$404,$A$70,入户维修!$O$5:$O$404,"满意",入户维修!$C$5:$C$404,$A137)+COUNTIFS(公区维修!$F$5:$F$404,$A$70,公区维修!$N$5:$N$404,"满意",公区维修!$C$5:$C$404,$A137)+COUNTIFS(公区维修!$G$5:$G$404,$A$70,公区维修!$N$5:$N$404,"满意",公区维修!$C$5:$C$404,$A137)+COUNTIFS(公区维修!$H$5:$H$404,$A$70,公区维修!$N$5:$N$404,"满意",公区维修!$C$5:$C$404,$A137)</f>
        <v>0</v>
      </c>
      <c r="I137" s="35" t="n">
        <f aca="false">COUNTIFS(入户维修!$F$5:$F$404,$A$70,入户维修!$O$5:$O$404,"一般",入户维修!$C$5:$C$404,$A137)+COUNTIFS(入户维修!$G$5:$G$404,$A$70,入户维修!$O$5:$O$404,"一般",入户维修!$C$5:$C$404,$A137)+COUNTIFS(入户维修!$H$5:$H$404,$A$70,入户维修!$O$5:$O$404,"一般",入户维修!$C$5:$C$404,$A137)+COUNTIFS(公区维修!$F$5:$F$404,$A$70,公区维修!$N$5:$N$404,"一般",公区维修!$C$5:$C$404,$A137)+COUNTIFS(公区维修!$G$5:$G$404,$A$70,公区维修!$N$5:$N$404,"一般",公区维修!$C$5:$C$404,$A137)+COUNTIFS(公区维修!$H$5:$H$404,$A$70,公区维修!$N$5:$N$404,"一般",公区维修!$C$5:$C$404,$A137)</f>
        <v>0</v>
      </c>
      <c r="J137" s="35" t="n">
        <f aca="false">COUNTIFS(入户维修!$F$5:$F$404,$A$70,入户维修!$O$5:$O$404,"不满意",入户维修!$C$5:$C$404,$A137)+COUNTIFS(入户维修!$G$5:$G$404,$A$70,入户维修!$O$5:$O$404,"不满意",入户维修!$C$5:$C$404,$A137)+COUNTIFS(入户维修!$H$5:$H$404,$A$70,入户维修!$O$5:$O$404,"不满意",入户维修!$C$5:$C$404,$A137)+COUNTIFS(公区维修!$F$5:$F$404,$A$70,公区维修!$N$5:$N$404,"不满意",公区维修!$C$5:$C$404,$A137)+COUNTIFS(公区维修!$G$5:$G$404,$A$70,公区维修!$N$5:$N$404,"不满意",公区维修!$C$5:$C$404,$A137)+COUNTIFS(公区维修!$H$5:$H$404,$A$70,公区维修!$N$5:$N$404,"不满意",公区维修!$C$5:$C$404,$A137)</f>
        <v>0</v>
      </c>
      <c r="K137" s="35" t="n">
        <f aca="false">SUM($G137:$J137)</f>
        <v>0</v>
      </c>
      <c r="L137" s="36" t="str">
        <f aca="false">IFERROR(($G137+$H137)/$K137,"")</f>
        <v/>
      </c>
      <c r="M137" s="30"/>
      <c r="N137" s="30"/>
      <c r="O137" s="30"/>
      <c r="P137" s="30"/>
    </row>
    <row r="138" customFormat="false" ht="19.5" hidden="false" customHeight="true" outlineLevel="0" collapsed="false">
      <c r="A138" s="44" t="s">
        <v>21</v>
      </c>
      <c r="B138" s="35" t="n">
        <f aca="false">COUNTIFS(入户维修!$F$5:$F$404,$A$70,入户维修!$E$5:$E$404,"?*",入户维修!$C$5:$C$404,$A138)+COUNTIFS(入户维修!$G$5:$G$404,$A$70,入户维修!$E$5:$E$404,"?*",入户维修!$C$5:$C$404,$A138)+COUNTIFS(入户维修!$H$5:$H$404,$A$70,入户维修!$E$5:$E$404,"?*",入户维修!$C$5:$C$404,$A138)+COUNTIFS(公区维修!$F$5:$F$404,$A$70,公区维修!$E$5:$E$404,"?*",公区维修!$C$5:$C$404,$A138)+COUNTIFS(公区维修!$G$5:$G$404,$A$70,公区维修!$E$5:$E$404,"?*",公区维修!$C$5:$C$404,$A138)+COUNTIFS(公区维修!$H$5:$H$404,$A$70,公区维修!$E$5:$E$404,"?*",公区维修!$C$5:$C$404,$A138)</f>
        <v>1</v>
      </c>
      <c r="C138" s="35" t="n">
        <f aca="false">COUNTIFS(入户维修!$F$5:$F$404,$A$70,入户维修!$K$5:$K$404,"已完成",入户维修!$C$5:$C$404,$A138)+COUNTIFS(入户维修!$G$5:$G$404,$A$70,入户维修!$K$5:$K$404,"已完成",入户维修!$C$5:$C$404,$A138)+COUNTIFS(入户维修!$H$5:$H$404,$A$70,入户维修!$K$5:$K$404,"已完成",入户维修!$C$5:$C$404,$A138)+COUNTIFS(公区维修!$F$5:$F$404,$A$70,公区维修!$K$5:$K$404,"已完成",公区维修!$C$5:$C$404,$A138)+COUNTIFS(公区维修!$G$5:$G$404,$A$70,公区维修!$K$5:$K$404,"已完成",公区维修!$C$5:$C$404,$A138)+COUNTIFS(公区维修!$H$5:$H$404,$A$70,公区维修!$K$5:$K$404,"已完成",公区维修!$C$5:$C$404,$A138)</f>
        <v>1</v>
      </c>
      <c r="D138" s="35" t="n">
        <f aca="false">COUNTIFS(入户维修!$F$5:$F$404,$A$70,入户维修!$K$5:$K$404,"跟进中",入户维修!$C$5:$C$404,$A138)+COUNTIFS(入户维修!$G$5:$G$404,$A$70,入户维修!$K$5:$K$404,"跟进中",入户维修!$C$5:$C$404,$A138)+COUNTIFS(入户维修!$H$5:$H$404,$A$70,入户维修!$K$5:$K$404,"跟进中",入户维修!$C$5:$C$404,$A138)+COUNTIFS(公区维修!$F$5:$F$404,$A$70,公区维修!$K$5:$K$404,"跟进中",公区维修!$C$5:$C$404,$A138)+COUNTIFS(公区维修!$G$5:$G$404,$A$70,公区维修!$K$5:$K$404,"跟进中",公区维修!$C$5:$C$404,$A138)+COUNTIFS(公区维修!$H$5:$H$404,$A$70,公区维修!$K$5:$K$404,"跟进中",公区维修!$C$5:$C$404,$A138)</f>
        <v>0</v>
      </c>
      <c r="E138" s="35" t="n">
        <f aca="false">COUNTIFS(入户维修!$F$5:$F$404,$A$70,入户维修!$K$5:$K$404,"需另约时间",入户维修!$C$5:$C$404,$A138)+COUNTIFS(入户维修!$G$5:$G$404,$A$70,入户维修!$K$5:$K$404,"需另约时间",入户维修!$C$5:$C$404,$A138)+COUNTIFS(入户维修!$H$5:$H$404,$A$70,入户维修!$K$5:$K$404,"需另约时间",入户维修!$C$5:$C$404,$A138)+COUNTIFS(公区维修!$F$5:$F$404,$A$70,公区维修!$K$5:$K$404,"需另约时间",公区维修!$C$5:$C$404,$A138)+COUNTIFS(公区维修!$G$5:$G$404,$A$70,公区维修!$K$5:$K$404,"需另约时间",公区维修!$C$5:$C$404,$A138)+COUNTIFS(公区维修!$H$5:$H$404,$A$70,公区维修!$K$5:$K$404,"需另约时间",公区维修!$C$5:$C$404,$A138)</f>
        <v>0</v>
      </c>
      <c r="F138" s="36" t="n">
        <f aca="false">IFERROR($C138/$B138,"")</f>
        <v>1</v>
      </c>
      <c r="G138" s="35" t="n">
        <f aca="false">COUNTIFS(入户维修!$F$5:$F$404,$A$70,入户维修!$O$5:$O$404,"非常满意",入户维修!$C$5:$C$404,$A138)+COUNTIFS(入户维修!$G$5:$G$404,$A$70,入户维修!$O$5:$O$404,"非常满意",入户维修!$C$5:$C$404,$A138)+COUNTIFS(入户维修!$H$5:$H$404,$A$70,入户维修!$O$5:$O$404,"非常满意",入户维修!$C$5:$C$404,$A138)+COUNTIFS(公区维修!$F$5:$F$404,$A$70,公区维修!$N$5:$N$404,"非常满意",公区维修!$C$5:$C$404,$A138)+COUNTIFS(公区维修!$G$5:$G$404,$A$70,公区维修!$N$5:$N$404,"非常满意",公区维修!$C$5:$C$404,$A138)+COUNTIFS(公区维修!$H$5:$H$404,$A$70,公区维修!$N$5:$N$404,"非常满意",公区维修!$C$5:$C$404,$A138)</f>
        <v>0</v>
      </c>
      <c r="H138" s="35" t="n">
        <f aca="false">COUNTIFS(入户维修!$F$5:$F$404,$A$70,入户维修!$O$5:$O$404,"满意",入户维修!$C$5:$C$404,$A138)+COUNTIFS(入户维修!$G$5:$G$404,$A$70,入户维修!$O$5:$O$404,"满意",入户维修!$C$5:$C$404,$A138)+COUNTIFS(入户维修!$H$5:$H$404,$A$70,入户维修!$O$5:$O$404,"满意",入户维修!$C$5:$C$404,$A138)+COUNTIFS(公区维修!$F$5:$F$404,$A$70,公区维修!$N$5:$N$404,"满意",公区维修!$C$5:$C$404,$A138)+COUNTIFS(公区维修!$G$5:$G$404,$A$70,公区维修!$N$5:$N$404,"满意",公区维修!$C$5:$C$404,$A138)+COUNTIFS(公区维修!$H$5:$H$404,$A$70,公区维修!$N$5:$N$404,"满意",公区维修!$C$5:$C$404,$A138)</f>
        <v>0</v>
      </c>
      <c r="I138" s="35" t="n">
        <f aca="false">COUNTIFS(入户维修!$F$5:$F$404,$A$70,入户维修!$O$5:$O$404,"一般",入户维修!$C$5:$C$404,$A138)+COUNTIFS(入户维修!$G$5:$G$404,$A$70,入户维修!$O$5:$O$404,"一般",入户维修!$C$5:$C$404,$A138)+COUNTIFS(入户维修!$H$5:$H$404,$A$70,入户维修!$O$5:$O$404,"一般",入户维修!$C$5:$C$404,$A138)+COUNTIFS(公区维修!$F$5:$F$404,$A$70,公区维修!$N$5:$N$404,"一般",公区维修!$C$5:$C$404,$A138)+COUNTIFS(公区维修!$G$5:$G$404,$A$70,公区维修!$N$5:$N$404,"一般",公区维修!$C$5:$C$404,$A138)+COUNTIFS(公区维修!$H$5:$H$404,$A$70,公区维修!$N$5:$N$404,"一般",公区维修!$C$5:$C$404,$A138)</f>
        <v>0</v>
      </c>
      <c r="J138" s="35" t="n">
        <f aca="false">COUNTIFS(入户维修!$F$5:$F$404,$A$70,入户维修!$O$5:$O$404,"不满意",入户维修!$C$5:$C$404,$A138)+COUNTIFS(入户维修!$G$5:$G$404,$A$70,入户维修!$O$5:$O$404,"不满意",入户维修!$C$5:$C$404,$A138)+COUNTIFS(入户维修!$H$5:$H$404,$A$70,入户维修!$O$5:$O$404,"不满意",入户维修!$C$5:$C$404,$A138)+COUNTIFS(公区维修!$F$5:$F$404,$A$70,公区维修!$N$5:$N$404,"不满意",公区维修!$C$5:$C$404,$A138)+COUNTIFS(公区维修!$G$5:$G$404,$A$70,公区维修!$N$5:$N$404,"不满意",公区维修!$C$5:$C$404,$A138)+COUNTIFS(公区维修!$H$5:$H$404,$A$70,公区维修!$N$5:$N$404,"不满意",公区维修!$C$5:$C$404,$A138)</f>
        <v>0</v>
      </c>
      <c r="K138" s="35" t="n">
        <f aca="false">SUM($G138:$J138)</f>
        <v>0</v>
      </c>
      <c r="L138" s="36" t="str">
        <f aca="false">IFERROR(($G138+$H138)/$K138,"")</f>
        <v/>
      </c>
      <c r="M138" s="30"/>
      <c r="N138" s="30"/>
      <c r="O138" s="30"/>
      <c r="P138" s="30"/>
    </row>
    <row r="139" customFormat="false" ht="19.5" hidden="false" customHeight="true" outlineLevel="0" collapsed="false">
      <c r="A139" s="44" t="s">
        <v>79</v>
      </c>
      <c r="B139" s="35" t="n">
        <f aca="false">COUNTIFS(入户维修!$F$5:$F$404,$A$70,入户维修!$E$5:$E$404,"?*",入户维修!$C$5:$C$404,$A139)+COUNTIFS(入户维修!$G$5:$G$404,$A$70,入户维修!$E$5:$E$404,"?*",入户维修!$C$5:$C$404,$A139)+COUNTIFS(入户维修!$H$5:$H$404,$A$70,入户维修!$E$5:$E$404,"?*",入户维修!$C$5:$C$404,$A139)+COUNTIFS(公区维修!$F$5:$F$404,$A$70,公区维修!$E$5:$E$404,"?*",公区维修!$C$5:$C$404,$A139)+COUNTIFS(公区维修!$G$5:$G$404,$A$70,公区维修!$E$5:$E$404,"?*",公区维修!$C$5:$C$404,$A139)+COUNTIFS(公区维修!$H$5:$H$404,$A$70,公区维修!$E$5:$E$404,"?*",公区维修!$C$5:$C$404,$A139)</f>
        <v>0</v>
      </c>
      <c r="C139" s="35" t="n">
        <f aca="false">COUNTIFS(入户维修!$F$5:$F$404,$A$70,入户维修!$K$5:$K$404,"已完成",入户维修!$C$5:$C$404,$A139)+COUNTIFS(入户维修!$G$5:$G$404,$A$70,入户维修!$K$5:$K$404,"已完成",入户维修!$C$5:$C$404,$A139)+COUNTIFS(入户维修!$H$5:$H$404,$A$70,入户维修!$K$5:$K$404,"已完成",入户维修!$C$5:$C$404,$A139)+COUNTIFS(公区维修!$F$5:$F$404,$A$70,公区维修!$K$5:$K$404,"已完成",公区维修!$C$5:$C$404,$A139)+COUNTIFS(公区维修!$G$5:$G$404,$A$70,公区维修!$K$5:$K$404,"已完成",公区维修!$C$5:$C$404,$A139)+COUNTIFS(公区维修!$H$5:$H$404,$A$70,公区维修!$K$5:$K$404,"已完成",公区维修!$C$5:$C$404,$A139)</f>
        <v>0</v>
      </c>
      <c r="D139" s="35" t="n">
        <f aca="false">COUNTIFS(入户维修!$F$5:$F$404,$A$70,入户维修!$K$5:$K$404,"跟进中",入户维修!$C$5:$C$404,$A139)+COUNTIFS(入户维修!$G$5:$G$404,$A$70,入户维修!$K$5:$K$404,"跟进中",入户维修!$C$5:$C$404,$A139)+COUNTIFS(入户维修!$H$5:$H$404,$A$70,入户维修!$K$5:$K$404,"跟进中",入户维修!$C$5:$C$404,$A139)+COUNTIFS(公区维修!$F$5:$F$404,$A$70,公区维修!$K$5:$K$404,"跟进中",公区维修!$C$5:$C$404,$A139)+COUNTIFS(公区维修!$G$5:$G$404,$A$70,公区维修!$K$5:$K$404,"跟进中",公区维修!$C$5:$C$404,$A139)+COUNTIFS(公区维修!$H$5:$H$404,$A$70,公区维修!$K$5:$K$404,"跟进中",公区维修!$C$5:$C$404,$A139)</f>
        <v>0</v>
      </c>
      <c r="E139" s="35" t="n">
        <f aca="false">COUNTIFS(入户维修!$F$5:$F$404,$A$70,入户维修!$K$5:$K$404,"需另约时间",入户维修!$C$5:$C$404,$A139)+COUNTIFS(入户维修!$G$5:$G$404,$A$70,入户维修!$K$5:$K$404,"需另约时间",入户维修!$C$5:$C$404,$A139)+COUNTIFS(入户维修!$H$5:$H$404,$A$70,入户维修!$K$5:$K$404,"需另约时间",入户维修!$C$5:$C$404,$A139)+COUNTIFS(公区维修!$F$5:$F$404,$A$70,公区维修!$K$5:$K$404,"需另约时间",公区维修!$C$5:$C$404,$A139)+COUNTIFS(公区维修!$G$5:$G$404,$A$70,公区维修!$K$5:$K$404,"需另约时间",公区维修!$C$5:$C$404,$A139)+COUNTIFS(公区维修!$H$5:$H$404,$A$70,公区维修!$K$5:$K$404,"需另约时间",公区维修!$C$5:$C$404,$A139)</f>
        <v>0</v>
      </c>
      <c r="F139" s="36" t="str">
        <f aca="false">IFERROR($C139/$B139,"")</f>
        <v/>
      </c>
      <c r="G139" s="35" t="n">
        <f aca="false">COUNTIFS(入户维修!$F$5:$F$404,$A$70,入户维修!$O$5:$O$404,"非常满意",入户维修!$C$5:$C$404,$A139)+COUNTIFS(入户维修!$G$5:$G$404,$A$70,入户维修!$O$5:$O$404,"非常满意",入户维修!$C$5:$C$404,$A139)+COUNTIFS(入户维修!$H$5:$H$404,$A$70,入户维修!$O$5:$O$404,"非常满意",入户维修!$C$5:$C$404,$A139)+COUNTIFS(公区维修!$F$5:$F$404,$A$70,公区维修!$N$5:$N$404,"非常满意",公区维修!$C$5:$C$404,$A139)+COUNTIFS(公区维修!$G$5:$G$404,$A$70,公区维修!$N$5:$N$404,"非常满意",公区维修!$C$5:$C$404,$A139)+COUNTIFS(公区维修!$H$5:$H$404,$A$70,公区维修!$N$5:$N$404,"非常满意",公区维修!$C$5:$C$404,$A139)</f>
        <v>0</v>
      </c>
      <c r="H139" s="35" t="n">
        <f aca="false">COUNTIFS(入户维修!$F$5:$F$404,$A$70,入户维修!$O$5:$O$404,"满意",入户维修!$C$5:$C$404,$A139)+COUNTIFS(入户维修!$G$5:$G$404,$A$70,入户维修!$O$5:$O$404,"满意",入户维修!$C$5:$C$404,$A139)+COUNTIFS(入户维修!$H$5:$H$404,$A$70,入户维修!$O$5:$O$404,"满意",入户维修!$C$5:$C$404,$A139)+COUNTIFS(公区维修!$F$5:$F$404,$A$70,公区维修!$N$5:$N$404,"满意",公区维修!$C$5:$C$404,$A139)+COUNTIFS(公区维修!$G$5:$G$404,$A$70,公区维修!$N$5:$N$404,"满意",公区维修!$C$5:$C$404,$A139)+COUNTIFS(公区维修!$H$5:$H$404,$A$70,公区维修!$N$5:$N$404,"满意",公区维修!$C$5:$C$404,$A139)</f>
        <v>0</v>
      </c>
      <c r="I139" s="35" t="n">
        <f aca="false">COUNTIFS(入户维修!$F$5:$F$404,$A$70,入户维修!$O$5:$O$404,"一般",入户维修!$C$5:$C$404,$A139)+COUNTIFS(入户维修!$G$5:$G$404,$A$70,入户维修!$O$5:$O$404,"一般",入户维修!$C$5:$C$404,$A139)+COUNTIFS(入户维修!$H$5:$H$404,$A$70,入户维修!$O$5:$O$404,"一般",入户维修!$C$5:$C$404,$A139)+COUNTIFS(公区维修!$F$5:$F$404,$A$70,公区维修!$N$5:$N$404,"一般",公区维修!$C$5:$C$404,$A139)+COUNTIFS(公区维修!$G$5:$G$404,$A$70,公区维修!$N$5:$N$404,"一般",公区维修!$C$5:$C$404,$A139)+COUNTIFS(公区维修!$H$5:$H$404,$A$70,公区维修!$N$5:$N$404,"一般",公区维修!$C$5:$C$404,$A139)</f>
        <v>0</v>
      </c>
      <c r="J139" s="35" t="n">
        <f aca="false">COUNTIFS(入户维修!$F$5:$F$404,$A$70,入户维修!$O$5:$O$404,"不满意",入户维修!$C$5:$C$404,$A139)+COUNTIFS(入户维修!$G$5:$G$404,$A$70,入户维修!$O$5:$O$404,"不满意",入户维修!$C$5:$C$404,$A139)+COUNTIFS(入户维修!$H$5:$H$404,$A$70,入户维修!$O$5:$O$404,"不满意",入户维修!$C$5:$C$404,$A139)+COUNTIFS(公区维修!$F$5:$F$404,$A$70,公区维修!$N$5:$N$404,"不满意",公区维修!$C$5:$C$404,$A139)+COUNTIFS(公区维修!$G$5:$G$404,$A$70,公区维修!$N$5:$N$404,"不满意",公区维修!$C$5:$C$404,$A139)+COUNTIFS(公区维修!$H$5:$H$404,$A$70,公区维修!$N$5:$N$404,"不满意",公区维修!$C$5:$C$404,$A139)</f>
        <v>0</v>
      </c>
      <c r="K139" s="35" t="n">
        <f aca="false">SUM($G139:$J139)</f>
        <v>0</v>
      </c>
      <c r="L139" s="36" t="str">
        <f aca="false">IFERROR(($G139+$H139)/$K139,"")</f>
        <v/>
      </c>
      <c r="M139" s="30"/>
      <c r="N139" s="30"/>
      <c r="O139" s="30"/>
      <c r="P139" s="30"/>
    </row>
    <row r="140" customFormat="false" ht="19.5" hidden="false" customHeight="true" outlineLevel="0" collapsed="false">
      <c r="A140" s="44" t="s">
        <v>76</v>
      </c>
      <c r="B140" s="35" t="n">
        <f aca="false">COUNTIFS(入户维修!$F$5:$F$404,$A$70,入户维修!$E$5:$E$404,"?*",入户维修!$C$5:$C$404,$A140)+COUNTIFS(入户维修!$G$5:$G$404,$A$70,入户维修!$E$5:$E$404,"?*",入户维修!$C$5:$C$404,$A140)+COUNTIFS(入户维修!$H$5:$H$404,$A$70,入户维修!$E$5:$E$404,"?*",入户维修!$C$5:$C$404,$A140)+COUNTIFS(公区维修!$F$5:$F$404,$A$70,公区维修!$E$5:$E$404,"?*",公区维修!$C$5:$C$404,$A140)+COUNTIFS(公区维修!$G$5:$G$404,$A$70,公区维修!$E$5:$E$404,"?*",公区维修!$C$5:$C$404,$A140)+COUNTIFS(公区维修!$H$5:$H$404,$A$70,公区维修!$E$5:$E$404,"?*",公区维修!$C$5:$C$404,$A140)</f>
        <v>2</v>
      </c>
      <c r="C140" s="35" t="n">
        <f aca="false">COUNTIFS(入户维修!$F$5:$F$404,$A$70,入户维修!$K$5:$K$404,"已完成",入户维修!$C$5:$C$404,$A140)+COUNTIFS(入户维修!$G$5:$G$404,$A$70,入户维修!$K$5:$K$404,"已完成",入户维修!$C$5:$C$404,$A140)+COUNTIFS(入户维修!$H$5:$H$404,$A$70,入户维修!$K$5:$K$404,"已完成",入户维修!$C$5:$C$404,$A140)+COUNTIFS(公区维修!$F$5:$F$404,$A$70,公区维修!$K$5:$K$404,"已完成",公区维修!$C$5:$C$404,$A140)+COUNTIFS(公区维修!$G$5:$G$404,$A$70,公区维修!$K$5:$K$404,"已完成",公区维修!$C$5:$C$404,$A140)+COUNTIFS(公区维修!$H$5:$H$404,$A$70,公区维修!$K$5:$K$404,"已完成",公区维修!$C$5:$C$404,$A140)</f>
        <v>2</v>
      </c>
      <c r="D140" s="35" t="n">
        <f aca="false">COUNTIFS(入户维修!$F$5:$F$404,$A$70,入户维修!$K$5:$K$404,"跟进中",入户维修!$C$5:$C$404,$A140)+COUNTIFS(入户维修!$G$5:$G$404,$A$70,入户维修!$K$5:$K$404,"跟进中",入户维修!$C$5:$C$404,$A140)+COUNTIFS(入户维修!$H$5:$H$404,$A$70,入户维修!$K$5:$K$404,"跟进中",入户维修!$C$5:$C$404,$A140)+COUNTIFS(公区维修!$F$5:$F$404,$A$70,公区维修!$K$5:$K$404,"跟进中",公区维修!$C$5:$C$404,$A140)+COUNTIFS(公区维修!$G$5:$G$404,$A$70,公区维修!$K$5:$K$404,"跟进中",公区维修!$C$5:$C$404,$A140)+COUNTIFS(公区维修!$H$5:$H$404,$A$70,公区维修!$K$5:$K$404,"跟进中",公区维修!$C$5:$C$404,$A140)</f>
        <v>0</v>
      </c>
      <c r="E140" s="35" t="n">
        <f aca="false">COUNTIFS(入户维修!$F$5:$F$404,$A$70,入户维修!$K$5:$K$404,"需另约时间",入户维修!$C$5:$C$404,$A140)+COUNTIFS(入户维修!$G$5:$G$404,$A$70,入户维修!$K$5:$K$404,"需另约时间",入户维修!$C$5:$C$404,$A140)+COUNTIFS(入户维修!$H$5:$H$404,$A$70,入户维修!$K$5:$K$404,"需另约时间",入户维修!$C$5:$C$404,$A140)+COUNTIFS(公区维修!$F$5:$F$404,$A$70,公区维修!$K$5:$K$404,"需另约时间",公区维修!$C$5:$C$404,$A140)+COUNTIFS(公区维修!$G$5:$G$404,$A$70,公区维修!$K$5:$K$404,"需另约时间",公区维修!$C$5:$C$404,$A140)+COUNTIFS(公区维修!$H$5:$H$404,$A$70,公区维修!$K$5:$K$404,"需另约时间",公区维修!$C$5:$C$404,$A140)</f>
        <v>0</v>
      </c>
      <c r="F140" s="36" t="n">
        <f aca="false">IFERROR($C140/$B140,"")</f>
        <v>1</v>
      </c>
      <c r="G140" s="35" t="n">
        <f aca="false">COUNTIFS(入户维修!$F$5:$F$404,$A$70,入户维修!$O$5:$O$404,"非常满意",入户维修!$C$5:$C$404,$A140)+COUNTIFS(入户维修!$G$5:$G$404,$A$70,入户维修!$O$5:$O$404,"非常满意",入户维修!$C$5:$C$404,$A140)+COUNTIFS(入户维修!$H$5:$H$404,$A$70,入户维修!$O$5:$O$404,"非常满意",入户维修!$C$5:$C$404,$A140)+COUNTIFS(公区维修!$F$5:$F$404,$A$70,公区维修!$N$5:$N$404,"非常满意",公区维修!$C$5:$C$404,$A140)+COUNTIFS(公区维修!$G$5:$G$404,$A$70,公区维修!$N$5:$N$404,"非常满意",公区维修!$C$5:$C$404,$A140)+COUNTIFS(公区维修!$H$5:$H$404,$A$70,公区维修!$N$5:$N$404,"非常满意",公区维修!$C$5:$C$404,$A140)</f>
        <v>1</v>
      </c>
      <c r="H140" s="35" t="n">
        <f aca="false">COUNTIFS(入户维修!$F$5:$F$404,$A$70,入户维修!$O$5:$O$404,"满意",入户维修!$C$5:$C$404,$A140)+COUNTIFS(入户维修!$G$5:$G$404,$A$70,入户维修!$O$5:$O$404,"满意",入户维修!$C$5:$C$404,$A140)+COUNTIFS(入户维修!$H$5:$H$404,$A$70,入户维修!$O$5:$O$404,"满意",入户维修!$C$5:$C$404,$A140)+COUNTIFS(公区维修!$F$5:$F$404,$A$70,公区维修!$N$5:$N$404,"满意",公区维修!$C$5:$C$404,$A140)+COUNTIFS(公区维修!$G$5:$G$404,$A$70,公区维修!$N$5:$N$404,"满意",公区维修!$C$5:$C$404,$A140)+COUNTIFS(公区维修!$H$5:$H$404,$A$70,公区维修!$N$5:$N$404,"满意",公区维修!$C$5:$C$404,$A140)</f>
        <v>0</v>
      </c>
      <c r="I140" s="35" t="n">
        <f aca="false">COUNTIFS(入户维修!$F$5:$F$404,$A$70,入户维修!$O$5:$O$404,"一般",入户维修!$C$5:$C$404,$A140)+COUNTIFS(入户维修!$G$5:$G$404,$A$70,入户维修!$O$5:$O$404,"一般",入户维修!$C$5:$C$404,$A140)+COUNTIFS(入户维修!$H$5:$H$404,$A$70,入户维修!$O$5:$O$404,"一般",入户维修!$C$5:$C$404,$A140)+COUNTIFS(公区维修!$F$5:$F$404,$A$70,公区维修!$N$5:$N$404,"一般",公区维修!$C$5:$C$404,$A140)+COUNTIFS(公区维修!$G$5:$G$404,$A$70,公区维修!$N$5:$N$404,"一般",公区维修!$C$5:$C$404,$A140)+COUNTIFS(公区维修!$H$5:$H$404,$A$70,公区维修!$N$5:$N$404,"一般",公区维修!$C$5:$C$404,$A140)</f>
        <v>0</v>
      </c>
      <c r="J140" s="35" t="n">
        <f aca="false">COUNTIFS(入户维修!$F$5:$F$404,$A$70,入户维修!$O$5:$O$404,"不满意",入户维修!$C$5:$C$404,$A140)+COUNTIFS(入户维修!$G$5:$G$404,$A$70,入户维修!$O$5:$O$404,"不满意",入户维修!$C$5:$C$404,$A140)+COUNTIFS(入户维修!$H$5:$H$404,$A$70,入户维修!$O$5:$O$404,"不满意",入户维修!$C$5:$C$404,$A140)+COUNTIFS(公区维修!$F$5:$F$404,$A$70,公区维修!$N$5:$N$404,"不满意",公区维修!$C$5:$C$404,$A140)+COUNTIFS(公区维修!$G$5:$G$404,$A$70,公区维修!$N$5:$N$404,"不满意",公区维修!$C$5:$C$404,$A140)+COUNTIFS(公区维修!$H$5:$H$404,$A$70,公区维修!$N$5:$N$404,"不满意",公区维修!$C$5:$C$404,$A140)</f>
        <v>0</v>
      </c>
      <c r="K140" s="35" t="n">
        <f aca="false">SUM($G140:$J140)</f>
        <v>1</v>
      </c>
      <c r="L140" s="36" t="n">
        <f aca="false">IFERROR(($G140+$H140)/$K140,"")</f>
        <v>1</v>
      </c>
      <c r="M140" s="30"/>
      <c r="N140" s="30"/>
      <c r="O140" s="30"/>
      <c r="P140" s="30"/>
    </row>
    <row r="141" customFormat="false" ht="19.5" hidden="false" customHeight="true" outlineLevel="0" collapsed="false">
      <c r="A141" s="44" t="s">
        <v>93</v>
      </c>
      <c r="B141" s="35" t="n">
        <f aca="false">COUNTIFS(入户维修!$F$5:$F$404,$A$70,入户维修!$E$5:$E$404,"?*",入户维修!$C$5:$C$404,$A141)+COUNTIFS(入户维修!$G$5:$G$404,$A$70,入户维修!$E$5:$E$404,"?*",入户维修!$C$5:$C$404,$A141)+COUNTIFS(入户维修!$H$5:$H$404,$A$70,入户维修!$E$5:$E$404,"?*",入户维修!$C$5:$C$404,$A141)+COUNTIFS(公区维修!$F$5:$F$404,$A$70,公区维修!$E$5:$E$404,"?*",公区维修!$C$5:$C$404,$A141)+COUNTIFS(公区维修!$G$5:$G$404,$A$70,公区维修!$E$5:$E$404,"?*",公区维修!$C$5:$C$404,$A141)+COUNTIFS(公区维修!$H$5:$H$404,$A$70,公区维修!$E$5:$E$404,"?*",公区维修!$C$5:$C$404,$A141)</f>
        <v>3</v>
      </c>
      <c r="C141" s="35" t="n">
        <f aca="false">COUNTIFS(入户维修!$F$5:$F$404,$A$70,入户维修!$K$5:$K$404,"已完成",入户维修!$C$5:$C$404,$A141)+COUNTIFS(入户维修!$G$5:$G$404,$A$70,入户维修!$K$5:$K$404,"已完成",入户维修!$C$5:$C$404,$A141)+COUNTIFS(入户维修!$H$5:$H$404,$A$70,入户维修!$K$5:$K$404,"已完成",入户维修!$C$5:$C$404,$A141)+COUNTIFS(公区维修!$F$5:$F$404,$A$70,公区维修!$K$5:$K$404,"已完成",公区维修!$C$5:$C$404,$A141)+COUNTIFS(公区维修!$G$5:$G$404,$A$70,公区维修!$K$5:$K$404,"已完成",公区维修!$C$5:$C$404,$A141)+COUNTIFS(公区维修!$H$5:$H$404,$A$70,公区维修!$K$5:$K$404,"已完成",公区维修!$C$5:$C$404,$A141)</f>
        <v>3</v>
      </c>
      <c r="D141" s="35" t="n">
        <f aca="false">COUNTIFS(入户维修!$F$5:$F$404,$A$70,入户维修!$K$5:$K$404,"跟进中",入户维修!$C$5:$C$404,$A141)+COUNTIFS(入户维修!$G$5:$G$404,$A$70,入户维修!$K$5:$K$404,"跟进中",入户维修!$C$5:$C$404,$A141)+COUNTIFS(入户维修!$H$5:$H$404,$A$70,入户维修!$K$5:$K$404,"跟进中",入户维修!$C$5:$C$404,$A141)+COUNTIFS(公区维修!$F$5:$F$404,$A$70,公区维修!$K$5:$K$404,"跟进中",公区维修!$C$5:$C$404,$A141)+COUNTIFS(公区维修!$G$5:$G$404,$A$70,公区维修!$K$5:$K$404,"跟进中",公区维修!$C$5:$C$404,$A141)+COUNTIFS(公区维修!$H$5:$H$404,$A$70,公区维修!$K$5:$K$404,"跟进中",公区维修!$C$5:$C$404,$A141)</f>
        <v>0</v>
      </c>
      <c r="E141" s="35" t="n">
        <f aca="false">COUNTIFS(入户维修!$F$5:$F$404,$A$70,入户维修!$K$5:$K$404,"需另约时间",入户维修!$C$5:$C$404,$A141)+COUNTIFS(入户维修!$G$5:$G$404,$A$70,入户维修!$K$5:$K$404,"需另约时间",入户维修!$C$5:$C$404,$A141)+COUNTIFS(入户维修!$H$5:$H$404,$A$70,入户维修!$K$5:$K$404,"需另约时间",入户维修!$C$5:$C$404,$A141)+COUNTIFS(公区维修!$F$5:$F$404,$A$70,公区维修!$K$5:$K$404,"需另约时间",公区维修!$C$5:$C$404,$A141)+COUNTIFS(公区维修!$G$5:$G$404,$A$70,公区维修!$K$5:$K$404,"需另约时间",公区维修!$C$5:$C$404,$A141)+COUNTIFS(公区维修!$H$5:$H$404,$A$70,公区维修!$K$5:$K$404,"需另约时间",公区维修!$C$5:$C$404,$A141)</f>
        <v>0</v>
      </c>
      <c r="F141" s="36" t="n">
        <f aca="false">IFERROR($C141/$B141,"")</f>
        <v>1</v>
      </c>
      <c r="G141" s="35" t="n">
        <f aca="false">COUNTIFS(入户维修!$F$5:$F$404,$A$70,入户维修!$O$5:$O$404,"非常满意",入户维修!$C$5:$C$404,$A141)+COUNTIFS(入户维修!$G$5:$G$404,$A$70,入户维修!$O$5:$O$404,"非常满意",入户维修!$C$5:$C$404,$A141)+COUNTIFS(入户维修!$H$5:$H$404,$A$70,入户维修!$O$5:$O$404,"非常满意",入户维修!$C$5:$C$404,$A141)+COUNTIFS(公区维修!$F$5:$F$404,$A$70,公区维修!$N$5:$N$404,"非常满意",公区维修!$C$5:$C$404,$A141)+COUNTIFS(公区维修!$G$5:$G$404,$A$70,公区维修!$N$5:$N$404,"非常满意",公区维修!$C$5:$C$404,$A141)+COUNTIFS(公区维修!$H$5:$H$404,$A$70,公区维修!$N$5:$N$404,"非常满意",公区维修!$C$5:$C$404,$A141)</f>
        <v>2</v>
      </c>
      <c r="H141" s="35" t="n">
        <f aca="false">COUNTIFS(入户维修!$F$5:$F$404,$A$70,入户维修!$O$5:$O$404,"满意",入户维修!$C$5:$C$404,$A141)+COUNTIFS(入户维修!$G$5:$G$404,$A$70,入户维修!$O$5:$O$404,"满意",入户维修!$C$5:$C$404,$A141)+COUNTIFS(入户维修!$H$5:$H$404,$A$70,入户维修!$O$5:$O$404,"满意",入户维修!$C$5:$C$404,$A141)+COUNTIFS(公区维修!$F$5:$F$404,$A$70,公区维修!$N$5:$N$404,"满意",公区维修!$C$5:$C$404,$A141)+COUNTIFS(公区维修!$G$5:$G$404,$A$70,公区维修!$N$5:$N$404,"满意",公区维修!$C$5:$C$404,$A141)+COUNTIFS(公区维修!$H$5:$H$404,$A$70,公区维修!$N$5:$N$404,"满意",公区维修!$C$5:$C$404,$A141)</f>
        <v>0</v>
      </c>
      <c r="I141" s="35" t="n">
        <f aca="false">COUNTIFS(入户维修!$F$5:$F$404,$A$70,入户维修!$O$5:$O$404,"一般",入户维修!$C$5:$C$404,$A141)+COUNTIFS(入户维修!$G$5:$G$404,$A$70,入户维修!$O$5:$O$404,"一般",入户维修!$C$5:$C$404,$A141)+COUNTIFS(入户维修!$H$5:$H$404,$A$70,入户维修!$O$5:$O$404,"一般",入户维修!$C$5:$C$404,$A141)+COUNTIFS(公区维修!$F$5:$F$404,$A$70,公区维修!$N$5:$N$404,"一般",公区维修!$C$5:$C$404,$A141)+COUNTIFS(公区维修!$G$5:$G$404,$A$70,公区维修!$N$5:$N$404,"一般",公区维修!$C$5:$C$404,$A141)+COUNTIFS(公区维修!$H$5:$H$404,$A$70,公区维修!$N$5:$N$404,"一般",公区维修!$C$5:$C$404,$A141)</f>
        <v>0</v>
      </c>
      <c r="J141" s="35" t="n">
        <f aca="false">COUNTIFS(入户维修!$F$5:$F$404,$A$70,入户维修!$O$5:$O$404,"不满意",入户维修!$C$5:$C$404,$A141)+COUNTIFS(入户维修!$G$5:$G$404,$A$70,入户维修!$O$5:$O$404,"不满意",入户维修!$C$5:$C$404,$A141)+COUNTIFS(入户维修!$H$5:$H$404,$A$70,入户维修!$O$5:$O$404,"不满意",入户维修!$C$5:$C$404,$A141)+COUNTIFS(公区维修!$F$5:$F$404,$A$70,公区维修!$N$5:$N$404,"不满意",公区维修!$C$5:$C$404,$A141)+COUNTIFS(公区维修!$G$5:$G$404,$A$70,公区维修!$N$5:$N$404,"不满意",公区维修!$C$5:$C$404,$A141)+COUNTIFS(公区维修!$H$5:$H$404,$A$70,公区维修!$N$5:$N$404,"不满意",公区维修!$C$5:$C$404,$A141)</f>
        <v>0</v>
      </c>
      <c r="K141" s="35" t="n">
        <f aca="false">SUM($G141:$J141)</f>
        <v>2</v>
      </c>
      <c r="L141" s="36" t="n">
        <f aca="false">IFERROR(($G141+$H141)/$K141,"")</f>
        <v>1</v>
      </c>
      <c r="M141" s="30"/>
      <c r="N141" s="30"/>
      <c r="O141" s="30"/>
      <c r="P141" s="30"/>
    </row>
    <row r="142" customFormat="false" ht="19.5" hidden="false" customHeight="true" outlineLevel="0" collapsed="false">
      <c r="A142" s="34" t="s">
        <v>180</v>
      </c>
      <c r="B142" s="35" t="n">
        <f aca="false">COUNTIFS(入户维修!$F$5:$F$404,$A$70,入户维修!$E$5:$E$404,"?*",入户维修!$C$5:$C$404,$A142)+COUNTIFS(入户维修!$G$5:$G$404,$A$70,入户维修!$E$5:$E$404,"?*",入户维修!$C$5:$C$404,$A142)+COUNTIFS(入户维修!$H$5:$H$404,$A$70,入户维修!$E$5:$E$404,"?*",入户维修!$C$5:$C$404,$A142)+COUNTIFS(公区维修!$F$5:$F$404,$A$70,公区维修!$E$5:$E$404,"?*",公区维修!$C$5:$C$404,$A142)+COUNTIFS(公区维修!$G$5:$G$404,$A$70,公区维修!$E$5:$E$404,"?*",公区维修!$C$5:$C$404,$A142)+COUNTIFS(公区维修!$H$5:$H$404,$A$70,公区维修!$E$5:$E$404,"?*",公区维修!$C$5:$C$404,$A142)</f>
        <v>0</v>
      </c>
      <c r="C142" s="35" t="n">
        <f aca="false">COUNTIFS(入户维修!$F$5:$F$404,$A$70,入户维修!$K$5:$K$404,"已完成",入户维修!$C$5:$C$404,$A142)+COUNTIFS(入户维修!$G$5:$G$404,$A$70,入户维修!$K$5:$K$404,"已完成",入户维修!$C$5:$C$404,$A142)+COUNTIFS(入户维修!$H$5:$H$404,$A$70,入户维修!$K$5:$K$404,"已完成",入户维修!$C$5:$C$404,$A142)+COUNTIFS(公区维修!$F$5:$F$404,$A$70,公区维修!$K$5:$K$404,"已完成",公区维修!$C$5:$C$404,$A142)+COUNTIFS(公区维修!$G$5:$G$404,$A$70,公区维修!$K$5:$K$404,"已完成",公区维修!$C$5:$C$404,$A142)+COUNTIFS(公区维修!$H$5:$H$404,$A$70,公区维修!$K$5:$K$404,"已完成",公区维修!$C$5:$C$404,$A142)</f>
        <v>0</v>
      </c>
      <c r="D142" s="35" t="n">
        <f aca="false">COUNTIFS(入户维修!$F$5:$F$404,$A$70,入户维修!$K$5:$K$404,"跟进中",入户维修!$C$5:$C$404,$A142)+COUNTIFS(入户维修!$G$5:$G$404,$A$70,入户维修!$K$5:$K$404,"跟进中",入户维修!$C$5:$C$404,$A142)+COUNTIFS(入户维修!$H$5:$H$404,$A$70,入户维修!$K$5:$K$404,"跟进中",入户维修!$C$5:$C$404,$A142)+COUNTIFS(公区维修!$F$5:$F$404,$A$70,公区维修!$K$5:$K$404,"跟进中",公区维修!$C$5:$C$404,$A142)+COUNTIFS(公区维修!$G$5:$G$404,$A$70,公区维修!$K$5:$K$404,"跟进中",公区维修!$C$5:$C$404,$A142)+COUNTIFS(公区维修!$H$5:$H$404,$A$70,公区维修!$K$5:$K$404,"跟进中",公区维修!$C$5:$C$404,$A142)</f>
        <v>0</v>
      </c>
      <c r="E142" s="35" t="n">
        <f aca="false">COUNTIFS(入户维修!$F$5:$F$404,$A$70,入户维修!$K$5:$K$404,"需另约时间",入户维修!$C$5:$C$404,$A142)+COUNTIFS(入户维修!$G$5:$G$404,$A$70,入户维修!$K$5:$K$404,"需另约时间",入户维修!$C$5:$C$404,$A142)+COUNTIFS(入户维修!$H$5:$H$404,$A$70,入户维修!$K$5:$K$404,"需另约时间",入户维修!$C$5:$C$404,$A142)+COUNTIFS(公区维修!$F$5:$F$404,$A$70,公区维修!$K$5:$K$404,"需另约时间",公区维修!$C$5:$C$404,$A142)+COUNTIFS(公区维修!$G$5:$G$404,$A$70,公区维修!$K$5:$K$404,"需另约时间",公区维修!$C$5:$C$404,$A142)+COUNTIFS(公区维修!$H$5:$H$404,$A$70,公区维修!$K$5:$K$404,"需另约时间",公区维修!$C$5:$C$404,$A142)</f>
        <v>0</v>
      </c>
      <c r="F142" s="36" t="str">
        <f aca="false">IFERROR($C142/$B142,"")</f>
        <v/>
      </c>
      <c r="G142" s="35" t="n">
        <f aca="false">COUNTIFS(入户维修!$F$5:$F$404,$A$70,入户维修!$O$5:$O$404,"非常满意",入户维修!$C$5:$C$404,$A142)+COUNTIFS(入户维修!$G$5:$G$404,$A$70,入户维修!$O$5:$O$404,"非常满意",入户维修!$C$5:$C$404,$A142)+COUNTIFS(入户维修!$H$5:$H$404,$A$70,入户维修!$O$5:$O$404,"非常满意",入户维修!$C$5:$C$404,$A142)+COUNTIFS(公区维修!$F$5:$F$404,$A$70,公区维修!$N$5:$N$404,"非常满意",公区维修!$C$5:$C$404,$A142)+COUNTIFS(公区维修!$G$5:$G$404,$A$70,公区维修!$N$5:$N$404,"非常满意",公区维修!$C$5:$C$404,$A142)+COUNTIFS(公区维修!$H$5:$H$404,$A$70,公区维修!$N$5:$N$404,"非常满意",公区维修!$C$5:$C$404,$A142)</f>
        <v>0</v>
      </c>
      <c r="H142" s="35" t="n">
        <f aca="false">COUNTIFS(入户维修!$F$5:$F$404,$A$70,入户维修!$O$5:$O$404,"满意",入户维修!$C$5:$C$404,$A142)+COUNTIFS(入户维修!$G$5:$G$404,$A$70,入户维修!$O$5:$O$404,"满意",入户维修!$C$5:$C$404,$A142)+COUNTIFS(入户维修!$H$5:$H$404,$A$70,入户维修!$O$5:$O$404,"满意",入户维修!$C$5:$C$404,$A142)+COUNTIFS(公区维修!$F$5:$F$404,$A$70,公区维修!$N$5:$N$404,"满意",公区维修!$C$5:$C$404,$A142)+COUNTIFS(公区维修!$G$5:$G$404,$A$70,公区维修!$N$5:$N$404,"满意",公区维修!$C$5:$C$404,$A142)+COUNTIFS(公区维修!$H$5:$H$404,$A$70,公区维修!$N$5:$N$404,"满意",公区维修!$C$5:$C$404,$A142)</f>
        <v>0</v>
      </c>
      <c r="I142" s="35" t="n">
        <f aca="false">COUNTIFS(入户维修!$F$5:$F$404,$A$70,入户维修!$O$5:$O$404,"一般",入户维修!$C$5:$C$404,$A142)+COUNTIFS(入户维修!$G$5:$G$404,$A$70,入户维修!$O$5:$O$404,"一般",入户维修!$C$5:$C$404,$A142)+COUNTIFS(入户维修!$H$5:$H$404,$A$70,入户维修!$O$5:$O$404,"一般",入户维修!$C$5:$C$404,$A142)+COUNTIFS(公区维修!$F$5:$F$404,$A$70,公区维修!$N$5:$N$404,"一般",公区维修!$C$5:$C$404,$A142)+COUNTIFS(公区维修!$G$5:$G$404,$A$70,公区维修!$N$5:$N$404,"一般",公区维修!$C$5:$C$404,$A142)+COUNTIFS(公区维修!$H$5:$H$404,$A$70,公区维修!$N$5:$N$404,"一般",公区维修!$C$5:$C$404,$A142)</f>
        <v>0</v>
      </c>
      <c r="J142" s="35" t="n">
        <f aca="false">COUNTIFS(入户维修!$F$5:$F$404,$A$70,入户维修!$O$5:$O$404,"不满意",入户维修!$C$5:$C$404,$A142)+COUNTIFS(入户维修!$G$5:$G$404,$A$70,入户维修!$O$5:$O$404,"不满意",入户维修!$C$5:$C$404,$A142)+COUNTIFS(入户维修!$H$5:$H$404,$A$70,入户维修!$O$5:$O$404,"不满意",入户维修!$C$5:$C$404,$A142)+COUNTIFS(公区维修!$F$5:$F$404,$A$70,公区维修!$N$5:$N$404,"不满意",公区维修!$C$5:$C$404,$A142)+COUNTIFS(公区维修!$G$5:$G$404,$A$70,公区维修!$N$5:$N$404,"不满意",公区维修!$C$5:$C$404,$A142)+COUNTIFS(公区维修!$H$5:$H$404,$A$70,公区维修!$N$5:$N$404,"不满意",公区维修!$C$5:$C$404,$A142)</f>
        <v>0</v>
      </c>
      <c r="K142" s="35" t="n">
        <f aca="false">SUM($G142:$J142)</f>
        <v>0</v>
      </c>
      <c r="L142" s="36" t="str">
        <f aca="false">IFERROR(($G142+$H142)/$K142,"")</f>
        <v/>
      </c>
      <c r="M142" s="30"/>
      <c r="N142" s="30"/>
      <c r="O142" s="30"/>
      <c r="P142" s="30"/>
    </row>
    <row r="143" customFormat="false" ht="19.5" hidden="false" customHeight="true" outlineLevel="0" collapsed="false">
      <c r="A143" s="34" t="s">
        <v>385</v>
      </c>
      <c r="B143" s="35" t="n">
        <f aca="false">COUNTIFS(入户维修!$F$5:$F$404,$A$70,入户维修!$E$5:$E$404,"?*",入户维修!$C$5:$C$404,$A143)+COUNTIFS(入户维修!$G$5:$G$404,$A$70,入户维修!$E$5:$E$404,"?*",入户维修!$C$5:$C$404,$A143)+COUNTIFS(入户维修!$H$5:$H$404,$A$70,入户维修!$E$5:$E$404,"?*",入户维修!$C$5:$C$404,$A143)+COUNTIFS(公区维修!$F$5:$F$404,$A$70,公区维修!$E$5:$E$404,"?*",公区维修!$C$5:$C$404,$A143)+COUNTIFS(公区维修!$G$5:$G$404,$A$70,公区维修!$E$5:$E$404,"?*",公区维修!$C$5:$C$404,$A143)+COUNTIFS(公区维修!$H$5:$H$404,$A$70,公区维修!$E$5:$E$404,"?*",公区维修!$C$5:$C$404,$A143)</f>
        <v>2</v>
      </c>
      <c r="C143" s="35" t="n">
        <f aca="false">COUNTIFS(入户维修!$F$5:$F$404,$A$70,入户维修!$K$5:$K$404,"已完成",入户维修!$C$5:$C$404,$A143)+COUNTIFS(入户维修!$G$5:$G$404,$A$70,入户维修!$K$5:$K$404,"已完成",入户维修!$C$5:$C$404,$A143)+COUNTIFS(入户维修!$H$5:$H$404,$A$70,入户维修!$K$5:$K$404,"已完成",入户维修!$C$5:$C$404,$A143)+COUNTIFS(公区维修!$F$5:$F$404,$A$70,公区维修!$K$5:$K$404,"已完成",公区维修!$C$5:$C$404,$A143)+COUNTIFS(公区维修!$G$5:$G$404,$A$70,公区维修!$K$5:$K$404,"已完成",公区维修!$C$5:$C$404,$A143)+COUNTIFS(公区维修!$H$5:$H$404,$A$70,公区维修!$K$5:$K$404,"已完成",公区维修!$C$5:$C$404,$A143)</f>
        <v>2</v>
      </c>
      <c r="D143" s="35" t="n">
        <f aca="false">COUNTIFS(入户维修!$F$5:$F$404,$A$70,入户维修!$K$5:$K$404,"跟进中",入户维修!$C$5:$C$404,$A143)+COUNTIFS(入户维修!$G$5:$G$404,$A$70,入户维修!$K$5:$K$404,"跟进中",入户维修!$C$5:$C$404,$A143)+COUNTIFS(入户维修!$H$5:$H$404,$A$70,入户维修!$K$5:$K$404,"跟进中",入户维修!$C$5:$C$404,$A143)+COUNTIFS(公区维修!$F$5:$F$404,$A$70,公区维修!$K$5:$K$404,"跟进中",公区维修!$C$5:$C$404,$A143)+COUNTIFS(公区维修!$G$5:$G$404,$A$70,公区维修!$K$5:$K$404,"跟进中",公区维修!$C$5:$C$404,$A143)+COUNTIFS(公区维修!$H$5:$H$404,$A$70,公区维修!$K$5:$K$404,"跟进中",公区维修!$C$5:$C$404,$A143)</f>
        <v>0</v>
      </c>
      <c r="E143" s="35" t="n">
        <f aca="false">COUNTIFS(入户维修!$F$5:$F$404,$A$70,入户维修!$K$5:$K$404,"需另约时间",入户维修!$C$5:$C$404,$A143)+COUNTIFS(入户维修!$G$5:$G$404,$A$70,入户维修!$K$5:$K$404,"需另约时间",入户维修!$C$5:$C$404,$A143)+COUNTIFS(入户维修!$H$5:$H$404,$A$70,入户维修!$K$5:$K$404,"需另约时间",入户维修!$C$5:$C$404,$A143)+COUNTIFS(公区维修!$F$5:$F$404,$A$70,公区维修!$K$5:$K$404,"需另约时间",公区维修!$C$5:$C$404,$A143)+COUNTIFS(公区维修!$G$5:$G$404,$A$70,公区维修!$K$5:$K$404,"需另约时间",公区维修!$C$5:$C$404,$A143)+COUNTIFS(公区维修!$H$5:$H$404,$A$70,公区维修!$K$5:$K$404,"需另约时间",公区维修!$C$5:$C$404,$A143)</f>
        <v>0</v>
      </c>
      <c r="F143" s="36" t="n">
        <f aca="false">IFERROR($C143/$B143,"")</f>
        <v>1</v>
      </c>
      <c r="G143" s="35" t="n">
        <f aca="false">COUNTIFS(入户维修!$F$5:$F$404,$A$70,入户维修!$O$5:$O$404,"非常满意",入户维修!$C$5:$C$404,$A143)+COUNTIFS(入户维修!$G$5:$G$404,$A$70,入户维修!$O$5:$O$404,"非常满意",入户维修!$C$5:$C$404,$A143)+COUNTIFS(入户维修!$H$5:$H$404,$A$70,入户维修!$O$5:$O$404,"非常满意",入户维修!$C$5:$C$404,$A143)+COUNTIFS(公区维修!$F$5:$F$404,$A$70,公区维修!$N$5:$N$404,"非常满意",公区维修!$C$5:$C$404,$A143)+COUNTIFS(公区维修!$G$5:$G$404,$A$70,公区维修!$N$5:$N$404,"非常满意",公区维修!$C$5:$C$404,$A143)+COUNTIFS(公区维修!$H$5:$H$404,$A$70,公区维修!$N$5:$N$404,"非常满意",公区维修!$C$5:$C$404,$A143)</f>
        <v>0</v>
      </c>
      <c r="H143" s="35" t="n">
        <f aca="false">COUNTIFS(入户维修!$F$5:$F$404,$A$70,入户维修!$O$5:$O$404,"满意",入户维修!$C$5:$C$404,$A143)+COUNTIFS(入户维修!$G$5:$G$404,$A$70,入户维修!$O$5:$O$404,"满意",入户维修!$C$5:$C$404,$A143)+COUNTIFS(入户维修!$H$5:$H$404,$A$70,入户维修!$O$5:$O$404,"满意",入户维修!$C$5:$C$404,$A143)+COUNTIFS(公区维修!$F$5:$F$404,$A$70,公区维修!$N$5:$N$404,"满意",公区维修!$C$5:$C$404,$A143)+COUNTIFS(公区维修!$G$5:$G$404,$A$70,公区维修!$N$5:$N$404,"满意",公区维修!$C$5:$C$404,$A143)+COUNTIFS(公区维修!$H$5:$H$404,$A$70,公区维修!$N$5:$N$404,"满意",公区维修!$C$5:$C$404,$A143)</f>
        <v>0</v>
      </c>
      <c r="I143" s="35" t="n">
        <f aca="false">COUNTIFS(入户维修!$F$5:$F$404,$A$70,入户维修!$O$5:$O$404,"一般",入户维修!$C$5:$C$404,$A143)+COUNTIFS(入户维修!$G$5:$G$404,$A$70,入户维修!$O$5:$O$404,"一般",入户维修!$C$5:$C$404,$A143)+COUNTIFS(入户维修!$H$5:$H$404,$A$70,入户维修!$O$5:$O$404,"一般",入户维修!$C$5:$C$404,$A143)+COUNTIFS(公区维修!$F$5:$F$404,$A$70,公区维修!$N$5:$N$404,"一般",公区维修!$C$5:$C$404,$A143)+COUNTIFS(公区维修!$G$5:$G$404,$A$70,公区维修!$N$5:$N$404,"一般",公区维修!$C$5:$C$404,$A143)+COUNTIFS(公区维修!$H$5:$H$404,$A$70,公区维修!$N$5:$N$404,"一般",公区维修!$C$5:$C$404,$A143)</f>
        <v>0</v>
      </c>
      <c r="J143" s="35" t="n">
        <f aca="false">COUNTIFS(入户维修!$F$5:$F$404,$A$70,入户维修!$O$5:$O$404,"不满意",入户维修!$C$5:$C$404,$A143)+COUNTIFS(入户维修!$G$5:$G$404,$A$70,入户维修!$O$5:$O$404,"不满意",入户维修!$C$5:$C$404,$A143)+COUNTIFS(入户维修!$H$5:$H$404,$A$70,入户维修!$O$5:$O$404,"不满意",入户维修!$C$5:$C$404,$A143)+COUNTIFS(公区维修!$F$5:$F$404,$A$70,公区维修!$N$5:$N$404,"不满意",公区维修!$C$5:$C$404,$A143)+COUNTIFS(公区维修!$G$5:$G$404,$A$70,公区维修!$N$5:$N$404,"不满意",公区维修!$C$5:$C$404,$A143)+COUNTIFS(公区维修!$H$5:$H$404,$A$70,公区维修!$N$5:$N$404,"不满意",公区维修!$C$5:$C$404,$A143)</f>
        <v>0</v>
      </c>
      <c r="K143" s="35" t="n">
        <f aca="false">SUM($G143:$J143)</f>
        <v>0</v>
      </c>
      <c r="L143" s="36" t="str">
        <f aca="false">IFERROR(($G143+$H143)/$K143,"")</f>
        <v/>
      </c>
      <c r="M143" s="30"/>
      <c r="N143" s="30"/>
      <c r="O143" s="30"/>
      <c r="P143" s="30"/>
    </row>
    <row r="144" customFormat="false" ht="19.5" hidden="false" customHeight="true" outlineLevel="0" collapsed="false">
      <c r="A144" s="34" t="s">
        <v>456</v>
      </c>
      <c r="B144" s="35" t="n">
        <f aca="false">COUNTIFS(入户维修!$F$5:$F$404,$A$70,入户维修!$E$5:$E$404,"?*",入户维修!$C$5:$C$404,"")+COUNTIFS(入户维修!$G$5:$G$404,$A$70,入户维修!$E$5:$E$404,"?*",入户维修!$C$5:$C$404,"")+COUNTIFS(入户维修!$H$5:$H$404,$A$70,入户维修!$E$5:$E$404,"?*",入户维修!$C$5:$C$404,"")+COUNTIFS(公区维修!$F$5:$F$404,$A$70,公区维修!$E$5:$E$404,"?*",公区维修!$C$5:$C$404,"")+COUNTIFS(公区维修!$G$5:$G$404,$A$70,公区维修!$E$5:$E$404,"?*",公区维修!$C$5:$C$404,"")+COUNTIFS(公区维修!$H$5:$H$404,$A$70,公区维修!$E$5:$E$404,"?*",公区维修!$C$5:$C$404,"")</f>
        <v>0</v>
      </c>
      <c r="C144" s="35" t="n">
        <f aca="false">COUNTIFS(入户维修!$F$5:$F$404,$A$70,入户维修!$K$5:$K$404,"已完成",入户维修!$C$5:$C$404,"")+COUNTIFS(入户维修!$G$5:$G$404,$A$70,入户维修!$K$5:$K$404,"已完成",入户维修!$C$5:$C$404,"")+COUNTIFS(入户维修!$H$5:$H$404,$A$70,入户维修!$K$5:$K$404,"已完成",入户维修!$C$5:$C$404,"")+COUNTIFS(公区维修!$F$5:$F$404,$A$70,公区维修!$K$5:$K$404,"已完成",公区维修!$C$5:$C$404,"")+COUNTIFS(公区维修!$G$5:$G$404,$A$70,公区维修!$K$5:$K$404,"已完成",公区维修!$C$5:$C$404,"")+COUNTIFS(公区维修!$H$5:$H$404,$A$70,公区维修!$K$5:$K$404,"已完成",公区维修!$C$5:$C$404,"")</f>
        <v>0</v>
      </c>
      <c r="D144" s="35" t="n">
        <f aca="false">COUNTIFS(入户维修!$F$5:$F$404,$A$70,入户维修!$K$5:$K$404,"跟进中",入户维修!$C$5:$C$404,"")+COUNTIFS(入户维修!$G$5:$G$404,$A$70,入户维修!$K$5:$K$404,"跟进中",入户维修!$C$5:$C$404,"")+COUNTIFS(入户维修!$H$5:$H$404,$A$70,入户维修!$K$5:$K$404,"跟进中",入户维修!$C$5:$C$404,"")+COUNTIFS(公区维修!$F$5:$F$404,$A$70,公区维修!$K$5:$K$404,"跟进中",公区维修!$C$5:$C$404,"")+COUNTIFS(公区维修!$G$5:$G$404,$A$70,公区维修!$K$5:$K$404,"跟进中",公区维修!$C$5:$C$404,"")+COUNTIFS(公区维修!$H$5:$H$404,$A$70,公区维修!$K$5:$K$404,"跟进中",公区维修!$C$5:$C$404,"")</f>
        <v>0</v>
      </c>
      <c r="E144" s="35" t="n">
        <f aca="false">COUNTIFS(入户维修!$F$5:$F$404,$A$70,入户维修!$K$5:$K$404,"需另约时间",入户维修!$C$5:$C$404,"")+COUNTIFS(入户维修!$G$5:$G$404,$A$70,入户维修!$K$5:$K$404,"需另约时间",入户维修!$C$5:$C$404,"")+COUNTIFS(入户维修!$H$5:$H$404,$A$70,入户维修!$K$5:$K$404,"需另约时间",入户维修!$C$5:$C$404,"")+COUNTIFS(公区维修!$F$5:$F$404,$A$70,公区维修!$K$5:$K$404,"需另约时间",公区维修!$C$5:$C$404,"")+COUNTIFS(公区维修!$G$5:$G$404,$A$70,公区维修!$K$5:$K$404,"需另约时间",公区维修!$C$5:$C$404,"")+COUNTIFS(公区维修!$H$5:$H$404,$A$70,公区维修!$K$5:$K$404,"需另约时间",公区维修!$C$5:$C$404,"")</f>
        <v>0</v>
      </c>
      <c r="F144" s="36" t="str">
        <f aca="false">IFERROR($C144/$B144,"")</f>
        <v/>
      </c>
      <c r="G144" s="35" t="n">
        <f aca="false">COUNTIFS(入户维修!$F$5:$F$404,$A$70,入户维修!$O$5:$O$404,"非常满意",入户维修!$C$5:$C$404,"")+COUNTIFS(入户维修!$G$5:$G$404,$A$70,入户维修!$O$5:$O$404,"非常满意",入户维修!$C$5:$C$404,"")+COUNTIFS(入户维修!$H$5:$H$404,$A$70,入户维修!$O$5:$O$404,"非常满意",入户维修!$C$5:$C$404,"")+COUNTIFS(公区维修!$F$5:$F$404,$A$70,公区维修!$N$5:$N$404,"非常满意",公区维修!$C$5:$C$404,"")+COUNTIFS(公区维修!$G$5:$G$404,$A$70,公区维修!$N$5:$N$404,"非常满意",公区维修!$C$5:$C$404,"")+COUNTIFS(公区维修!$H$5:$H$404,$A$70,公区维修!$N$5:$N$404,"非常满意",公区维修!$C$5:$C$404,"")</f>
        <v>0</v>
      </c>
      <c r="H144" s="35" t="n">
        <f aca="false">COUNTIFS(入户维修!$F$5:$F$404,$A$70,入户维修!$O$5:$O$404,"满意",入户维修!$C$5:$C$404,"")+COUNTIFS(入户维修!$G$5:$G$404,$A$70,入户维修!$O$5:$O$404,"满意",入户维修!$C$5:$C$404,"")+COUNTIFS(入户维修!$H$5:$H$404,$A$70,入户维修!$O$5:$O$404,"满意",入户维修!$C$5:$C$404,"")+COUNTIFS(公区维修!$F$5:$F$404,$A$70,公区维修!$N$5:$N$404,"满意",公区维修!$C$5:$C$404,"")+COUNTIFS(公区维修!$G$5:$G$404,$A$70,公区维修!$N$5:$N$404,"满意",公区维修!$C$5:$C$404,"")+COUNTIFS(公区维修!$H$5:$H$404,$A$70,公区维修!$N$5:$N$404,"满意",公区维修!$C$5:$C$404,"")</f>
        <v>0</v>
      </c>
      <c r="I144" s="35" t="n">
        <f aca="false">COUNTIFS(入户维修!$F$5:$F$404,$A$70,入户维修!$O$5:$O$404,"一般",入户维修!$C$5:$C$404,"")+COUNTIFS(入户维修!$G$5:$G$404,$A$70,入户维修!$O$5:$O$404,"一般",入户维修!$C$5:$C$404,"")+COUNTIFS(入户维修!$H$5:$H$404,$A$70,入户维修!$O$5:$O$404,"一般",入户维修!$C$5:$C$404,"")+COUNTIFS(公区维修!$F$5:$F$404,$A$70,公区维修!$N$5:$N$404,"一般",公区维修!$C$5:$C$404,"")+COUNTIFS(公区维修!$G$5:$G$404,$A$70,公区维修!$N$5:$N$404,"一般",公区维修!$C$5:$C$404,"")+COUNTIFS(公区维修!$H$5:$H$404,$A$70,公区维修!$N$5:$N$404,"一般",公区维修!$C$5:$C$404,"")</f>
        <v>0</v>
      </c>
      <c r="J144" s="35" t="n">
        <f aca="false">COUNTIFS(入户维修!$F$5:$F$404,$A$70,入户维修!$O$5:$O$404,"不满意",入户维修!$C$5:$C$404,"")+COUNTIFS(入户维修!$G$5:$G$404,$A$70,入户维修!$O$5:$O$404,"不满意",入户维修!$C$5:$C$404,"")+COUNTIFS(入户维修!$H$5:$H$404,$A$70,入户维修!$O$5:$O$404,"不满意",入户维修!$C$5:$C$404,"")+COUNTIFS(公区维修!$F$5:$F$404,$A$70,公区维修!$N$5:$N$404,"不满意",公区维修!$C$5:$C$404,"")+COUNTIFS(公区维修!$G$5:$G$404,$A$70,公区维修!$N$5:$N$404,"不满意",公区维修!$C$5:$C$404,"")+COUNTIFS(公区维修!$H$5:$H$404,$A$70,公区维修!$N$5:$N$404,"不满意",公区维修!$C$5:$C$404,"")</f>
        <v>0</v>
      </c>
      <c r="K144" s="35" t="n">
        <f aca="false">SUM($G144:$J144)</f>
        <v>0</v>
      </c>
      <c r="L144" s="36" t="str">
        <f aca="false">IFERROR(($G144+$H144)/$K144,"")</f>
        <v/>
      </c>
      <c r="M144" s="30"/>
      <c r="N144" s="30"/>
      <c r="O144" s="30"/>
      <c r="P144" s="30"/>
    </row>
    <row r="145" customFormat="false" ht="21.75" hidden="false" customHeight="true" outlineLevel="0" collapsed="false">
      <c r="A145" s="37" t="s">
        <v>460</v>
      </c>
      <c r="B145" s="38" t="n">
        <f aca="false">SUM(B131:B144)</f>
        <v>16</v>
      </c>
      <c r="C145" s="38" t="n">
        <f aca="false">SUM(C131:C144)</f>
        <v>12</v>
      </c>
      <c r="D145" s="38" t="n">
        <f aca="false">SUM(D131:D144)</f>
        <v>4</v>
      </c>
      <c r="E145" s="38" t="n">
        <f aca="false">SUM(E131:E144)</f>
        <v>0</v>
      </c>
      <c r="F145" s="39" t="n">
        <f aca="false">IFERROR($C145/$B145,"")</f>
        <v>0.75</v>
      </c>
      <c r="G145" s="38" t="n">
        <f aca="false">SUM(G131:G144)</f>
        <v>4</v>
      </c>
      <c r="H145" s="38" t="n">
        <f aca="false">SUM(H131:H144)</f>
        <v>1</v>
      </c>
      <c r="I145" s="38" t="n">
        <f aca="false">SUM(I131:I144)</f>
        <v>0</v>
      </c>
      <c r="J145" s="38" t="n">
        <f aca="false">SUM(J131:J144)</f>
        <v>0</v>
      </c>
      <c r="K145" s="38" t="n">
        <f aca="false">SUM(K131:K144)</f>
        <v>5</v>
      </c>
      <c r="L145" s="39" t="n">
        <f aca="false">IFERROR(($G145+$H145)/$K145,"")</f>
        <v>1</v>
      </c>
      <c r="M145" s="30"/>
      <c r="N145" s="30"/>
      <c r="O145" s="30"/>
      <c r="P145" s="30"/>
    </row>
    <row r="146" customFormat="false" ht="9.75" hidden="false" customHeight="true" outlineLevel="0" collapsed="false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</row>
    <row r="147" customFormat="false" ht="21.75" hidden="false" customHeight="true" outlineLevel="0" collapsed="false">
      <c r="A147" s="32" t="str">
        <f aca="false">$A$71&amp;"　—　各楼栋明细"</f>
        <v>刘师傅　—　各楼栋明细</v>
      </c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0"/>
      <c r="N147" s="30"/>
      <c r="O147" s="30"/>
      <c r="P147" s="30"/>
    </row>
    <row r="148" customFormat="false" ht="30" hidden="false" customHeight="true" outlineLevel="0" collapsed="false">
      <c r="A148" s="33" t="s">
        <v>7</v>
      </c>
      <c r="B148" s="33" t="s">
        <v>435</v>
      </c>
      <c r="C148" s="33" t="s">
        <v>28</v>
      </c>
      <c r="D148" s="33" t="s">
        <v>36</v>
      </c>
      <c r="E148" s="33" t="s">
        <v>436</v>
      </c>
      <c r="F148" s="33" t="s">
        <v>437</v>
      </c>
      <c r="G148" s="33" t="s">
        <v>30</v>
      </c>
      <c r="H148" s="33" t="s">
        <v>48</v>
      </c>
      <c r="I148" s="33" t="s">
        <v>53</v>
      </c>
      <c r="J148" s="33" t="s">
        <v>438</v>
      </c>
      <c r="K148" s="33" t="s">
        <v>439</v>
      </c>
      <c r="L148" s="33" t="s">
        <v>440</v>
      </c>
      <c r="M148" s="30"/>
      <c r="N148" s="30"/>
      <c r="O148" s="30"/>
      <c r="P148" s="30"/>
    </row>
    <row r="149" customFormat="false" ht="19.5" hidden="false" customHeight="true" outlineLevel="0" collapsed="false">
      <c r="A149" s="44" t="s">
        <v>83</v>
      </c>
      <c r="B149" s="35" t="n">
        <f aca="false">COUNTIFS(入户维修!$F$5:$F$404,$A$71,入户维修!$E$5:$E$404,"?*",入户维修!$C$5:$C$404,$A149)+COUNTIFS(入户维修!$G$5:$G$404,$A$71,入户维修!$E$5:$E$404,"?*",入户维修!$C$5:$C$404,$A149)+COUNTIFS(入户维修!$H$5:$H$404,$A$71,入户维修!$E$5:$E$404,"?*",入户维修!$C$5:$C$404,$A149)+COUNTIFS(公区维修!$F$5:$F$404,$A$71,公区维修!$E$5:$E$404,"?*",公区维修!$C$5:$C$404,$A149)+COUNTIFS(公区维修!$G$5:$G$404,$A$71,公区维修!$E$5:$E$404,"?*",公区维修!$C$5:$C$404,$A149)+COUNTIFS(公区维修!$H$5:$H$404,$A$71,公区维修!$E$5:$E$404,"?*",公区维修!$C$5:$C$404,$A149)</f>
        <v>1</v>
      </c>
      <c r="C149" s="35" t="n">
        <f aca="false">COUNTIFS(入户维修!$F$5:$F$404,$A$71,入户维修!$K$5:$K$404,"已完成",入户维修!$C$5:$C$404,$A149)+COUNTIFS(入户维修!$G$5:$G$404,$A$71,入户维修!$K$5:$K$404,"已完成",入户维修!$C$5:$C$404,$A149)+COUNTIFS(入户维修!$H$5:$H$404,$A$71,入户维修!$K$5:$K$404,"已完成",入户维修!$C$5:$C$404,$A149)+COUNTIFS(公区维修!$F$5:$F$404,$A$71,公区维修!$K$5:$K$404,"已完成",公区维修!$C$5:$C$404,$A149)+COUNTIFS(公区维修!$G$5:$G$404,$A$71,公区维修!$K$5:$K$404,"已完成",公区维修!$C$5:$C$404,$A149)+COUNTIFS(公区维修!$H$5:$H$404,$A$71,公区维修!$K$5:$K$404,"已完成",公区维修!$C$5:$C$404,$A149)</f>
        <v>1</v>
      </c>
      <c r="D149" s="35" t="n">
        <f aca="false">COUNTIFS(入户维修!$F$5:$F$404,$A$71,入户维修!$K$5:$K$404,"跟进中",入户维修!$C$5:$C$404,$A149)+COUNTIFS(入户维修!$G$5:$G$404,$A$71,入户维修!$K$5:$K$404,"跟进中",入户维修!$C$5:$C$404,$A149)+COUNTIFS(入户维修!$H$5:$H$404,$A$71,入户维修!$K$5:$K$404,"跟进中",入户维修!$C$5:$C$404,$A149)+COUNTIFS(公区维修!$F$5:$F$404,$A$71,公区维修!$K$5:$K$404,"跟进中",公区维修!$C$5:$C$404,$A149)+COUNTIFS(公区维修!$G$5:$G$404,$A$71,公区维修!$K$5:$K$404,"跟进中",公区维修!$C$5:$C$404,$A149)+COUNTIFS(公区维修!$H$5:$H$404,$A$71,公区维修!$K$5:$K$404,"跟进中",公区维修!$C$5:$C$404,$A149)</f>
        <v>0</v>
      </c>
      <c r="E149" s="35" t="n">
        <f aca="false">COUNTIFS(入户维修!$F$5:$F$404,$A$71,入户维修!$K$5:$K$404,"需另约时间",入户维修!$C$5:$C$404,$A149)+COUNTIFS(入户维修!$G$5:$G$404,$A$71,入户维修!$K$5:$K$404,"需另约时间",入户维修!$C$5:$C$404,$A149)+COUNTIFS(入户维修!$H$5:$H$404,$A$71,入户维修!$K$5:$K$404,"需另约时间",入户维修!$C$5:$C$404,$A149)+COUNTIFS(公区维修!$F$5:$F$404,$A$71,公区维修!$K$5:$K$404,"需另约时间",公区维修!$C$5:$C$404,$A149)+COUNTIFS(公区维修!$G$5:$G$404,$A$71,公区维修!$K$5:$K$404,"需另约时间",公区维修!$C$5:$C$404,$A149)+COUNTIFS(公区维修!$H$5:$H$404,$A$71,公区维修!$K$5:$K$404,"需另约时间",公区维修!$C$5:$C$404,$A149)</f>
        <v>0</v>
      </c>
      <c r="F149" s="36" t="n">
        <f aca="false">IFERROR($C149/$B149,"")</f>
        <v>1</v>
      </c>
      <c r="G149" s="35" t="n">
        <f aca="false">COUNTIFS(入户维修!$F$5:$F$404,$A$71,入户维修!$O$5:$O$404,"非常满意",入户维修!$C$5:$C$404,$A149)+COUNTIFS(入户维修!$G$5:$G$404,$A$71,入户维修!$O$5:$O$404,"非常满意",入户维修!$C$5:$C$404,$A149)+COUNTIFS(入户维修!$H$5:$H$404,$A$71,入户维修!$O$5:$O$404,"非常满意",入户维修!$C$5:$C$404,$A149)+COUNTIFS(公区维修!$F$5:$F$404,$A$71,公区维修!$N$5:$N$404,"非常满意",公区维修!$C$5:$C$404,$A149)+COUNTIFS(公区维修!$G$5:$G$404,$A$71,公区维修!$N$5:$N$404,"非常满意",公区维修!$C$5:$C$404,$A149)+COUNTIFS(公区维修!$H$5:$H$404,$A$71,公区维修!$N$5:$N$404,"非常满意",公区维修!$C$5:$C$404,$A149)</f>
        <v>1</v>
      </c>
      <c r="H149" s="35" t="n">
        <f aca="false">COUNTIFS(入户维修!$F$5:$F$404,$A$71,入户维修!$O$5:$O$404,"满意",入户维修!$C$5:$C$404,$A149)+COUNTIFS(入户维修!$G$5:$G$404,$A$71,入户维修!$O$5:$O$404,"满意",入户维修!$C$5:$C$404,$A149)+COUNTIFS(入户维修!$H$5:$H$404,$A$71,入户维修!$O$5:$O$404,"满意",入户维修!$C$5:$C$404,$A149)+COUNTIFS(公区维修!$F$5:$F$404,$A$71,公区维修!$N$5:$N$404,"满意",公区维修!$C$5:$C$404,$A149)+COUNTIFS(公区维修!$G$5:$G$404,$A$71,公区维修!$N$5:$N$404,"满意",公区维修!$C$5:$C$404,$A149)+COUNTIFS(公区维修!$H$5:$H$404,$A$71,公区维修!$N$5:$N$404,"满意",公区维修!$C$5:$C$404,$A149)</f>
        <v>0</v>
      </c>
      <c r="I149" s="35" t="n">
        <f aca="false">COUNTIFS(入户维修!$F$5:$F$404,$A$71,入户维修!$O$5:$O$404,"一般",入户维修!$C$5:$C$404,$A149)+COUNTIFS(入户维修!$G$5:$G$404,$A$71,入户维修!$O$5:$O$404,"一般",入户维修!$C$5:$C$404,$A149)+COUNTIFS(入户维修!$H$5:$H$404,$A$71,入户维修!$O$5:$O$404,"一般",入户维修!$C$5:$C$404,$A149)+COUNTIFS(公区维修!$F$5:$F$404,$A$71,公区维修!$N$5:$N$404,"一般",公区维修!$C$5:$C$404,$A149)+COUNTIFS(公区维修!$G$5:$G$404,$A$71,公区维修!$N$5:$N$404,"一般",公区维修!$C$5:$C$404,$A149)+COUNTIFS(公区维修!$H$5:$H$404,$A$71,公区维修!$N$5:$N$404,"一般",公区维修!$C$5:$C$404,$A149)</f>
        <v>0</v>
      </c>
      <c r="J149" s="35" t="n">
        <f aca="false">COUNTIFS(入户维修!$F$5:$F$404,$A$71,入户维修!$O$5:$O$404,"不满意",入户维修!$C$5:$C$404,$A149)+COUNTIFS(入户维修!$G$5:$G$404,$A$71,入户维修!$O$5:$O$404,"不满意",入户维修!$C$5:$C$404,$A149)+COUNTIFS(入户维修!$H$5:$H$404,$A$71,入户维修!$O$5:$O$404,"不满意",入户维修!$C$5:$C$404,$A149)+COUNTIFS(公区维修!$F$5:$F$404,$A$71,公区维修!$N$5:$N$404,"不满意",公区维修!$C$5:$C$404,$A149)+COUNTIFS(公区维修!$G$5:$G$404,$A$71,公区维修!$N$5:$N$404,"不满意",公区维修!$C$5:$C$404,$A149)+COUNTIFS(公区维修!$H$5:$H$404,$A$71,公区维修!$N$5:$N$404,"不满意",公区维修!$C$5:$C$404,$A149)</f>
        <v>0</v>
      </c>
      <c r="K149" s="35" t="n">
        <f aca="false">SUM($G149:$J149)</f>
        <v>1</v>
      </c>
      <c r="L149" s="36" t="n">
        <f aca="false">IFERROR(($G149+$H149)/$K149,"")</f>
        <v>1</v>
      </c>
      <c r="M149" s="30"/>
      <c r="N149" s="30"/>
      <c r="O149" s="30"/>
      <c r="P149" s="30"/>
    </row>
    <row r="150" customFormat="false" ht="19.5" hidden="false" customHeight="true" outlineLevel="0" collapsed="false">
      <c r="A150" s="44" t="s">
        <v>105</v>
      </c>
      <c r="B150" s="35" t="n">
        <f aca="false">COUNTIFS(入户维修!$F$5:$F$404,$A$71,入户维修!$E$5:$E$404,"?*",入户维修!$C$5:$C$404,$A150)+COUNTIFS(入户维修!$G$5:$G$404,$A$71,入户维修!$E$5:$E$404,"?*",入户维修!$C$5:$C$404,$A150)+COUNTIFS(入户维修!$H$5:$H$404,$A$71,入户维修!$E$5:$E$404,"?*",入户维修!$C$5:$C$404,$A150)+COUNTIFS(公区维修!$F$5:$F$404,$A$71,公区维修!$E$5:$E$404,"?*",公区维修!$C$5:$C$404,$A150)+COUNTIFS(公区维修!$G$5:$G$404,$A$71,公区维修!$E$5:$E$404,"?*",公区维修!$C$5:$C$404,$A150)+COUNTIFS(公区维修!$H$5:$H$404,$A$71,公区维修!$E$5:$E$404,"?*",公区维修!$C$5:$C$404,$A150)</f>
        <v>1</v>
      </c>
      <c r="C150" s="35" t="n">
        <f aca="false">COUNTIFS(入户维修!$F$5:$F$404,$A$71,入户维修!$K$5:$K$404,"已完成",入户维修!$C$5:$C$404,$A150)+COUNTIFS(入户维修!$G$5:$G$404,$A$71,入户维修!$K$5:$K$404,"已完成",入户维修!$C$5:$C$404,$A150)+COUNTIFS(入户维修!$H$5:$H$404,$A$71,入户维修!$K$5:$K$404,"已完成",入户维修!$C$5:$C$404,$A150)+COUNTIFS(公区维修!$F$5:$F$404,$A$71,公区维修!$K$5:$K$404,"已完成",公区维修!$C$5:$C$404,$A150)+COUNTIFS(公区维修!$G$5:$G$404,$A$71,公区维修!$K$5:$K$404,"已完成",公区维修!$C$5:$C$404,$A150)+COUNTIFS(公区维修!$H$5:$H$404,$A$71,公区维修!$K$5:$K$404,"已完成",公区维修!$C$5:$C$404,$A150)</f>
        <v>1</v>
      </c>
      <c r="D150" s="35" t="n">
        <f aca="false">COUNTIFS(入户维修!$F$5:$F$404,$A$71,入户维修!$K$5:$K$404,"跟进中",入户维修!$C$5:$C$404,$A150)+COUNTIFS(入户维修!$G$5:$G$404,$A$71,入户维修!$K$5:$K$404,"跟进中",入户维修!$C$5:$C$404,$A150)+COUNTIFS(入户维修!$H$5:$H$404,$A$71,入户维修!$K$5:$K$404,"跟进中",入户维修!$C$5:$C$404,$A150)+COUNTIFS(公区维修!$F$5:$F$404,$A$71,公区维修!$K$5:$K$404,"跟进中",公区维修!$C$5:$C$404,$A150)+COUNTIFS(公区维修!$G$5:$G$404,$A$71,公区维修!$K$5:$K$404,"跟进中",公区维修!$C$5:$C$404,$A150)+COUNTIFS(公区维修!$H$5:$H$404,$A$71,公区维修!$K$5:$K$404,"跟进中",公区维修!$C$5:$C$404,$A150)</f>
        <v>0</v>
      </c>
      <c r="E150" s="35" t="n">
        <f aca="false">COUNTIFS(入户维修!$F$5:$F$404,$A$71,入户维修!$K$5:$K$404,"需另约时间",入户维修!$C$5:$C$404,$A150)+COUNTIFS(入户维修!$G$5:$G$404,$A$71,入户维修!$K$5:$K$404,"需另约时间",入户维修!$C$5:$C$404,$A150)+COUNTIFS(入户维修!$H$5:$H$404,$A$71,入户维修!$K$5:$K$404,"需另约时间",入户维修!$C$5:$C$404,$A150)+COUNTIFS(公区维修!$F$5:$F$404,$A$71,公区维修!$K$5:$K$404,"需另约时间",公区维修!$C$5:$C$404,$A150)+COUNTIFS(公区维修!$G$5:$G$404,$A$71,公区维修!$K$5:$K$404,"需另约时间",公区维修!$C$5:$C$404,$A150)+COUNTIFS(公区维修!$H$5:$H$404,$A$71,公区维修!$K$5:$K$404,"需另约时间",公区维修!$C$5:$C$404,$A150)</f>
        <v>0</v>
      </c>
      <c r="F150" s="36" t="n">
        <f aca="false">IFERROR($C150/$B150,"")</f>
        <v>1</v>
      </c>
      <c r="G150" s="35" t="n">
        <f aca="false">COUNTIFS(入户维修!$F$5:$F$404,$A$71,入户维修!$O$5:$O$404,"非常满意",入户维修!$C$5:$C$404,$A150)+COUNTIFS(入户维修!$G$5:$G$404,$A$71,入户维修!$O$5:$O$404,"非常满意",入户维修!$C$5:$C$404,$A150)+COUNTIFS(入户维修!$H$5:$H$404,$A$71,入户维修!$O$5:$O$404,"非常满意",入户维修!$C$5:$C$404,$A150)+COUNTIFS(公区维修!$F$5:$F$404,$A$71,公区维修!$N$5:$N$404,"非常满意",公区维修!$C$5:$C$404,$A150)+COUNTIFS(公区维修!$G$5:$G$404,$A$71,公区维修!$N$5:$N$404,"非常满意",公区维修!$C$5:$C$404,$A150)+COUNTIFS(公区维修!$H$5:$H$404,$A$71,公区维修!$N$5:$N$404,"非常满意",公区维修!$C$5:$C$404,$A150)</f>
        <v>1</v>
      </c>
      <c r="H150" s="35" t="n">
        <f aca="false">COUNTIFS(入户维修!$F$5:$F$404,$A$71,入户维修!$O$5:$O$404,"满意",入户维修!$C$5:$C$404,$A150)+COUNTIFS(入户维修!$G$5:$G$404,$A$71,入户维修!$O$5:$O$404,"满意",入户维修!$C$5:$C$404,$A150)+COUNTIFS(入户维修!$H$5:$H$404,$A$71,入户维修!$O$5:$O$404,"满意",入户维修!$C$5:$C$404,$A150)+COUNTIFS(公区维修!$F$5:$F$404,$A$71,公区维修!$N$5:$N$404,"满意",公区维修!$C$5:$C$404,$A150)+COUNTIFS(公区维修!$G$5:$G$404,$A$71,公区维修!$N$5:$N$404,"满意",公区维修!$C$5:$C$404,$A150)+COUNTIFS(公区维修!$H$5:$H$404,$A$71,公区维修!$N$5:$N$404,"满意",公区维修!$C$5:$C$404,$A150)</f>
        <v>0</v>
      </c>
      <c r="I150" s="35" t="n">
        <f aca="false">COUNTIFS(入户维修!$F$5:$F$404,$A$71,入户维修!$O$5:$O$404,"一般",入户维修!$C$5:$C$404,$A150)+COUNTIFS(入户维修!$G$5:$G$404,$A$71,入户维修!$O$5:$O$404,"一般",入户维修!$C$5:$C$404,$A150)+COUNTIFS(入户维修!$H$5:$H$404,$A$71,入户维修!$O$5:$O$404,"一般",入户维修!$C$5:$C$404,$A150)+COUNTIFS(公区维修!$F$5:$F$404,$A$71,公区维修!$N$5:$N$404,"一般",公区维修!$C$5:$C$404,$A150)+COUNTIFS(公区维修!$G$5:$G$404,$A$71,公区维修!$N$5:$N$404,"一般",公区维修!$C$5:$C$404,$A150)+COUNTIFS(公区维修!$H$5:$H$404,$A$71,公区维修!$N$5:$N$404,"一般",公区维修!$C$5:$C$404,$A150)</f>
        <v>0</v>
      </c>
      <c r="J150" s="35" t="n">
        <f aca="false">COUNTIFS(入户维修!$F$5:$F$404,$A$71,入户维修!$O$5:$O$404,"不满意",入户维修!$C$5:$C$404,$A150)+COUNTIFS(入户维修!$G$5:$G$404,$A$71,入户维修!$O$5:$O$404,"不满意",入户维修!$C$5:$C$404,$A150)+COUNTIFS(入户维修!$H$5:$H$404,$A$71,入户维修!$O$5:$O$404,"不满意",入户维修!$C$5:$C$404,$A150)+COUNTIFS(公区维修!$F$5:$F$404,$A$71,公区维修!$N$5:$N$404,"不满意",公区维修!$C$5:$C$404,$A150)+COUNTIFS(公区维修!$G$5:$G$404,$A$71,公区维修!$N$5:$N$404,"不满意",公区维修!$C$5:$C$404,$A150)+COUNTIFS(公区维修!$H$5:$H$404,$A$71,公区维修!$N$5:$N$404,"不满意",公区维修!$C$5:$C$404,$A150)</f>
        <v>0</v>
      </c>
      <c r="K150" s="35" t="n">
        <f aca="false">SUM($G150:$J150)</f>
        <v>1</v>
      </c>
      <c r="L150" s="36" t="n">
        <f aca="false">IFERROR(($G150+$H150)/$K150,"")</f>
        <v>1</v>
      </c>
      <c r="M150" s="30"/>
      <c r="N150" s="30"/>
      <c r="O150" s="30"/>
      <c r="P150" s="30"/>
    </row>
    <row r="151" customFormat="false" ht="19.5" hidden="false" customHeight="true" outlineLevel="0" collapsed="false">
      <c r="A151" s="44" t="s">
        <v>245</v>
      </c>
      <c r="B151" s="35" t="n">
        <f aca="false">COUNTIFS(入户维修!$F$5:$F$404,$A$71,入户维修!$E$5:$E$404,"?*",入户维修!$C$5:$C$404,$A151)+COUNTIFS(入户维修!$G$5:$G$404,$A$71,入户维修!$E$5:$E$404,"?*",入户维修!$C$5:$C$404,$A151)+COUNTIFS(入户维修!$H$5:$H$404,$A$71,入户维修!$E$5:$E$404,"?*",入户维修!$C$5:$C$404,$A151)+COUNTIFS(公区维修!$F$5:$F$404,$A$71,公区维修!$E$5:$E$404,"?*",公区维修!$C$5:$C$404,$A151)+COUNTIFS(公区维修!$G$5:$G$404,$A$71,公区维修!$E$5:$E$404,"?*",公区维修!$C$5:$C$404,$A151)+COUNTIFS(公区维修!$H$5:$H$404,$A$71,公区维修!$E$5:$E$404,"?*",公区维修!$C$5:$C$404,$A151)</f>
        <v>0</v>
      </c>
      <c r="C151" s="35" t="n">
        <f aca="false">COUNTIFS(入户维修!$F$5:$F$404,$A$71,入户维修!$K$5:$K$404,"已完成",入户维修!$C$5:$C$404,$A151)+COUNTIFS(入户维修!$G$5:$G$404,$A$71,入户维修!$K$5:$K$404,"已完成",入户维修!$C$5:$C$404,$A151)+COUNTIFS(入户维修!$H$5:$H$404,$A$71,入户维修!$K$5:$K$404,"已完成",入户维修!$C$5:$C$404,$A151)+COUNTIFS(公区维修!$F$5:$F$404,$A$71,公区维修!$K$5:$K$404,"已完成",公区维修!$C$5:$C$404,$A151)+COUNTIFS(公区维修!$G$5:$G$404,$A$71,公区维修!$K$5:$K$404,"已完成",公区维修!$C$5:$C$404,$A151)+COUNTIFS(公区维修!$H$5:$H$404,$A$71,公区维修!$K$5:$K$404,"已完成",公区维修!$C$5:$C$404,$A151)</f>
        <v>0</v>
      </c>
      <c r="D151" s="35" t="n">
        <f aca="false">COUNTIFS(入户维修!$F$5:$F$404,$A$71,入户维修!$K$5:$K$404,"跟进中",入户维修!$C$5:$C$404,$A151)+COUNTIFS(入户维修!$G$5:$G$404,$A$71,入户维修!$K$5:$K$404,"跟进中",入户维修!$C$5:$C$404,$A151)+COUNTIFS(入户维修!$H$5:$H$404,$A$71,入户维修!$K$5:$K$404,"跟进中",入户维修!$C$5:$C$404,$A151)+COUNTIFS(公区维修!$F$5:$F$404,$A$71,公区维修!$K$5:$K$404,"跟进中",公区维修!$C$5:$C$404,$A151)+COUNTIFS(公区维修!$G$5:$G$404,$A$71,公区维修!$K$5:$K$404,"跟进中",公区维修!$C$5:$C$404,$A151)+COUNTIFS(公区维修!$H$5:$H$404,$A$71,公区维修!$K$5:$K$404,"跟进中",公区维修!$C$5:$C$404,$A151)</f>
        <v>0</v>
      </c>
      <c r="E151" s="35" t="n">
        <f aca="false">COUNTIFS(入户维修!$F$5:$F$404,$A$71,入户维修!$K$5:$K$404,"需另约时间",入户维修!$C$5:$C$404,$A151)+COUNTIFS(入户维修!$G$5:$G$404,$A$71,入户维修!$K$5:$K$404,"需另约时间",入户维修!$C$5:$C$404,$A151)+COUNTIFS(入户维修!$H$5:$H$404,$A$71,入户维修!$K$5:$K$404,"需另约时间",入户维修!$C$5:$C$404,$A151)+COUNTIFS(公区维修!$F$5:$F$404,$A$71,公区维修!$K$5:$K$404,"需另约时间",公区维修!$C$5:$C$404,$A151)+COUNTIFS(公区维修!$G$5:$G$404,$A$71,公区维修!$K$5:$K$404,"需另约时间",公区维修!$C$5:$C$404,$A151)+COUNTIFS(公区维修!$H$5:$H$404,$A$71,公区维修!$K$5:$K$404,"需另约时间",公区维修!$C$5:$C$404,$A151)</f>
        <v>0</v>
      </c>
      <c r="F151" s="36" t="str">
        <f aca="false">IFERROR($C151/$B151,"")</f>
        <v/>
      </c>
      <c r="G151" s="35" t="n">
        <f aca="false">COUNTIFS(入户维修!$F$5:$F$404,$A$71,入户维修!$O$5:$O$404,"非常满意",入户维修!$C$5:$C$404,$A151)+COUNTIFS(入户维修!$G$5:$G$404,$A$71,入户维修!$O$5:$O$404,"非常满意",入户维修!$C$5:$C$404,$A151)+COUNTIFS(入户维修!$H$5:$H$404,$A$71,入户维修!$O$5:$O$404,"非常满意",入户维修!$C$5:$C$404,$A151)+COUNTIFS(公区维修!$F$5:$F$404,$A$71,公区维修!$N$5:$N$404,"非常满意",公区维修!$C$5:$C$404,$A151)+COUNTIFS(公区维修!$G$5:$G$404,$A$71,公区维修!$N$5:$N$404,"非常满意",公区维修!$C$5:$C$404,$A151)+COUNTIFS(公区维修!$H$5:$H$404,$A$71,公区维修!$N$5:$N$404,"非常满意",公区维修!$C$5:$C$404,$A151)</f>
        <v>0</v>
      </c>
      <c r="H151" s="35" t="n">
        <f aca="false">COUNTIFS(入户维修!$F$5:$F$404,$A$71,入户维修!$O$5:$O$404,"满意",入户维修!$C$5:$C$404,$A151)+COUNTIFS(入户维修!$G$5:$G$404,$A$71,入户维修!$O$5:$O$404,"满意",入户维修!$C$5:$C$404,$A151)+COUNTIFS(入户维修!$H$5:$H$404,$A$71,入户维修!$O$5:$O$404,"满意",入户维修!$C$5:$C$404,$A151)+COUNTIFS(公区维修!$F$5:$F$404,$A$71,公区维修!$N$5:$N$404,"满意",公区维修!$C$5:$C$404,$A151)+COUNTIFS(公区维修!$G$5:$G$404,$A$71,公区维修!$N$5:$N$404,"满意",公区维修!$C$5:$C$404,$A151)+COUNTIFS(公区维修!$H$5:$H$404,$A$71,公区维修!$N$5:$N$404,"满意",公区维修!$C$5:$C$404,$A151)</f>
        <v>0</v>
      </c>
      <c r="I151" s="35" t="n">
        <f aca="false">COUNTIFS(入户维修!$F$5:$F$404,$A$71,入户维修!$O$5:$O$404,"一般",入户维修!$C$5:$C$404,$A151)+COUNTIFS(入户维修!$G$5:$G$404,$A$71,入户维修!$O$5:$O$404,"一般",入户维修!$C$5:$C$404,$A151)+COUNTIFS(入户维修!$H$5:$H$404,$A$71,入户维修!$O$5:$O$404,"一般",入户维修!$C$5:$C$404,$A151)+COUNTIFS(公区维修!$F$5:$F$404,$A$71,公区维修!$N$5:$N$404,"一般",公区维修!$C$5:$C$404,$A151)+COUNTIFS(公区维修!$G$5:$G$404,$A$71,公区维修!$N$5:$N$404,"一般",公区维修!$C$5:$C$404,$A151)+COUNTIFS(公区维修!$H$5:$H$404,$A$71,公区维修!$N$5:$N$404,"一般",公区维修!$C$5:$C$404,$A151)</f>
        <v>0</v>
      </c>
      <c r="J151" s="35" t="n">
        <f aca="false">COUNTIFS(入户维修!$F$5:$F$404,$A$71,入户维修!$O$5:$O$404,"不满意",入户维修!$C$5:$C$404,$A151)+COUNTIFS(入户维修!$G$5:$G$404,$A$71,入户维修!$O$5:$O$404,"不满意",入户维修!$C$5:$C$404,$A151)+COUNTIFS(入户维修!$H$5:$H$404,$A$71,入户维修!$O$5:$O$404,"不满意",入户维修!$C$5:$C$404,$A151)+COUNTIFS(公区维修!$F$5:$F$404,$A$71,公区维修!$N$5:$N$404,"不满意",公区维修!$C$5:$C$404,$A151)+COUNTIFS(公区维修!$G$5:$G$404,$A$71,公区维修!$N$5:$N$404,"不满意",公区维修!$C$5:$C$404,$A151)+COUNTIFS(公区维修!$H$5:$H$404,$A$71,公区维修!$N$5:$N$404,"不满意",公区维修!$C$5:$C$404,$A151)</f>
        <v>0</v>
      </c>
      <c r="K151" s="35" t="n">
        <f aca="false">SUM($G151:$J151)</f>
        <v>0</v>
      </c>
      <c r="L151" s="36" t="str">
        <f aca="false">IFERROR(($G151+$H151)/$K151,"")</f>
        <v/>
      </c>
      <c r="M151" s="30"/>
      <c r="N151" s="30"/>
      <c r="O151" s="30"/>
      <c r="P151" s="30"/>
    </row>
    <row r="152" customFormat="false" ht="19.5" hidden="false" customHeight="true" outlineLevel="0" collapsed="false">
      <c r="A152" s="44" t="s">
        <v>161</v>
      </c>
      <c r="B152" s="35" t="n">
        <f aca="false">COUNTIFS(入户维修!$F$5:$F$404,$A$71,入户维修!$E$5:$E$404,"?*",入户维修!$C$5:$C$404,$A152)+COUNTIFS(入户维修!$G$5:$G$404,$A$71,入户维修!$E$5:$E$404,"?*",入户维修!$C$5:$C$404,$A152)+COUNTIFS(入户维修!$H$5:$H$404,$A$71,入户维修!$E$5:$E$404,"?*",入户维修!$C$5:$C$404,$A152)+COUNTIFS(公区维修!$F$5:$F$404,$A$71,公区维修!$E$5:$E$404,"?*",公区维修!$C$5:$C$404,$A152)+COUNTIFS(公区维修!$G$5:$G$404,$A$71,公区维修!$E$5:$E$404,"?*",公区维修!$C$5:$C$404,$A152)+COUNTIFS(公区维修!$H$5:$H$404,$A$71,公区维修!$E$5:$E$404,"?*",公区维修!$C$5:$C$404,$A152)</f>
        <v>4</v>
      </c>
      <c r="C152" s="35" t="n">
        <f aca="false">COUNTIFS(入户维修!$F$5:$F$404,$A$71,入户维修!$K$5:$K$404,"已完成",入户维修!$C$5:$C$404,$A152)+COUNTIFS(入户维修!$G$5:$G$404,$A$71,入户维修!$K$5:$K$404,"已完成",入户维修!$C$5:$C$404,$A152)+COUNTIFS(入户维修!$H$5:$H$404,$A$71,入户维修!$K$5:$K$404,"已完成",入户维修!$C$5:$C$404,$A152)+COUNTIFS(公区维修!$F$5:$F$404,$A$71,公区维修!$K$5:$K$404,"已完成",公区维修!$C$5:$C$404,$A152)+COUNTIFS(公区维修!$G$5:$G$404,$A$71,公区维修!$K$5:$K$404,"已完成",公区维修!$C$5:$C$404,$A152)+COUNTIFS(公区维修!$H$5:$H$404,$A$71,公区维修!$K$5:$K$404,"已完成",公区维修!$C$5:$C$404,$A152)</f>
        <v>4</v>
      </c>
      <c r="D152" s="35" t="n">
        <f aca="false">COUNTIFS(入户维修!$F$5:$F$404,$A$71,入户维修!$K$5:$K$404,"跟进中",入户维修!$C$5:$C$404,$A152)+COUNTIFS(入户维修!$G$5:$G$404,$A$71,入户维修!$K$5:$K$404,"跟进中",入户维修!$C$5:$C$404,$A152)+COUNTIFS(入户维修!$H$5:$H$404,$A$71,入户维修!$K$5:$K$404,"跟进中",入户维修!$C$5:$C$404,$A152)+COUNTIFS(公区维修!$F$5:$F$404,$A$71,公区维修!$K$5:$K$404,"跟进中",公区维修!$C$5:$C$404,$A152)+COUNTIFS(公区维修!$G$5:$G$404,$A$71,公区维修!$K$5:$K$404,"跟进中",公区维修!$C$5:$C$404,$A152)+COUNTIFS(公区维修!$H$5:$H$404,$A$71,公区维修!$K$5:$K$404,"跟进中",公区维修!$C$5:$C$404,$A152)</f>
        <v>0</v>
      </c>
      <c r="E152" s="35" t="n">
        <f aca="false">COUNTIFS(入户维修!$F$5:$F$404,$A$71,入户维修!$K$5:$K$404,"需另约时间",入户维修!$C$5:$C$404,$A152)+COUNTIFS(入户维修!$G$5:$G$404,$A$71,入户维修!$K$5:$K$404,"需另约时间",入户维修!$C$5:$C$404,$A152)+COUNTIFS(入户维修!$H$5:$H$404,$A$71,入户维修!$K$5:$K$404,"需另约时间",入户维修!$C$5:$C$404,$A152)+COUNTIFS(公区维修!$F$5:$F$404,$A$71,公区维修!$K$5:$K$404,"需另约时间",公区维修!$C$5:$C$404,$A152)+COUNTIFS(公区维修!$G$5:$G$404,$A$71,公区维修!$K$5:$K$404,"需另约时间",公区维修!$C$5:$C$404,$A152)+COUNTIFS(公区维修!$H$5:$H$404,$A$71,公区维修!$K$5:$K$404,"需另约时间",公区维修!$C$5:$C$404,$A152)</f>
        <v>0</v>
      </c>
      <c r="F152" s="36" t="n">
        <f aca="false">IFERROR($C152/$B152,"")</f>
        <v>1</v>
      </c>
      <c r="G152" s="35" t="n">
        <f aca="false">COUNTIFS(入户维修!$F$5:$F$404,$A$71,入户维修!$O$5:$O$404,"非常满意",入户维修!$C$5:$C$404,$A152)+COUNTIFS(入户维修!$G$5:$G$404,$A$71,入户维修!$O$5:$O$404,"非常满意",入户维修!$C$5:$C$404,$A152)+COUNTIFS(入户维修!$H$5:$H$404,$A$71,入户维修!$O$5:$O$404,"非常满意",入户维修!$C$5:$C$404,$A152)+COUNTIFS(公区维修!$F$5:$F$404,$A$71,公区维修!$N$5:$N$404,"非常满意",公区维修!$C$5:$C$404,$A152)+COUNTIFS(公区维修!$G$5:$G$404,$A$71,公区维修!$N$5:$N$404,"非常满意",公区维修!$C$5:$C$404,$A152)+COUNTIFS(公区维修!$H$5:$H$404,$A$71,公区维修!$N$5:$N$404,"非常满意",公区维修!$C$5:$C$404,$A152)</f>
        <v>3</v>
      </c>
      <c r="H152" s="35" t="n">
        <f aca="false">COUNTIFS(入户维修!$F$5:$F$404,$A$71,入户维修!$O$5:$O$404,"满意",入户维修!$C$5:$C$404,$A152)+COUNTIFS(入户维修!$G$5:$G$404,$A$71,入户维修!$O$5:$O$404,"满意",入户维修!$C$5:$C$404,$A152)+COUNTIFS(入户维修!$H$5:$H$404,$A$71,入户维修!$O$5:$O$404,"满意",入户维修!$C$5:$C$404,$A152)+COUNTIFS(公区维修!$F$5:$F$404,$A$71,公区维修!$N$5:$N$404,"满意",公区维修!$C$5:$C$404,$A152)+COUNTIFS(公区维修!$G$5:$G$404,$A$71,公区维修!$N$5:$N$404,"满意",公区维修!$C$5:$C$404,$A152)+COUNTIFS(公区维修!$H$5:$H$404,$A$71,公区维修!$N$5:$N$404,"满意",公区维修!$C$5:$C$404,$A152)</f>
        <v>1</v>
      </c>
      <c r="I152" s="35" t="n">
        <f aca="false">COUNTIFS(入户维修!$F$5:$F$404,$A$71,入户维修!$O$5:$O$404,"一般",入户维修!$C$5:$C$404,$A152)+COUNTIFS(入户维修!$G$5:$G$404,$A$71,入户维修!$O$5:$O$404,"一般",入户维修!$C$5:$C$404,$A152)+COUNTIFS(入户维修!$H$5:$H$404,$A$71,入户维修!$O$5:$O$404,"一般",入户维修!$C$5:$C$404,$A152)+COUNTIFS(公区维修!$F$5:$F$404,$A$71,公区维修!$N$5:$N$404,"一般",公区维修!$C$5:$C$404,$A152)+COUNTIFS(公区维修!$G$5:$G$404,$A$71,公区维修!$N$5:$N$404,"一般",公区维修!$C$5:$C$404,$A152)+COUNTIFS(公区维修!$H$5:$H$404,$A$71,公区维修!$N$5:$N$404,"一般",公区维修!$C$5:$C$404,$A152)</f>
        <v>0</v>
      </c>
      <c r="J152" s="35" t="n">
        <f aca="false">COUNTIFS(入户维修!$F$5:$F$404,$A$71,入户维修!$O$5:$O$404,"不满意",入户维修!$C$5:$C$404,$A152)+COUNTIFS(入户维修!$G$5:$G$404,$A$71,入户维修!$O$5:$O$404,"不满意",入户维修!$C$5:$C$404,$A152)+COUNTIFS(入户维修!$H$5:$H$404,$A$71,入户维修!$O$5:$O$404,"不满意",入户维修!$C$5:$C$404,$A152)+COUNTIFS(公区维修!$F$5:$F$404,$A$71,公区维修!$N$5:$N$404,"不满意",公区维修!$C$5:$C$404,$A152)+COUNTIFS(公区维修!$G$5:$G$404,$A$71,公区维修!$N$5:$N$404,"不满意",公区维修!$C$5:$C$404,$A152)+COUNTIFS(公区维修!$H$5:$H$404,$A$71,公区维修!$N$5:$N$404,"不满意",公区维修!$C$5:$C$404,$A152)</f>
        <v>0</v>
      </c>
      <c r="K152" s="35" t="n">
        <f aca="false">SUM($G152:$J152)</f>
        <v>4</v>
      </c>
      <c r="L152" s="36" t="n">
        <f aca="false">IFERROR(($G152+$H152)/$K152,"")</f>
        <v>1</v>
      </c>
      <c r="M152" s="30"/>
      <c r="N152" s="30"/>
      <c r="O152" s="30"/>
      <c r="P152" s="30"/>
    </row>
    <row r="153" customFormat="false" ht="19.5" hidden="false" customHeight="true" outlineLevel="0" collapsed="false">
      <c r="A153" s="44" t="s">
        <v>38</v>
      </c>
      <c r="B153" s="35" t="n">
        <f aca="false">COUNTIFS(入户维修!$F$5:$F$404,$A$71,入户维修!$E$5:$E$404,"?*",入户维修!$C$5:$C$404,$A153)+COUNTIFS(入户维修!$G$5:$G$404,$A$71,入户维修!$E$5:$E$404,"?*",入户维修!$C$5:$C$404,$A153)+COUNTIFS(入户维修!$H$5:$H$404,$A$71,入户维修!$E$5:$E$404,"?*",入户维修!$C$5:$C$404,$A153)+COUNTIFS(公区维修!$F$5:$F$404,$A$71,公区维修!$E$5:$E$404,"?*",公区维修!$C$5:$C$404,$A153)+COUNTIFS(公区维修!$G$5:$G$404,$A$71,公区维修!$E$5:$E$404,"?*",公区维修!$C$5:$C$404,$A153)+COUNTIFS(公区维修!$H$5:$H$404,$A$71,公区维修!$E$5:$E$404,"?*",公区维修!$C$5:$C$404,$A153)</f>
        <v>1</v>
      </c>
      <c r="C153" s="35" t="n">
        <f aca="false">COUNTIFS(入户维修!$F$5:$F$404,$A$71,入户维修!$K$5:$K$404,"已完成",入户维修!$C$5:$C$404,$A153)+COUNTIFS(入户维修!$G$5:$G$404,$A$71,入户维修!$K$5:$K$404,"已完成",入户维修!$C$5:$C$404,$A153)+COUNTIFS(入户维修!$H$5:$H$404,$A$71,入户维修!$K$5:$K$404,"已完成",入户维修!$C$5:$C$404,$A153)+COUNTIFS(公区维修!$F$5:$F$404,$A$71,公区维修!$K$5:$K$404,"已完成",公区维修!$C$5:$C$404,$A153)+COUNTIFS(公区维修!$G$5:$G$404,$A$71,公区维修!$K$5:$K$404,"已完成",公区维修!$C$5:$C$404,$A153)+COUNTIFS(公区维修!$H$5:$H$404,$A$71,公区维修!$K$5:$K$404,"已完成",公区维修!$C$5:$C$404,$A153)</f>
        <v>1</v>
      </c>
      <c r="D153" s="35" t="n">
        <f aca="false">COUNTIFS(入户维修!$F$5:$F$404,$A$71,入户维修!$K$5:$K$404,"跟进中",入户维修!$C$5:$C$404,$A153)+COUNTIFS(入户维修!$G$5:$G$404,$A$71,入户维修!$K$5:$K$404,"跟进中",入户维修!$C$5:$C$404,$A153)+COUNTIFS(入户维修!$H$5:$H$404,$A$71,入户维修!$K$5:$K$404,"跟进中",入户维修!$C$5:$C$404,$A153)+COUNTIFS(公区维修!$F$5:$F$404,$A$71,公区维修!$K$5:$K$404,"跟进中",公区维修!$C$5:$C$404,$A153)+COUNTIFS(公区维修!$G$5:$G$404,$A$71,公区维修!$K$5:$K$404,"跟进中",公区维修!$C$5:$C$404,$A153)+COUNTIFS(公区维修!$H$5:$H$404,$A$71,公区维修!$K$5:$K$404,"跟进中",公区维修!$C$5:$C$404,$A153)</f>
        <v>0</v>
      </c>
      <c r="E153" s="35" t="n">
        <f aca="false">COUNTIFS(入户维修!$F$5:$F$404,$A$71,入户维修!$K$5:$K$404,"需另约时间",入户维修!$C$5:$C$404,$A153)+COUNTIFS(入户维修!$G$5:$G$404,$A$71,入户维修!$K$5:$K$404,"需另约时间",入户维修!$C$5:$C$404,$A153)+COUNTIFS(入户维修!$H$5:$H$404,$A$71,入户维修!$K$5:$K$404,"需另约时间",入户维修!$C$5:$C$404,$A153)+COUNTIFS(公区维修!$F$5:$F$404,$A$71,公区维修!$K$5:$K$404,"需另约时间",公区维修!$C$5:$C$404,$A153)+COUNTIFS(公区维修!$G$5:$G$404,$A$71,公区维修!$K$5:$K$404,"需另约时间",公区维修!$C$5:$C$404,$A153)+COUNTIFS(公区维修!$H$5:$H$404,$A$71,公区维修!$K$5:$K$404,"需另约时间",公区维修!$C$5:$C$404,$A153)</f>
        <v>0</v>
      </c>
      <c r="F153" s="36" t="n">
        <f aca="false">IFERROR($C153/$B153,"")</f>
        <v>1</v>
      </c>
      <c r="G153" s="35" t="n">
        <f aca="false">COUNTIFS(入户维修!$F$5:$F$404,$A$71,入户维修!$O$5:$O$404,"非常满意",入户维修!$C$5:$C$404,$A153)+COUNTIFS(入户维修!$G$5:$G$404,$A$71,入户维修!$O$5:$O$404,"非常满意",入户维修!$C$5:$C$404,$A153)+COUNTIFS(入户维修!$H$5:$H$404,$A$71,入户维修!$O$5:$O$404,"非常满意",入户维修!$C$5:$C$404,$A153)+COUNTIFS(公区维修!$F$5:$F$404,$A$71,公区维修!$N$5:$N$404,"非常满意",公区维修!$C$5:$C$404,$A153)+COUNTIFS(公区维修!$G$5:$G$404,$A$71,公区维修!$N$5:$N$404,"非常满意",公区维修!$C$5:$C$404,$A153)+COUNTIFS(公区维修!$H$5:$H$404,$A$71,公区维修!$N$5:$N$404,"非常满意",公区维修!$C$5:$C$404,$A153)</f>
        <v>1</v>
      </c>
      <c r="H153" s="35" t="n">
        <f aca="false">COUNTIFS(入户维修!$F$5:$F$404,$A$71,入户维修!$O$5:$O$404,"满意",入户维修!$C$5:$C$404,$A153)+COUNTIFS(入户维修!$G$5:$G$404,$A$71,入户维修!$O$5:$O$404,"满意",入户维修!$C$5:$C$404,$A153)+COUNTIFS(入户维修!$H$5:$H$404,$A$71,入户维修!$O$5:$O$404,"满意",入户维修!$C$5:$C$404,$A153)+COUNTIFS(公区维修!$F$5:$F$404,$A$71,公区维修!$N$5:$N$404,"满意",公区维修!$C$5:$C$404,$A153)+COUNTIFS(公区维修!$G$5:$G$404,$A$71,公区维修!$N$5:$N$404,"满意",公区维修!$C$5:$C$404,$A153)+COUNTIFS(公区维修!$H$5:$H$404,$A$71,公区维修!$N$5:$N$404,"满意",公区维修!$C$5:$C$404,$A153)</f>
        <v>0</v>
      </c>
      <c r="I153" s="35" t="n">
        <f aca="false">COUNTIFS(入户维修!$F$5:$F$404,$A$71,入户维修!$O$5:$O$404,"一般",入户维修!$C$5:$C$404,$A153)+COUNTIFS(入户维修!$G$5:$G$404,$A$71,入户维修!$O$5:$O$404,"一般",入户维修!$C$5:$C$404,$A153)+COUNTIFS(入户维修!$H$5:$H$404,$A$71,入户维修!$O$5:$O$404,"一般",入户维修!$C$5:$C$404,$A153)+COUNTIFS(公区维修!$F$5:$F$404,$A$71,公区维修!$N$5:$N$404,"一般",公区维修!$C$5:$C$404,$A153)+COUNTIFS(公区维修!$G$5:$G$404,$A$71,公区维修!$N$5:$N$404,"一般",公区维修!$C$5:$C$404,$A153)+COUNTIFS(公区维修!$H$5:$H$404,$A$71,公区维修!$N$5:$N$404,"一般",公区维修!$C$5:$C$404,$A153)</f>
        <v>0</v>
      </c>
      <c r="J153" s="35" t="n">
        <f aca="false">COUNTIFS(入户维修!$F$5:$F$404,$A$71,入户维修!$O$5:$O$404,"不满意",入户维修!$C$5:$C$404,$A153)+COUNTIFS(入户维修!$G$5:$G$404,$A$71,入户维修!$O$5:$O$404,"不满意",入户维修!$C$5:$C$404,$A153)+COUNTIFS(入户维修!$H$5:$H$404,$A$71,入户维修!$O$5:$O$404,"不满意",入户维修!$C$5:$C$404,$A153)+COUNTIFS(公区维修!$F$5:$F$404,$A$71,公区维修!$N$5:$N$404,"不满意",公区维修!$C$5:$C$404,$A153)+COUNTIFS(公区维修!$G$5:$G$404,$A$71,公区维修!$N$5:$N$404,"不满意",公区维修!$C$5:$C$404,$A153)+COUNTIFS(公区维修!$H$5:$H$404,$A$71,公区维修!$N$5:$N$404,"不满意",公区维修!$C$5:$C$404,$A153)</f>
        <v>0</v>
      </c>
      <c r="K153" s="35" t="n">
        <f aca="false">SUM($G153:$J153)</f>
        <v>1</v>
      </c>
      <c r="L153" s="36" t="n">
        <f aca="false">IFERROR(($G153+$H153)/$K153,"")</f>
        <v>1</v>
      </c>
      <c r="M153" s="30"/>
      <c r="N153" s="30"/>
      <c r="O153" s="30"/>
      <c r="P153" s="30"/>
    </row>
    <row r="154" customFormat="false" ht="19.5" hidden="false" customHeight="true" outlineLevel="0" collapsed="false">
      <c r="A154" s="44" t="s">
        <v>31</v>
      </c>
      <c r="B154" s="35" t="n">
        <f aca="false">COUNTIFS(入户维修!$F$5:$F$404,$A$71,入户维修!$E$5:$E$404,"?*",入户维修!$C$5:$C$404,$A154)+COUNTIFS(入户维修!$G$5:$G$404,$A$71,入户维修!$E$5:$E$404,"?*",入户维修!$C$5:$C$404,$A154)+COUNTIFS(入户维修!$H$5:$H$404,$A$71,入户维修!$E$5:$E$404,"?*",入户维修!$C$5:$C$404,$A154)+COUNTIFS(公区维修!$F$5:$F$404,$A$71,公区维修!$E$5:$E$404,"?*",公区维修!$C$5:$C$404,$A154)+COUNTIFS(公区维修!$G$5:$G$404,$A$71,公区维修!$E$5:$E$404,"?*",公区维修!$C$5:$C$404,$A154)+COUNTIFS(公区维修!$H$5:$H$404,$A$71,公区维修!$E$5:$E$404,"?*",公区维修!$C$5:$C$404,$A154)</f>
        <v>2</v>
      </c>
      <c r="C154" s="35" t="n">
        <f aca="false">COUNTIFS(入户维修!$F$5:$F$404,$A$71,入户维修!$K$5:$K$404,"已完成",入户维修!$C$5:$C$404,$A154)+COUNTIFS(入户维修!$G$5:$G$404,$A$71,入户维修!$K$5:$K$404,"已完成",入户维修!$C$5:$C$404,$A154)+COUNTIFS(入户维修!$H$5:$H$404,$A$71,入户维修!$K$5:$K$404,"已完成",入户维修!$C$5:$C$404,$A154)+COUNTIFS(公区维修!$F$5:$F$404,$A$71,公区维修!$K$5:$K$404,"已完成",公区维修!$C$5:$C$404,$A154)+COUNTIFS(公区维修!$G$5:$G$404,$A$71,公区维修!$K$5:$K$404,"已完成",公区维修!$C$5:$C$404,$A154)+COUNTIFS(公区维修!$H$5:$H$404,$A$71,公区维修!$K$5:$K$404,"已完成",公区维修!$C$5:$C$404,$A154)</f>
        <v>1</v>
      </c>
      <c r="D154" s="35" t="n">
        <f aca="false">COUNTIFS(入户维修!$F$5:$F$404,$A$71,入户维修!$K$5:$K$404,"跟进中",入户维修!$C$5:$C$404,$A154)+COUNTIFS(入户维修!$G$5:$G$404,$A$71,入户维修!$K$5:$K$404,"跟进中",入户维修!$C$5:$C$404,$A154)+COUNTIFS(入户维修!$H$5:$H$404,$A$71,入户维修!$K$5:$K$404,"跟进中",入户维修!$C$5:$C$404,$A154)+COUNTIFS(公区维修!$F$5:$F$404,$A$71,公区维修!$K$5:$K$404,"跟进中",公区维修!$C$5:$C$404,$A154)+COUNTIFS(公区维修!$G$5:$G$404,$A$71,公区维修!$K$5:$K$404,"跟进中",公区维修!$C$5:$C$404,$A154)+COUNTIFS(公区维修!$H$5:$H$404,$A$71,公区维修!$K$5:$K$404,"跟进中",公区维修!$C$5:$C$404,$A154)</f>
        <v>1</v>
      </c>
      <c r="E154" s="35" t="n">
        <f aca="false">COUNTIFS(入户维修!$F$5:$F$404,$A$71,入户维修!$K$5:$K$404,"需另约时间",入户维修!$C$5:$C$404,$A154)+COUNTIFS(入户维修!$G$5:$G$404,$A$71,入户维修!$K$5:$K$404,"需另约时间",入户维修!$C$5:$C$404,$A154)+COUNTIFS(入户维修!$H$5:$H$404,$A$71,入户维修!$K$5:$K$404,"需另约时间",入户维修!$C$5:$C$404,$A154)+COUNTIFS(公区维修!$F$5:$F$404,$A$71,公区维修!$K$5:$K$404,"需另约时间",公区维修!$C$5:$C$404,$A154)+COUNTIFS(公区维修!$G$5:$G$404,$A$71,公区维修!$K$5:$K$404,"需另约时间",公区维修!$C$5:$C$404,$A154)+COUNTIFS(公区维修!$H$5:$H$404,$A$71,公区维修!$K$5:$K$404,"需另约时间",公区维修!$C$5:$C$404,$A154)</f>
        <v>0</v>
      </c>
      <c r="F154" s="36" t="n">
        <f aca="false">IFERROR($C154/$B154,"")</f>
        <v>0.5</v>
      </c>
      <c r="G154" s="35" t="n">
        <f aca="false">COUNTIFS(入户维修!$F$5:$F$404,$A$71,入户维修!$O$5:$O$404,"非常满意",入户维修!$C$5:$C$404,$A154)+COUNTIFS(入户维修!$G$5:$G$404,$A$71,入户维修!$O$5:$O$404,"非常满意",入户维修!$C$5:$C$404,$A154)+COUNTIFS(入户维修!$H$5:$H$404,$A$71,入户维修!$O$5:$O$404,"非常满意",入户维修!$C$5:$C$404,$A154)+COUNTIFS(公区维修!$F$5:$F$404,$A$71,公区维修!$N$5:$N$404,"非常满意",公区维修!$C$5:$C$404,$A154)+COUNTIFS(公区维修!$G$5:$G$404,$A$71,公区维修!$N$5:$N$404,"非常满意",公区维修!$C$5:$C$404,$A154)+COUNTIFS(公区维修!$H$5:$H$404,$A$71,公区维修!$N$5:$N$404,"非常满意",公区维修!$C$5:$C$404,$A154)</f>
        <v>1</v>
      </c>
      <c r="H154" s="35" t="n">
        <f aca="false">COUNTIFS(入户维修!$F$5:$F$404,$A$71,入户维修!$O$5:$O$404,"满意",入户维修!$C$5:$C$404,$A154)+COUNTIFS(入户维修!$G$5:$G$404,$A$71,入户维修!$O$5:$O$404,"满意",入户维修!$C$5:$C$404,$A154)+COUNTIFS(入户维修!$H$5:$H$404,$A$71,入户维修!$O$5:$O$404,"满意",入户维修!$C$5:$C$404,$A154)+COUNTIFS(公区维修!$F$5:$F$404,$A$71,公区维修!$N$5:$N$404,"满意",公区维修!$C$5:$C$404,$A154)+COUNTIFS(公区维修!$G$5:$G$404,$A$71,公区维修!$N$5:$N$404,"满意",公区维修!$C$5:$C$404,$A154)+COUNTIFS(公区维修!$H$5:$H$404,$A$71,公区维修!$N$5:$N$404,"满意",公区维修!$C$5:$C$404,$A154)</f>
        <v>0</v>
      </c>
      <c r="I154" s="35" t="n">
        <f aca="false">COUNTIFS(入户维修!$F$5:$F$404,$A$71,入户维修!$O$5:$O$404,"一般",入户维修!$C$5:$C$404,$A154)+COUNTIFS(入户维修!$G$5:$G$404,$A$71,入户维修!$O$5:$O$404,"一般",入户维修!$C$5:$C$404,$A154)+COUNTIFS(入户维修!$H$5:$H$404,$A$71,入户维修!$O$5:$O$404,"一般",入户维修!$C$5:$C$404,$A154)+COUNTIFS(公区维修!$F$5:$F$404,$A$71,公区维修!$N$5:$N$404,"一般",公区维修!$C$5:$C$404,$A154)+COUNTIFS(公区维修!$G$5:$G$404,$A$71,公区维修!$N$5:$N$404,"一般",公区维修!$C$5:$C$404,$A154)+COUNTIFS(公区维修!$H$5:$H$404,$A$71,公区维修!$N$5:$N$404,"一般",公区维修!$C$5:$C$404,$A154)</f>
        <v>0</v>
      </c>
      <c r="J154" s="35" t="n">
        <f aca="false">COUNTIFS(入户维修!$F$5:$F$404,$A$71,入户维修!$O$5:$O$404,"不满意",入户维修!$C$5:$C$404,$A154)+COUNTIFS(入户维修!$G$5:$G$404,$A$71,入户维修!$O$5:$O$404,"不满意",入户维修!$C$5:$C$404,$A154)+COUNTIFS(入户维修!$H$5:$H$404,$A$71,入户维修!$O$5:$O$404,"不满意",入户维修!$C$5:$C$404,$A154)+COUNTIFS(公区维修!$F$5:$F$404,$A$71,公区维修!$N$5:$N$404,"不满意",公区维修!$C$5:$C$404,$A154)+COUNTIFS(公区维修!$G$5:$G$404,$A$71,公区维修!$N$5:$N$404,"不满意",公区维修!$C$5:$C$404,$A154)+COUNTIFS(公区维修!$H$5:$H$404,$A$71,公区维修!$N$5:$N$404,"不满意",公区维修!$C$5:$C$404,$A154)</f>
        <v>0</v>
      </c>
      <c r="K154" s="35" t="n">
        <f aca="false">SUM($G154:$J154)</f>
        <v>1</v>
      </c>
      <c r="L154" s="36" t="n">
        <f aca="false">IFERROR(($G154+$H154)/$K154,"")</f>
        <v>1</v>
      </c>
      <c r="M154" s="30"/>
      <c r="N154" s="30"/>
      <c r="O154" s="30"/>
      <c r="P154" s="30"/>
    </row>
    <row r="155" customFormat="false" ht="19.5" hidden="false" customHeight="true" outlineLevel="0" collapsed="false">
      <c r="A155" s="44" t="s">
        <v>43</v>
      </c>
      <c r="B155" s="35" t="n">
        <f aca="false">COUNTIFS(入户维修!$F$5:$F$404,$A$71,入户维修!$E$5:$E$404,"?*",入户维修!$C$5:$C$404,$A155)+COUNTIFS(入户维修!$G$5:$G$404,$A$71,入户维修!$E$5:$E$404,"?*",入户维修!$C$5:$C$404,$A155)+COUNTIFS(入户维修!$H$5:$H$404,$A$71,入户维修!$E$5:$E$404,"?*",入户维修!$C$5:$C$404,$A155)+COUNTIFS(公区维修!$F$5:$F$404,$A$71,公区维修!$E$5:$E$404,"?*",公区维修!$C$5:$C$404,$A155)+COUNTIFS(公区维修!$G$5:$G$404,$A$71,公区维修!$E$5:$E$404,"?*",公区维修!$C$5:$C$404,$A155)+COUNTIFS(公区维修!$H$5:$H$404,$A$71,公区维修!$E$5:$E$404,"?*",公区维修!$C$5:$C$404,$A155)</f>
        <v>0</v>
      </c>
      <c r="C155" s="35" t="n">
        <f aca="false">COUNTIFS(入户维修!$F$5:$F$404,$A$71,入户维修!$K$5:$K$404,"已完成",入户维修!$C$5:$C$404,$A155)+COUNTIFS(入户维修!$G$5:$G$404,$A$71,入户维修!$K$5:$K$404,"已完成",入户维修!$C$5:$C$404,$A155)+COUNTIFS(入户维修!$H$5:$H$404,$A$71,入户维修!$K$5:$K$404,"已完成",入户维修!$C$5:$C$404,$A155)+COUNTIFS(公区维修!$F$5:$F$404,$A$71,公区维修!$K$5:$K$404,"已完成",公区维修!$C$5:$C$404,$A155)+COUNTIFS(公区维修!$G$5:$G$404,$A$71,公区维修!$K$5:$K$404,"已完成",公区维修!$C$5:$C$404,$A155)+COUNTIFS(公区维修!$H$5:$H$404,$A$71,公区维修!$K$5:$K$404,"已完成",公区维修!$C$5:$C$404,$A155)</f>
        <v>0</v>
      </c>
      <c r="D155" s="35" t="n">
        <f aca="false">COUNTIFS(入户维修!$F$5:$F$404,$A$71,入户维修!$K$5:$K$404,"跟进中",入户维修!$C$5:$C$404,$A155)+COUNTIFS(入户维修!$G$5:$G$404,$A$71,入户维修!$K$5:$K$404,"跟进中",入户维修!$C$5:$C$404,$A155)+COUNTIFS(入户维修!$H$5:$H$404,$A$71,入户维修!$K$5:$K$404,"跟进中",入户维修!$C$5:$C$404,$A155)+COUNTIFS(公区维修!$F$5:$F$404,$A$71,公区维修!$K$5:$K$404,"跟进中",公区维修!$C$5:$C$404,$A155)+COUNTIFS(公区维修!$G$5:$G$404,$A$71,公区维修!$K$5:$K$404,"跟进中",公区维修!$C$5:$C$404,$A155)+COUNTIFS(公区维修!$H$5:$H$404,$A$71,公区维修!$K$5:$K$404,"跟进中",公区维修!$C$5:$C$404,$A155)</f>
        <v>0</v>
      </c>
      <c r="E155" s="35" t="n">
        <f aca="false">COUNTIFS(入户维修!$F$5:$F$404,$A$71,入户维修!$K$5:$K$404,"需另约时间",入户维修!$C$5:$C$404,$A155)+COUNTIFS(入户维修!$G$5:$G$404,$A$71,入户维修!$K$5:$K$404,"需另约时间",入户维修!$C$5:$C$404,$A155)+COUNTIFS(入户维修!$H$5:$H$404,$A$71,入户维修!$K$5:$K$404,"需另约时间",入户维修!$C$5:$C$404,$A155)+COUNTIFS(公区维修!$F$5:$F$404,$A$71,公区维修!$K$5:$K$404,"需另约时间",公区维修!$C$5:$C$404,$A155)+COUNTIFS(公区维修!$G$5:$G$404,$A$71,公区维修!$K$5:$K$404,"需另约时间",公区维修!$C$5:$C$404,$A155)+COUNTIFS(公区维修!$H$5:$H$404,$A$71,公区维修!$K$5:$K$404,"需另约时间",公区维修!$C$5:$C$404,$A155)</f>
        <v>0</v>
      </c>
      <c r="F155" s="36" t="str">
        <f aca="false">IFERROR($C155/$B155,"")</f>
        <v/>
      </c>
      <c r="G155" s="35" t="n">
        <f aca="false">COUNTIFS(入户维修!$F$5:$F$404,$A$71,入户维修!$O$5:$O$404,"非常满意",入户维修!$C$5:$C$404,$A155)+COUNTIFS(入户维修!$G$5:$G$404,$A$71,入户维修!$O$5:$O$404,"非常满意",入户维修!$C$5:$C$404,$A155)+COUNTIFS(入户维修!$H$5:$H$404,$A$71,入户维修!$O$5:$O$404,"非常满意",入户维修!$C$5:$C$404,$A155)+COUNTIFS(公区维修!$F$5:$F$404,$A$71,公区维修!$N$5:$N$404,"非常满意",公区维修!$C$5:$C$404,$A155)+COUNTIFS(公区维修!$G$5:$G$404,$A$71,公区维修!$N$5:$N$404,"非常满意",公区维修!$C$5:$C$404,$A155)+COUNTIFS(公区维修!$H$5:$H$404,$A$71,公区维修!$N$5:$N$404,"非常满意",公区维修!$C$5:$C$404,$A155)</f>
        <v>0</v>
      </c>
      <c r="H155" s="35" t="n">
        <f aca="false">COUNTIFS(入户维修!$F$5:$F$404,$A$71,入户维修!$O$5:$O$404,"满意",入户维修!$C$5:$C$404,$A155)+COUNTIFS(入户维修!$G$5:$G$404,$A$71,入户维修!$O$5:$O$404,"满意",入户维修!$C$5:$C$404,$A155)+COUNTIFS(入户维修!$H$5:$H$404,$A$71,入户维修!$O$5:$O$404,"满意",入户维修!$C$5:$C$404,$A155)+COUNTIFS(公区维修!$F$5:$F$404,$A$71,公区维修!$N$5:$N$404,"满意",公区维修!$C$5:$C$404,$A155)+COUNTIFS(公区维修!$G$5:$G$404,$A$71,公区维修!$N$5:$N$404,"满意",公区维修!$C$5:$C$404,$A155)+COUNTIFS(公区维修!$H$5:$H$404,$A$71,公区维修!$N$5:$N$404,"满意",公区维修!$C$5:$C$404,$A155)</f>
        <v>0</v>
      </c>
      <c r="I155" s="35" t="n">
        <f aca="false">COUNTIFS(入户维修!$F$5:$F$404,$A$71,入户维修!$O$5:$O$404,"一般",入户维修!$C$5:$C$404,$A155)+COUNTIFS(入户维修!$G$5:$G$404,$A$71,入户维修!$O$5:$O$404,"一般",入户维修!$C$5:$C$404,$A155)+COUNTIFS(入户维修!$H$5:$H$404,$A$71,入户维修!$O$5:$O$404,"一般",入户维修!$C$5:$C$404,$A155)+COUNTIFS(公区维修!$F$5:$F$404,$A$71,公区维修!$N$5:$N$404,"一般",公区维修!$C$5:$C$404,$A155)+COUNTIFS(公区维修!$G$5:$G$404,$A$71,公区维修!$N$5:$N$404,"一般",公区维修!$C$5:$C$404,$A155)+COUNTIFS(公区维修!$H$5:$H$404,$A$71,公区维修!$N$5:$N$404,"一般",公区维修!$C$5:$C$404,$A155)</f>
        <v>0</v>
      </c>
      <c r="J155" s="35" t="n">
        <f aca="false">COUNTIFS(入户维修!$F$5:$F$404,$A$71,入户维修!$O$5:$O$404,"不满意",入户维修!$C$5:$C$404,$A155)+COUNTIFS(入户维修!$G$5:$G$404,$A$71,入户维修!$O$5:$O$404,"不满意",入户维修!$C$5:$C$404,$A155)+COUNTIFS(入户维修!$H$5:$H$404,$A$71,入户维修!$O$5:$O$404,"不满意",入户维修!$C$5:$C$404,$A155)+COUNTIFS(公区维修!$F$5:$F$404,$A$71,公区维修!$N$5:$N$404,"不满意",公区维修!$C$5:$C$404,$A155)+COUNTIFS(公区维修!$G$5:$G$404,$A$71,公区维修!$N$5:$N$404,"不满意",公区维修!$C$5:$C$404,$A155)+COUNTIFS(公区维修!$H$5:$H$404,$A$71,公区维修!$N$5:$N$404,"不满意",公区维修!$C$5:$C$404,$A155)</f>
        <v>0</v>
      </c>
      <c r="K155" s="35" t="n">
        <f aca="false">SUM($G155:$J155)</f>
        <v>0</v>
      </c>
      <c r="L155" s="36" t="str">
        <f aca="false">IFERROR(($G155+$H155)/$K155,"")</f>
        <v/>
      </c>
      <c r="M155" s="30"/>
      <c r="N155" s="30"/>
      <c r="O155" s="30"/>
      <c r="P155" s="30"/>
    </row>
    <row r="156" customFormat="false" ht="19.5" hidden="false" customHeight="true" outlineLevel="0" collapsed="false">
      <c r="A156" s="44" t="s">
        <v>21</v>
      </c>
      <c r="B156" s="35" t="n">
        <f aca="false">COUNTIFS(入户维修!$F$5:$F$404,$A$71,入户维修!$E$5:$E$404,"?*",入户维修!$C$5:$C$404,$A156)+COUNTIFS(入户维修!$G$5:$G$404,$A$71,入户维修!$E$5:$E$404,"?*",入户维修!$C$5:$C$404,$A156)+COUNTIFS(入户维修!$H$5:$H$404,$A$71,入户维修!$E$5:$E$404,"?*",入户维修!$C$5:$C$404,$A156)+COUNTIFS(公区维修!$F$5:$F$404,$A$71,公区维修!$E$5:$E$404,"?*",公区维修!$C$5:$C$404,$A156)+COUNTIFS(公区维修!$G$5:$G$404,$A$71,公区维修!$E$5:$E$404,"?*",公区维修!$C$5:$C$404,$A156)+COUNTIFS(公区维修!$H$5:$H$404,$A$71,公区维修!$E$5:$E$404,"?*",公区维修!$C$5:$C$404,$A156)</f>
        <v>0</v>
      </c>
      <c r="C156" s="35" t="n">
        <f aca="false">COUNTIFS(入户维修!$F$5:$F$404,$A$71,入户维修!$K$5:$K$404,"已完成",入户维修!$C$5:$C$404,$A156)+COUNTIFS(入户维修!$G$5:$G$404,$A$71,入户维修!$K$5:$K$404,"已完成",入户维修!$C$5:$C$404,$A156)+COUNTIFS(入户维修!$H$5:$H$404,$A$71,入户维修!$K$5:$K$404,"已完成",入户维修!$C$5:$C$404,$A156)+COUNTIFS(公区维修!$F$5:$F$404,$A$71,公区维修!$K$5:$K$404,"已完成",公区维修!$C$5:$C$404,$A156)+COUNTIFS(公区维修!$G$5:$G$404,$A$71,公区维修!$K$5:$K$404,"已完成",公区维修!$C$5:$C$404,$A156)+COUNTIFS(公区维修!$H$5:$H$404,$A$71,公区维修!$K$5:$K$404,"已完成",公区维修!$C$5:$C$404,$A156)</f>
        <v>0</v>
      </c>
      <c r="D156" s="35" t="n">
        <f aca="false">COUNTIFS(入户维修!$F$5:$F$404,$A$71,入户维修!$K$5:$K$404,"跟进中",入户维修!$C$5:$C$404,$A156)+COUNTIFS(入户维修!$G$5:$G$404,$A$71,入户维修!$K$5:$K$404,"跟进中",入户维修!$C$5:$C$404,$A156)+COUNTIFS(入户维修!$H$5:$H$404,$A$71,入户维修!$K$5:$K$404,"跟进中",入户维修!$C$5:$C$404,$A156)+COUNTIFS(公区维修!$F$5:$F$404,$A$71,公区维修!$K$5:$K$404,"跟进中",公区维修!$C$5:$C$404,$A156)+COUNTIFS(公区维修!$G$5:$G$404,$A$71,公区维修!$K$5:$K$404,"跟进中",公区维修!$C$5:$C$404,$A156)+COUNTIFS(公区维修!$H$5:$H$404,$A$71,公区维修!$K$5:$K$404,"跟进中",公区维修!$C$5:$C$404,$A156)</f>
        <v>0</v>
      </c>
      <c r="E156" s="35" t="n">
        <f aca="false">COUNTIFS(入户维修!$F$5:$F$404,$A$71,入户维修!$K$5:$K$404,"需另约时间",入户维修!$C$5:$C$404,$A156)+COUNTIFS(入户维修!$G$5:$G$404,$A$71,入户维修!$K$5:$K$404,"需另约时间",入户维修!$C$5:$C$404,$A156)+COUNTIFS(入户维修!$H$5:$H$404,$A$71,入户维修!$K$5:$K$404,"需另约时间",入户维修!$C$5:$C$404,$A156)+COUNTIFS(公区维修!$F$5:$F$404,$A$71,公区维修!$K$5:$K$404,"需另约时间",公区维修!$C$5:$C$404,$A156)+COUNTIFS(公区维修!$G$5:$G$404,$A$71,公区维修!$K$5:$K$404,"需另约时间",公区维修!$C$5:$C$404,$A156)+COUNTIFS(公区维修!$H$5:$H$404,$A$71,公区维修!$K$5:$K$404,"需另约时间",公区维修!$C$5:$C$404,$A156)</f>
        <v>0</v>
      </c>
      <c r="F156" s="36" t="str">
        <f aca="false">IFERROR($C156/$B156,"")</f>
        <v/>
      </c>
      <c r="G156" s="35" t="n">
        <f aca="false">COUNTIFS(入户维修!$F$5:$F$404,$A$71,入户维修!$O$5:$O$404,"非常满意",入户维修!$C$5:$C$404,$A156)+COUNTIFS(入户维修!$G$5:$G$404,$A$71,入户维修!$O$5:$O$404,"非常满意",入户维修!$C$5:$C$404,$A156)+COUNTIFS(入户维修!$H$5:$H$404,$A$71,入户维修!$O$5:$O$404,"非常满意",入户维修!$C$5:$C$404,$A156)+COUNTIFS(公区维修!$F$5:$F$404,$A$71,公区维修!$N$5:$N$404,"非常满意",公区维修!$C$5:$C$404,$A156)+COUNTIFS(公区维修!$G$5:$G$404,$A$71,公区维修!$N$5:$N$404,"非常满意",公区维修!$C$5:$C$404,$A156)+COUNTIFS(公区维修!$H$5:$H$404,$A$71,公区维修!$N$5:$N$404,"非常满意",公区维修!$C$5:$C$404,$A156)</f>
        <v>0</v>
      </c>
      <c r="H156" s="35" t="n">
        <f aca="false">COUNTIFS(入户维修!$F$5:$F$404,$A$71,入户维修!$O$5:$O$404,"满意",入户维修!$C$5:$C$404,$A156)+COUNTIFS(入户维修!$G$5:$G$404,$A$71,入户维修!$O$5:$O$404,"满意",入户维修!$C$5:$C$404,$A156)+COUNTIFS(入户维修!$H$5:$H$404,$A$71,入户维修!$O$5:$O$404,"满意",入户维修!$C$5:$C$404,$A156)+COUNTIFS(公区维修!$F$5:$F$404,$A$71,公区维修!$N$5:$N$404,"满意",公区维修!$C$5:$C$404,$A156)+COUNTIFS(公区维修!$G$5:$G$404,$A$71,公区维修!$N$5:$N$404,"满意",公区维修!$C$5:$C$404,$A156)+COUNTIFS(公区维修!$H$5:$H$404,$A$71,公区维修!$N$5:$N$404,"满意",公区维修!$C$5:$C$404,$A156)</f>
        <v>0</v>
      </c>
      <c r="I156" s="35" t="n">
        <f aca="false">COUNTIFS(入户维修!$F$5:$F$404,$A$71,入户维修!$O$5:$O$404,"一般",入户维修!$C$5:$C$404,$A156)+COUNTIFS(入户维修!$G$5:$G$404,$A$71,入户维修!$O$5:$O$404,"一般",入户维修!$C$5:$C$404,$A156)+COUNTIFS(入户维修!$H$5:$H$404,$A$71,入户维修!$O$5:$O$404,"一般",入户维修!$C$5:$C$404,$A156)+COUNTIFS(公区维修!$F$5:$F$404,$A$71,公区维修!$N$5:$N$404,"一般",公区维修!$C$5:$C$404,$A156)+COUNTIFS(公区维修!$G$5:$G$404,$A$71,公区维修!$N$5:$N$404,"一般",公区维修!$C$5:$C$404,$A156)+COUNTIFS(公区维修!$H$5:$H$404,$A$71,公区维修!$N$5:$N$404,"一般",公区维修!$C$5:$C$404,$A156)</f>
        <v>0</v>
      </c>
      <c r="J156" s="35" t="n">
        <f aca="false">COUNTIFS(入户维修!$F$5:$F$404,$A$71,入户维修!$O$5:$O$404,"不满意",入户维修!$C$5:$C$404,$A156)+COUNTIFS(入户维修!$G$5:$G$404,$A$71,入户维修!$O$5:$O$404,"不满意",入户维修!$C$5:$C$404,$A156)+COUNTIFS(入户维修!$H$5:$H$404,$A$71,入户维修!$O$5:$O$404,"不满意",入户维修!$C$5:$C$404,$A156)+COUNTIFS(公区维修!$F$5:$F$404,$A$71,公区维修!$N$5:$N$404,"不满意",公区维修!$C$5:$C$404,$A156)+COUNTIFS(公区维修!$G$5:$G$404,$A$71,公区维修!$N$5:$N$404,"不满意",公区维修!$C$5:$C$404,$A156)+COUNTIFS(公区维修!$H$5:$H$404,$A$71,公区维修!$N$5:$N$404,"不满意",公区维修!$C$5:$C$404,$A156)</f>
        <v>0</v>
      </c>
      <c r="K156" s="35" t="n">
        <f aca="false">SUM($G156:$J156)</f>
        <v>0</v>
      </c>
      <c r="L156" s="36" t="str">
        <f aca="false">IFERROR(($G156+$H156)/$K156,"")</f>
        <v/>
      </c>
      <c r="M156" s="30"/>
      <c r="N156" s="30"/>
      <c r="O156" s="30"/>
      <c r="P156" s="30"/>
    </row>
    <row r="157" customFormat="false" ht="19.5" hidden="false" customHeight="true" outlineLevel="0" collapsed="false">
      <c r="A157" s="44" t="s">
        <v>79</v>
      </c>
      <c r="B157" s="35" t="n">
        <f aca="false">COUNTIFS(入户维修!$F$5:$F$404,$A$71,入户维修!$E$5:$E$404,"?*",入户维修!$C$5:$C$404,$A157)+COUNTIFS(入户维修!$G$5:$G$404,$A$71,入户维修!$E$5:$E$404,"?*",入户维修!$C$5:$C$404,$A157)+COUNTIFS(入户维修!$H$5:$H$404,$A$71,入户维修!$E$5:$E$404,"?*",入户维修!$C$5:$C$404,$A157)+COUNTIFS(公区维修!$F$5:$F$404,$A$71,公区维修!$E$5:$E$404,"?*",公区维修!$C$5:$C$404,$A157)+COUNTIFS(公区维修!$G$5:$G$404,$A$71,公区维修!$E$5:$E$404,"?*",公区维修!$C$5:$C$404,$A157)+COUNTIFS(公区维修!$H$5:$H$404,$A$71,公区维修!$E$5:$E$404,"?*",公区维修!$C$5:$C$404,$A157)</f>
        <v>2</v>
      </c>
      <c r="C157" s="35" t="n">
        <f aca="false">COUNTIFS(入户维修!$F$5:$F$404,$A$71,入户维修!$K$5:$K$404,"已完成",入户维修!$C$5:$C$404,$A157)+COUNTIFS(入户维修!$G$5:$G$404,$A$71,入户维修!$K$5:$K$404,"已完成",入户维修!$C$5:$C$404,$A157)+COUNTIFS(入户维修!$H$5:$H$404,$A$71,入户维修!$K$5:$K$404,"已完成",入户维修!$C$5:$C$404,$A157)+COUNTIFS(公区维修!$F$5:$F$404,$A$71,公区维修!$K$5:$K$404,"已完成",公区维修!$C$5:$C$404,$A157)+COUNTIFS(公区维修!$G$5:$G$404,$A$71,公区维修!$K$5:$K$404,"已完成",公区维修!$C$5:$C$404,$A157)+COUNTIFS(公区维修!$H$5:$H$404,$A$71,公区维修!$K$5:$K$404,"已完成",公区维修!$C$5:$C$404,$A157)</f>
        <v>1</v>
      </c>
      <c r="D157" s="35" t="n">
        <f aca="false">COUNTIFS(入户维修!$F$5:$F$404,$A$71,入户维修!$K$5:$K$404,"跟进中",入户维修!$C$5:$C$404,$A157)+COUNTIFS(入户维修!$G$5:$G$404,$A$71,入户维修!$K$5:$K$404,"跟进中",入户维修!$C$5:$C$404,$A157)+COUNTIFS(入户维修!$H$5:$H$404,$A$71,入户维修!$K$5:$K$404,"跟进中",入户维修!$C$5:$C$404,$A157)+COUNTIFS(公区维修!$F$5:$F$404,$A$71,公区维修!$K$5:$K$404,"跟进中",公区维修!$C$5:$C$404,$A157)+COUNTIFS(公区维修!$G$5:$G$404,$A$71,公区维修!$K$5:$K$404,"跟进中",公区维修!$C$5:$C$404,$A157)+COUNTIFS(公区维修!$H$5:$H$404,$A$71,公区维修!$K$5:$K$404,"跟进中",公区维修!$C$5:$C$404,$A157)</f>
        <v>1</v>
      </c>
      <c r="E157" s="35" t="n">
        <f aca="false">COUNTIFS(入户维修!$F$5:$F$404,$A$71,入户维修!$K$5:$K$404,"需另约时间",入户维修!$C$5:$C$404,$A157)+COUNTIFS(入户维修!$G$5:$G$404,$A$71,入户维修!$K$5:$K$404,"需另约时间",入户维修!$C$5:$C$404,$A157)+COUNTIFS(入户维修!$H$5:$H$404,$A$71,入户维修!$K$5:$K$404,"需另约时间",入户维修!$C$5:$C$404,$A157)+COUNTIFS(公区维修!$F$5:$F$404,$A$71,公区维修!$K$5:$K$404,"需另约时间",公区维修!$C$5:$C$404,$A157)+COUNTIFS(公区维修!$G$5:$G$404,$A$71,公区维修!$K$5:$K$404,"需另约时间",公区维修!$C$5:$C$404,$A157)+COUNTIFS(公区维修!$H$5:$H$404,$A$71,公区维修!$K$5:$K$404,"需另约时间",公区维修!$C$5:$C$404,$A157)</f>
        <v>0</v>
      </c>
      <c r="F157" s="36" t="n">
        <f aca="false">IFERROR($C157/$B157,"")</f>
        <v>0.5</v>
      </c>
      <c r="G157" s="35" t="n">
        <f aca="false">COUNTIFS(入户维修!$F$5:$F$404,$A$71,入户维修!$O$5:$O$404,"非常满意",入户维修!$C$5:$C$404,$A157)+COUNTIFS(入户维修!$G$5:$G$404,$A$71,入户维修!$O$5:$O$404,"非常满意",入户维修!$C$5:$C$404,$A157)+COUNTIFS(入户维修!$H$5:$H$404,$A$71,入户维修!$O$5:$O$404,"非常满意",入户维修!$C$5:$C$404,$A157)+COUNTIFS(公区维修!$F$5:$F$404,$A$71,公区维修!$N$5:$N$404,"非常满意",公区维修!$C$5:$C$404,$A157)+COUNTIFS(公区维修!$G$5:$G$404,$A$71,公区维修!$N$5:$N$404,"非常满意",公区维修!$C$5:$C$404,$A157)+COUNTIFS(公区维修!$H$5:$H$404,$A$71,公区维修!$N$5:$N$404,"非常满意",公区维修!$C$5:$C$404,$A157)</f>
        <v>1</v>
      </c>
      <c r="H157" s="35" t="n">
        <f aca="false">COUNTIFS(入户维修!$F$5:$F$404,$A$71,入户维修!$O$5:$O$404,"满意",入户维修!$C$5:$C$404,$A157)+COUNTIFS(入户维修!$G$5:$G$404,$A$71,入户维修!$O$5:$O$404,"满意",入户维修!$C$5:$C$404,$A157)+COUNTIFS(入户维修!$H$5:$H$404,$A$71,入户维修!$O$5:$O$404,"满意",入户维修!$C$5:$C$404,$A157)+COUNTIFS(公区维修!$F$5:$F$404,$A$71,公区维修!$N$5:$N$404,"满意",公区维修!$C$5:$C$404,$A157)+COUNTIFS(公区维修!$G$5:$G$404,$A$71,公区维修!$N$5:$N$404,"满意",公区维修!$C$5:$C$404,$A157)+COUNTIFS(公区维修!$H$5:$H$404,$A$71,公区维修!$N$5:$N$404,"满意",公区维修!$C$5:$C$404,$A157)</f>
        <v>0</v>
      </c>
      <c r="I157" s="35" t="n">
        <f aca="false">COUNTIFS(入户维修!$F$5:$F$404,$A$71,入户维修!$O$5:$O$404,"一般",入户维修!$C$5:$C$404,$A157)+COUNTIFS(入户维修!$G$5:$G$404,$A$71,入户维修!$O$5:$O$404,"一般",入户维修!$C$5:$C$404,$A157)+COUNTIFS(入户维修!$H$5:$H$404,$A$71,入户维修!$O$5:$O$404,"一般",入户维修!$C$5:$C$404,$A157)+COUNTIFS(公区维修!$F$5:$F$404,$A$71,公区维修!$N$5:$N$404,"一般",公区维修!$C$5:$C$404,$A157)+COUNTIFS(公区维修!$G$5:$G$404,$A$71,公区维修!$N$5:$N$404,"一般",公区维修!$C$5:$C$404,$A157)+COUNTIFS(公区维修!$H$5:$H$404,$A$71,公区维修!$N$5:$N$404,"一般",公区维修!$C$5:$C$404,$A157)</f>
        <v>0</v>
      </c>
      <c r="J157" s="35" t="n">
        <f aca="false">COUNTIFS(入户维修!$F$5:$F$404,$A$71,入户维修!$O$5:$O$404,"不满意",入户维修!$C$5:$C$404,$A157)+COUNTIFS(入户维修!$G$5:$G$404,$A$71,入户维修!$O$5:$O$404,"不满意",入户维修!$C$5:$C$404,$A157)+COUNTIFS(入户维修!$H$5:$H$404,$A$71,入户维修!$O$5:$O$404,"不满意",入户维修!$C$5:$C$404,$A157)+COUNTIFS(公区维修!$F$5:$F$404,$A$71,公区维修!$N$5:$N$404,"不满意",公区维修!$C$5:$C$404,$A157)+COUNTIFS(公区维修!$G$5:$G$404,$A$71,公区维修!$N$5:$N$404,"不满意",公区维修!$C$5:$C$404,$A157)+COUNTIFS(公区维修!$H$5:$H$404,$A$71,公区维修!$N$5:$N$404,"不满意",公区维修!$C$5:$C$404,$A157)</f>
        <v>0</v>
      </c>
      <c r="K157" s="35" t="n">
        <f aca="false">SUM($G157:$J157)</f>
        <v>1</v>
      </c>
      <c r="L157" s="36" t="n">
        <f aca="false">IFERROR(($G157+$H157)/$K157,"")</f>
        <v>1</v>
      </c>
      <c r="M157" s="30"/>
      <c r="N157" s="30"/>
      <c r="O157" s="30"/>
      <c r="P157" s="30"/>
    </row>
    <row r="158" customFormat="false" ht="19.5" hidden="false" customHeight="true" outlineLevel="0" collapsed="false">
      <c r="A158" s="44" t="s">
        <v>76</v>
      </c>
      <c r="B158" s="35" t="n">
        <f aca="false">COUNTIFS(入户维修!$F$5:$F$404,$A$71,入户维修!$E$5:$E$404,"?*",入户维修!$C$5:$C$404,$A158)+COUNTIFS(入户维修!$G$5:$G$404,$A$71,入户维修!$E$5:$E$404,"?*",入户维修!$C$5:$C$404,$A158)+COUNTIFS(入户维修!$H$5:$H$404,$A$71,入户维修!$E$5:$E$404,"?*",入户维修!$C$5:$C$404,$A158)+COUNTIFS(公区维修!$F$5:$F$404,$A$71,公区维修!$E$5:$E$404,"?*",公区维修!$C$5:$C$404,$A158)+COUNTIFS(公区维修!$G$5:$G$404,$A$71,公区维修!$E$5:$E$404,"?*",公区维修!$C$5:$C$404,$A158)+COUNTIFS(公区维修!$H$5:$H$404,$A$71,公区维修!$E$5:$E$404,"?*",公区维修!$C$5:$C$404,$A158)</f>
        <v>0</v>
      </c>
      <c r="C158" s="35" t="n">
        <f aca="false">COUNTIFS(入户维修!$F$5:$F$404,$A$71,入户维修!$K$5:$K$404,"已完成",入户维修!$C$5:$C$404,$A158)+COUNTIFS(入户维修!$G$5:$G$404,$A$71,入户维修!$K$5:$K$404,"已完成",入户维修!$C$5:$C$404,$A158)+COUNTIFS(入户维修!$H$5:$H$404,$A$71,入户维修!$K$5:$K$404,"已完成",入户维修!$C$5:$C$404,$A158)+COUNTIFS(公区维修!$F$5:$F$404,$A$71,公区维修!$K$5:$K$404,"已完成",公区维修!$C$5:$C$404,$A158)+COUNTIFS(公区维修!$G$5:$G$404,$A$71,公区维修!$K$5:$K$404,"已完成",公区维修!$C$5:$C$404,$A158)+COUNTIFS(公区维修!$H$5:$H$404,$A$71,公区维修!$K$5:$K$404,"已完成",公区维修!$C$5:$C$404,$A158)</f>
        <v>0</v>
      </c>
      <c r="D158" s="35" t="n">
        <f aca="false">COUNTIFS(入户维修!$F$5:$F$404,$A$71,入户维修!$K$5:$K$404,"跟进中",入户维修!$C$5:$C$404,$A158)+COUNTIFS(入户维修!$G$5:$G$404,$A$71,入户维修!$K$5:$K$404,"跟进中",入户维修!$C$5:$C$404,$A158)+COUNTIFS(入户维修!$H$5:$H$404,$A$71,入户维修!$K$5:$K$404,"跟进中",入户维修!$C$5:$C$404,$A158)+COUNTIFS(公区维修!$F$5:$F$404,$A$71,公区维修!$K$5:$K$404,"跟进中",公区维修!$C$5:$C$404,$A158)+COUNTIFS(公区维修!$G$5:$G$404,$A$71,公区维修!$K$5:$K$404,"跟进中",公区维修!$C$5:$C$404,$A158)+COUNTIFS(公区维修!$H$5:$H$404,$A$71,公区维修!$K$5:$K$404,"跟进中",公区维修!$C$5:$C$404,$A158)</f>
        <v>0</v>
      </c>
      <c r="E158" s="35" t="n">
        <f aca="false">COUNTIFS(入户维修!$F$5:$F$404,$A$71,入户维修!$K$5:$K$404,"需另约时间",入户维修!$C$5:$C$404,$A158)+COUNTIFS(入户维修!$G$5:$G$404,$A$71,入户维修!$K$5:$K$404,"需另约时间",入户维修!$C$5:$C$404,$A158)+COUNTIFS(入户维修!$H$5:$H$404,$A$71,入户维修!$K$5:$K$404,"需另约时间",入户维修!$C$5:$C$404,$A158)+COUNTIFS(公区维修!$F$5:$F$404,$A$71,公区维修!$K$5:$K$404,"需另约时间",公区维修!$C$5:$C$404,$A158)+COUNTIFS(公区维修!$G$5:$G$404,$A$71,公区维修!$K$5:$K$404,"需另约时间",公区维修!$C$5:$C$404,$A158)+COUNTIFS(公区维修!$H$5:$H$404,$A$71,公区维修!$K$5:$K$404,"需另约时间",公区维修!$C$5:$C$404,$A158)</f>
        <v>0</v>
      </c>
      <c r="F158" s="36" t="str">
        <f aca="false">IFERROR($C158/$B158,"")</f>
        <v/>
      </c>
      <c r="G158" s="35" t="n">
        <f aca="false">COUNTIFS(入户维修!$F$5:$F$404,$A$71,入户维修!$O$5:$O$404,"非常满意",入户维修!$C$5:$C$404,$A158)+COUNTIFS(入户维修!$G$5:$G$404,$A$71,入户维修!$O$5:$O$404,"非常满意",入户维修!$C$5:$C$404,$A158)+COUNTIFS(入户维修!$H$5:$H$404,$A$71,入户维修!$O$5:$O$404,"非常满意",入户维修!$C$5:$C$404,$A158)+COUNTIFS(公区维修!$F$5:$F$404,$A$71,公区维修!$N$5:$N$404,"非常满意",公区维修!$C$5:$C$404,$A158)+COUNTIFS(公区维修!$G$5:$G$404,$A$71,公区维修!$N$5:$N$404,"非常满意",公区维修!$C$5:$C$404,$A158)+COUNTIFS(公区维修!$H$5:$H$404,$A$71,公区维修!$N$5:$N$404,"非常满意",公区维修!$C$5:$C$404,$A158)</f>
        <v>0</v>
      </c>
      <c r="H158" s="35" t="n">
        <f aca="false">COUNTIFS(入户维修!$F$5:$F$404,$A$71,入户维修!$O$5:$O$404,"满意",入户维修!$C$5:$C$404,$A158)+COUNTIFS(入户维修!$G$5:$G$404,$A$71,入户维修!$O$5:$O$404,"满意",入户维修!$C$5:$C$404,$A158)+COUNTIFS(入户维修!$H$5:$H$404,$A$71,入户维修!$O$5:$O$404,"满意",入户维修!$C$5:$C$404,$A158)+COUNTIFS(公区维修!$F$5:$F$404,$A$71,公区维修!$N$5:$N$404,"满意",公区维修!$C$5:$C$404,$A158)+COUNTIFS(公区维修!$G$5:$G$404,$A$71,公区维修!$N$5:$N$404,"满意",公区维修!$C$5:$C$404,$A158)+COUNTIFS(公区维修!$H$5:$H$404,$A$71,公区维修!$N$5:$N$404,"满意",公区维修!$C$5:$C$404,$A158)</f>
        <v>0</v>
      </c>
      <c r="I158" s="35" t="n">
        <f aca="false">COUNTIFS(入户维修!$F$5:$F$404,$A$71,入户维修!$O$5:$O$404,"一般",入户维修!$C$5:$C$404,$A158)+COUNTIFS(入户维修!$G$5:$G$404,$A$71,入户维修!$O$5:$O$404,"一般",入户维修!$C$5:$C$404,$A158)+COUNTIFS(入户维修!$H$5:$H$404,$A$71,入户维修!$O$5:$O$404,"一般",入户维修!$C$5:$C$404,$A158)+COUNTIFS(公区维修!$F$5:$F$404,$A$71,公区维修!$N$5:$N$404,"一般",公区维修!$C$5:$C$404,$A158)+COUNTIFS(公区维修!$G$5:$G$404,$A$71,公区维修!$N$5:$N$404,"一般",公区维修!$C$5:$C$404,$A158)+COUNTIFS(公区维修!$H$5:$H$404,$A$71,公区维修!$N$5:$N$404,"一般",公区维修!$C$5:$C$404,$A158)</f>
        <v>0</v>
      </c>
      <c r="J158" s="35" t="n">
        <f aca="false">COUNTIFS(入户维修!$F$5:$F$404,$A$71,入户维修!$O$5:$O$404,"不满意",入户维修!$C$5:$C$404,$A158)+COUNTIFS(入户维修!$G$5:$G$404,$A$71,入户维修!$O$5:$O$404,"不满意",入户维修!$C$5:$C$404,$A158)+COUNTIFS(入户维修!$H$5:$H$404,$A$71,入户维修!$O$5:$O$404,"不满意",入户维修!$C$5:$C$404,$A158)+COUNTIFS(公区维修!$F$5:$F$404,$A$71,公区维修!$N$5:$N$404,"不满意",公区维修!$C$5:$C$404,$A158)+COUNTIFS(公区维修!$G$5:$G$404,$A$71,公区维修!$N$5:$N$404,"不满意",公区维修!$C$5:$C$404,$A158)+COUNTIFS(公区维修!$H$5:$H$404,$A$71,公区维修!$N$5:$N$404,"不满意",公区维修!$C$5:$C$404,$A158)</f>
        <v>0</v>
      </c>
      <c r="K158" s="35" t="n">
        <f aca="false">SUM($G158:$J158)</f>
        <v>0</v>
      </c>
      <c r="L158" s="36" t="str">
        <f aca="false">IFERROR(($G158+$H158)/$K158,"")</f>
        <v/>
      </c>
      <c r="M158" s="30"/>
      <c r="N158" s="30"/>
      <c r="O158" s="30"/>
      <c r="P158" s="30"/>
    </row>
    <row r="159" customFormat="false" ht="19.5" hidden="false" customHeight="true" outlineLevel="0" collapsed="false">
      <c r="A159" s="44" t="s">
        <v>93</v>
      </c>
      <c r="B159" s="35" t="n">
        <f aca="false">COUNTIFS(入户维修!$F$5:$F$404,$A$71,入户维修!$E$5:$E$404,"?*",入户维修!$C$5:$C$404,$A159)+COUNTIFS(入户维修!$G$5:$G$404,$A$71,入户维修!$E$5:$E$404,"?*",入户维修!$C$5:$C$404,$A159)+COUNTIFS(入户维修!$H$5:$H$404,$A$71,入户维修!$E$5:$E$404,"?*",入户维修!$C$5:$C$404,$A159)+COUNTIFS(公区维修!$F$5:$F$404,$A$71,公区维修!$E$5:$E$404,"?*",公区维修!$C$5:$C$404,$A159)+COUNTIFS(公区维修!$G$5:$G$404,$A$71,公区维修!$E$5:$E$404,"?*",公区维修!$C$5:$C$404,$A159)+COUNTIFS(公区维修!$H$5:$H$404,$A$71,公区维修!$E$5:$E$404,"?*",公区维修!$C$5:$C$404,$A159)</f>
        <v>0</v>
      </c>
      <c r="C159" s="35" t="n">
        <f aca="false">COUNTIFS(入户维修!$F$5:$F$404,$A$71,入户维修!$K$5:$K$404,"已完成",入户维修!$C$5:$C$404,$A159)+COUNTIFS(入户维修!$G$5:$G$404,$A$71,入户维修!$K$5:$K$404,"已完成",入户维修!$C$5:$C$404,$A159)+COUNTIFS(入户维修!$H$5:$H$404,$A$71,入户维修!$K$5:$K$404,"已完成",入户维修!$C$5:$C$404,$A159)+COUNTIFS(公区维修!$F$5:$F$404,$A$71,公区维修!$K$5:$K$404,"已完成",公区维修!$C$5:$C$404,$A159)+COUNTIFS(公区维修!$G$5:$G$404,$A$71,公区维修!$K$5:$K$404,"已完成",公区维修!$C$5:$C$404,$A159)+COUNTIFS(公区维修!$H$5:$H$404,$A$71,公区维修!$K$5:$K$404,"已完成",公区维修!$C$5:$C$404,$A159)</f>
        <v>0</v>
      </c>
      <c r="D159" s="35" t="n">
        <f aca="false">COUNTIFS(入户维修!$F$5:$F$404,$A$71,入户维修!$K$5:$K$404,"跟进中",入户维修!$C$5:$C$404,$A159)+COUNTIFS(入户维修!$G$5:$G$404,$A$71,入户维修!$K$5:$K$404,"跟进中",入户维修!$C$5:$C$404,$A159)+COUNTIFS(入户维修!$H$5:$H$404,$A$71,入户维修!$K$5:$K$404,"跟进中",入户维修!$C$5:$C$404,$A159)+COUNTIFS(公区维修!$F$5:$F$404,$A$71,公区维修!$K$5:$K$404,"跟进中",公区维修!$C$5:$C$404,$A159)+COUNTIFS(公区维修!$G$5:$G$404,$A$71,公区维修!$K$5:$K$404,"跟进中",公区维修!$C$5:$C$404,$A159)+COUNTIFS(公区维修!$H$5:$H$404,$A$71,公区维修!$K$5:$K$404,"跟进中",公区维修!$C$5:$C$404,$A159)</f>
        <v>0</v>
      </c>
      <c r="E159" s="35" t="n">
        <f aca="false">COUNTIFS(入户维修!$F$5:$F$404,$A$71,入户维修!$K$5:$K$404,"需另约时间",入户维修!$C$5:$C$404,$A159)+COUNTIFS(入户维修!$G$5:$G$404,$A$71,入户维修!$K$5:$K$404,"需另约时间",入户维修!$C$5:$C$404,$A159)+COUNTIFS(入户维修!$H$5:$H$404,$A$71,入户维修!$K$5:$K$404,"需另约时间",入户维修!$C$5:$C$404,$A159)+COUNTIFS(公区维修!$F$5:$F$404,$A$71,公区维修!$K$5:$K$404,"需另约时间",公区维修!$C$5:$C$404,$A159)+COUNTIFS(公区维修!$G$5:$G$404,$A$71,公区维修!$K$5:$K$404,"需另约时间",公区维修!$C$5:$C$404,$A159)+COUNTIFS(公区维修!$H$5:$H$404,$A$71,公区维修!$K$5:$K$404,"需另约时间",公区维修!$C$5:$C$404,$A159)</f>
        <v>0</v>
      </c>
      <c r="F159" s="36" t="str">
        <f aca="false">IFERROR($C159/$B159,"")</f>
        <v/>
      </c>
      <c r="G159" s="35" t="n">
        <f aca="false">COUNTIFS(入户维修!$F$5:$F$404,$A$71,入户维修!$O$5:$O$404,"非常满意",入户维修!$C$5:$C$404,$A159)+COUNTIFS(入户维修!$G$5:$G$404,$A$71,入户维修!$O$5:$O$404,"非常满意",入户维修!$C$5:$C$404,$A159)+COUNTIFS(入户维修!$H$5:$H$404,$A$71,入户维修!$O$5:$O$404,"非常满意",入户维修!$C$5:$C$404,$A159)+COUNTIFS(公区维修!$F$5:$F$404,$A$71,公区维修!$N$5:$N$404,"非常满意",公区维修!$C$5:$C$404,$A159)+COUNTIFS(公区维修!$G$5:$G$404,$A$71,公区维修!$N$5:$N$404,"非常满意",公区维修!$C$5:$C$404,$A159)+COUNTIFS(公区维修!$H$5:$H$404,$A$71,公区维修!$N$5:$N$404,"非常满意",公区维修!$C$5:$C$404,$A159)</f>
        <v>0</v>
      </c>
      <c r="H159" s="35" t="n">
        <f aca="false">COUNTIFS(入户维修!$F$5:$F$404,$A$71,入户维修!$O$5:$O$404,"满意",入户维修!$C$5:$C$404,$A159)+COUNTIFS(入户维修!$G$5:$G$404,$A$71,入户维修!$O$5:$O$404,"满意",入户维修!$C$5:$C$404,$A159)+COUNTIFS(入户维修!$H$5:$H$404,$A$71,入户维修!$O$5:$O$404,"满意",入户维修!$C$5:$C$404,$A159)+COUNTIFS(公区维修!$F$5:$F$404,$A$71,公区维修!$N$5:$N$404,"满意",公区维修!$C$5:$C$404,$A159)+COUNTIFS(公区维修!$G$5:$G$404,$A$71,公区维修!$N$5:$N$404,"满意",公区维修!$C$5:$C$404,$A159)+COUNTIFS(公区维修!$H$5:$H$404,$A$71,公区维修!$N$5:$N$404,"满意",公区维修!$C$5:$C$404,$A159)</f>
        <v>0</v>
      </c>
      <c r="I159" s="35" t="n">
        <f aca="false">COUNTIFS(入户维修!$F$5:$F$404,$A$71,入户维修!$O$5:$O$404,"一般",入户维修!$C$5:$C$404,$A159)+COUNTIFS(入户维修!$G$5:$G$404,$A$71,入户维修!$O$5:$O$404,"一般",入户维修!$C$5:$C$404,$A159)+COUNTIFS(入户维修!$H$5:$H$404,$A$71,入户维修!$O$5:$O$404,"一般",入户维修!$C$5:$C$404,$A159)+COUNTIFS(公区维修!$F$5:$F$404,$A$71,公区维修!$N$5:$N$404,"一般",公区维修!$C$5:$C$404,$A159)+COUNTIFS(公区维修!$G$5:$G$404,$A$71,公区维修!$N$5:$N$404,"一般",公区维修!$C$5:$C$404,$A159)+COUNTIFS(公区维修!$H$5:$H$404,$A$71,公区维修!$N$5:$N$404,"一般",公区维修!$C$5:$C$404,$A159)</f>
        <v>0</v>
      </c>
      <c r="J159" s="35" t="n">
        <f aca="false">COUNTIFS(入户维修!$F$5:$F$404,$A$71,入户维修!$O$5:$O$404,"不满意",入户维修!$C$5:$C$404,$A159)+COUNTIFS(入户维修!$G$5:$G$404,$A$71,入户维修!$O$5:$O$404,"不满意",入户维修!$C$5:$C$404,$A159)+COUNTIFS(入户维修!$H$5:$H$404,$A$71,入户维修!$O$5:$O$404,"不满意",入户维修!$C$5:$C$404,$A159)+COUNTIFS(公区维修!$F$5:$F$404,$A$71,公区维修!$N$5:$N$404,"不满意",公区维修!$C$5:$C$404,$A159)+COUNTIFS(公区维修!$G$5:$G$404,$A$71,公区维修!$N$5:$N$404,"不满意",公区维修!$C$5:$C$404,$A159)+COUNTIFS(公区维修!$H$5:$H$404,$A$71,公区维修!$N$5:$N$404,"不满意",公区维修!$C$5:$C$404,$A159)</f>
        <v>0</v>
      </c>
      <c r="K159" s="35" t="n">
        <f aca="false">SUM($G159:$J159)</f>
        <v>0</v>
      </c>
      <c r="L159" s="36" t="str">
        <f aca="false">IFERROR(($G159+$H159)/$K159,"")</f>
        <v/>
      </c>
      <c r="M159" s="30"/>
      <c r="N159" s="30"/>
      <c r="O159" s="30"/>
      <c r="P159" s="30"/>
    </row>
    <row r="160" customFormat="false" ht="19.5" hidden="false" customHeight="true" outlineLevel="0" collapsed="false">
      <c r="A160" s="34" t="s">
        <v>180</v>
      </c>
      <c r="B160" s="35" t="n">
        <f aca="false">COUNTIFS(入户维修!$F$5:$F$404,$A$71,入户维修!$E$5:$E$404,"?*",入户维修!$C$5:$C$404,$A160)+COUNTIFS(入户维修!$G$5:$G$404,$A$71,入户维修!$E$5:$E$404,"?*",入户维修!$C$5:$C$404,$A160)+COUNTIFS(入户维修!$H$5:$H$404,$A$71,入户维修!$E$5:$E$404,"?*",入户维修!$C$5:$C$404,$A160)+COUNTIFS(公区维修!$F$5:$F$404,$A$71,公区维修!$E$5:$E$404,"?*",公区维修!$C$5:$C$404,$A160)+COUNTIFS(公区维修!$G$5:$G$404,$A$71,公区维修!$E$5:$E$404,"?*",公区维修!$C$5:$C$404,$A160)+COUNTIFS(公区维修!$H$5:$H$404,$A$71,公区维修!$E$5:$E$404,"?*",公区维修!$C$5:$C$404,$A160)</f>
        <v>0</v>
      </c>
      <c r="C160" s="35" t="n">
        <f aca="false">COUNTIFS(入户维修!$F$5:$F$404,$A$71,入户维修!$K$5:$K$404,"已完成",入户维修!$C$5:$C$404,$A160)+COUNTIFS(入户维修!$G$5:$G$404,$A$71,入户维修!$K$5:$K$404,"已完成",入户维修!$C$5:$C$404,$A160)+COUNTIFS(入户维修!$H$5:$H$404,$A$71,入户维修!$K$5:$K$404,"已完成",入户维修!$C$5:$C$404,$A160)+COUNTIFS(公区维修!$F$5:$F$404,$A$71,公区维修!$K$5:$K$404,"已完成",公区维修!$C$5:$C$404,$A160)+COUNTIFS(公区维修!$G$5:$G$404,$A$71,公区维修!$K$5:$K$404,"已完成",公区维修!$C$5:$C$404,$A160)+COUNTIFS(公区维修!$H$5:$H$404,$A$71,公区维修!$K$5:$K$404,"已完成",公区维修!$C$5:$C$404,$A160)</f>
        <v>0</v>
      </c>
      <c r="D160" s="35" t="n">
        <f aca="false">COUNTIFS(入户维修!$F$5:$F$404,$A$71,入户维修!$K$5:$K$404,"跟进中",入户维修!$C$5:$C$404,$A160)+COUNTIFS(入户维修!$G$5:$G$404,$A$71,入户维修!$K$5:$K$404,"跟进中",入户维修!$C$5:$C$404,$A160)+COUNTIFS(入户维修!$H$5:$H$404,$A$71,入户维修!$K$5:$K$404,"跟进中",入户维修!$C$5:$C$404,$A160)+COUNTIFS(公区维修!$F$5:$F$404,$A$71,公区维修!$K$5:$K$404,"跟进中",公区维修!$C$5:$C$404,$A160)+COUNTIFS(公区维修!$G$5:$G$404,$A$71,公区维修!$K$5:$K$404,"跟进中",公区维修!$C$5:$C$404,$A160)+COUNTIFS(公区维修!$H$5:$H$404,$A$71,公区维修!$K$5:$K$404,"跟进中",公区维修!$C$5:$C$404,$A160)</f>
        <v>0</v>
      </c>
      <c r="E160" s="35" t="n">
        <f aca="false">COUNTIFS(入户维修!$F$5:$F$404,$A$71,入户维修!$K$5:$K$404,"需另约时间",入户维修!$C$5:$C$404,$A160)+COUNTIFS(入户维修!$G$5:$G$404,$A$71,入户维修!$K$5:$K$404,"需另约时间",入户维修!$C$5:$C$404,$A160)+COUNTIFS(入户维修!$H$5:$H$404,$A$71,入户维修!$K$5:$K$404,"需另约时间",入户维修!$C$5:$C$404,$A160)+COUNTIFS(公区维修!$F$5:$F$404,$A$71,公区维修!$K$5:$K$404,"需另约时间",公区维修!$C$5:$C$404,$A160)+COUNTIFS(公区维修!$G$5:$G$404,$A$71,公区维修!$K$5:$K$404,"需另约时间",公区维修!$C$5:$C$404,$A160)+COUNTIFS(公区维修!$H$5:$H$404,$A$71,公区维修!$K$5:$K$404,"需另约时间",公区维修!$C$5:$C$404,$A160)</f>
        <v>0</v>
      </c>
      <c r="F160" s="36" t="str">
        <f aca="false">IFERROR($C160/$B160,"")</f>
        <v/>
      </c>
      <c r="G160" s="35" t="n">
        <f aca="false">COUNTIFS(入户维修!$F$5:$F$404,$A$71,入户维修!$O$5:$O$404,"非常满意",入户维修!$C$5:$C$404,$A160)+COUNTIFS(入户维修!$G$5:$G$404,$A$71,入户维修!$O$5:$O$404,"非常满意",入户维修!$C$5:$C$404,$A160)+COUNTIFS(入户维修!$H$5:$H$404,$A$71,入户维修!$O$5:$O$404,"非常满意",入户维修!$C$5:$C$404,$A160)+COUNTIFS(公区维修!$F$5:$F$404,$A$71,公区维修!$N$5:$N$404,"非常满意",公区维修!$C$5:$C$404,$A160)+COUNTIFS(公区维修!$G$5:$G$404,$A$71,公区维修!$N$5:$N$404,"非常满意",公区维修!$C$5:$C$404,$A160)+COUNTIFS(公区维修!$H$5:$H$404,$A$71,公区维修!$N$5:$N$404,"非常满意",公区维修!$C$5:$C$404,$A160)</f>
        <v>0</v>
      </c>
      <c r="H160" s="35" t="n">
        <f aca="false">COUNTIFS(入户维修!$F$5:$F$404,$A$71,入户维修!$O$5:$O$404,"满意",入户维修!$C$5:$C$404,$A160)+COUNTIFS(入户维修!$G$5:$G$404,$A$71,入户维修!$O$5:$O$404,"满意",入户维修!$C$5:$C$404,$A160)+COUNTIFS(入户维修!$H$5:$H$404,$A$71,入户维修!$O$5:$O$404,"满意",入户维修!$C$5:$C$404,$A160)+COUNTIFS(公区维修!$F$5:$F$404,$A$71,公区维修!$N$5:$N$404,"满意",公区维修!$C$5:$C$404,$A160)+COUNTIFS(公区维修!$G$5:$G$404,$A$71,公区维修!$N$5:$N$404,"满意",公区维修!$C$5:$C$404,$A160)+COUNTIFS(公区维修!$H$5:$H$404,$A$71,公区维修!$N$5:$N$404,"满意",公区维修!$C$5:$C$404,$A160)</f>
        <v>0</v>
      </c>
      <c r="I160" s="35" t="n">
        <f aca="false">COUNTIFS(入户维修!$F$5:$F$404,$A$71,入户维修!$O$5:$O$404,"一般",入户维修!$C$5:$C$404,$A160)+COUNTIFS(入户维修!$G$5:$G$404,$A$71,入户维修!$O$5:$O$404,"一般",入户维修!$C$5:$C$404,$A160)+COUNTIFS(入户维修!$H$5:$H$404,$A$71,入户维修!$O$5:$O$404,"一般",入户维修!$C$5:$C$404,$A160)+COUNTIFS(公区维修!$F$5:$F$404,$A$71,公区维修!$N$5:$N$404,"一般",公区维修!$C$5:$C$404,$A160)+COUNTIFS(公区维修!$G$5:$G$404,$A$71,公区维修!$N$5:$N$404,"一般",公区维修!$C$5:$C$404,$A160)+COUNTIFS(公区维修!$H$5:$H$404,$A$71,公区维修!$N$5:$N$404,"一般",公区维修!$C$5:$C$404,$A160)</f>
        <v>0</v>
      </c>
      <c r="J160" s="35" t="n">
        <f aca="false">COUNTIFS(入户维修!$F$5:$F$404,$A$71,入户维修!$O$5:$O$404,"不满意",入户维修!$C$5:$C$404,$A160)+COUNTIFS(入户维修!$G$5:$G$404,$A$71,入户维修!$O$5:$O$404,"不满意",入户维修!$C$5:$C$404,$A160)+COUNTIFS(入户维修!$H$5:$H$404,$A$71,入户维修!$O$5:$O$404,"不满意",入户维修!$C$5:$C$404,$A160)+COUNTIFS(公区维修!$F$5:$F$404,$A$71,公区维修!$N$5:$N$404,"不满意",公区维修!$C$5:$C$404,$A160)+COUNTIFS(公区维修!$G$5:$G$404,$A$71,公区维修!$N$5:$N$404,"不满意",公区维修!$C$5:$C$404,$A160)+COUNTIFS(公区维修!$H$5:$H$404,$A$71,公区维修!$N$5:$N$404,"不满意",公区维修!$C$5:$C$404,$A160)</f>
        <v>0</v>
      </c>
      <c r="K160" s="35" t="n">
        <f aca="false">SUM($G160:$J160)</f>
        <v>0</v>
      </c>
      <c r="L160" s="36" t="str">
        <f aca="false">IFERROR(($G160+$H160)/$K160,"")</f>
        <v/>
      </c>
      <c r="M160" s="30"/>
      <c r="N160" s="30"/>
      <c r="O160" s="30"/>
      <c r="P160" s="30"/>
    </row>
    <row r="161" customFormat="false" ht="19.5" hidden="false" customHeight="true" outlineLevel="0" collapsed="false">
      <c r="A161" s="34" t="s">
        <v>385</v>
      </c>
      <c r="B161" s="35" t="n">
        <f aca="false">COUNTIFS(入户维修!$F$5:$F$404,$A$71,入户维修!$E$5:$E$404,"?*",入户维修!$C$5:$C$404,$A161)+COUNTIFS(入户维修!$G$5:$G$404,$A$71,入户维修!$E$5:$E$404,"?*",入户维修!$C$5:$C$404,$A161)+COUNTIFS(入户维修!$H$5:$H$404,$A$71,入户维修!$E$5:$E$404,"?*",入户维修!$C$5:$C$404,$A161)+COUNTIFS(公区维修!$F$5:$F$404,$A$71,公区维修!$E$5:$E$404,"?*",公区维修!$C$5:$C$404,$A161)+COUNTIFS(公区维修!$G$5:$G$404,$A$71,公区维修!$E$5:$E$404,"?*",公区维修!$C$5:$C$404,$A161)+COUNTIFS(公区维修!$H$5:$H$404,$A$71,公区维修!$E$5:$E$404,"?*",公区维修!$C$5:$C$404,$A161)</f>
        <v>2</v>
      </c>
      <c r="C161" s="35" t="n">
        <f aca="false">COUNTIFS(入户维修!$F$5:$F$404,$A$71,入户维修!$K$5:$K$404,"已完成",入户维修!$C$5:$C$404,$A161)+COUNTIFS(入户维修!$G$5:$G$404,$A$71,入户维修!$K$5:$K$404,"已完成",入户维修!$C$5:$C$404,$A161)+COUNTIFS(入户维修!$H$5:$H$404,$A$71,入户维修!$K$5:$K$404,"已完成",入户维修!$C$5:$C$404,$A161)+COUNTIFS(公区维修!$F$5:$F$404,$A$71,公区维修!$K$5:$K$404,"已完成",公区维修!$C$5:$C$404,$A161)+COUNTIFS(公区维修!$G$5:$G$404,$A$71,公区维修!$K$5:$K$404,"已完成",公区维修!$C$5:$C$404,$A161)+COUNTIFS(公区维修!$H$5:$H$404,$A$71,公区维修!$K$5:$K$404,"已完成",公区维修!$C$5:$C$404,$A161)</f>
        <v>1</v>
      </c>
      <c r="D161" s="35" t="n">
        <f aca="false">COUNTIFS(入户维修!$F$5:$F$404,$A$71,入户维修!$K$5:$K$404,"跟进中",入户维修!$C$5:$C$404,$A161)+COUNTIFS(入户维修!$G$5:$G$404,$A$71,入户维修!$K$5:$K$404,"跟进中",入户维修!$C$5:$C$404,$A161)+COUNTIFS(入户维修!$H$5:$H$404,$A$71,入户维修!$K$5:$K$404,"跟进中",入户维修!$C$5:$C$404,$A161)+COUNTIFS(公区维修!$F$5:$F$404,$A$71,公区维修!$K$5:$K$404,"跟进中",公区维修!$C$5:$C$404,$A161)+COUNTIFS(公区维修!$G$5:$G$404,$A$71,公区维修!$K$5:$K$404,"跟进中",公区维修!$C$5:$C$404,$A161)+COUNTIFS(公区维修!$H$5:$H$404,$A$71,公区维修!$K$5:$K$404,"跟进中",公区维修!$C$5:$C$404,$A161)</f>
        <v>1</v>
      </c>
      <c r="E161" s="35" t="n">
        <f aca="false">COUNTIFS(入户维修!$F$5:$F$404,$A$71,入户维修!$K$5:$K$404,"需另约时间",入户维修!$C$5:$C$404,$A161)+COUNTIFS(入户维修!$G$5:$G$404,$A$71,入户维修!$K$5:$K$404,"需另约时间",入户维修!$C$5:$C$404,$A161)+COUNTIFS(入户维修!$H$5:$H$404,$A$71,入户维修!$K$5:$K$404,"需另约时间",入户维修!$C$5:$C$404,$A161)+COUNTIFS(公区维修!$F$5:$F$404,$A$71,公区维修!$K$5:$K$404,"需另约时间",公区维修!$C$5:$C$404,$A161)+COUNTIFS(公区维修!$G$5:$G$404,$A$71,公区维修!$K$5:$K$404,"需另约时间",公区维修!$C$5:$C$404,$A161)+COUNTIFS(公区维修!$H$5:$H$404,$A$71,公区维修!$K$5:$K$404,"需另约时间",公区维修!$C$5:$C$404,$A161)</f>
        <v>0</v>
      </c>
      <c r="F161" s="36" t="n">
        <f aca="false">IFERROR($C161/$B161,"")</f>
        <v>0.5</v>
      </c>
      <c r="G161" s="35" t="n">
        <f aca="false">COUNTIFS(入户维修!$F$5:$F$404,$A$71,入户维修!$O$5:$O$404,"非常满意",入户维修!$C$5:$C$404,$A161)+COUNTIFS(入户维修!$G$5:$G$404,$A$71,入户维修!$O$5:$O$404,"非常满意",入户维修!$C$5:$C$404,$A161)+COUNTIFS(入户维修!$H$5:$H$404,$A$71,入户维修!$O$5:$O$404,"非常满意",入户维修!$C$5:$C$404,$A161)+COUNTIFS(公区维修!$F$5:$F$404,$A$71,公区维修!$N$5:$N$404,"非常满意",公区维修!$C$5:$C$404,$A161)+COUNTIFS(公区维修!$G$5:$G$404,$A$71,公区维修!$N$5:$N$404,"非常满意",公区维修!$C$5:$C$404,$A161)+COUNTIFS(公区维修!$H$5:$H$404,$A$71,公区维修!$N$5:$N$404,"非常满意",公区维修!$C$5:$C$404,$A161)</f>
        <v>0</v>
      </c>
      <c r="H161" s="35" t="n">
        <f aca="false">COUNTIFS(入户维修!$F$5:$F$404,$A$71,入户维修!$O$5:$O$404,"满意",入户维修!$C$5:$C$404,$A161)+COUNTIFS(入户维修!$G$5:$G$404,$A$71,入户维修!$O$5:$O$404,"满意",入户维修!$C$5:$C$404,$A161)+COUNTIFS(入户维修!$H$5:$H$404,$A$71,入户维修!$O$5:$O$404,"满意",入户维修!$C$5:$C$404,$A161)+COUNTIFS(公区维修!$F$5:$F$404,$A$71,公区维修!$N$5:$N$404,"满意",公区维修!$C$5:$C$404,$A161)+COUNTIFS(公区维修!$G$5:$G$404,$A$71,公区维修!$N$5:$N$404,"满意",公区维修!$C$5:$C$404,$A161)+COUNTIFS(公区维修!$H$5:$H$404,$A$71,公区维修!$N$5:$N$404,"满意",公区维修!$C$5:$C$404,$A161)</f>
        <v>0</v>
      </c>
      <c r="I161" s="35" t="n">
        <f aca="false">COUNTIFS(入户维修!$F$5:$F$404,$A$71,入户维修!$O$5:$O$404,"一般",入户维修!$C$5:$C$404,$A161)+COUNTIFS(入户维修!$G$5:$G$404,$A$71,入户维修!$O$5:$O$404,"一般",入户维修!$C$5:$C$404,$A161)+COUNTIFS(入户维修!$H$5:$H$404,$A$71,入户维修!$O$5:$O$404,"一般",入户维修!$C$5:$C$404,$A161)+COUNTIFS(公区维修!$F$5:$F$404,$A$71,公区维修!$N$5:$N$404,"一般",公区维修!$C$5:$C$404,$A161)+COUNTIFS(公区维修!$G$5:$G$404,$A$71,公区维修!$N$5:$N$404,"一般",公区维修!$C$5:$C$404,$A161)+COUNTIFS(公区维修!$H$5:$H$404,$A$71,公区维修!$N$5:$N$404,"一般",公区维修!$C$5:$C$404,$A161)</f>
        <v>0</v>
      </c>
      <c r="J161" s="35" t="n">
        <f aca="false">COUNTIFS(入户维修!$F$5:$F$404,$A$71,入户维修!$O$5:$O$404,"不满意",入户维修!$C$5:$C$404,$A161)+COUNTIFS(入户维修!$G$5:$G$404,$A$71,入户维修!$O$5:$O$404,"不满意",入户维修!$C$5:$C$404,$A161)+COUNTIFS(入户维修!$H$5:$H$404,$A$71,入户维修!$O$5:$O$404,"不满意",入户维修!$C$5:$C$404,$A161)+COUNTIFS(公区维修!$F$5:$F$404,$A$71,公区维修!$N$5:$N$404,"不满意",公区维修!$C$5:$C$404,$A161)+COUNTIFS(公区维修!$G$5:$G$404,$A$71,公区维修!$N$5:$N$404,"不满意",公区维修!$C$5:$C$404,$A161)+COUNTIFS(公区维修!$H$5:$H$404,$A$71,公区维修!$N$5:$N$404,"不满意",公区维修!$C$5:$C$404,$A161)</f>
        <v>0</v>
      </c>
      <c r="K161" s="35" t="n">
        <f aca="false">SUM($G161:$J161)</f>
        <v>0</v>
      </c>
      <c r="L161" s="36" t="str">
        <f aca="false">IFERROR(($G161+$H161)/$K161,"")</f>
        <v/>
      </c>
      <c r="M161" s="30"/>
      <c r="N161" s="30"/>
      <c r="O161" s="30"/>
      <c r="P161" s="30"/>
    </row>
    <row r="162" customFormat="false" ht="19.5" hidden="false" customHeight="true" outlineLevel="0" collapsed="false">
      <c r="A162" s="34" t="s">
        <v>456</v>
      </c>
      <c r="B162" s="35" t="n">
        <f aca="false">COUNTIFS(入户维修!$F$5:$F$404,$A$71,入户维修!$E$5:$E$404,"?*",入户维修!$C$5:$C$404,"")+COUNTIFS(入户维修!$G$5:$G$404,$A$71,入户维修!$E$5:$E$404,"?*",入户维修!$C$5:$C$404,"")+COUNTIFS(入户维修!$H$5:$H$404,$A$71,入户维修!$E$5:$E$404,"?*",入户维修!$C$5:$C$404,"")+COUNTIFS(公区维修!$F$5:$F$404,$A$71,公区维修!$E$5:$E$404,"?*",公区维修!$C$5:$C$404,"")+COUNTIFS(公区维修!$G$5:$G$404,$A$71,公区维修!$E$5:$E$404,"?*",公区维修!$C$5:$C$404,"")+COUNTIFS(公区维修!$H$5:$H$404,$A$71,公区维修!$E$5:$E$404,"?*",公区维修!$C$5:$C$404,"")</f>
        <v>0</v>
      </c>
      <c r="C162" s="35" t="n">
        <f aca="false">COUNTIFS(入户维修!$F$5:$F$404,$A$71,入户维修!$K$5:$K$404,"已完成",入户维修!$C$5:$C$404,"")+COUNTIFS(入户维修!$G$5:$G$404,$A$71,入户维修!$K$5:$K$404,"已完成",入户维修!$C$5:$C$404,"")+COUNTIFS(入户维修!$H$5:$H$404,$A$71,入户维修!$K$5:$K$404,"已完成",入户维修!$C$5:$C$404,"")+COUNTIFS(公区维修!$F$5:$F$404,$A$71,公区维修!$K$5:$K$404,"已完成",公区维修!$C$5:$C$404,"")+COUNTIFS(公区维修!$G$5:$G$404,$A$71,公区维修!$K$5:$K$404,"已完成",公区维修!$C$5:$C$404,"")+COUNTIFS(公区维修!$H$5:$H$404,$A$71,公区维修!$K$5:$K$404,"已完成",公区维修!$C$5:$C$404,"")</f>
        <v>0</v>
      </c>
      <c r="D162" s="35" t="n">
        <f aca="false">COUNTIFS(入户维修!$F$5:$F$404,$A$71,入户维修!$K$5:$K$404,"跟进中",入户维修!$C$5:$C$404,"")+COUNTIFS(入户维修!$G$5:$G$404,$A$71,入户维修!$K$5:$K$404,"跟进中",入户维修!$C$5:$C$404,"")+COUNTIFS(入户维修!$H$5:$H$404,$A$71,入户维修!$K$5:$K$404,"跟进中",入户维修!$C$5:$C$404,"")+COUNTIFS(公区维修!$F$5:$F$404,$A$71,公区维修!$K$5:$K$404,"跟进中",公区维修!$C$5:$C$404,"")+COUNTIFS(公区维修!$G$5:$G$404,$A$71,公区维修!$K$5:$K$404,"跟进中",公区维修!$C$5:$C$404,"")+COUNTIFS(公区维修!$H$5:$H$404,$A$71,公区维修!$K$5:$K$404,"跟进中",公区维修!$C$5:$C$404,"")</f>
        <v>0</v>
      </c>
      <c r="E162" s="35" t="n">
        <f aca="false">COUNTIFS(入户维修!$F$5:$F$404,$A$71,入户维修!$K$5:$K$404,"需另约时间",入户维修!$C$5:$C$404,"")+COUNTIFS(入户维修!$G$5:$G$404,$A$71,入户维修!$K$5:$K$404,"需另约时间",入户维修!$C$5:$C$404,"")+COUNTIFS(入户维修!$H$5:$H$404,$A$71,入户维修!$K$5:$K$404,"需另约时间",入户维修!$C$5:$C$404,"")+COUNTIFS(公区维修!$F$5:$F$404,$A$71,公区维修!$K$5:$K$404,"需另约时间",公区维修!$C$5:$C$404,"")+COUNTIFS(公区维修!$G$5:$G$404,$A$71,公区维修!$K$5:$K$404,"需另约时间",公区维修!$C$5:$C$404,"")+COUNTIFS(公区维修!$H$5:$H$404,$A$71,公区维修!$K$5:$K$404,"需另约时间",公区维修!$C$5:$C$404,"")</f>
        <v>0</v>
      </c>
      <c r="F162" s="36" t="str">
        <f aca="false">IFERROR($C162/$B162,"")</f>
        <v/>
      </c>
      <c r="G162" s="35" t="n">
        <f aca="false">COUNTIFS(入户维修!$F$5:$F$404,$A$71,入户维修!$O$5:$O$404,"非常满意",入户维修!$C$5:$C$404,"")+COUNTIFS(入户维修!$G$5:$G$404,$A$71,入户维修!$O$5:$O$404,"非常满意",入户维修!$C$5:$C$404,"")+COUNTIFS(入户维修!$H$5:$H$404,$A$71,入户维修!$O$5:$O$404,"非常满意",入户维修!$C$5:$C$404,"")+COUNTIFS(公区维修!$F$5:$F$404,$A$71,公区维修!$N$5:$N$404,"非常满意",公区维修!$C$5:$C$404,"")+COUNTIFS(公区维修!$G$5:$G$404,$A$71,公区维修!$N$5:$N$404,"非常满意",公区维修!$C$5:$C$404,"")+COUNTIFS(公区维修!$H$5:$H$404,$A$71,公区维修!$N$5:$N$404,"非常满意",公区维修!$C$5:$C$404,"")</f>
        <v>0</v>
      </c>
      <c r="H162" s="35" t="n">
        <f aca="false">COUNTIFS(入户维修!$F$5:$F$404,$A$71,入户维修!$O$5:$O$404,"满意",入户维修!$C$5:$C$404,"")+COUNTIFS(入户维修!$G$5:$G$404,$A$71,入户维修!$O$5:$O$404,"满意",入户维修!$C$5:$C$404,"")+COUNTIFS(入户维修!$H$5:$H$404,$A$71,入户维修!$O$5:$O$404,"满意",入户维修!$C$5:$C$404,"")+COUNTIFS(公区维修!$F$5:$F$404,$A$71,公区维修!$N$5:$N$404,"满意",公区维修!$C$5:$C$404,"")+COUNTIFS(公区维修!$G$5:$G$404,$A$71,公区维修!$N$5:$N$404,"满意",公区维修!$C$5:$C$404,"")+COUNTIFS(公区维修!$H$5:$H$404,$A$71,公区维修!$N$5:$N$404,"满意",公区维修!$C$5:$C$404,"")</f>
        <v>0</v>
      </c>
      <c r="I162" s="35" t="n">
        <f aca="false">COUNTIFS(入户维修!$F$5:$F$404,$A$71,入户维修!$O$5:$O$404,"一般",入户维修!$C$5:$C$404,"")+COUNTIFS(入户维修!$G$5:$G$404,$A$71,入户维修!$O$5:$O$404,"一般",入户维修!$C$5:$C$404,"")+COUNTIFS(入户维修!$H$5:$H$404,$A$71,入户维修!$O$5:$O$404,"一般",入户维修!$C$5:$C$404,"")+COUNTIFS(公区维修!$F$5:$F$404,$A$71,公区维修!$N$5:$N$404,"一般",公区维修!$C$5:$C$404,"")+COUNTIFS(公区维修!$G$5:$G$404,$A$71,公区维修!$N$5:$N$404,"一般",公区维修!$C$5:$C$404,"")+COUNTIFS(公区维修!$H$5:$H$404,$A$71,公区维修!$N$5:$N$404,"一般",公区维修!$C$5:$C$404,"")</f>
        <v>0</v>
      </c>
      <c r="J162" s="35" t="n">
        <f aca="false">COUNTIFS(入户维修!$F$5:$F$404,$A$71,入户维修!$O$5:$O$404,"不满意",入户维修!$C$5:$C$404,"")+COUNTIFS(入户维修!$G$5:$G$404,$A$71,入户维修!$O$5:$O$404,"不满意",入户维修!$C$5:$C$404,"")+COUNTIFS(入户维修!$H$5:$H$404,$A$71,入户维修!$O$5:$O$404,"不满意",入户维修!$C$5:$C$404,"")+COUNTIFS(公区维修!$F$5:$F$404,$A$71,公区维修!$N$5:$N$404,"不满意",公区维修!$C$5:$C$404,"")+COUNTIFS(公区维修!$G$5:$G$404,$A$71,公区维修!$N$5:$N$404,"不满意",公区维修!$C$5:$C$404,"")+COUNTIFS(公区维修!$H$5:$H$404,$A$71,公区维修!$N$5:$N$404,"不满意",公区维修!$C$5:$C$404,"")</f>
        <v>0</v>
      </c>
      <c r="K162" s="35" t="n">
        <f aca="false">SUM($G162:$J162)</f>
        <v>0</v>
      </c>
      <c r="L162" s="36" t="str">
        <f aca="false">IFERROR(($G162+$H162)/$K162,"")</f>
        <v/>
      </c>
      <c r="M162" s="30"/>
      <c r="N162" s="30"/>
      <c r="O162" s="30"/>
      <c r="P162" s="30"/>
    </row>
    <row r="163" customFormat="false" ht="21.75" hidden="false" customHeight="true" outlineLevel="0" collapsed="false">
      <c r="A163" s="37" t="s">
        <v>460</v>
      </c>
      <c r="B163" s="38" t="n">
        <f aca="false">SUM(B149:B162)</f>
        <v>13</v>
      </c>
      <c r="C163" s="38" t="n">
        <f aca="false">SUM(C149:C162)</f>
        <v>10</v>
      </c>
      <c r="D163" s="38" t="n">
        <f aca="false">SUM(D149:D162)</f>
        <v>3</v>
      </c>
      <c r="E163" s="38" t="n">
        <f aca="false">SUM(E149:E162)</f>
        <v>0</v>
      </c>
      <c r="F163" s="39" t="n">
        <f aca="false">IFERROR($C163/$B163,"")</f>
        <v>0.769230769230769</v>
      </c>
      <c r="G163" s="38" t="n">
        <f aca="false">SUM(G149:G162)</f>
        <v>8</v>
      </c>
      <c r="H163" s="38" t="n">
        <f aca="false">SUM(H149:H162)</f>
        <v>1</v>
      </c>
      <c r="I163" s="38" t="n">
        <f aca="false">SUM(I149:I162)</f>
        <v>0</v>
      </c>
      <c r="J163" s="38" t="n">
        <f aca="false">SUM(J149:J162)</f>
        <v>0</v>
      </c>
      <c r="K163" s="38" t="n">
        <f aca="false">SUM(K149:K162)</f>
        <v>9</v>
      </c>
      <c r="L163" s="39" t="n">
        <f aca="false">IFERROR(($G163+$H163)/$K163,"")</f>
        <v>1</v>
      </c>
      <c r="M163" s="30"/>
      <c r="N163" s="30"/>
      <c r="O163" s="30"/>
      <c r="P163" s="30"/>
    </row>
  </sheetData>
  <mergeCells count="19">
    <mergeCell ref="A1:P1"/>
    <mergeCell ref="A2:P2"/>
    <mergeCell ref="C3:P3"/>
    <mergeCell ref="A5:P5"/>
    <mergeCell ref="A6:P6"/>
    <mergeCell ref="A9:P9"/>
    <mergeCell ref="A18:P18"/>
    <mergeCell ref="A19:P19"/>
    <mergeCell ref="A27:P27"/>
    <mergeCell ref="A35:P35"/>
    <mergeCell ref="A43:P43"/>
    <mergeCell ref="A47:P47"/>
    <mergeCell ref="A65:P65"/>
    <mergeCell ref="A74:P74"/>
    <mergeCell ref="A75:L75"/>
    <mergeCell ref="A93:L93"/>
    <mergeCell ref="A111:L111"/>
    <mergeCell ref="A129:L129"/>
    <mergeCell ref="A147:L147"/>
  </mergeCells>
  <conditionalFormatting sqref="A21:F25">
    <cfRule type="expression" priority="2" aboveAverage="0" equalAverage="0" bottom="0" percent="0" rank="0" text="" dxfId="37">
      <formula>$E21=0</formula>
    </cfRule>
  </conditionalFormatting>
  <conditionalFormatting sqref="A29:F33">
    <cfRule type="expression" priority="3" aboveAverage="0" equalAverage="0" bottom="0" percent="0" rank="0" text="" dxfId="37">
      <formula>$E29=0</formula>
    </cfRule>
  </conditionalFormatting>
  <conditionalFormatting sqref="A37:F41">
    <cfRule type="expression" priority="4" aboveAverage="0" equalAverage="0" bottom="0" percent="0" rank="0" text="" dxfId="37">
      <formula>$E37=0</formula>
    </cfRule>
  </conditionalFormatting>
  <conditionalFormatting sqref="A11:N15">
    <cfRule type="expression" priority="5" aboveAverage="0" equalAverage="0" bottom="0" percent="0" rank="0" text="" dxfId="32">
      <formula>$N11="休息中"</formula>
    </cfRule>
    <cfRule type="expression" priority="6" aboveAverage="0" equalAverage="0" bottom="0" percent="0" rank="0" text="" dxfId="37">
      <formula>$B11=0</formula>
    </cfRule>
  </conditionalFormatting>
  <conditionalFormatting sqref="H21:P25">
    <cfRule type="expression" priority="7" aboveAverage="0" equalAverage="0" bottom="0" percent="0" rank="0" text="" dxfId="37">
      <formula>$P21=0</formula>
    </cfRule>
  </conditionalFormatting>
  <conditionalFormatting sqref="H29:P33">
    <cfRule type="expression" priority="8" aboveAverage="0" equalAverage="0" bottom="0" percent="0" rank="0" text="" dxfId="37">
      <formula>$P29=0</formula>
    </cfRule>
  </conditionalFormatting>
  <conditionalFormatting sqref="H37:P41">
    <cfRule type="expression" priority="9" aboveAverage="0" equalAverage="0" bottom="0" percent="0" rank="0" text="" dxfId="37">
      <formula>$P37=0</formula>
    </cfRule>
  </conditionalFormatting>
  <conditionalFormatting sqref="M8">
    <cfRule type="expression" priority="10" aboveAverage="0" equalAverage="0" bottom="0" percent="0" rank="0" text="" dxfId="30">
      <formula>$M8&gt;0</formula>
    </cfRule>
  </conditionalFormatting>
  <conditionalFormatting sqref="M11:M15">
    <cfRule type="expression" priority="11" aboveAverage="0" equalAverage="0" bottom="0" percent="0" rank="0" text="" dxfId="30">
      <formula>$M11&gt;0</formula>
    </cfRule>
  </conditionalFormatting>
  <printOptions headings="false" gridLines="false" gridLinesSet="true" horizontalCentered="true" verticalCentered="false"/>
  <pageMargins left="0.4" right="0.4" top="0.5" bottom="0.5" header="0.511811023622047" footer="0.2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&amp;K6b7785&amp;A&amp;R&amp;8 &amp;K6b7785第 &amp;P 页 / 共 &amp;N 页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7FB0"/>
    <pageSetUpPr fitToPage="true"/>
  </sheetPr>
  <dimension ref="A1:L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9" activeCellId="0" sqref="A9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8"/>
    <col collapsed="false" customWidth="true" hidden="false" outlineLevel="0" max="4" min="4" style="1" width="12"/>
    <col collapsed="false" customWidth="true" hidden="false" outlineLevel="0" max="5" min="5" style="1" width="30"/>
    <col collapsed="false" customWidth="true" hidden="false" outlineLevel="0" max="7" min="6" style="1" width="15"/>
    <col collapsed="false" customWidth="true" hidden="false" outlineLevel="0" max="8" min="8" style="1" width="11"/>
    <col collapsed="false" customWidth="true" hidden="false" outlineLevel="0" max="9" min="9" style="1" width="28"/>
    <col collapsed="false" customWidth="true" hidden="false" outlineLevel="0" max="10" min="10" style="1" width="11"/>
    <col collapsed="false" customWidth="true" hidden="false" outlineLevel="0" max="11" min="11" style="1" width="26"/>
    <col collapsed="false" customWidth="true" hidden="false" outlineLevel="0" max="12" min="12" style="1" width="18"/>
  </cols>
  <sheetData>
    <row r="1" customFormat="false" ht="33.75" hidden="false" customHeight="true" outlineLevel="0" collapsed="false">
      <c r="A1" s="45" t="s">
        <v>461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</row>
    <row r="2" customFormat="false" ht="7.5" hidden="false" customHeight="true" outlineLevel="0" collapsed="false">
      <c r="A2" s="30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</row>
    <row r="3" customFormat="false" ht="27.75" hidden="false" customHeight="true" outlineLevel="0" collapsed="false">
      <c r="A3" s="28" t="s">
        <v>462</v>
      </c>
      <c r="B3" s="46" t="s">
        <v>463</v>
      </c>
      <c r="C3" s="28" t="s">
        <v>7</v>
      </c>
      <c r="D3" s="47" t="s">
        <v>464</v>
      </c>
      <c r="E3" s="28" t="s">
        <v>465</v>
      </c>
      <c r="F3" s="47"/>
      <c r="G3" s="28" t="s">
        <v>466</v>
      </c>
      <c r="H3" s="48" t="n">
        <f aca="false">IF($D$3="","",MAX(辅助数据!$FW$5:$FW$404))</f>
        <v>17</v>
      </c>
      <c r="I3" s="49" t="s">
        <v>467</v>
      </c>
      <c r="J3" s="30"/>
      <c r="K3" s="30"/>
      <c r="L3" s="30"/>
    </row>
    <row r="4" customFormat="false" ht="7.5" hidden="false" customHeight="true" outlineLevel="0" collapsed="false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</row>
    <row r="5" customFormat="false" ht="25.5" hidden="false" customHeight="true" outlineLevel="0" collapsed="false">
      <c r="A5" s="32" t="str">
        <f aca="false">IF($D$3="","　← 请先在上方选择楼栋（房号留空＝查该栋全部记录）",IF($H$3=0,"　⚠ 查无记录：请核对楼栋 / 房号写法是否与台账完全一致","　"&amp;$D$3&amp;IF($F$3=""," 全栋"," "&amp;$F$3)&amp;"　共 "&amp;$H$3&amp;" 单报修记录"&amp;IF(AND($F$3&lt;&gt;"",$H$3&gt;1),"　⚠ "&amp;IF($B$3="公区维修","该点位","该单元")&amp;"重复报修 "&amp;$H$3&amp;" 次，建议安排回访","")))</f>
        <v>　6栋 全栋　共 17 单报修记录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</row>
    <row r="6" customFormat="false" ht="21.75" hidden="false" customHeight="true" outlineLevel="0" collapsed="false">
      <c r="A6" s="50" t="s">
        <v>28</v>
      </c>
      <c r="B6" s="50" t="s">
        <v>36</v>
      </c>
      <c r="C6" s="50" t="s">
        <v>468</v>
      </c>
      <c r="D6" s="50" t="s">
        <v>30</v>
      </c>
      <c r="E6" s="50" t="s">
        <v>48</v>
      </c>
      <c r="F6" s="50" t="s">
        <v>53</v>
      </c>
      <c r="G6" s="50" t="s">
        <v>438</v>
      </c>
      <c r="H6" s="50" t="s">
        <v>439</v>
      </c>
      <c r="I6" s="50" t="s">
        <v>440</v>
      </c>
      <c r="J6" s="50" t="s">
        <v>469</v>
      </c>
      <c r="K6" s="50" t="s">
        <v>470</v>
      </c>
      <c r="L6" s="30"/>
    </row>
    <row r="7" customFormat="false" ht="27.75" hidden="false" customHeight="true" outlineLevel="0" collapsed="false">
      <c r="A7" s="51" t="n">
        <f aca="false">IF($D$3="","",IF($B$3="公区维修",SUMPRODUCT((辅助数据!$FW$5:$FW$404&lt;&gt;"")*(公区维修!$K$5:$K$404="已完成")),SUMPRODUCT((辅助数据!$FW$5:$FW$404&lt;&gt;"")*(入户维修!$K$5:$K$404="已完成"))))</f>
        <v>13</v>
      </c>
      <c r="B7" s="51" t="n">
        <f aca="false">IF($D$3="","",IF($B$3="公区维修",SUMPRODUCT((辅助数据!$FW$5:$FW$404&lt;&gt;"")*(公区维修!$K$5:$K$404="跟进中")),SUMPRODUCT((辅助数据!$FW$5:$FW$404&lt;&gt;"")*(入户维修!$K$5:$K$404="跟进中"))))</f>
        <v>4</v>
      </c>
      <c r="C7" s="51" t="n">
        <f aca="false">IF($D$3="","",IF($B$3="公区维修",SUMPRODUCT((辅助数据!$FW$5:$FW$404&lt;&gt;"")*(公区维修!$K$5:$K$404="需另约时间")),SUMPRODUCT((辅助数据!$FW$5:$FW$404&lt;&gt;"")*(入户维修!$K$5:$K$404="需另约时间"))))</f>
        <v>0</v>
      </c>
      <c r="D7" s="51" t="n">
        <f aca="false">IF($D$3="","",IF($B$3="公区维修",SUMPRODUCT((辅助数据!$FW$5:$FW$404&lt;&gt;"")*(公区维修!$N$5:$N$404="非常满意")),SUMPRODUCT((辅助数据!$FW$5:$FW$404&lt;&gt;"")*(入户维修!$O$5:$O$404="非常满意"))))</f>
        <v>13</v>
      </c>
      <c r="E7" s="51" t="n">
        <f aca="false">IF($D$3="","",IF($B$3="公区维修",SUMPRODUCT((辅助数据!$FW$5:$FW$404&lt;&gt;"")*(公区维修!$N$5:$N$404="满意")),SUMPRODUCT((辅助数据!$FW$5:$FW$404&lt;&gt;"")*(入户维修!$O$5:$O$404="满意"))))</f>
        <v>1</v>
      </c>
      <c r="F7" s="51" t="n">
        <f aca="false">IF($D$3="","",IF($B$3="公区维修",SUMPRODUCT((辅助数据!$FW$5:$FW$404&lt;&gt;"")*(公区维修!$N$5:$N$404="一般")),SUMPRODUCT((辅助数据!$FW$5:$FW$404&lt;&gt;"")*(入户维修!$O$5:$O$404="一般"))))</f>
        <v>1</v>
      </c>
      <c r="G7" s="51" t="n">
        <f aca="false">IF($D$3="","",IF($B$3="公区维修",SUMPRODUCT((辅助数据!$FW$5:$FW$404&lt;&gt;"")*(公区维修!$N$5:$N$404="不满意")),SUMPRODUCT((辅助数据!$FW$5:$FW$404&lt;&gt;"")*(入户维修!$O$5:$O$404="不满意"))))</f>
        <v>0</v>
      </c>
      <c r="H7" s="51" t="n">
        <f aca="false">IF($D$3="","",SUM($D$7:$G$7))</f>
        <v>15</v>
      </c>
      <c r="I7" s="52" t="n">
        <f aca="false">IF(OR($D$3="",$H$7=0),"",($D$7+$E$7)/$H$7)</f>
        <v>0.933333333333333</v>
      </c>
      <c r="J7" s="51" t="str">
        <f aca="false">IF($D$3="","",IF($H$3=0,"",TEXT(IF($B$3="公区维修",INDEX(公区维修!$B$5:$B$404,MATCH($H$3,辅助数据!$FW$5:$FW$404,0)),INDEX(入户维修!$B$5:$B$404,MATCH($H$3,辅助数据!$FW$5:$FW$404,0))),"yyyy-mm-dd")))</f>
        <v>2026-08-07</v>
      </c>
      <c r="K7" s="51" t="str">
        <f aca="false">IF($D$3="","",IF($H$3=0,"",TEXT(IF($B$3="公区维修",INDEX(公区维修!$B$5:$B$404,MATCH(1,辅助数据!$FW$5:$FW$404,0)),INDEX(入户维修!$B$5:$B$404,MATCH(1,辅助数据!$FW$5:$FW$404,0))),"yyyy-mm-dd")))</f>
        <v>2026-07-30</v>
      </c>
      <c r="L7" s="30"/>
    </row>
    <row r="8" customFormat="false" ht="30" hidden="false" customHeight="true" outlineLevel="0" collapsed="false">
      <c r="A8" s="53" t="s">
        <v>471</v>
      </c>
      <c r="B8" s="53" t="s">
        <v>6</v>
      </c>
      <c r="C8" s="53" t="s">
        <v>7</v>
      </c>
      <c r="D8" s="53" t="s">
        <v>472</v>
      </c>
      <c r="E8" s="53" t="s">
        <v>9</v>
      </c>
      <c r="F8" s="53" t="s">
        <v>473</v>
      </c>
      <c r="G8" s="53" t="s">
        <v>13</v>
      </c>
      <c r="H8" s="53" t="s">
        <v>15</v>
      </c>
      <c r="I8" s="53" t="s">
        <v>382</v>
      </c>
      <c r="J8" s="53" t="s">
        <v>19</v>
      </c>
      <c r="K8" s="53" t="s">
        <v>20</v>
      </c>
      <c r="L8" s="53" t="s">
        <v>17</v>
      </c>
    </row>
    <row r="9" customFormat="false" ht="21.75" hidden="false" customHeight="true" outlineLevel="0" collapsed="false">
      <c r="A9" s="42" t="str">
        <f aca="false">IF(辅助数据!$FY$1="","","第"&amp;1&amp;"单")</f>
        <v>第1单</v>
      </c>
      <c r="B9" s="14" t="n">
        <f aca="false">IF(辅助数据!$FY$1="","",IF(IF($B$3="公区维修",INDEX(公区维修!$B$5:$B$404,辅助数据!$FY$1),INDEX(入户维修!$B$5:$B$404,辅助数据!$FY$1))&amp;""="","",IF($B$3="公区维修",INDEX(公区维修!$B$5:$B$404,辅助数据!$FY$1),INDEX(入户维修!$B$5:$B$404,辅助数据!$FY$1))))</f>
        <v>46233</v>
      </c>
      <c r="C9" s="18" t="str">
        <f aca="false">IF(辅助数据!$FY$1="","",IF($B$3="公区维修",INDEX(公区维修!$C$5:$C$404,辅助数据!$FY$1),INDEX(入户维修!$C$5:$C$404,辅助数据!$FY$1))&amp;"")</f>
        <v>6栋</v>
      </c>
      <c r="D9" s="18" t="str">
        <f aca="false">IF(辅助数据!$FY$1="","",IF($B$3="公区维修",INDEX(公区维修!$D$5:$D$404,辅助数据!$FY$1),INDEX(入户维修!$D$5:$D$404,辅助数据!$FY$1))&amp;"")</f>
        <v>2504</v>
      </c>
      <c r="E9" s="54" t="str">
        <f aca="false">IF(辅助数据!$FY$1="","",IF($B$3="公区维修",INDEX(公区维修!$E$5:$E$404,辅助数据!$FY$1),INDEX(入户维修!$E$5:$E$404,辅助数据!$FY$1))&amp;"")</f>
        <v>室内空调排水不畅</v>
      </c>
      <c r="F9" s="18" t="str">
        <f aca="false">IF(辅助数据!$FY$1="","",IF($B$3="公区维修",INDEX(公区维修!$F$5:$F$404,辅助数据!$FY$1),INDEX(入户维修!$F$5:$F$404,辅助数据!$FY$1))&amp;IF(IF($B$3="公区维修",INDEX(公区维修!$G$5:$G$404,辅助数据!$FY$1),INDEX(入户维修!$G$5:$G$404,辅助数据!$FY$1))&amp;""="","","、"&amp;IF($B$3="公区维修",INDEX(公区维修!$G$5:$G$404,辅助数据!$FY$1),INDEX(入户维修!$G$5:$G$404,辅助数据!$FY$1)))&amp;IF(IF($B$3="公区维修",INDEX(公区维修!$H$5:$H$404,辅助数据!$FY$1),INDEX(入户维修!$H$5:$H$404,辅助数据!$FY$1))&amp;""="","","、"&amp;IF($B$3="公区维修",INDEX(公区维修!$H$5:$H$404,辅助数据!$FY$1),INDEX(入户维修!$H$5:$H$404,辅助数据!$FY$1)))&amp;"")</f>
        <v>刘师傅、张师傅</v>
      </c>
      <c r="G9" s="18" t="str">
        <f aca="false">IF(辅助数据!$FY$1="","",IF($B$3="公区维修",INDEX(公区维修!$I$5:$I$404,辅助数据!$FY$1),INDEX(入户维修!$I$5:$I$404,辅助数据!$FY$1))&amp;"")</f>
        <v>7月30日 10:00</v>
      </c>
      <c r="H9" s="42" t="str">
        <f aca="false">IF(辅助数据!$FY$1="","",IF($B$3="公区维修",INDEX(公区维修!$K$5:$K$404,辅助数据!$FY$1),INDEX(入户维修!$K$5:$K$404,辅助数据!$FY$1))&amp;"")</f>
        <v>跟进中</v>
      </c>
      <c r="I9" s="54" t="str">
        <f aca="false">IF(辅助数据!$FY$1="","",IF($B$3="公区维修",INDEX(公区维修!$M$5:$M$404,辅助数据!$FY$1),INDEX(入户维修!$N$5:$N$404,辅助数据!$FY$1))&amp;"")</f>
        <v>需要贴保温棉，待料处理</v>
      </c>
      <c r="J9" s="42" t="str">
        <f aca="false">IF(辅助数据!$FY$1="","",IF($B$3="公区维修",INDEX(公区维修!$N$5:$N$404,辅助数据!$FY$1),INDEX(入户维修!$O$5:$O$404,辅助数据!$FY$1))&amp;"")</f>
        <v/>
      </c>
      <c r="K9" s="54" t="str">
        <f aca="false">IF(辅助数据!$FY$1="","",IF($B$3="公区维修",INDEX(公区维修!$O$5:$O$404,辅助数据!$FY$1),INDEX(入户维修!$P$5:$P$404,辅助数据!$FY$1))&amp;"")</f>
        <v/>
      </c>
      <c r="L9" s="18" t="str">
        <f aca="false">IF(辅助数据!$FY$1="","",IF($B$3="公区维修",INDEX(公区维修!$L$5:$L$404,辅助数据!$FY$1),INDEX(入户维修!$M$5:$M$404,辅助数据!$FY$1))&amp;"")</f>
        <v>6-2504-0730</v>
      </c>
    </row>
    <row r="10" customFormat="false" ht="21.75" hidden="false" customHeight="true" outlineLevel="0" collapsed="false">
      <c r="A10" s="42" t="str">
        <f aca="false">IF(辅助数据!$FY$2="","","第"&amp;2&amp;"单")</f>
        <v>第2单</v>
      </c>
      <c r="B10" s="14" t="n">
        <f aca="false">IF(辅助数据!$FY$2="","",IF(IF($B$3="公区维修",INDEX(公区维修!$B$5:$B$404,辅助数据!$FY$2),INDEX(入户维修!$B$5:$B$404,辅助数据!$FY$2))&amp;""="","",IF($B$3="公区维修",INDEX(公区维修!$B$5:$B$404,辅助数据!$FY$2),INDEX(入户维修!$B$5:$B$404,辅助数据!$FY$2))))</f>
        <v>46233</v>
      </c>
      <c r="C10" s="18" t="str">
        <f aca="false">IF(辅助数据!$FY$2="","",IF($B$3="公区维修",INDEX(公区维修!$C$5:$C$404,辅助数据!$FY$2),INDEX(入户维修!$C$5:$C$404,辅助数据!$FY$2))&amp;"")</f>
        <v>6栋</v>
      </c>
      <c r="D10" s="18" t="str">
        <f aca="false">IF(辅助数据!$FY$2="","",IF($B$3="公区维修",INDEX(公区维修!$D$5:$D$404,辅助数据!$FY$2),INDEX(入户维修!$D$5:$D$404,辅助数据!$FY$2))&amp;"")</f>
        <v>2004</v>
      </c>
      <c r="E10" s="54" t="str">
        <f aca="false">IF(辅助数据!$FY$2="","",IF($B$3="公区维修",INDEX(公区维修!$E$5:$E$404,辅助数据!$FY$2),INDEX(入户维修!$E$5:$E$404,辅助数据!$FY$2))&amp;"")</f>
        <v>主卧地面冷凝水</v>
      </c>
      <c r="F10" s="18" t="str">
        <f aca="false">IF(辅助数据!$FY$2="","",IF($B$3="公区维修",INDEX(公区维修!$F$5:$F$404,辅助数据!$FY$2),INDEX(入户维修!$F$5:$F$404,辅助数据!$FY$2))&amp;IF(IF($B$3="公区维修",INDEX(公区维修!$G$5:$G$404,辅助数据!$FY$2),INDEX(入户维修!$G$5:$G$404,辅助数据!$FY$2))&amp;""="","","、"&amp;IF($B$3="公区维修",INDEX(公区维修!$G$5:$G$404,辅助数据!$FY$2),INDEX(入户维修!$G$5:$G$404,辅助数据!$FY$2)))&amp;IF(IF($B$3="公区维修",INDEX(公区维修!$H$5:$H$404,辅助数据!$FY$2),INDEX(入户维修!$H$5:$H$404,辅助数据!$FY$2))&amp;""="","","、"&amp;IF($B$3="公区维修",INDEX(公区维修!$H$5:$H$404,辅助数据!$FY$2),INDEX(入户维修!$H$5:$H$404,辅助数据!$FY$2)))&amp;"")</f>
        <v>张师傅</v>
      </c>
      <c r="G10" s="18" t="str">
        <f aca="false">IF(辅助数据!$FY$2="","",IF($B$3="公区维修",INDEX(公区维修!$I$5:$I$404,辅助数据!$FY$2),INDEX(入户维修!$I$5:$I$404,辅助数据!$FY$2))&amp;"")</f>
        <v>7月30日 14:00后</v>
      </c>
      <c r="H10" s="42" t="str">
        <f aca="false">IF(辅助数据!$FY$2="","",IF($B$3="公区维修",INDEX(公区维修!$K$5:$K$404,辅助数据!$FY$2),INDEX(入户维修!$K$5:$K$404,辅助数据!$FY$2))&amp;"")</f>
        <v>已完成</v>
      </c>
      <c r="I10" s="54" t="str">
        <f aca="false">IF(辅助数据!$FY$2="","",IF($B$3="公区维修",INDEX(公区维修!$M$5:$M$404,辅助数据!$FY$2),INDEX(入户维修!$N$5:$N$404,辅助数据!$FY$2))&amp;"")</f>
        <v>楼下住户空调出风口已调整</v>
      </c>
      <c r="J10" s="42" t="str">
        <f aca="false">IF(辅助数据!$FY$2="","",IF($B$3="公区维修",INDEX(公区维修!$N$5:$N$404,辅助数据!$FY$2),INDEX(入户维修!$O$5:$O$404,辅助数据!$FY$2))&amp;"")</f>
        <v>一般</v>
      </c>
      <c r="K10" s="54" t="str">
        <f aca="false">IF(辅助数据!$FY$2="","",IF($B$3="公区维修",INDEX(公区维修!$O$5:$O$404,辅助数据!$FY$2),INDEX(入户维修!$P$5:$P$404,辅助数据!$FY$2))&amp;"")</f>
        <v/>
      </c>
      <c r="L10" s="18" t="str">
        <f aca="false">IF(辅助数据!$FY$2="","",IF($B$3="公区维修",INDEX(公区维修!$L$5:$L$404,辅助数据!$FY$2),INDEX(入户维修!$M$5:$M$404,辅助数据!$FY$2))&amp;"")</f>
        <v>6-2004-0730</v>
      </c>
    </row>
    <row r="11" customFormat="false" ht="21.75" hidden="false" customHeight="true" outlineLevel="0" collapsed="false">
      <c r="A11" s="42" t="str">
        <f aca="false">IF(辅助数据!$FY$3="","","第"&amp;3&amp;"单")</f>
        <v>第3单</v>
      </c>
      <c r="B11" s="14" t="n">
        <f aca="false">IF(辅助数据!$FY$3="","",IF(IF($B$3="公区维修",INDEX(公区维修!$B$5:$B$404,辅助数据!$FY$3),INDEX(入户维修!$B$5:$B$404,辅助数据!$FY$3))&amp;""="","",IF($B$3="公区维修",INDEX(公区维修!$B$5:$B$404,辅助数据!$FY$3),INDEX(入户维修!$B$5:$B$404,辅助数据!$FY$3))))</f>
        <v>46233</v>
      </c>
      <c r="C11" s="18" t="str">
        <f aca="false">IF(辅助数据!$FY$3="","",IF($B$3="公区维修",INDEX(公区维修!$C$5:$C$404,辅助数据!$FY$3),INDEX(入户维修!$C$5:$C$404,辅助数据!$FY$3))&amp;"")</f>
        <v>6栋</v>
      </c>
      <c r="D11" s="18" t="str">
        <f aca="false">IF(辅助数据!$FY$3="","",IF($B$3="公区维修",INDEX(公区维修!$D$5:$D$404,辅助数据!$FY$3),INDEX(入户维修!$D$5:$D$404,辅助数据!$FY$3))&amp;"")</f>
        <v>2501</v>
      </c>
      <c r="E11" s="54" t="str">
        <f aca="false">IF(辅助数据!$FY$3="","",IF($B$3="公区维修",INDEX(公区维修!$E$5:$E$404,辅助数据!$FY$3),INDEX(入户维修!$E$5:$E$404,辅助数据!$FY$3))&amp;"")</f>
        <v>门把手松</v>
      </c>
      <c r="F11" s="18" t="str">
        <f aca="false">IF(辅助数据!$FY$3="","",IF($B$3="公区维修",INDEX(公区维修!$F$5:$F$404,辅助数据!$FY$3),INDEX(入户维修!$F$5:$F$404,辅助数据!$FY$3))&amp;IF(IF($B$3="公区维修",INDEX(公区维修!$G$5:$G$404,辅助数据!$FY$3),INDEX(入户维修!$G$5:$G$404,辅助数据!$FY$3))&amp;""="","","、"&amp;IF($B$3="公区维修",INDEX(公区维修!$G$5:$G$404,辅助数据!$FY$3),INDEX(入户维修!$G$5:$G$404,辅助数据!$FY$3)))&amp;IF(IF($B$3="公区维修",INDEX(公区维修!$H$5:$H$404,辅助数据!$FY$3),INDEX(入户维修!$H$5:$H$404,辅助数据!$FY$3))&amp;""="","","、"&amp;IF($B$3="公区维修",INDEX(公区维修!$H$5:$H$404,辅助数据!$FY$3),INDEX(入户维修!$H$5:$H$404,辅助数据!$FY$3)))&amp;"")</f>
        <v>张师傅</v>
      </c>
      <c r="G11" s="18" t="str">
        <f aca="false">IF(辅助数据!$FY$3="","",IF($B$3="公区维修",INDEX(公区维修!$I$5:$I$404,辅助数据!$FY$3),INDEX(入户维修!$I$5:$I$404,辅助数据!$FY$3))&amp;"")</f>
        <v>7月30日 12:00</v>
      </c>
      <c r="H11" s="42" t="str">
        <f aca="false">IF(辅助数据!$FY$3="","",IF($B$3="公区维修",INDEX(公区维修!$K$5:$K$404,辅助数据!$FY$3),INDEX(入户维修!$K$5:$K$404,辅助数据!$FY$3))&amp;"")</f>
        <v>已完成</v>
      </c>
      <c r="I11" s="54" t="str">
        <f aca="false">IF(辅助数据!$FY$3="","",IF($B$3="公区维修",INDEX(公区维修!$M$5:$M$404,辅助数据!$FY$3),INDEX(入户维修!$N$5:$N$404,辅助数据!$FY$3))&amp;"")</f>
        <v>好评</v>
      </c>
      <c r="J11" s="42" t="str">
        <f aca="false">IF(辅助数据!$FY$3="","",IF($B$3="公区维修",INDEX(公区维修!$N$5:$N$404,辅助数据!$FY$3),INDEX(入户维修!$O$5:$O$404,辅助数据!$FY$3))&amp;"")</f>
        <v>非常满意</v>
      </c>
      <c r="K11" s="54" t="str">
        <f aca="false">IF(辅助数据!$FY$3="","",IF($B$3="公区维修",INDEX(公区维修!$O$5:$O$404,辅助数据!$FY$3),INDEX(入户维修!$P$5:$P$404,辅助数据!$FY$3))&amp;"")</f>
        <v>服务不错</v>
      </c>
      <c r="L11" s="18" t="str">
        <f aca="false">IF(辅助数据!$FY$3="","",IF($B$3="公区维修",INDEX(公区维修!$L$5:$L$404,辅助数据!$FY$3),INDEX(入户维修!$M$5:$M$404,辅助数据!$FY$3))&amp;"")</f>
        <v>6-2501-0730</v>
      </c>
    </row>
    <row r="12" customFormat="false" ht="21.75" hidden="false" customHeight="true" outlineLevel="0" collapsed="false">
      <c r="A12" s="42" t="str">
        <f aca="false">IF(辅助数据!$FY$4="","","第"&amp;4&amp;"单")</f>
        <v>第4单</v>
      </c>
      <c r="B12" s="14" t="n">
        <f aca="false">IF(辅助数据!$FY$4="","",IF(IF($B$3="公区维修",INDEX(公区维修!$B$5:$B$404,辅助数据!$FY$4),INDEX(入户维修!$B$5:$B$404,辅助数据!$FY$4))&amp;""="","",IF($B$3="公区维修",INDEX(公区维修!$B$5:$B$404,辅助数据!$FY$4),INDEX(入户维修!$B$5:$B$404,辅助数据!$FY$4))))</f>
        <v>46233</v>
      </c>
      <c r="C12" s="18" t="str">
        <f aca="false">IF(辅助数据!$FY$4="","",IF($B$3="公区维修",INDEX(公区维修!$C$5:$C$404,辅助数据!$FY$4),INDEX(入户维修!$C$5:$C$404,辅助数据!$FY$4))&amp;"")</f>
        <v>6栋</v>
      </c>
      <c r="D12" s="18" t="str">
        <f aca="false">IF(辅助数据!$FY$4="","",IF($B$3="公区维修",INDEX(公区维修!$D$5:$D$404,辅助数据!$FY$4),INDEX(入户维修!$D$5:$D$404,辅助数据!$FY$4))&amp;"")</f>
        <v>701</v>
      </c>
      <c r="E12" s="54" t="str">
        <f aca="false">IF(辅助数据!$FY$4="","",IF($B$3="公区维修",INDEX(公区维修!$E$5:$E$404,辅助数据!$FY$4),INDEX(入户维修!$E$5:$E$404,辅助数据!$FY$4))&amp;"")</f>
        <v>墙面鼓包，看能不能处理</v>
      </c>
      <c r="F12" s="18" t="str">
        <f aca="false">IF(辅助数据!$FY$4="","",IF($B$3="公区维修",INDEX(公区维修!$F$5:$F$404,辅助数据!$FY$4),INDEX(入户维修!$F$5:$F$404,辅助数据!$FY$4))&amp;IF(IF($B$3="公区维修",INDEX(公区维修!$G$5:$G$404,辅助数据!$FY$4),INDEX(入户维修!$G$5:$G$404,辅助数据!$FY$4))&amp;""="","","、"&amp;IF($B$3="公区维修",INDEX(公区维修!$G$5:$G$404,辅助数据!$FY$4),INDEX(入户维修!$G$5:$G$404,辅助数据!$FY$4)))&amp;IF(IF($B$3="公区维修",INDEX(公区维修!$H$5:$H$404,辅助数据!$FY$4),INDEX(入户维修!$H$5:$H$404,辅助数据!$FY$4))&amp;""="","","、"&amp;IF($B$3="公区维修",INDEX(公区维修!$H$5:$H$404,辅助数据!$FY$4),INDEX(入户维修!$H$5:$H$404,辅助数据!$FY$4)))&amp;"")</f>
        <v>李师傅</v>
      </c>
      <c r="G12" s="18" t="str">
        <f aca="false">IF(辅助数据!$FY$4="","",IF($B$3="公区维修",INDEX(公区维修!$I$5:$I$404,辅助数据!$FY$4),INDEX(入户维修!$I$5:$I$404,辅助数据!$FY$4))&amp;"")</f>
        <v>7月30日 14:00后</v>
      </c>
      <c r="H12" s="42" t="str">
        <f aca="false">IF(辅助数据!$FY$4="","",IF($B$3="公区维修",INDEX(公区维修!$K$5:$K$404,辅助数据!$FY$4),INDEX(入户维修!$K$5:$K$404,辅助数据!$FY$4))&amp;"")</f>
        <v>跟进中</v>
      </c>
      <c r="I12" s="54" t="str">
        <f aca="false">IF(辅助数据!$FY$4="","",IF($B$3="公区维修",INDEX(公区维修!$M$5:$M$404,辅助数据!$FY$4),INDEX(入户维修!$N$5:$N$404,辅助数据!$FY$4))&amp;"")</f>
        <v>第一道工序已完成，第二工序待约跟进</v>
      </c>
      <c r="J12" s="42" t="str">
        <f aca="false">IF(辅助数据!$FY$4="","",IF($B$3="公区维修",INDEX(公区维修!$N$5:$N$404,辅助数据!$FY$4),INDEX(入户维修!$O$5:$O$404,辅助数据!$FY$4))&amp;"")</f>
        <v>非常满意</v>
      </c>
      <c r="K12" s="54" t="str">
        <f aca="false">IF(辅助数据!$FY$4="","",IF($B$3="公区维修",INDEX(公区维修!$O$5:$O$404,辅助数据!$FY$4),INDEX(入户维修!$P$5:$P$404,辅助数据!$FY$4))&amp;"")</f>
        <v>可以</v>
      </c>
      <c r="L12" s="18" t="str">
        <f aca="false">IF(辅助数据!$FY$4="","",IF($B$3="公区维修",INDEX(公区维修!$L$5:$L$404,辅助数据!$FY$4),INDEX(入户维修!$M$5:$M$404,辅助数据!$FY$4))&amp;"")</f>
        <v>6-701-0730</v>
      </c>
    </row>
    <row r="13" customFormat="false" ht="21.75" hidden="false" customHeight="true" outlineLevel="0" collapsed="false">
      <c r="A13" s="42" t="str">
        <f aca="false">IF(辅助数据!$FY$5="","","第"&amp;5&amp;"单")</f>
        <v>第5单</v>
      </c>
      <c r="B13" s="14" t="n">
        <f aca="false">IF(辅助数据!$FY$5="","",IF(IF($B$3="公区维修",INDEX(公区维修!$B$5:$B$404,辅助数据!$FY$5),INDEX(入户维修!$B$5:$B$404,辅助数据!$FY$5))&amp;""="","",IF($B$3="公区维修",INDEX(公区维修!$B$5:$B$404,辅助数据!$FY$5),INDEX(入户维修!$B$5:$B$404,辅助数据!$FY$5))))</f>
        <v>46234</v>
      </c>
      <c r="C13" s="18" t="str">
        <f aca="false">IF(辅助数据!$FY$5="","",IF($B$3="公区维修",INDEX(公区维修!$C$5:$C$404,辅助数据!$FY$5),INDEX(入户维修!$C$5:$C$404,辅助数据!$FY$5))&amp;"")</f>
        <v>6栋</v>
      </c>
      <c r="D13" s="18" t="str">
        <f aca="false">IF(辅助数据!$FY$5="","",IF($B$3="公区维修",INDEX(公区维修!$D$5:$D$404,辅助数据!$FY$5),INDEX(入户维修!$D$5:$D$404,辅助数据!$FY$5))&amp;"")</f>
        <v>201</v>
      </c>
      <c r="E13" s="54" t="str">
        <f aca="false">IF(辅助数据!$FY$5="","",IF($B$3="公区维修",INDEX(公区维修!$E$5:$E$404,辅助数据!$FY$5),INDEX(入户维修!$E$5:$E$404,辅助数据!$FY$5))&amp;"")</f>
        <v>门把锁坏了</v>
      </c>
      <c r="F13" s="18" t="str">
        <f aca="false">IF(辅助数据!$FY$5="","",IF($B$3="公区维修",INDEX(公区维修!$F$5:$F$404,辅助数据!$FY$5),INDEX(入户维修!$F$5:$F$404,辅助数据!$FY$5))&amp;IF(IF($B$3="公区维修",INDEX(公区维修!$G$5:$G$404,辅助数据!$FY$5),INDEX(入户维修!$G$5:$G$404,辅助数据!$FY$5))&amp;""="","","、"&amp;IF($B$3="公区维修",INDEX(公区维修!$G$5:$G$404,辅助数据!$FY$5),INDEX(入户维修!$G$5:$G$404,辅助数据!$FY$5)))&amp;IF(IF($B$3="公区维修",INDEX(公区维修!$H$5:$H$404,辅助数据!$FY$5),INDEX(入户维修!$H$5:$H$404,辅助数据!$FY$5))&amp;""="","","、"&amp;IF($B$3="公区维修",INDEX(公区维修!$H$5:$H$404,辅助数据!$FY$5),INDEX(入户维修!$H$5:$H$404,辅助数据!$FY$5)))&amp;"")</f>
        <v>张师傅</v>
      </c>
      <c r="G13" s="18" t="str">
        <f aca="false">IF(辅助数据!$FY$5="","",IF($B$3="公区维修",INDEX(公区维修!$I$5:$I$404,辅助数据!$FY$5),INDEX(入户维修!$I$5:$I$404,辅助数据!$FY$5))&amp;"")</f>
        <v>7月31日</v>
      </c>
      <c r="H13" s="42" t="str">
        <f aca="false">IF(辅助数据!$FY$5="","",IF($B$3="公区维修",INDEX(公区维修!$K$5:$K$404,辅助数据!$FY$5),INDEX(入户维修!$K$5:$K$404,辅助数据!$FY$5))&amp;"")</f>
        <v>已完成</v>
      </c>
      <c r="I13" s="54" t="str">
        <f aca="false">IF(辅助数据!$FY$5="","",IF($B$3="公区维修",INDEX(公区维修!$M$5:$M$404,辅助数据!$FY$5),INDEX(入户维修!$N$5:$N$404,辅助数据!$FY$5))&amp;"")</f>
        <v/>
      </c>
      <c r="J13" s="42" t="str">
        <f aca="false">IF(辅助数据!$FY$5="","",IF($B$3="公区维修",INDEX(公区维修!$N$5:$N$404,辅助数据!$FY$5),INDEX(入户维修!$O$5:$O$404,辅助数据!$FY$5))&amp;"")</f>
        <v>非常满意</v>
      </c>
      <c r="K13" s="54" t="str">
        <f aca="false">IF(辅助数据!$FY$5="","",IF($B$3="公区维修",INDEX(公区维修!$O$5:$O$404,辅助数据!$FY$5),INDEX(入户维修!$P$5:$P$404,辅助数据!$FY$5))&amp;"")</f>
        <v/>
      </c>
      <c r="L13" s="18" t="str">
        <f aca="false">IF(辅助数据!$FY$5="","",IF($B$3="公区维修",INDEX(公区维修!$L$5:$L$404,辅助数据!$FY$5),INDEX(入户维修!$M$5:$M$404,辅助数据!$FY$5))&amp;"")</f>
        <v>6-201-0731</v>
      </c>
    </row>
    <row r="14" customFormat="false" ht="21.75" hidden="false" customHeight="true" outlineLevel="0" collapsed="false">
      <c r="A14" s="42" t="str">
        <f aca="false">IF(辅助数据!$FY$6="","","第"&amp;6&amp;"单")</f>
        <v>第6单</v>
      </c>
      <c r="B14" s="14" t="n">
        <f aca="false">IF(辅助数据!$FY$6="","",IF(IF($B$3="公区维修",INDEX(公区维修!$B$5:$B$404,辅助数据!$FY$6),INDEX(入户维修!$B$5:$B$404,辅助数据!$FY$6))&amp;""="","",IF($B$3="公区维修",INDEX(公区维修!$B$5:$B$404,辅助数据!$FY$6),INDEX(入户维修!$B$5:$B$404,辅助数据!$FY$6))))</f>
        <v>46234</v>
      </c>
      <c r="C14" s="18" t="str">
        <f aca="false">IF(辅助数据!$FY$6="","",IF($B$3="公区维修",INDEX(公区维修!$C$5:$C$404,辅助数据!$FY$6),INDEX(入户维修!$C$5:$C$404,辅助数据!$FY$6))&amp;"")</f>
        <v>6栋</v>
      </c>
      <c r="D14" s="18" t="str">
        <f aca="false">IF(辅助数据!$FY$6="","",IF($B$3="公区维修",INDEX(公区维修!$D$5:$D$404,辅助数据!$FY$6),INDEX(入户维修!$D$5:$D$404,辅助数据!$FY$6))&amp;"")</f>
        <v>3304</v>
      </c>
      <c r="E14" s="54" t="str">
        <f aca="false">IF(辅助数据!$FY$6="","",IF($B$3="公区维修",INDEX(公区维修!$E$5:$E$404,辅助数据!$FY$6),INDEX(入户维修!$E$5:$E$404,辅助数据!$FY$6))&amp;"")</f>
        <v>空调噪音</v>
      </c>
      <c r="F14" s="18" t="str">
        <f aca="false">IF(辅助数据!$FY$6="","",IF($B$3="公区维修",INDEX(公区维修!$F$5:$F$404,辅助数据!$FY$6),INDEX(入户维修!$F$5:$F$404,辅助数据!$FY$6))&amp;IF(IF($B$3="公区维修",INDEX(公区维修!$G$5:$G$404,辅助数据!$FY$6),INDEX(入户维修!$G$5:$G$404,辅助数据!$FY$6))&amp;""="","","、"&amp;IF($B$3="公区维修",INDEX(公区维修!$G$5:$G$404,辅助数据!$FY$6),INDEX(入户维修!$G$5:$G$404,辅助数据!$FY$6)))&amp;IF(IF($B$3="公区维修",INDEX(公区维修!$H$5:$H$404,辅助数据!$FY$6),INDEX(入户维修!$H$5:$H$404,辅助数据!$FY$6))&amp;""="","","、"&amp;IF($B$3="公区维修",INDEX(公区维修!$H$5:$H$404,辅助数据!$FY$6),INDEX(入户维修!$H$5:$H$404,辅助数据!$FY$6)))&amp;"")</f>
        <v>李师傅</v>
      </c>
      <c r="G14" s="18" t="str">
        <f aca="false">IF(辅助数据!$FY$6="","",IF($B$3="公区维修",INDEX(公区维修!$I$5:$I$404,辅助数据!$FY$6),INDEX(入户维修!$I$5:$I$404,辅助数据!$FY$6))&amp;"")</f>
        <v>7月31日</v>
      </c>
      <c r="H14" s="42" t="str">
        <f aca="false">IF(辅助数据!$FY$6="","",IF($B$3="公区维修",INDEX(公区维修!$K$5:$K$404,辅助数据!$FY$6),INDEX(入户维修!$K$5:$K$404,辅助数据!$FY$6))&amp;"")</f>
        <v>跟进中</v>
      </c>
      <c r="I14" s="54" t="str">
        <f aca="false">IF(辅助数据!$FY$6="","",IF($B$3="公区维修",INDEX(公区维修!$M$5:$M$404,辅助数据!$FY$6),INDEX(入户维修!$N$5:$N$404,辅助数据!$FY$6))&amp;"")</f>
        <v>修不了，业主已联系空调售后检修</v>
      </c>
      <c r="J14" s="42" t="str">
        <f aca="false">IF(辅助数据!$FY$6="","",IF($B$3="公区维修",INDEX(公区维修!$N$5:$N$404,辅助数据!$FY$6),INDEX(入户维修!$O$5:$O$404,辅助数据!$FY$6))&amp;"")</f>
        <v>非常满意</v>
      </c>
      <c r="K14" s="54" t="str">
        <f aca="false">IF(辅助数据!$FY$6="","",IF($B$3="公区维修",INDEX(公区维修!$O$5:$O$404,辅助数据!$FY$6),INDEX(入户维修!$P$5:$P$404,辅助数据!$FY$6))&amp;"")</f>
        <v/>
      </c>
      <c r="L14" s="18" t="str">
        <f aca="false">IF(辅助数据!$FY$6="","",IF($B$3="公区维修",INDEX(公区维修!$L$5:$L$404,辅助数据!$FY$6),INDEX(入户维修!$M$5:$M$404,辅助数据!$FY$6))&amp;"")</f>
        <v>6-3304-0731</v>
      </c>
    </row>
    <row r="15" customFormat="false" ht="21.75" hidden="false" customHeight="true" outlineLevel="0" collapsed="false">
      <c r="A15" s="42" t="str">
        <f aca="false">IF(辅助数据!$FY$7="","","第"&amp;7&amp;"单")</f>
        <v>第7单</v>
      </c>
      <c r="B15" s="14" t="n">
        <f aca="false">IF(辅助数据!$FY$7="","",IF(IF($B$3="公区维修",INDEX(公区维修!$B$5:$B$404,辅助数据!$FY$7),INDEX(入户维修!$B$5:$B$404,辅助数据!$FY$7))&amp;""="","",IF($B$3="公区维修",INDEX(公区维修!$B$5:$B$404,辅助数据!$FY$7),INDEX(入户维修!$B$5:$B$404,辅助数据!$FY$7))))</f>
        <v>46235</v>
      </c>
      <c r="C15" s="18" t="str">
        <f aca="false">IF(辅助数据!$FY$7="","",IF($B$3="公区维修",INDEX(公区维修!$C$5:$C$404,辅助数据!$FY$7),INDEX(入户维修!$C$5:$C$404,辅助数据!$FY$7))&amp;"")</f>
        <v>6栋</v>
      </c>
      <c r="D15" s="18" t="str">
        <f aca="false">IF(辅助数据!$FY$7="","",IF($B$3="公区维修",INDEX(公区维修!$D$5:$D$404,辅助数据!$FY$7),INDEX(入户维修!$D$5:$D$404,辅助数据!$FY$7))&amp;"")</f>
        <v>1904</v>
      </c>
      <c r="E15" s="54" t="str">
        <f aca="false">IF(辅助数据!$FY$7="","",IF($B$3="公区维修",INDEX(公区维修!$E$5:$E$404,辅助数据!$FY$7),INDEX(入户维修!$E$5:$E$404,辅助数据!$FY$7))&amp;"")</f>
        <v>卫生间门坏了</v>
      </c>
      <c r="F15" s="18" t="str">
        <f aca="false">IF(辅助数据!$FY$7="","",IF($B$3="公区维修",INDEX(公区维修!$F$5:$F$404,辅助数据!$FY$7),INDEX(入户维修!$F$5:$F$404,辅助数据!$FY$7))&amp;IF(IF($B$3="公区维修",INDEX(公区维修!$G$5:$G$404,辅助数据!$FY$7),INDEX(入户维修!$G$5:$G$404,辅助数据!$FY$7))&amp;""="","","、"&amp;IF($B$3="公区维修",INDEX(公区维修!$G$5:$G$404,辅助数据!$FY$7),INDEX(入户维修!$G$5:$G$404,辅助数据!$FY$7)))&amp;IF(IF($B$3="公区维修",INDEX(公区维修!$H$5:$H$404,辅助数据!$FY$7),INDEX(入户维修!$H$5:$H$404,辅助数据!$FY$7))&amp;""="","","、"&amp;IF($B$3="公区维修",INDEX(公区维修!$H$5:$H$404,辅助数据!$FY$7),INDEX(入户维修!$H$5:$H$404,辅助数据!$FY$7)))&amp;"")</f>
        <v>李师傅</v>
      </c>
      <c r="G15" s="18" t="str">
        <f aca="false">IF(辅助数据!$FY$7="","",IF($B$3="公区维修",INDEX(公区维修!$I$5:$I$404,辅助数据!$FY$7),INDEX(入户维修!$I$5:$I$404,辅助数据!$FY$7))&amp;"")</f>
        <v>8月1日</v>
      </c>
      <c r="H15" s="42" t="str">
        <f aca="false">IF(辅助数据!$FY$7="","",IF($B$3="公区维修",INDEX(公区维修!$K$5:$K$404,辅助数据!$FY$7),INDEX(入户维修!$K$5:$K$404,辅助数据!$FY$7))&amp;"")</f>
        <v>已完成</v>
      </c>
      <c r="I15" s="54" t="str">
        <f aca="false">IF(辅助数据!$FY$7="","",IF($B$3="公区维修",INDEX(公区维修!$M$5:$M$404,辅助数据!$FY$7),INDEX(入户维修!$N$5:$N$404,辅助数据!$FY$7))&amp;"")</f>
        <v/>
      </c>
      <c r="J15" s="42" t="str">
        <f aca="false">IF(辅助数据!$FY$7="","",IF($B$3="公区维修",INDEX(公区维修!$N$5:$N$404,辅助数据!$FY$7),INDEX(入户维修!$O$5:$O$404,辅助数据!$FY$7))&amp;"")</f>
        <v>非常满意</v>
      </c>
      <c r="K15" s="54" t="str">
        <f aca="false">IF(辅助数据!$FY$7="","",IF($B$3="公区维修",INDEX(公区维修!$O$5:$O$404,辅助数据!$FY$7),INDEX(入户维修!$P$5:$P$404,辅助数据!$FY$7))&amp;"")</f>
        <v>业主反馈给予点赞、表扬</v>
      </c>
      <c r="L15" s="18" t="str">
        <f aca="false">IF(辅助数据!$FY$7="","",IF($B$3="公区维修",INDEX(公区维修!$L$5:$L$404,辅助数据!$FY$7),INDEX(入户维修!$M$5:$M$404,辅助数据!$FY$7))&amp;"")</f>
        <v>6-1904-0801</v>
      </c>
    </row>
    <row r="16" customFormat="false" ht="21.75" hidden="false" customHeight="true" outlineLevel="0" collapsed="false">
      <c r="A16" s="42" t="str">
        <f aca="false">IF(辅助数据!$FY$8="","","第"&amp;8&amp;"单")</f>
        <v>第8单</v>
      </c>
      <c r="B16" s="14" t="n">
        <f aca="false">IF(辅助数据!$FY$8="","",IF(IF($B$3="公区维修",INDEX(公区维修!$B$5:$B$404,辅助数据!$FY$8),INDEX(入户维修!$B$5:$B$404,辅助数据!$FY$8))&amp;""="","",IF($B$3="公区维修",INDEX(公区维修!$B$5:$B$404,辅助数据!$FY$8),INDEX(入户维修!$B$5:$B$404,辅助数据!$FY$8))))</f>
        <v>46236</v>
      </c>
      <c r="C16" s="18" t="str">
        <f aca="false">IF(辅助数据!$FY$8="","",IF($B$3="公区维修",INDEX(公区维修!$C$5:$C$404,辅助数据!$FY$8),INDEX(入户维修!$C$5:$C$404,辅助数据!$FY$8))&amp;"")</f>
        <v>6栋</v>
      </c>
      <c r="D16" s="18" t="str">
        <f aca="false">IF(辅助数据!$FY$8="","",IF($B$3="公区维修",INDEX(公区维修!$D$5:$D$404,辅助数据!$FY$8),INDEX(入户维修!$D$5:$D$404,辅助数据!$FY$8))&amp;"")</f>
        <v>504</v>
      </c>
      <c r="E16" s="54" t="str">
        <f aca="false">IF(辅助数据!$FY$8="","",IF($B$3="公区维修",INDEX(公区维修!$E$5:$E$404,辅助数据!$FY$8),INDEX(入户维修!$E$5:$E$404,辅助数据!$FY$8))&amp;"")</f>
        <v>门把手松动</v>
      </c>
      <c r="F16" s="18" t="str">
        <f aca="false">IF(辅助数据!$FY$8="","",IF($B$3="公区维修",INDEX(公区维修!$F$5:$F$404,辅助数据!$FY$8),INDEX(入户维修!$F$5:$F$404,辅助数据!$FY$8))&amp;IF(IF($B$3="公区维修",INDEX(公区维修!$G$5:$G$404,辅助数据!$FY$8),INDEX(入户维修!$G$5:$G$404,辅助数据!$FY$8))&amp;""="","","、"&amp;IF($B$3="公区维修",INDEX(公区维修!$G$5:$G$404,辅助数据!$FY$8),INDEX(入户维修!$G$5:$G$404,辅助数据!$FY$8)))&amp;IF(IF($B$3="公区维修",INDEX(公区维修!$H$5:$H$404,辅助数据!$FY$8),INDEX(入户维修!$H$5:$H$404,辅助数据!$FY$8))&amp;""="","","、"&amp;IF($B$3="公区维修",INDEX(公区维修!$H$5:$H$404,辅助数据!$FY$8),INDEX(入户维修!$H$5:$H$404,辅助数据!$FY$8)))&amp;"")</f>
        <v>刘师傅</v>
      </c>
      <c r="G16" s="18" t="str">
        <f aca="false">IF(辅助数据!$FY$8="","",IF($B$3="公区维修",INDEX(公区维修!$I$5:$I$404,辅助数据!$FY$8),INDEX(入户维修!$I$5:$I$404,辅助数据!$FY$8))&amp;"")</f>
        <v>8月2日 上午</v>
      </c>
      <c r="H16" s="42" t="str">
        <f aca="false">IF(辅助数据!$FY$8="","",IF($B$3="公区维修",INDEX(公区维修!$K$5:$K$404,辅助数据!$FY$8),INDEX(入户维修!$K$5:$K$404,辅助数据!$FY$8))&amp;"")</f>
        <v>已完成</v>
      </c>
      <c r="I16" s="54" t="str">
        <f aca="false">IF(辅助数据!$FY$8="","",IF($B$3="公区维修",INDEX(公区维修!$M$5:$M$404,辅助数据!$FY$8),INDEX(入户维修!$N$5:$N$404,辅助数据!$FY$8))&amp;"")</f>
        <v/>
      </c>
      <c r="J16" s="42" t="str">
        <f aca="false">IF(辅助数据!$FY$8="","",IF($B$3="公区维修",INDEX(公区维修!$N$5:$N$404,辅助数据!$FY$8),INDEX(入户维修!$O$5:$O$404,辅助数据!$FY$8))&amp;"")</f>
        <v>非常满意</v>
      </c>
      <c r="K16" s="54" t="str">
        <f aca="false">IF(辅助数据!$FY$8="","",IF($B$3="公区维修",INDEX(公区维修!$O$5:$O$404,辅助数据!$FY$8),INDEX(入户维修!$P$5:$P$404,辅助数据!$FY$8))&amp;"")</f>
        <v>很棒</v>
      </c>
      <c r="L16" s="18" t="str">
        <f aca="false">IF(辅助数据!$FY$8="","",IF($B$3="公区维修",INDEX(公区维修!$L$5:$L$404,辅助数据!$FY$8),INDEX(入户维修!$M$5:$M$404,辅助数据!$FY$8))&amp;"")</f>
        <v>6-504-0802</v>
      </c>
    </row>
    <row r="17" customFormat="false" ht="21.75" hidden="false" customHeight="true" outlineLevel="0" collapsed="false">
      <c r="A17" s="42" t="str">
        <f aca="false">IF(辅助数据!$FY$9="","","第"&amp;9&amp;"单")</f>
        <v>第9单</v>
      </c>
      <c r="B17" s="14" t="n">
        <f aca="false">IF(辅助数据!$FY$9="","",IF(IF($B$3="公区维修",INDEX(公区维修!$B$5:$B$404,辅助数据!$FY$9),INDEX(入户维修!$B$5:$B$404,辅助数据!$FY$9))&amp;""="","",IF($B$3="公区维修",INDEX(公区维修!$B$5:$B$404,辅助数据!$FY$9),INDEX(入户维修!$B$5:$B$404,辅助数据!$FY$9))))</f>
        <v>46236</v>
      </c>
      <c r="C17" s="18" t="str">
        <f aca="false">IF(辅助数据!$FY$9="","",IF($B$3="公区维修",INDEX(公区维修!$C$5:$C$404,辅助数据!$FY$9),INDEX(入户维修!$C$5:$C$404,辅助数据!$FY$9))&amp;"")</f>
        <v>6栋</v>
      </c>
      <c r="D17" s="18" t="str">
        <f aca="false">IF(辅助数据!$FY$9="","",IF($B$3="公区维修",INDEX(公区维修!$D$5:$D$404,辅助数据!$FY$9),INDEX(入户维修!$D$5:$D$404,辅助数据!$FY$9))&amp;"")</f>
        <v>1102</v>
      </c>
      <c r="E17" s="54" t="str">
        <f aca="false">IF(辅助数据!$FY$9="","",IF($B$3="公区维修",INDEX(公区维修!$E$5:$E$404,辅助数据!$FY$9),INDEX(入户维修!$E$5:$E$404,辅助数据!$FY$9))&amp;"")</f>
        <v>我家厨房这里门槛石松了</v>
      </c>
      <c r="F17" s="18" t="str">
        <f aca="false">IF(辅助数据!$FY$9="","",IF($B$3="公区维修",INDEX(公区维修!$F$5:$F$404,辅助数据!$FY$9),INDEX(入户维修!$F$5:$F$404,辅助数据!$FY$9))&amp;IF(IF($B$3="公区维修",INDEX(公区维修!$G$5:$G$404,辅助数据!$FY$9),INDEX(入户维修!$G$5:$G$404,辅助数据!$FY$9))&amp;""="","","、"&amp;IF($B$3="公区维修",INDEX(公区维修!$G$5:$G$404,辅助数据!$FY$9),INDEX(入户维修!$G$5:$G$404,辅助数据!$FY$9)))&amp;IF(IF($B$3="公区维修",INDEX(公区维修!$H$5:$H$404,辅助数据!$FY$9),INDEX(入户维修!$H$5:$H$404,辅助数据!$FY$9))&amp;""="","","、"&amp;IF($B$3="公区维修",INDEX(公区维修!$H$5:$H$404,辅助数据!$FY$9),INDEX(入户维修!$H$5:$H$404,辅助数据!$FY$9)))&amp;"")</f>
        <v>王师傅</v>
      </c>
      <c r="G17" s="18" t="str">
        <f aca="false">IF(辅助数据!$FY$9="","",IF($B$3="公区维修",INDEX(公区维修!$I$5:$I$404,辅助数据!$FY$9),INDEX(入户维修!$I$5:$I$404,辅助数据!$FY$9))&amp;"")</f>
        <v>8月2日 上午</v>
      </c>
      <c r="H17" s="42" t="str">
        <f aca="false">IF(辅助数据!$FY$9="","",IF($B$3="公区维修",INDEX(公区维修!$K$5:$K$404,辅助数据!$FY$9),INDEX(入户维修!$K$5:$K$404,辅助数据!$FY$9))&amp;"")</f>
        <v>已完成</v>
      </c>
      <c r="I17" s="54" t="str">
        <f aca="false">IF(辅助数据!$FY$9="","",IF($B$3="公区维修",INDEX(公区维修!$M$5:$M$404,辅助数据!$FY$9),INDEX(入户维修!$N$5:$N$404,辅助数据!$FY$9))&amp;"")</f>
        <v/>
      </c>
      <c r="J17" s="42" t="str">
        <f aca="false">IF(辅助数据!$FY$9="","",IF($B$3="公区维修",INDEX(公区维修!$N$5:$N$404,辅助数据!$FY$9),INDEX(入户维修!$O$5:$O$404,辅助数据!$FY$9))&amp;"")</f>
        <v>非常满意</v>
      </c>
      <c r="K17" s="54" t="str">
        <f aca="false">IF(辅助数据!$FY$9="","",IF($B$3="公区维修",INDEX(公区维修!$O$5:$O$404,辅助数据!$FY$9),INDEX(入户维修!$P$5:$P$404,辅助数据!$FY$9))&amp;"")</f>
        <v/>
      </c>
      <c r="L17" s="18" t="str">
        <f aca="false">IF(辅助数据!$FY$9="","",IF($B$3="公区维修",INDEX(公区维修!$L$5:$L$404,辅助数据!$FY$9),INDEX(入户维修!$M$5:$M$404,辅助数据!$FY$9))&amp;"")</f>
        <v>6-1102-0802</v>
      </c>
    </row>
    <row r="18" customFormat="false" ht="21.75" hidden="false" customHeight="true" outlineLevel="0" collapsed="false">
      <c r="A18" s="42" t="str">
        <f aca="false">IF(辅助数据!$FY$10="","","第"&amp;10&amp;"单")</f>
        <v>第10单</v>
      </c>
      <c r="B18" s="14" t="n">
        <f aca="false">IF(辅助数据!$FY$10="","",IF(IF($B$3="公区维修",INDEX(公区维修!$B$5:$B$404,辅助数据!$FY$10),INDEX(入户维修!$B$5:$B$404,辅助数据!$FY$10))&amp;""="","",IF($B$3="公区维修",INDEX(公区维修!$B$5:$B$404,辅助数据!$FY$10),INDEX(入户维修!$B$5:$B$404,辅助数据!$FY$10))))</f>
        <v>46236</v>
      </c>
      <c r="C18" s="18" t="str">
        <f aca="false">IF(辅助数据!$FY$10="","",IF($B$3="公区维修",INDEX(公区维修!$C$5:$C$404,辅助数据!$FY$10),INDEX(入户维修!$C$5:$C$404,辅助数据!$FY$10))&amp;"")</f>
        <v>6栋</v>
      </c>
      <c r="D18" s="18" t="str">
        <f aca="false">IF(辅助数据!$FY$10="","",IF($B$3="公区维修",INDEX(公区维修!$D$5:$D$404,辅助数据!$FY$10),INDEX(入户维修!$D$5:$D$404,辅助数据!$FY$10))&amp;"")</f>
        <v>1503</v>
      </c>
      <c r="E18" s="54" t="str">
        <f aca="false">IF(辅助数据!$FY$10="","",IF($B$3="公区维修",INDEX(公区维修!$E$5:$E$404,辅助数据!$FY$10),INDEX(入户维修!$E$5:$E$404,辅助数据!$FY$10))&amp;"")</f>
        <v>入户门踢脚线脱落</v>
      </c>
      <c r="F18" s="18" t="str">
        <f aca="false">IF(辅助数据!$FY$10="","",IF($B$3="公区维修",INDEX(公区维修!$F$5:$F$404,辅助数据!$FY$10),INDEX(入户维修!$F$5:$F$404,辅助数据!$FY$10))&amp;IF(IF($B$3="公区维修",INDEX(公区维修!$G$5:$G$404,辅助数据!$FY$10),INDEX(入户维修!$G$5:$G$404,辅助数据!$FY$10))&amp;""="","","、"&amp;IF($B$3="公区维修",INDEX(公区维修!$G$5:$G$404,辅助数据!$FY$10),INDEX(入户维修!$G$5:$G$404,辅助数据!$FY$10)))&amp;IF(IF($B$3="公区维修",INDEX(公区维修!$H$5:$H$404,辅助数据!$FY$10),INDEX(入户维修!$H$5:$H$404,辅助数据!$FY$10))&amp;""="","","、"&amp;IF($B$3="公区维修",INDEX(公区维修!$H$5:$H$404,辅助数据!$FY$10),INDEX(入户维修!$H$5:$H$404,辅助数据!$FY$10)))&amp;"")</f>
        <v>张师傅</v>
      </c>
      <c r="G18" s="18" t="str">
        <f aca="false">IF(辅助数据!$FY$10="","",IF($B$3="公区维修",INDEX(公区维修!$I$5:$I$404,辅助数据!$FY$10),INDEX(入户维修!$I$5:$I$404,辅助数据!$FY$10))&amp;"")</f>
        <v>8月2日 上午</v>
      </c>
      <c r="H18" s="42" t="str">
        <f aca="false">IF(辅助数据!$FY$10="","",IF($B$3="公区维修",INDEX(公区维修!$K$5:$K$404,辅助数据!$FY$10),INDEX(入户维修!$K$5:$K$404,辅助数据!$FY$10))&amp;"")</f>
        <v>已完成</v>
      </c>
      <c r="I18" s="54" t="str">
        <f aca="false">IF(辅助数据!$FY$10="","",IF($B$3="公区维修",INDEX(公区维修!$M$5:$M$404,辅助数据!$FY$10),INDEX(入户维修!$N$5:$N$404,辅助数据!$FY$10))&amp;"")</f>
        <v/>
      </c>
      <c r="J18" s="42" t="str">
        <f aca="false">IF(辅助数据!$FY$10="","",IF($B$3="公区维修",INDEX(公区维修!$N$5:$N$404,辅助数据!$FY$10),INDEX(入户维修!$O$5:$O$404,辅助数据!$FY$10))&amp;"")</f>
        <v>非常满意</v>
      </c>
      <c r="K18" s="54" t="str">
        <f aca="false">IF(辅助数据!$FY$10="","",IF($B$3="公区维修",INDEX(公区维修!$O$5:$O$404,辅助数据!$FY$10),INDEX(入户维修!$P$5:$P$404,辅助数据!$FY$10))&amp;"")</f>
        <v/>
      </c>
      <c r="L18" s="18" t="str">
        <f aca="false">IF(辅助数据!$FY$10="","",IF($B$3="公区维修",INDEX(公区维修!$L$5:$L$404,辅助数据!$FY$10),INDEX(入户维修!$M$5:$M$404,辅助数据!$FY$10))&amp;"")</f>
        <v>6-1503-0802</v>
      </c>
    </row>
    <row r="19" customFormat="false" ht="21.75" hidden="false" customHeight="true" outlineLevel="0" collapsed="false">
      <c r="A19" s="42" t="str">
        <f aca="false">IF(辅助数据!$FY$11="","","第"&amp;11&amp;"单")</f>
        <v>第11单</v>
      </c>
      <c r="B19" s="14" t="n">
        <f aca="false">IF(辅助数据!$FY$11="","",IF(IF($B$3="公区维修",INDEX(公区维修!$B$5:$B$404,辅助数据!$FY$11),INDEX(入户维修!$B$5:$B$404,辅助数据!$FY$11))&amp;""="","",IF($B$3="公区维修",INDEX(公区维修!$B$5:$B$404,辅助数据!$FY$11),INDEX(入户维修!$B$5:$B$404,辅助数据!$FY$11))))</f>
        <v>46238</v>
      </c>
      <c r="C19" s="18" t="str">
        <f aca="false">IF(辅助数据!$FY$11="","",IF($B$3="公区维修",INDEX(公区维修!$C$5:$C$404,辅助数据!$FY$11),INDEX(入户维修!$C$5:$C$404,辅助数据!$FY$11))&amp;"")</f>
        <v>6栋</v>
      </c>
      <c r="D19" s="18" t="str">
        <f aca="false">IF(辅助数据!$FY$11="","",IF($B$3="公区维修",INDEX(公区维修!$D$5:$D$404,辅助数据!$FY$11),INDEX(入户维修!$D$5:$D$404,辅助数据!$FY$11))&amp;"")</f>
        <v>402</v>
      </c>
      <c r="E19" s="54" t="str">
        <f aca="false">IF(辅助数据!$FY$11="","",IF($B$3="公区维修",INDEX(公区维修!$E$5:$E$404,辅助数据!$FY$11),INDEX(入户维修!$E$5:$E$404,辅助数据!$FY$11))&amp;"")</f>
        <v>下水道反臭</v>
      </c>
      <c r="F19" s="18" t="str">
        <f aca="false">IF(辅助数据!$FY$11="","",IF($B$3="公区维修",INDEX(公区维修!$F$5:$F$404,辅助数据!$FY$11),INDEX(入户维修!$F$5:$F$404,辅助数据!$FY$11))&amp;IF(IF($B$3="公区维修",INDEX(公区维修!$G$5:$G$404,辅助数据!$FY$11),INDEX(入户维修!$G$5:$G$404,辅助数据!$FY$11))&amp;""="","","、"&amp;IF($B$3="公区维修",INDEX(公区维修!$G$5:$G$404,辅助数据!$FY$11),INDEX(入户维修!$G$5:$G$404,辅助数据!$FY$11)))&amp;IF(IF($B$3="公区维修",INDEX(公区维修!$H$5:$H$404,辅助数据!$FY$11),INDEX(入户维修!$H$5:$H$404,辅助数据!$FY$11))&amp;""="","","、"&amp;IF($B$3="公区维修",INDEX(公区维修!$H$5:$H$404,辅助数据!$FY$11),INDEX(入户维修!$H$5:$H$404,辅助数据!$FY$11)))&amp;"")</f>
        <v>张师傅</v>
      </c>
      <c r="G19" s="18" t="str">
        <f aca="false">IF(辅助数据!$FY$11="","",IF($B$3="公区维修",INDEX(公区维修!$I$5:$I$404,辅助数据!$FY$11),INDEX(入户维修!$I$5:$I$404,辅助数据!$FY$11))&amp;"")</f>
        <v>8月4日</v>
      </c>
      <c r="H19" s="42" t="str">
        <f aca="false">IF(辅助数据!$FY$11="","",IF($B$3="公区维修",INDEX(公区维修!$K$5:$K$404,辅助数据!$FY$11),INDEX(入户维修!$K$5:$K$404,辅助数据!$FY$11))&amp;"")</f>
        <v>已完成</v>
      </c>
      <c r="I19" s="54" t="str">
        <f aca="false">IF(辅助数据!$FY$11="","",IF($B$3="公区维修",INDEX(公区维修!$M$5:$M$404,辅助数据!$FY$11),INDEX(入户维修!$N$5:$N$404,辅助数据!$FY$11))&amp;"")</f>
        <v/>
      </c>
      <c r="J19" s="42" t="str">
        <f aca="false">IF(辅助数据!$FY$11="","",IF($B$3="公区维修",INDEX(公区维修!$N$5:$N$404,辅助数据!$FY$11),INDEX(入户维修!$O$5:$O$404,辅助数据!$FY$11))&amp;"")</f>
        <v>非常满意</v>
      </c>
      <c r="K19" s="54" t="str">
        <f aca="false">IF(辅助数据!$FY$11="","",IF($B$3="公区维修",INDEX(公区维修!$O$5:$O$404,辅助数据!$FY$11),INDEX(入户维修!$P$5:$P$404,辅助数据!$FY$11))&amp;"")</f>
        <v>张师傅很有礼貌和耐心，仔细检查维修很好，真心点赞！</v>
      </c>
      <c r="L19" s="18" t="str">
        <f aca="false">IF(辅助数据!$FY$11="","",IF($B$3="公区维修",INDEX(公区维修!$L$5:$L$404,辅助数据!$FY$11),INDEX(入户维修!$M$5:$M$404,辅助数据!$FY$11))&amp;"")</f>
        <v>6-402-0804</v>
      </c>
    </row>
    <row r="20" customFormat="false" ht="21.75" hidden="false" customHeight="true" outlineLevel="0" collapsed="false">
      <c r="A20" s="42" t="str">
        <f aca="false">IF(辅助数据!$FY$12="","","第"&amp;12&amp;"单")</f>
        <v>第12单</v>
      </c>
      <c r="B20" s="14" t="n">
        <f aca="false">IF(辅助数据!$FY$12="","",IF(IF($B$3="公区维修",INDEX(公区维修!$B$5:$B$404,辅助数据!$FY$12),INDEX(入户维修!$B$5:$B$404,辅助数据!$FY$12))&amp;""="","",IF($B$3="公区维修",INDEX(公区维修!$B$5:$B$404,辅助数据!$FY$12),INDEX(入户维修!$B$5:$B$404,辅助数据!$FY$12))))</f>
        <v>46241</v>
      </c>
      <c r="C20" s="18" t="str">
        <f aca="false">IF(辅助数据!$FY$12="","",IF($B$3="公区维修",INDEX(公区维修!$C$5:$C$404,辅助数据!$FY$12),INDEX(入户维修!$C$5:$C$404,辅助数据!$FY$12))&amp;"")</f>
        <v>6栋</v>
      </c>
      <c r="D20" s="18" t="str">
        <f aca="false">IF(辅助数据!$FY$12="","",IF($B$3="公区维修",INDEX(公区维修!$D$5:$D$404,辅助数据!$FY$12),INDEX(入户维修!$D$5:$D$404,辅助数据!$FY$12))&amp;"")</f>
        <v>504</v>
      </c>
      <c r="E20" s="54" t="str">
        <f aca="false">IF(辅助数据!$FY$12="","",IF($B$3="公区维修",INDEX(公区维修!$E$5:$E$404,辅助数据!$FY$12),INDEX(入户维修!$E$5:$E$404,辅助数据!$FY$12))&amp;"")</f>
        <v>燃气打不着</v>
      </c>
      <c r="F20" s="18" t="str">
        <f aca="false">IF(辅助数据!$FY$12="","",IF($B$3="公区维修",INDEX(公区维修!$F$5:$F$404,辅助数据!$FY$12),INDEX(入户维修!$F$5:$F$404,辅助数据!$FY$12))&amp;IF(IF($B$3="公区维修",INDEX(公区维修!$G$5:$G$404,辅助数据!$FY$12),INDEX(入户维修!$G$5:$G$404,辅助数据!$FY$12))&amp;""="","","、"&amp;IF($B$3="公区维修",INDEX(公区维修!$G$5:$G$404,辅助数据!$FY$12),INDEX(入户维修!$G$5:$G$404,辅助数据!$FY$12)))&amp;IF(IF($B$3="公区维修",INDEX(公区维修!$H$5:$H$404,辅助数据!$FY$12),INDEX(入户维修!$H$5:$H$404,辅助数据!$FY$12))&amp;""="","","、"&amp;IF($B$3="公区维修",INDEX(公区维修!$H$5:$H$404,辅助数据!$FY$12),INDEX(入户维修!$H$5:$H$404,辅助数据!$FY$12)))&amp;"")</f>
        <v>张师傅</v>
      </c>
      <c r="G20" s="18" t="str">
        <f aca="false">IF(辅助数据!$FY$12="","",IF($B$3="公区维修",INDEX(公区维修!$I$5:$I$404,辅助数据!$FY$12),INDEX(入户维修!$I$5:$I$404,辅助数据!$FY$12))&amp;"")</f>
        <v>8月7日 上午</v>
      </c>
      <c r="H20" s="42" t="str">
        <f aca="false">IF(辅助数据!$FY$12="","",IF($B$3="公区维修",INDEX(公区维修!$K$5:$K$404,辅助数据!$FY$12),INDEX(入户维修!$K$5:$K$404,辅助数据!$FY$12))&amp;"")</f>
        <v>已完成</v>
      </c>
      <c r="I20" s="54" t="str">
        <f aca="false">IF(辅助数据!$FY$12="","",IF($B$3="公区维修",INDEX(公区维修!$M$5:$M$404,辅助数据!$FY$12),INDEX(入户维修!$N$5:$N$404,辅助数据!$FY$12))&amp;"")</f>
        <v/>
      </c>
      <c r="J20" s="42" t="str">
        <f aca="false">IF(辅助数据!$FY$12="","",IF($B$3="公区维修",INDEX(公区维修!$N$5:$N$404,辅助数据!$FY$12),INDEX(入户维修!$O$5:$O$404,辅助数据!$FY$12))&amp;"")</f>
        <v>非常满意</v>
      </c>
      <c r="K20" s="54" t="str">
        <f aca="false">IF(辅助数据!$FY$12="","",IF($B$3="公区维修",INDEX(公区维修!$O$5:$O$404,辅助数据!$FY$12),INDEX(入户维修!$P$5:$P$404,辅助数据!$FY$12))&amp;"")</f>
        <v/>
      </c>
      <c r="L20" s="18" t="str">
        <f aca="false">IF(辅助数据!$FY$12="","",IF($B$3="公区维修",INDEX(公区维修!$L$5:$L$404,辅助数据!$FY$12),INDEX(入户维修!$M$5:$M$404,辅助数据!$FY$12))&amp;"")</f>
        <v>6-504-0807-02</v>
      </c>
    </row>
    <row r="21" customFormat="false" ht="21.75" hidden="false" customHeight="true" outlineLevel="0" collapsed="false">
      <c r="A21" s="42" t="str">
        <f aca="false">IF(辅助数据!$FY$13="","","第"&amp;13&amp;"单")</f>
        <v>第13单</v>
      </c>
      <c r="B21" s="14" t="n">
        <f aca="false">IF(辅助数据!$FY$13="","",IF(IF($B$3="公区维修",INDEX(公区维修!$B$5:$B$404,辅助数据!$FY$13),INDEX(入户维修!$B$5:$B$404,辅助数据!$FY$13))&amp;""="","",IF($B$3="公区维修",INDEX(公区维修!$B$5:$B$404,辅助数据!$FY$13),INDEX(入户维修!$B$5:$B$404,辅助数据!$FY$13))))</f>
        <v>46233</v>
      </c>
      <c r="C21" s="18" t="str">
        <f aca="false">IF(辅助数据!$FY$13="","",IF($B$3="公区维修",INDEX(公区维修!$C$5:$C$404,辅助数据!$FY$13),INDEX(入户维修!$C$5:$C$404,辅助数据!$FY$13))&amp;"")</f>
        <v>6栋</v>
      </c>
      <c r="D21" s="18" t="str">
        <f aca="false">IF(辅助数据!$FY$13="","",IF($B$3="公区维修",INDEX(公区维修!$D$5:$D$404,辅助数据!$FY$13),INDEX(入户维修!$D$5:$D$404,辅助数据!$FY$13))&amp;"")</f>
        <v>2701</v>
      </c>
      <c r="E21" s="54" t="str">
        <f aca="false">IF(辅助数据!$FY$13="","",IF($B$3="公区维修",INDEX(公区维修!$E$5:$E$404,辅助数据!$FY$13),INDEX(入户维修!$E$5:$E$404,辅助数据!$FY$13))&amp;"")</f>
        <v>次卧灯具开关失灵</v>
      </c>
      <c r="F21" s="18" t="str">
        <f aca="false">IF(辅助数据!$FY$13="","",IF($B$3="公区维修",INDEX(公区维修!$F$5:$F$404,辅助数据!$FY$13),INDEX(入户维修!$F$5:$F$404,辅助数据!$FY$13))&amp;IF(IF($B$3="公区维修",INDEX(公区维修!$G$5:$G$404,辅助数据!$FY$13),INDEX(入户维修!$G$5:$G$404,辅助数据!$FY$13))&amp;""="","","、"&amp;IF($B$3="公区维修",INDEX(公区维修!$G$5:$G$404,辅助数据!$FY$13),INDEX(入户维修!$G$5:$G$404,辅助数据!$FY$13)))&amp;IF(IF($B$3="公区维修",INDEX(公区维修!$H$5:$H$404,辅助数据!$FY$13),INDEX(入户维修!$H$5:$H$404,辅助数据!$FY$13))&amp;""="","","、"&amp;IF($B$3="公区维修",INDEX(公区维修!$H$5:$H$404,辅助数据!$FY$13),INDEX(入户维修!$H$5:$H$404,辅助数据!$FY$13)))&amp;"")</f>
        <v>张师傅</v>
      </c>
      <c r="G21" s="18" t="str">
        <f aca="false">IF(辅助数据!$FY$13="","",IF($B$3="公区维修",INDEX(公区维修!$I$5:$I$404,辅助数据!$FY$13),INDEX(入户维修!$I$5:$I$404,辅助数据!$FY$13))&amp;"")</f>
        <v>7月30日 20:00</v>
      </c>
      <c r="H21" s="42" t="str">
        <f aca="false">IF(辅助数据!$FY$13="","",IF($B$3="公区维修",INDEX(公区维修!$K$5:$K$404,辅助数据!$FY$13),INDEX(入户维修!$K$5:$K$404,辅助数据!$FY$13))&amp;"")</f>
        <v>已完成</v>
      </c>
      <c r="I21" s="54" t="str">
        <f aca="false">IF(辅助数据!$FY$13="","",IF($B$3="公区维修",INDEX(公区维修!$M$5:$M$404,辅助数据!$FY$13),INDEX(入户维修!$N$5:$N$404,辅助数据!$FY$13))&amp;"")</f>
        <v>已更换开关面板</v>
      </c>
      <c r="J21" s="42" t="str">
        <f aca="false">IF(辅助数据!$FY$13="","",IF($B$3="公区维修",INDEX(公区维修!$N$5:$N$404,辅助数据!$FY$13),INDEX(入户维修!$O$5:$O$404,辅助数据!$FY$13))&amp;"")</f>
        <v>非常满意</v>
      </c>
      <c r="K21" s="54" t="str">
        <f aca="false">IF(辅助数据!$FY$13="","",IF($B$3="公区维修",INDEX(公区维修!$O$5:$O$404,辅助数据!$FY$13),INDEX(入户维修!$P$5:$P$404,辅助数据!$FY$13))&amp;"")</f>
        <v/>
      </c>
      <c r="L21" s="18" t="str">
        <f aca="false">IF(辅助数据!$FY$13="","",IF($B$3="公区维修",INDEX(公区维修!$L$5:$L$404,辅助数据!$FY$13),INDEX(入户维修!$M$5:$M$404,辅助数据!$FY$13))&amp;"")</f>
        <v>6-2701-0730</v>
      </c>
    </row>
    <row r="22" customFormat="false" ht="21.75" hidden="false" customHeight="true" outlineLevel="0" collapsed="false">
      <c r="A22" s="42" t="str">
        <f aca="false">IF(辅助数据!$FY$14="","","第"&amp;14&amp;"单")</f>
        <v>第14单</v>
      </c>
      <c r="B22" s="14" t="n">
        <f aca="false">IF(辅助数据!$FY$14="","",IF(IF($B$3="公区维修",INDEX(公区维修!$B$5:$B$404,辅助数据!$FY$14),INDEX(入户维修!$B$5:$B$404,辅助数据!$FY$14))&amp;""="","",IF($B$3="公区维修",INDEX(公区维修!$B$5:$B$404,辅助数据!$FY$14),INDEX(入户维修!$B$5:$B$404,辅助数据!$FY$14))))</f>
        <v>46235</v>
      </c>
      <c r="C22" s="18" t="str">
        <f aca="false">IF(辅助数据!$FY$14="","",IF($B$3="公区维修",INDEX(公区维修!$C$5:$C$404,辅助数据!$FY$14),INDEX(入户维修!$C$5:$C$404,辅助数据!$FY$14))&amp;"")</f>
        <v>6栋</v>
      </c>
      <c r="D22" s="18" t="str">
        <f aca="false">IF(辅助数据!$FY$14="","",IF($B$3="公区维修",INDEX(公区维修!$D$5:$D$404,辅助数据!$FY$14),INDEX(入户维修!$D$5:$D$404,辅助数据!$FY$14))&amp;"")</f>
        <v>2402</v>
      </c>
      <c r="E22" s="54" t="str">
        <f aca="false">IF(辅助数据!$FY$14="","",IF($B$3="公区维修",INDEX(公区维修!$E$5:$E$404,辅助数据!$FY$14),INDEX(入户维修!$E$5:$E$404,辅助数据!$FY$14))&amp;"")</f>
        <v>门把手松动</v>
      </c>
      <c r="F22" s="18" t="str">
        <f aca="false">IF(辅助数据!$FY$14="","",IF($B$3="公区维修",INDEX(公区维修!$F$5:$F$404,辅助数据!$FY$14),INDEX(入户维修!$F$5:$F$404,辅助数据!$FY$14))&amp;IF(IF($B$3="公区维修",INDEX(公区维修!$G$5:$G$404,辅助数据!$FY$14),INDEX(入户维修!$G$5:$G$404,辅助数据!$FY$14))&amp;""="","","、"&amp;IF($B$3="公区维修",INDEX(公区维修!$G$5:$G$404,辅助数据!$FY$14),INDEX(入户维修!$G$5:$G$404,辅助数据!$FY$14)))&amp;IF(IF($B$3="公区维修",INDEX(公区维修!$H$5:$H$404,辅助数据!$FY$14),INDEX(入户维修!$H$5:$H$404,辅助数据!$FY$14))&amp;""="","","、"&amp;IF($B$3="公区维修",INDEX(公区维修!$H$5:$H$404,辅助数据!$FY$14),INDEX(入户维修!$H$5:$H$404,辅助数据!$FY$14)))&amp;"")</f>
        <v>张师傅</v>
      </c>
      <c r="G22" s="18" t="str">
        <f aca="false">IF(辅助数据!$FY$14="","",IF($B$3="公区维修",INDEX(公区维修!$I$5:$I$404,辅助数据!$FY$14),INDEX(入户维修!$I$5:$I$404,辅助数据!$FY$14))&amp;"")</f>
        <v>8月1日 上午</v>
      </c>
      <c r="H22" s="42" t="str">
        <f aca="false">IF(辅助数据!$FY$14="","",IF($B$3="公区维修",INDEX(公区维修!$K$5:$K$404,辅助数据!$FY$14),INDEX(入户维修!$K$5:$K$404,辅助数据!$FY$14))&amp;"")</f>
        <v>已完成</v>
      </c>
      <c r="I22" s="54" t="str">
        <f aca="false">IF(辅助数据!$FY$14="","",IF($B$3="公区维修",INDEX(公区维修!$M$5:$M$404,辅助数据!$FY$14),INDEX(入户维修!$N$5:$N$404,辅助数据!$FY$14))&amp;"")</f>
        <v/>
      </c>
      <c r="J22" s="42" t="str">
        <f aca="false">IF(辅助数据!$FY$14="","",IF($B$3="公区维修",INDEX(公区维修!$N$5:$N$404,辅助数据!$FY$14),INDEX(入户维修!$O$5:$O$404,辅助数据!$FY$14))&amp;"")</f>
        <v>非常满意</v>
      </c>
      <c r="K22" s="54" t="str">
        <f aca="false">IF(辅助数据!$FY$14="","",IF($B$3="公区维修",INDEX(公区维修!$O$5:$O$404,辅助数据!$FY$14),INDEX(入户维修!$P$5:$P$404,辅助数据!$FY$14))&amp;"")</f>
        <v/>
      </c>
      <c r="L22" s="18" t="str">
        <f aca="false">IF(辅助数据!$FY$14="","",IF($B$3="公区维修",INDEX(公区维修!$L$5:$L$404,辅助数据!$FY$14),INDEX(入户维修!$M$5:$M$404,辅助数据!$FY$14))&amp;"")</f>
        <v>6-2402-0801</v>
      </c>
    </row>
    <row r="23" customFormat="false" ht="21.75" hidden="false" customHeight="true" outlineLevel="0" collapsed="false">
      <c r="A23" s="42" t="str">
        <f aca="false">IF(辅助数据!$FY$15="","","第"&amp;15&amp;"单")</f>
        <v>第15单</v>
      </c>
      <c r="B23" s="14" t="n">
        <f aca="false">IF(辅助数据!$FY$15="","",IF(IF($B$3="公区维修",INDEX(公区维修!$B$5:$B$404,辅助数据!$FY$15),INDEX(入户维修!$B$5:$B$404,辅助数据!$FY$15))&amp;""="","",IF($B$3="公区维修",INDEX(公区维修!$B$5:$B$404,辅助数据!$FY$15),INDEX(入户维修!$B$5:$B$404,辅助数据!$FY$15))))</f>
        <v>46236</v>
      </c>
      <c r="C23" s="18" t="str">
        <f aca="false">IF(辅助数据!$FY$15="","",IF($B$3="公区维修",INDEX(公区维修!$C$5:$C$404,辅助数据!$FY$15),INDEX(入户维修!$C$5:$C$404,辅助数据!$FY$15))&amp;"")</f>
        <v>6栋</v>
      </c>
      <c r="D23" s="18" t="str">
        <f aca="false">IF(辅助数据!$FY$15="","",IF($B$3="公区维修",INDEX(公区维修!$D$5:$D$404,辅助数据!$FY$15),INDEX(入户维修!$D$5:$D$404,辅助数据!$FY$15))&amp;"")</f>
        <v>2802</v>
      </c>
      <c r="E23" s="54" t="str">
        <f aca="false">IF(辅助数据!$FY$15="","",IF($B$3="公区维修",INDEX(公区维修!$E$5:$E$404,辅助数据!$FY$15),INDEX(入户维修!$E$5:$E$404,辅助数据!$FY$15))&amp;"")</f>
        <v>阳台墙面渗水</v>
      </c>
      <c r="F23" s="18" t="str">
        <f aca="false">IF(辅助数据!$FY$15="","",IF($B$3="公区维修",INDEX(公区维修!$F$5:$F$404,辅助数据!$FY$15),INDEX(入户维修!$F$5:$F$404,辅助数据!$FY$15))&amp;IF(IF($B$3="公区维修",INDEX(公区维修!$G$5:$G$404,辅助数据!$FY$15),INDEX(入户维修!$G$5:$G$404,辅助数据!$FY$15))&amp;""="","","、"&amp;IF($B$3="公区维修",INDEX(公区维修!$G$5:$G$404,辅助数据!$FY$15),INDEX(入户维修!$G$5:$G$404,辅助数据!$FY$15)))&amp;IF(IF($B$3="公区维修",INDEX(公区维修!$H$5:$H$404,辅助数据!$FY$15),INDEX(入户维修!$H$5:$H$404,辅助数据!$FY$15))&amp;""="","","、"&amp;IF($B$3="公区维修",INDEX(公区维修!$H$5:$H$404,辅助数据!$FY$15),INDEX(入户维修!$H$5:$H$404,辅助数据!$FY$15)))&amp;"")</f>
        <v>陈师傅</v>
      </c>
      <c r="G23" s="18" t="str">
        <f aca="false">IF(辅助数据!$FY$15="","",IF($B$3="公区维修",INDEX(公区维修!$I$5:$I$404,辅助数据!$FY$15),INDEX(入户维修!$I$5:$I$404,辅助数据!$FY$15))&amp;"")</f>
        <v>8月2日 18:30</v>
      </c>
      <c r="H23" s="42" t="str">
        <f aca="false">IF(辅助数据!$FY$15="","",IF($B$3="公区维修",INDEX(公区维修!$K$5:$K$404,辅助数据!$FY$15),INDEX(入户维修!$K$5:$K$404,辅助数据!$FY$15))&amp;"")</f>
        <v>跟进中</v>
      </c>
      <c r="I23" s="54" t="str">
        <f aca="false">IF(辅助数据!$FY$15="","",IF($B$3="公区维修",INDEX(公区维修!$M$5:$M$404,辅助数据!$FY$15),INDEX(入户维修!$N$5:$N$404,辅助数据!$FY$15))&amp;"")</f>
        <v>已拍照留证，待联系防水单位复查</v>
      </c>
      <c r="J23" s="42" t="str">
        <f aca="false">IF(辅助数据!$FY$15="","",IF($B$3="公区维修",INDEX(公区维修!$N$5:$N$404,辅助数据!$FY$15),INDEX(入户维修!$O$5:$O$404,辅助数据!$FY$15))&amp;"")</f>
        <v/>
      </c>
      <c r="K23" s="54" t="str">
        <f aca="false">IF(辅助数据!$FY$15="","",IF($B$3="公区维修",INDEX(公区维修!$O$5:$O$404,辅助数据!$FY$15),INDEX(入户维修!$P$5:$P$404,辅助数据!$FY$15))&amp;"")</f>
        <v/>
      </c>
      <c r="L23" s="18" t="str">
        <f aca="false">IF(辅助数据!$FY$15="","",IF($B$3="公区维修",INDEX(公区维修!$L$5:$L$404,辅助数据!$FY$15),INDEX(入户维修!$M$5:$M$404,辅助数据!$FY$15))&amp;"")</f>
        <v>6-2802-0802</v>
      </c>
    </row>
    <row r="24" customFormat="false" ht="21.75" hidden="false" customHeight="true" outlineLevel="0" collapsed="false">
      <c r="A24" s="42" t="str">
        <f aca="false">IF(辅助数据!$FY$16="","","第"&amp;16&amp;"单")</f>
        <v>第16单</v>
      </c>
      <c r="B24" s="14" t="n">
        <f aca="false">IF(辅助数据!$FY$16="","",IF(IF($B$3="公区维修",INDEX(公区维修!$B$5:$B$404,辅助数据!$FY$16),INDEX(入户维修!$B$5:$B$404,辅助数据!$FY$16))&amp;""="","",IF($B$3="公区维修",INDEX(公区维修!$B$5:$B$404,辅助数据!$FY$16),INDEX(入户维修!$B$5:$B$404,辅助数据!$FY$16))))</f>
        <v>46239</v>
      </c>
      <c r="C24" s="18" t="str">
        <f aca="false">IF(辅助数据!$FY$16="","",IF($B$3="公区维修",INDEX(公区维修!$C$5:$C$404,辅助数据!$FY$16),INDEX(入户维修!$C$5:$C$404,辅助数据!$FY$16))&amp;"")</f>
        <v>6栋</v>
      </c>
      <c r="D24" s="18" t="str">
        <f aca="false">IF(辅助数据!$FY$16="","",IF($B$3="公区维修",INDEX(公区维修!$D$5:$D$404,辅助数据!$FY$16),INDEX(入户维修!$D$5:$D$404,辅助数据!$FY$16))&amp;"")</f>
        <v>403</v>
      </c>
      <c r="E24" s="54" t="str">
        <f aca="false">IF(辅助数据!$FY$16="","",IF($B$3="公区维修",INDEX(公区维修!$E$5:$E$404,辅助数据!$FY$16),INDEX(入户维修!$E$5:$E$404,辅助数据!$FY$16))&amp;"")</f>
        <v>入户门猫眼松动</v>
      </c>
      <c r="F24" s="18" t="str">
        <f aca="false">IF(辅助数据!$FY$16="","",IF($B$3="公区维修",INDEX(公区维修!$F$5:$F$404,辅助数据!$FY$16),INDEX(入户维修!$F$5:$F$404,辅助数据!$FY$16))&amp;IF(IF($B$3="公区维修",INDEX(公区维修!$G$5:$G$404,辅助数据!$FY$16),INDEX(入户维修!$G$5:$G$404,辅助数据!$FY$16))&amp;""="","","、"&amp;IF($B$3="公区维修",INDEX(公区维修!$G$5:$G$404,辅助数据!$FY$16),INDEX(入户维修!$G$5:$G$404,辅助数据!$FY$16)))&amp;IF(IF($B$3="公区维修",INDEX(公区维修!$H$5:$H$404,辅助数据!$FY$16),INDEX(入户维修!$H$5:$H$404,辅助数据!$FY$16))&amp;""="","","、"&amp;IF($B$3="公区维修",INDEX(公区维修!$H$5:$H$404,辅助数据!$FY$16),INDEX(入户维修!$H$5:$H$404,辅助数据!$FY$16)))&amp;"")</f>
        <v>王师傅</v>
      </c>
      <c r="G24" s="18" t="str">
        <f aca="false">IF(辅助数据!$FY$16="","",IF($B$3="公区维修",INDEX(公区维修!$I$5:$I$404,辅助数据!$FY$16),INDEX(入户维修!$I$5:$I$404,辅助数据!$FY$16))&amp;"")</f>
        <v>8月5日 下午</v>
      </c>
      <c r="H24" s="42" t="str">
        <f aca="false">IF(辅助数据!$FY$16="","",IF($B$3="公区维修",INDEX(公区维修!$K$5:$K$404,辅助数据!$FY$16),INDEX(入户维修!$K$5:$K$404,辅助数据!$FY$16))&amp;"")</f>
        <v>已完成</v>
      </c>
      <c r="I24" s="54" t="str">
        <f aca="false">IF(辅助数据!$FY$16="","",IF($B$3="公区维修",INDEX(公区维修!$M$5:$M$404,辅助数据!$FY$16),INDEX(入户维修!$N$5:$N$404,辅助数据!$FY$16))&amp;"")</f>
        <v/>
      </c>
      <c r="J24" s="42" t="str">
        <f aca="false">IF(辅助数据!$FY$16="","",IF($B$3="公区维修",INDEX(公区维修!$N$5:$N$404,辅助数据!$FY$16),INDEX(入户维修!$O$5:$O$404,辅助数据!$FY$16))&amp;"")</f>
        <v>满意</v>
      </c>
      <c r="K24" s="54" t="str">
        <f aca="false">IF(辅助数据!$FY$16="","",IF($B$3="公区维修",INDEX(公区维修!$O$5:$O$404,辅助数据!$FY$16),INDEX(入户维修!$P$5:$P$404,辅助数据!$FY$16))&amp;"")</f>
        <v/>
      </c>
      <c r="L24" s="18" t="str">
        <f aca="false">IF(辅助数据!$FY$16="","",IF($B$3="公区维修",INDEX(公区维修!$L$5:$L$404,辅助数据!$FY$16),INDEX(入户维修!$M$5:$M$404,辅助数据!$FY$16))&amp;"")</f>
        <v>6-403-0805</v>
      </c>
    </row>
    <row r="25" customFormat="false" ht="21.75" hidden="false" customHeight="true" outlineLevel="0" collapsed="false">
      <c r="A25" s="42" t="str">
        <f aca="false">IF(辅助数据!$FY$17="","","第"&amp;17&amp;"单")</f>
        <v>第17单</v>
      </c>
      <c r="B25" s="14" t="n">
        <f aca="false">IF(辅助数据!$FY$17="","",IF(IF($B$3="公区维修",INDEX(公区维修!$B$5:$B$404,辅助数据!$FY$17),INDEX(入户维修!$B$5:$B$404,辅助数据!$FY$17))&amp;""="","",IF($B$3="公区维修",INDEX(公区维修!$B$5:$B$404,辅助数据!$FY$17),INDEX(入户维修!$B$5:$B$404,辅助数据!$FY$17))))</f>
        <v>46241</v>
      </c>
      <c r="C25" s="18" t="str">
        <f aca="false">IF(辅助数据!$FY$17="","",IF($B$3="公区维修",INDEX(公区维修!$C$5:$C$404,辅助数据!$FY$17),INDEX(入户维修!$C$5:$C$404,辅助数据!$FY$17))&amp;"")</f>
        <v>6栋</v>
      </c>
      <c r="D25" s="18" t="str">
        <f aca="false">IF(辅助数据!$FY$17="","",IF($B$3="公区维修",INDEX(公区维修!$D$5:$D$404,辅助数据!$FY$17),INDEX(入户维修!$D$5:$D$404,辅助数据!$FY$17))&amp;"")</f>
        <v>1101</v>
      </c>
      <c r="E25" s="54" t="str">
        <f aca="false">IF(辅助数据!$FY$17="","",IF($B$3="公区维修",INDEX(公区维修!$E$5:$E$404,辅助数据!$FY$17),INDEX(入户维修!$E$5:$E$404,辅助数据!$FY$17))&amp;"")</f>
        <v>厨房水槽下水漏水</v>
      </c>
      <c r="F25" s="18" t="str">
        <f aca="false">IF(辅助数据!$FY$17="","",IF($B$3="公区维修",INDEX(公区维修!$F$5:$F$404,辅助数据!$FY$17),INDEX(入户维修!$F$5:$F$404,辅助数据!$FY$17))&amp;IF(IF($B$3="公区维修",INDEX(公区维修!$G$5:$G$404,辅助数据!$FY$17),INDEX(入户维修!$G$5:$G$404,辅助数据!$FY$17))&amp;""="","","、"&amp;IF($B$3="公区维修",INDEX(公区维修!$G$5:$G$404,辅助数据!$FY$17),INDEX(入户维修!$G$5:$G$404,辅助数据!$FY$17)))&amp;IF(IF($B$3="公区维修",INDEX(公区维修!$H$5:$H$404,辅助数据!$FY$17),INDEX(入户维修!$H$5:$H$404,辅助数据!$FY$17))&amp;""="","","、"&amp;IF($B$3="公区维修",INDEX(公区维修!$H$5:$H$404,辅助数据!$FY$17),INDEX(入户维修!$H$5:$H$404,辅助数据!$FY$17)))&amp;"")</f>
        <v>张师傅</v>
      </c>
      <c r="G25" s="18" t="str">
        <f aca="false">IF(辅助数据!$FY$17="","",IF($B$3="公区维修",INDEX(公区维修!$I$5:$I$404,辅助数据!$FY$17),INDEX(入户维修!$I$5:$I$404,辅助数据!$FY$17))&amp;"")</f>
        <v>8月7日 上午</v>
      </c>
      <c r="H25" s="42" t="str">
        <f aca="false">IF(辅助数据!$FY$17="","",IF($B$3="公区维修",INDEX(公区维修!$K$5:$K$404,辅助数据!$FY$17),INDEX(入户维修!$K$5:$K$404,辅助数据!$FY$17))&amp;"")</f>
        <v>已完成</v>
      </c>
      <c r="I25" s="54" t="str">
        <f aca="false">IF(辅助数据!$FY$17="","",IF($B$3="公区维修",INDEX(公区维修!$M$5:$M$404,辅助数据!$FY$17),INDEX(入户维修!$N$5:$N$404,辅助数据!$FY$17))&amp;"")</f>
        <v>已更换下水软管</v>
      </c>
      <c r="J25" s="42" t="str">
        <f aca="false">IF(辅助数据!$FY$17="","",IF($B$3="公区维修",INDEX(公区维修!$N$5:$N$404,辅助数据!$FY$17),INDEX(入户维修!$O$5:$O$404,辅助数据!$FY$17))&amp;"")</f>
        <v>非常满意</v>
      </c>
      <c r="K25" s="54" t="str">
        <f aca="false">IF(辅助数据!$FY$17="","",IF($B$3="公区维修",INDEX(公区维修!$O$5:$O$404,辅助数据!$FY$17),INDEX(入户维修!$P$5:$P$404,辅助数据!$FY$17))&amp;"")</f>
        <v/>
      </c>
      <c r="L25" s="18" t="str">
        <f aca="false">IF(辅助数据!$FY$17="","",IF($B$3="公区维修",INDEX(公区维修!$L$5:$L$404,辅助数据!$FY$17),INDEX(入户维修!$M$5:$M$404,辅助数据!$FY$17))&amp;"")</f>
        <v>6-1101-0807</v>
      </c>
    </row>
    <row r="26" customFormat="false" ht="21.75" hidden="false" customHeight="true" outlineLevel="0" collapsed="false">
      <c r="A26" s="42" t="str">
        <f aca="false">IF(辅助数据!$FY$18="","","第"&amp;18&amp;"单")</f>
        <v/>
      </c>
      <c r="B26" s="14" t="str">
        <f aca="false">IF(辅助数据!$FY$18="","",IF(IF($B$3="公区维修",INDEX(公区维修!$B$5:$B$404,辅助数据!$FY$18),INDEX(入户维修!$B$5:$B$404,辅助数据!$FY$18))&amp;""="","",IF($B$3="公区维修",INDEX(公区维修!$B$5:$B$404,辅助数据!$FY$18),INDEX(入户维修!$B$5:$B$404,辅助数据!$FY$18))))</f>
        <v/>
      </c>
      <c r="C26" s="18" t="str">
        <f aca="false">IF(辅助数据!$FY$18="","",IF($B$3="公区维修",INDEX(公区维修!$C$5:$C$404,辅助数据!$FY$18),INDEX(入户维修!$C$5:$C$404,辅助数据!$FY$18))&amp;"")</f>
        <v/>
      </c>
      <c r="D26" s="18" t="str">
        <f aca="false">IF(辅助数据!$FY$18="","",IF($B$3="公区维修",INDEX(公区维修!$D$5:$D$404,辅助数据!$FY$18),INDEX(入户维修!$D$5:$D$404,辅助数据!$FY$18))&amp;"")</f>
        <v/>
      </c>
      <c r="E26" s="54" t="str">
        <f aca="false">IF(辅助数据!$FY$18="","",IF($B$3="公区维修",INDEX(公区维修!$E$5:$E$404,辅助数据!$FY$18),INDEX(入户维修!$E$5:$E$404,辅助数据!$FY$18))&amp;"")</f>
        <v/>
      </c>
      <c r="F26" s="18" t="str">
        <f aca="false">IF(辅助数据!$FY$18="","",IF($B$3="公区维修",INDEX(公区维修!$F$5:$F$404,辅助数据!$FY$18),INDEX(入户维修!$F$5:$F$404,辅助数据!$FY$18))&amp;IF(IF($B$3="公区维修",INDEX(公区维修!$G$5:$G$404,辅助数据!$FY$18),INDEX(入户维修!$G$5:$G$404,辅助数据!$FY$18))&amp;""="","","、"&amp;IF($B$3="公区维修",INDEX(公区维修!$G$5:$G$404,辅助数据!$FY$18),INDEX(入户维修!$G$5:$G$404,辅助数据!$FY$18)))&amp;IF(IF($B$3="公区维修",INDEX(公区维修!$H$5:$H$404,辅助数据!$FY$18),INDEX(入户维修!$H$5:$H$404,辅助数据!$FY$18))&amp;""="","","、"&amp;IF($B$3="公区维修",INDEX(公区维修!$H$5:$H$404,辅助数据!$FY$18),INDEX(入户维修!$H$5:$H$404,辅助数据!$FY$18)))&amp;"")</f>
        <v/>
      </c>
      <c r="G26" s="18" t="str">
        <f aca="false">IF(辅助数据!$FY$18="","",IF($B$3="公区维修",INDEX(公区维修!$I$5:$I$404,辅助数据!$FY$18),INDEX(入户维修!$I$5:$I$404,辅助数据!$FY$18))&amp;"")</f>
        <v/>
      </c>
      <c r="H26" s="42" t="str">
        <f aca="false">IF(辅助数据!$FY$18="","",IF($B$3="公区维修",INDEX(公区维修!$K$5:$K$404,辅助数据!$FY$18),INDEX(入户维修!$K$5:$K$404,辅助数据!$FY$18))&amp;"")</f>
        <v/>
      </c>
      <c r="I26" s="54" t="str">
        <f aca="false">IF(辅助数据!$FY$18="","",IF($B$3="公区维修",INDEX(公区维修!$M$5:$M$404,辅助数据!$FY$18),INDEX(入户维修!$N$5:$N$404,辅助数据!$FY$18))&amp;"")</f>
        <v/>
      </c>
      <c r="J26" s="42" t="str">
        <f aca="false">IF(辅助数据!$FY$18="","",IF($B$3="公区维修",INDEX(公区维修!$N$5:$N$404,辅助数据!$FY$18),INDEX(入户维修!$O$5:$O$404,辅助数据!$FY$18))&amp;"")</f>
        <v/>
      </c>
      <c r="K26" s="54" t="str">
        <f aca="false">IF(辅助数据!$FY$18="","",IF($B$3="公区维修",INDEX(公区维修!$O$5:$O$404,辅助数据!$FY$18),INDEX(入户维修!$P$5:$P$404,辅助数据!$FY$18))&amp;"")</f>
        <v/>
      </c>
      <c r="L26" s="18" t="str">
        <f aca="false">IF(辅助数据!$FY$18="","",IF($B$3="公区维修",INDEX(公区维修!$L$5:$L$404,辅助数据!$FY$18),INDEX(入户维修!$M$5:$M$404,辅助数据!$FY$18))&amp;"")</f>
        <v/>
      </c>
    </row>
    <row r="27" customFormat="false" ht="21.75" hidden="false" customHeight="true" outlineLevel="0" collapsed="false">
      <c r="A27" s="42" t="str">
        <f aca="false">IF(辅助数据!$FY$19="","","第"&amp;19&amp;"单")</f>
        <v/>
      </c>
      <c r="B27" s="14" t="str">
        <f aca="false">IF(辅助数据!$FY$19="","",IF(IF($B$3="公区维修",INDEX(公区维修!$B$5:$B$404,辅助数据!$FY$19),INDEX(入户维修!$B$5:$B$404,辅助数据!$FY$19))&amp;""="","",IF($B$3="公区维修",INDEX(公区维修!$B$5:$B$404,辅助数据!$FY$19),INDEX(入户维修!$B$5:$B$404,辅助数据!$FY$19))))</f>
        <v/>
      </c>
      <c r="C27" s="18" t="str">
        <f aca="false">IF(辅助数据!$FY$19="","",IF($B$3="公区维修",INDEX(公区维修!$C$5:$C$404,辅助数据!$FY$19),INDEX(入户维修!$C$5:$C$404,辅助数据!$FY$19))&amp;"")</f>
        <v/>
      </c>
      <c r="D27" s="18" t="str">
        <f aca="false">IF(辅助数据!$FY$19="","",IF($B$3="公区维修",INDEX(公区维修!$D$5:$D$404,辅助数据!$FY$19),INDEX(入户维修!$D$5:$D$404,辅助数据!$FY$19))&amp;"")</f>
        <v/>
      </c>
      <c r="E27" s="54" t="str">
        <f aca="false">IF(辅助数据!$FY$19="","",IF($B$3="公区维修",INDEX(公区维修!$E$5:$E$404,辅助数据!$FY$19),INDEX(入户维修!$E$5:$E$404,辅助数据!$FY$19))&amp;"")</f>
        <v/>
      </c>
      <c r="F27" s="18" t="str">
        <f aca="false">IF(辅助数据!$FY$19="","",IF($B$3="公区维修",INDEX(公区维修!$F$5:$F$404,辅助数据!$FY$19),INDEX(入户维修!$F$5:$F$404,辅助数据!$FY$19))&amp;IF(IF($B$3="公区维修",INDEX(公区维修!$G$5:$G$404,辅助数据!$FY$19),INDEX(入户维修!$G$5:$G$404,辅助数据!$FY$19))&amp;""="","","、"&amp;IF($B$3="公区维修",INDEX(公区维修!$G$5:$G$404,辅助数据!$FY$19),INDEX(入户维修!$G$5:$G$404,辅助数据!$FY$19)))&amp;IF(IF($B$3="公区维修",INDEX(公区维修!$H$5:$H$404,辅助数据!$FY$19),INDEX(入户维修!$H$5:$H$404,辅助数据!$FY$19))&amp;""="","","、"&amp;IF($B$3="公区维修",INDEX(公区维修!$H$5:$H$404,辅助数据!$FY$19),INDEX(入户维修!$H$5:$H$404,辅助数据!$FY$19)))&amp;"")</f>
        <v/>
      </c>
      <c r="G27" s="18" t="str">
        <f aca="false">IF(辅助数据!$FY$19="","",IF($B$3="公区维修",INDEX(公区维修!$I$5:$I$404,辅助数据!$FY$19),INDEX(入户维修!$I$5:$I$404,辅助数据!$FY$19))&amp;"")</f>
        <v/>
      </c>
      <c r="H27" s="42" t="str">
        <f aca="false">IF(辅助数据!$FY$19="","",IF($B$3="公区维修",INDEX(公区维修!$K$5:$K$404,辅助数据!$FY$19),INDEX(入户维修!$K$5:$K$404,辅助数据!$FY$19))&amp;"")</f>
        <v/>
      </c>
      <c r="I27" s="54" t="str">
        <f aca="false">IF(辅助数据!$FY$19="","",IF($B$3="公区维修",INDEX(公区维修!$M$5:$M$404,辅助数据!$FY$19),INDEX(入户维修!$N$5:$N$404,辅助数据!$FY$19))&amp;"")</f>
        <v/>
      </c>
      <c r="J27" s="42" t="str">
        <f aca="false">IF(辅助数据!$FY$19="","",IF($B$3="公区维修",INDEX(公区维修!$N$5:$N$404,辅助数据!$FY$19),INDEX(入户维修!$O$5:$O$404,辅助数据!$FY$19))&amp;"")</f>
        <v/>
      </c>
      <c r="K27" s="54" t="str">
        <f aca="false">IF(辅助数据!$FY$19="","",IF($B$3="公区维修",INDEX(公区维修!$O$5:$O$404,辅助数据!$FY$19),INDEX(入户维修!$P$5:$P$404,辅助数据!$FY$19))&amp;"")</f>
        <v/>
      </c>
      <c r="L27" s="18" t="str">
        <f aca="false">IF(辅助数据!$FY$19="","",IF($B$3="公区维修",INDEX(公区维修!$L$5:$L$404,辅助数据!$FY$19),INDEX(入户维修!$M$5:$M$404,辅助数据!$FY$19))&amp;"")</f>
        <v/>
      </c>
    </row>
    <row r="28" customFormat="false" ht="21.75" hidden="false" customHeight="true" outlineLevel="0" collapsed="false">
      <c r="A28" s="42" t="str">
        <f aca="false">IF(辅助数据!$FY$20="","","第"&amp;20&amp;"单")</f>
        <v/>
      </c>
      <c r="B28" s="14" t="str">
        <f aca="false">IF(辅助数据!$FY$20="","",IF(IF($B$3="公区维修",INDEX(公区维修!$B$5:$B$404,辅助数据!$FY$20),INDEX(入户维修!$B$5:$B$404,辅助数据!$FY$20))&amp;""="","",IF($B$3="公区维修",INDEX(公区维修!$B$5:$B$404,辅助数据!$FY$20),INDEX(入户维修!$B$5:$B$404,辅助数据!$FY$20))))</f>
        <v/>
      </c>
      <c r="C28" s="18" t="str">
        <f aca="false">IF(辅助数据!$FY$20="","",IF($B$3="公区维修",INDEX(公区维修!$C$5:$C$404,辅助数据!$FY$20),INDEX(入户维修!$C$5:$C$404,辅助数据!$FY$20))&amp;"")</f>
        <v/>
      </c>
      <c r="D28" s="18" t="str">
        <f aca="false">IF(辅助数据!$FY$20="","",IF($B$3="公区维修",INDEX(公区维修!$D$5:$D$404,辅助数据!$FY$20),INDEX(入户维修!$D$5:$D$404,辅助数据!$FY$20))&amp;"")</f>
        <v/>
      </c>
      <c r="E28" s="54" t="str">
        <f aca="false">IF(辅助数据!$FY$20="","",IF($B$3="公区维修",INDEX(公区维修!$E$5:$E$404,辅助数据!$FY$20),INDEX(入户维修!$E$5:$E$404,辅助数据!$FY$20))&amp;"")</f>
        <v/>
      </c>
      <c r="F28" s="18" t="str">
        <f aca="false">IF(辅助数据!$FY$20="","",IF($B$3="公区维修",INDEX(公区维修!$F$5:$F$404,辅助数据!$FY$20),INDEX(入户维修!$F$5:$F$404,辅助数据!$FY$20))&amp;IF(IF($B$3="公区维修",INDEX(公区维修!$G$5:$G$404,辅助数据!$FY$20),INDEX(入户维修!$G$5:$G$404,辅助数据!$FY$20))&amp;""="","","、"&amp;IF($B$3="公区维修",INDEX(公区维修!$G$5:$G$404,辅助数据!$FY$20),INDEX(入户维修!$G$5:$G$404,辅助数据!$FY$20)))&amp;IF(IF($B$3="公区维修",INDEX(公区维修!$H$5:$H$404,辅助数据!$FY$20),INDEX(入户维修!$H$5:$H$404,辅助数据!$FY$20))&amp;""="","","、"&amp;IF($B$3="公区维修",INDEX(公区维修!$H$5:$H$404,辅助数据!$FY$20),INDEX(入户维修!$H$5:$H$404,辅助数据!$FY$20)))&amp;"")</f>
        <v/>
      </c>
      <c r="G28" s="18" t="str">
        <f aca="false">IF(辅助数据!$FY$20="","",IF($B$3="公区维修",INDEX(公区维修!$I$5:$I$404,辅助数据!$FY$20),INDEX(入户维修!$I$5:$I$404,辅助数据!$FY$20))&amp;"")</f>
        <v/>
      </c>
      <c r="H28" s="42" t="str">
        <f aca="false">IF(辅助数据!$FY$20="","",IF($B$3="公区维修",INDEX(公区维修!$K$5:$K$404,辅助数据!$FY$20),INDEX(入户维修!$K$5:$K$404,辅助数据!$FY$20))&amp;"")</f>
        <v/>
      </c>
      <c r="I28" s="54" t="str">
        <f aca="false">IF(辅助数据!$FY$20="","",IF($B$3="公区维修",INDEX(公区维修!$M$5:$M$404,辅助数据!$FY$20),INDEX(入户维修!$N$5:$N$404,辅助数据!$FY$20))&amp;"")</f>
        <v/>
      </c>
      <c r="J28" s="42" t="str">
        <f aca="false">IF(辅助数据!$FY$20="","",IF($B$3="公区维修",INDEX(公区维修!$N$5:$N$404,辅助数据!$FY$20),INDEX(入户维修!$O$5:$O$404,辅助数据!$FY$20))&amp;"")</f>
        <v/>
      </c>
      <c r="K28" s="54" t="str">
        <f aca="false">IF(辅助数据!$FY$20="","",IF($B$3="公区维修",INDEX(公区维修!$O$5:$O$404,辅助数据!$FY$20),INDEX(入户维修!$P$5:$P$404,辅助数据!$FY$20))&amp;"")</f>
        <v/>
      </c>
      <c r="L28" s="18" t="str">
        <f aca="false">IF(辅助数据!$FY$20="","",IF($B$3="公区维修",INDEX(公区维修!$L$5:$L$404,辅助数据!$FY$20),INDEX(入户维修!$M$5:$M$404,辅助数据!$FY$20))&amp;"")</f>
        <v/>
      </c>
    </row>
    <row r="29" customFormat="false" ht="21.75" hidden="false" customHeight="true" outlineLevel="0" collapsed="false">
      <c r="A29" s="42" t="str">
        <f aca="false">IF(辅助数据!$FY$21="","","第"&amp;21&amp;"单")</f>
        <v/>
      </c>
      <c r="B29" s="14" t="str">
        <f aca="false">IF(辅助数据!$FY$21="","",IF(IF($B$3="公区维修",INDEX(公区维修!$B$5:$B$404,辅助数据!$FY$21),INDEX(入户维修!$B$5:$B$404,辅助数据!$FY$21))&amp;""="","",IF($B$3="公区维修",INDEX(公区维修!$B$5:$B$404,辅助数据!$FY$21),INDEX(入户维修!$B$5:$B$404,辅助数据!$FY$21))))</f>
        <v/>
      </c>
      <c r="C29" s="18" t="str">
        <f aca="false">IF(辅助数据!$FY$21="","",IF($B$3="公区维修",INDEX(公区维修!$C$5:$C$404,辅助数据!$FY$21),INDEX(入户维修!$C$5:$C$404,辅助数据!$FY$21))&amp;"")</f>
        <v/>
      </c>
      <c r="D29" s="18" t="str">
        <f aca="false">IF(辅助数据!$FY$21="","",IF($B$3="公区维修",INDEX(公区维修!$D$5:$D$404,辅助数据!$FY$21),INDEX(入户维修!$D$5:$D$404,辅助数据!$FY$21))&amp;"")</f>
        <v/>
      </c>
      <c r="E29" s="54" t="str">
        <f aca="false">IF(辅助数据!$FY$21="","",IF($B$3="公区维修",INDEX(公区维修!$E$5:$E$404,辅助数据!$FY$21),INDEX(入户维修!$E$5:$E$404,辅助数据!$FY$21))&amp;"")</f>
        <v/>
      </c>
      <c r="F29" s="18" t="str">
        <f aca="false">IF(辅助数据!$FY$21="","",IF($B$3="公区维修",INDEX(公区维修!$F$5:$F$404,辅助数据!$FY$21),INDEX(入户维修!$F$5:$F$404,辅助数据!$FY$21))&amp;IF(IF($B$3="公区维修",INDEX(公区维修!$G$5:$G$404,辅助数据!$FY$21),INDEX(入户维修!$G$5:$G$404,辅助数据!$FY$21))&amp;""="","","、"&amp;IF($B$3="公区维修",INDEX(公区维修!$G$5:$G$404,辅助数据!$FY$21),INDEX(入户维修!$G$5:$G$404,辅助数据!$FY$21)))&amp;IF(IF($B$3="公区维修",INDEX(公区维修!$H$5:$H$404,辅助数据!$FY$21),INDEX(入户维修!$H$5:$H$404,辅助数据!$FY$21))&amp;""="","","、"&amp;IF($B$3="公区维修",INDEX(公区维修!$H$5:$H$404,辅助数据!$FY$21),INDEX(入户维修!$H$5:$H$404,辅助数据!$FY$21)))&amp;"")</f>
        <v/>
      </c>
      <c r="G29" s="18" t="str">
        <f aca="false">IF(辅助数据!$FY$21="","",IF($B$3="公区维修",INDEX(公区维修!$I$5:$I$404,辅助数据!$FY$21),INDEX(入户维修!$I$5:$I$404,辅助数据!$FY$21))&amp;"")</f>
        <v/>
      </c>
      <c r="H29" s="42" t="str">
        <f aca="false">IF(辅助数据!$FY$21="","",IF($B$3="公区维修",INDEX(公区维修!$K$5:$K$404,辅助数据!$FY$21),INDEX(入户维修!$K$5:$K$404,辅助数据!$FY$21))&amp;"")</f>
        <v/>
      </c>
      <c r="I29" s="54" t="str">
        <f aca="false">IF(辅助数据!$FY$21="","",IF($B$3="公区维修",INDEX(公区维修!$M$5:$M$404,辅助数据!$FY$21),INDEX(入户维修!$N$5:$N$404,辅助数据!$FY$21))&amp;"")</f>
        <v/>
      </c>
      <c r="J29" s="42" t="str">
        <f aca="false">IF(辅助数据!$FY$21="","",IF($B$3="公区维修",INDEX(公区维修!$N$5:$N$404,辅助数据!$FY$21),INDEX(入户维修!$O$5:$O$404,辅助数据!$FY$21))&amp;"")</f>
        <v/>
      </c>
      <c r="K29" s="54" t="str">
        <f aca="false">IF(辅助数据!$FY$21="","",IF($B$3="公区维修",INDEX(公区维修!$O$5:$O$404,辅助数据!$FY$21),INDEX(入户维修!$P$5:$P$404,辅助数据!$FY$21))&amp;"")</f>
        <v/>
      </c>
      <c r="L29" s="18" t="str">
        <f aca="false">IF(辅助数据!$FY$21="","",IF($B$3="公区维修",INDEX(公区维修!$L$5:$L$404,辅助数据!$FY$21),INDEX(入户维修!$M$5:$M$404,辅助数据!$FY$21))&amp;"")</f>
        <v/>
      </c>
    </row>
    <row r="30" customFormat="false" ht="21.75" hidden="false" customHeight="true" outlineLevel="0" collapsed="false">
      <c r="A30" s="42" t="str">
        <f aca="false">IF(辅助数据!$FY$22="","","第"&amp;22&amp;"单")</f>
        <v/>
      </c>
      <c r="B30" s="14" t="str">
        <f aca="false">IF(辅助数据!$FY$22="","",IF(IF($B$3="公区维修",INDEX(公区维修!$B$5:$B$404,辅助数据!$FY$22),INDEX(入户维修!$B$5:$B$404,辅助数据!$FY$22))&amp;""="","",IF($B$3="公区维修",INDEX(公区维修!$B$5:$B$404,辅助数据!$FY$22),INDEX(入户维修!$B$5:$B$404,辅助数据!$FY$22))))</f>
        <v/>
      </c>
      <c r="C30" s="18" t="str">
        <f aca="false">IF(辅助数据!$FY$22="","",IF($B$3="公区维修",INDEX(公区维修!$C$5:$C$404,辅助数据!$FY$22),INDEX(入户维修!$C$5:$C$404,辅助数据!$FY$22))&amp;"")</f>
        <v/>
      </c>
      <c r="D30" s="18" t="str">
        <f aca="false">IF(辅助数据!$FY$22="","",IF($B$3="公区维修",INDEX(公区维修!$D$5:$D$404,辅助数据!$FY$22),INDEX(入户维修!$D$5:$D$404,辅助数据!$FY$22))&amp;"")</f>
        <v/>
      </c>
      <c r="E30" s="54" t="str">
        <f aca="false">IF(辅助数据!$FY$22="","",IF($B$3="公区维修",INDEX(公区维修!$E$5:$E$404,辅助数据!$FY$22),INDEX(入户维修!$E$5:$E$404,辅助数据!$FY$22))&amp;"")</f>
        <v/>
      </c>
      <c r="F30" s="18" t="str">
        <f aca="false">IF(辅助数据!$FY$22="","",IF($B$3="公区维修",INDEX(公区维修!$F$5:$F$404,辅助数据!$FY$22),INDEX(入户维修!$F$5:$F$404,辅助数据!$FY$22))&amp;IF(IF($B$3="公区维修",INDEX(公区维修!$G$5:$G$404,辅助数据!$FY$22),INDEX(入户维修!$G$5:$G$404,辅助数据!$FY$22))&amp;""="","","、"&amp;IF($B$3="公区维修",INDEX(公区维修!$G$5:$G$404,辅助数据!$FY$22),INDEX(入户维修!$G$5:$G$404,辅助数据!$FY$22)))&amp;IF(IF($B$3="公区维修",INDEX(公区维修!$H$5:$H$404,辅助数据!$FY$22),INDEX(入户维修!$H$5:$H$404,辅助数据!$FY$22))&amp;""="","","、"&amp;IF($B$3="公区维修",INDEX(公区维修!$H$5:$H$404,辅助数据!$FY$22),INDEX(入户维修!$H$5:$H$404,辅助数据!$FY$22)))&amp;"")</f>
        <v/>
      </c>
      <c r="G30" s="18" t="str">
        <f aca="false">IF(辅助数据!$FY$22="","",IF($B$3="公区维修",INDEX(公区维修!$I$5:$I$404,辅助数据!$FY$22),INDEX(入户维修!$I$5:$I$404,辅助数据!$FY$22))&amp;"")</f>
        <v/>
      </c>
      <c r="H30" s="42" t="str">
        <f aca="false">IF(辅助数据!$FY$22="","",IF($B$3="公区维修",INDEX(公区维修!$K$5:$K$404,辅助数据!$FY$22),INDEX(入户维修!$K$5:$K$404,辅助数据!$FY$22))&amp;"")</f>
        <v/>
      </c>
      <c r="I30" s="54" t="str">
        <f aca="false">IF(辅助数据!$FY$22="","",IF($B$3="公区维修",INDEX(公区维修!$M$5:$M$404,辅助数据!$FY$22),INDEX(入户维修!$N$5:$N$404,辅助数据!$FY$22))&amp;"")</f>
        <v/>
      </c>
      <c r="J30" s="42" t="str">
        <f aca="false">IF(辅助数据!$FY$22="","",IF($B$3="公区维修",INDEX(公区维修!$N$5:$N$404,辅助数据!$FY$22),INDEX(入户维修!$O$5:$O$404,辅助数据!$FY$22))&amp;"")</f>
        <v/>
      </c>
      <c r="K30" s="54" t="str">
        <f aca="false">IF(辅助数据!$FY$22="","",IF($B$3="公区维修",INDEX(公区维修!$O$5:$O$404,辅助数据!$FY$22),INDEX(入户维修!$P$5:$P$404,辅助数据!$FY$22))&amp;"")</f>
        <v/>
      </c>
      <c r="L30" s="18" t="str">
        <f aca="false">IF(辅助数据!$FY$22="","",IF($B$3="公区维修",INDEX(公区维修!$L$5:$L$404,辅助数据!$FY$22),INDEX(入户维修!$M$5:$M$404,辅助数据!$FY$22))&amp;"")</f>
        <v/>
      </c>
    </row>
    <row r="31" customFormat="false" ht="21.75" hidden="false" customHeight="true" outlineLevel="0" collapsed="false">
      <c r="A31" s="42" t="str">
        <f aca="false">IF(辅助数据!$FY$23="","","第"&amp;23&amp;"单")</f>
        <v/>
      </c>
      <c r="B31" s="14" t="str">
        <f aca="false">IF(辅助数据!$FY$23="","",IF(IF($B$3="公区维修",INDEX(公区维修!$B$5:$B$404,辅助数据!$FY$23),INDEX(入户维修!$B$5:$B$404,辅助数据!$FY$23))&amp;""="","",IF($B$3="公区维修",INDEX(公区维修!$B$5:$B$404,辅助数据!$FY$23),INDEX(入户维修!$B$5:$B$404,辅助数据!$FY$23))))</f>
        <v/>
      </c>
      <c r="C31" s="18" t="str">
        <f aca="false">IF(辅助数据!$FY$23="","",IF($B$3="公区维修",INDEX(公区维修!$C$5:$C$404,辅助数据!$FY$23),INDEX(入户维修!$C$5:$C$404,辅助数据!$FY$23))&amp;"")</f>
        <v/>
      </c>
      <c r="D31" s="18" t="str">
        <f aca="false">IF(辅助数据!$FY$23="","",IF($B$3="公区维修",INDEX(公区维修!$D$5:$D$404,辅助数据!$FY$23),INDEX(入户维修!$D$5:$D$404,辅助数据!$FY$23))&amp;"")</f>
        <v/>
      </c>
      <c r="E31" s="54" t="str">
        <f aca="false">IF(辅助数据!$FY$23="","",IF($B$3="公区维修",INDEX(公区维修!$E$5:$E$404,辅助数据!$FY$23),INDEX(入户维修!$E$5:$E$404,辅助数据!$FY$23))&amp;"")</f>
        <v/>
      </c>
      <c r="F31" s="18" t="str">
        <f aca="false">IF(辅助数据!$FY$23="","",IF($B$3="公区维修",INDEX(公区维修!$F$5:$F$404,辅助数据!$FY$23),INDEX(入户维修!$F$5:$F$404,辅助数据!$FY$23))&amp;IF(IF($B$3="公区维修",INDEX(公区维修!$G$5:$G$404,辅助数据!$FY$23),INDEX(入户维修!$G$5:$G$404,辅助数据!$FY$23))&amp;""="","","、"&amp;IF($B$3="公区维修",INDEX(公区维修!$G$5:$G$404,辅助数据!$FY$23),INDEX(入户维修!$G$5:$G$404,辅助数据!$FY$23)))&amp;IF(IF($B$3="公区维修",INDEX(公区维修!$H$5:$H$404,辅助数据!$FY$23),INDEX(入户维修!$H$5:$H$404,辅助数据!$FY$23))&amp;""="","","、"&amp;IF($B$3="公区维修",INDEX(公区维修!$H$5:$H$404,辅助数据!$FY$23),INDEX(入户维修!$H$5:$H$404,辅助数据!$FY$23)))&amp;"")</f>
        <v/>
      </c>
      <c r="G31" s="18" t="str">
        <f aca="false">IF(辅助数据!$FY$23="","",IF($B$3="公区维修",INDEX(公区维修!$I$5:$I$404,辅助数据!$FY$23),INDEX(入户维修!$I$5:$I$404,辅助数据!$FY$23))&amp;"")</f>
        <v/>
      </c>
      <c r="H31" s="42" t="str">
        <f aca="false">IF(辅助数据!$FY$23="","",IF($B$3="公区维修",INDEX(公区维修!$K$5:$K$404,辅助数据!$FY$23),INDEX(入户维修!$K$5:$K$404,辅助数据!$FY$23))&amp;"")</f>
        <v/>
      </c>
      <c r="I31" s="54" t="str">
        <f aca="false">IF(辅助数据!$FY$23="","",IF($B$3="公区维修",INDEX(公区维修!$M$5:$M$404,辅助数据!$FY$23),INDEX(入户维修!$N$5:$N$404,辅助数据!$FY$23))&amp;"")</f>
        <v/>
      </c>
      <c r="J31" s="42" t="str">
        <f aca="false">IF(辅助数据!$FY$23="","",IF($B$3="公区维修",INDEX(公区维修!$N$5:$N$404,辅助数据!$FY$23),INDEX(入户维修!$O$5:$O$404,辅助数据!$FY$23))&amp;"")</f>
        <v/>
      </c>
      <c r="K31" s="54" t="str">
        <f aca="false">IF(辅助数据!$FY$23="","",IF($B$3="公区维修",INDEX(公区维修!$O$5:$O$404,辅助数据!$FY$23),INDEX(入户维修!$P$5:$P$404,辅助数据!$FY$23))&amp;"")</f>
        <v/>
      </c>
      <c r="L31" s="18" t="str">
        <f aca="false">IF(辅助数据!$FY$23="","",IF($B$3="公区维修",INDEX(公区维修!$L$5:$L$404,辅助数据!$FY$23),INDEX(入户维修!$M$5:$M$404,辅助数据!$FY$23))&amp;"")</f>
        <v/>
      </c>
    </row>
    <row r="32" customFormat="false" ht="21.75" hidden="false" customHeight="true" outlineLevel="0" collapsed="false">
      <c r="A32" s="42" t="str">
        <f aca="false">IF(辅助数据!$FY$24="","","第"&amp;24&amp;"单")</f>
        <v/>
      </c>
      <c r="B32" s="14" t="str">
        <f aca="false">IF(辅助数据!$FY$24="","",IF(IF($B$3="公区维修",INDEX(公区维修!$B$5:$B$404,辅助数据!$FY$24),INDEX(入户维修!$B$5:$B$404,辅助数据!$FY$24))&amp;""="","",IF($B$3="公区维修",INDEX(公区维修!$B$5:$B$404,辅助数据!$FY$24),INDEX(入户维修!$B$5:$B$404,辅助数据!$FY$24))))</f>
        <v/>
      </c>
      <c r="C32" s="18" t="str">
        <f aca="false">IF(辅助数据!$FY$24="","",IF($B$3="公区维修",INDEX(公区维修!$C$5:$C$404,辅助数据!$FY$24),INDEX(入户维修!$C$5:$C$404,辅助数据!$FY$24))&amp;"")</f>
        <v/>
      </c>
      <c r="D32" s="18" t="str">
        <f aca="false">IF(辅助数据!$FY$24="","",IF($B$3="公区维修",INDEX(公区维修!$D$5:$D$404,辅助数据!$FY$24),INDEX(入户维修!$D$5:$D$404,辅助数据!$FY$24))&amp;"")</f>
        <v/>
      </c>
      <c r="E32" s="54" t="str">
        <f aca="false">IF(辅助数据!$FY$24="","",IF($B$3="公区维修",INDEX(公区维修!$E$5:$E$404,辅助数据!$FY$24),INDEX(入户维修!$E$5:$E$404,辅助数据!$FY$24))&amp;"")</f>
        <v/>
      </c>
      <c r="F32" s="18" t="str">
        <f aca="false">IF(辅助数据!$FY$24="","",IF($B$3="公区维修",INDEX(公区维修!$F$5:$F$404,辅助数据!$FY$24),INDEX(入户维修!$F$5:$F$404,辅助数据!$FY$24))&amp;IF(IF($B$3="公区维修",INDEX(公区维修!$G$5:$G$404,辅助数据!$FY$24),INDEX(入户维修!$G$5:$G$404,辅助数据!$FY$24))&amp;""="","","、"&amp;IF($B$3="公区维修",INDEX(公区维修!$G$5:$G$404,辅助数据!$FY$24),INDEX(入户维修!$G$5:$G$404,辅助数据!$FY$24)))&amp;IF(IF($B$3="公区维修",INDEX(公区维修!$H$5:$H$404,辅助数据!$FY$24),INDEX(入户维修!$H$5:$H$404,辅助数据!$FY$24))&amp;""="","","、"&amp;IF($B$3="公区维修",INDEX(公区维修!$H$5:$H$404,辅助数据!$FY$24),INDEX(入户维修!$H$5:$H$404,辅助数据!$FY$24)))&amp;"")</f>
        <v/>
      </c>
      <c r="G32" s="18" t="str">
        <f aca="false">IF(辅助数据!$FY$24="","",IF($B$3="公区维修",INDEX(公区维修!$I$5:$I$404,辅助数据!$FY$24),INDEX(入户维修!$I$5:$I$404,辅助数据!$FY$24))&amp;"")</f>
        <v/>
      </c>
      <c r="H32" s="42" t="str">
        <f aca="false">IF(辅助数据!$FY$24="","",IF($B$3="公区维修",INDEX(公区维修!$K$5:$K$404,辅助数据!$FY$24),INDEX(入户维修!$K$5:$K$404,辅助数据!$FY$24))&amp;"")</f>
        <v/>
      </c>
      <c r="I32" s="54" t="str">
        <f aca="false">IF(辅助数据!$FY$24="","",IF($B$3="公区维修",INDEX(公区维修!$M$5:$M$404,辅助数据!$FY$24),INDEX(入户维修!$N$5:$N$404,辅助数据!$FY$24))&amp;"")</f>
        <v/>
      </c>
      <c r="J32" s="42" t="str">
        <f aca="false">IF(辅助数据!$FY$24="","",IF($B$3="公区维修",INDEX(公区维修!$N$5:$N$404,辅助数据!$FY$24),INDEX(入户维修!$O$5:$O$404,辅助数据!$FY$24))&amp;"")</f>
        <v/>
      </c>
      <c r="K32" s="54" t="str">
        <f aca="false">IF(辅助数据!$FY$24="","",IF($B$3="公区维修",INDEX(公区维修!$O$5:$O$404,辅助数据!$FY$24),INDEX(入户维修!$P$5:$P$404,辅助数据!$FY$24))&amp;"")</f>
        <v/>
      </c>
      <c r="L32" s="18" t="str">
        <f aca="false">IF(辅助数据!$FY$24="","",IF($B$3="公区维修",INDEX(公区维修!$L$5:$L$404,辅助数据!$FY$24),INDEX(入户维修!$M$5:$M$404,辅助数据!$FY$24))&amp;"")</f>
        <v/>
      </c>
    </row>
    <row r="33" customFormat="false" ht="21.75" hidden="false" customHeight="true" outlineLevel="0" collapsed="false">
      <c r="A33" s="42" t="str">
        <f aca="false">IF(辅助数据!$FY$25="","","第"&amp;25&amp;"单")</f>
        <v/>
      </c>
      <c r="B33" s="14" t="str">
        <f aca="false">IF(辅助数据!$FY$25="","",IF(IF($B$3="公区维修",INDEX(公区维修!$B$5:$B$404,辅助数据!$FY$25),INDEX(入户维修!$B$5:$B$404,辅助数据!$FY$25))&amp;""="","",IF($B$3="公区维修",INDEX(公区维修!$B$5:$B$404,辅助数据!$FY$25),INDEX(入户维修!$B$5:$B$404,辅助数据!$FY$25))))</f>
        <v/>
      </c>
      <c r="C33" s="18" t="str">
        <f aca="false">IF(辅助数据!$FY$25="","",IF($B$3="公区维修",INDEX(公区维修!$C$5:$C$404,辅助数据!$FY$25),INDEX(入户维修!$C$5:$C$404,辅助数据!$FY$25))&amp;"")</f>
        <v/>
      </c>
      <c r="D33" s="18" t="str">
        <f aca="false">IF(辅助数据!$FY$25="","",IF($B$3="公区维修",INDEX(公区维修!$D$5:$D$404,辅助数据!$FY$25),INDEX(入户维修!$D$5:$D$404,辅助数据!$FY$25))&amp;"")</f>
        <v/>
      </c>
      <c r="E33" s="54" t="str">
        <f aca="false">IF(辅助数据!$FY$25="","",IF($B$3="公区维修",INDEX(公区维修!$E$5:$E$404,辅助数据!$FY$25),INDEX(入户维修!$E$5:$E$404,辅助数据!$FY$25))&amp;"")</f>
        <v/>
      </c>
      <c r="F33" s="18" t="str">
        <f aca="false">IF(辅助数据!$FY$25="","",IF($B$3="公区维修",INDEX(公区维修!$F$5:$F$404,辅助数据!$FY$25),INDEX(入户维修!$F$5:$F$404,辅助数据!$FY$25))&amp;IF(IF($B$3="公区维修",INDEX(公区维修!$G$5:$G$404,辅助数据!$FY$25),INDEX(入户维修!$G$5:$G$404,辅助数据!$FY$25))&amp;""="","","、"&amp;IF($B$3="公区维修",INDEX(公区维修!$G$5:$G$404,辅助数据!$FY$25),INDEX(入户维修!$G$5:$G$404,辅助数据!$FY$25)))&amp;IF(IF($B$3="公区维修",INDEX(公区维修!$H$5:$H$404,辅助数据!$FY$25),INDEX(入户维修!$H$5:$H$404,辅助数据!$FY$25))&amp;""="","","、"&amp;IF($B$3="公区维修",INDEX(公区维修!$H$5:$H$404,辅助数据!$FY$25),INDEX(入户维修!$H$5:$H$404,辅助数据!$FY$25)))&amp;"")</f>
        <v/>
      </c>
      <c r="G33" s="18" t="str">
        <f aca="false">IF(辅助数据!$FY$25="","",IF($B$3="公区维修",INDEX(公区维修!$I$5:$I$404,辅助数据!$FY$25),INDEX(入户维修!$I$5:$I$404,辅助数据!$FY$25))&amp;"")</f>
        <v/>
      </c>
      <c r="H33" s="42" t="str">
        <f aca="false">IF(辅助数据!$FY$25="","",IF($B$3="公区维修",INDEX(公区维修!$K$5:$K$404,辅助数据!$FY$25),INDEX(入户维修!$K$5:$K$404,辅助数据!$FY$25))&amp;"")</f>
        <v/>
      </c>
      <c r="I33" s="54" t="str">
        <f aca="false">IF(辅助数据!$FY$25="","",IF($B$3="公区维修",INDEX(公区维修!$M$5:$M$404,辅助数据!$FY$25),INDEX(入户维修!$N$5:$N$404,辅助数据!$FY$25))&amp;"")</f>
        <v/>
      </c>
      <c r="J33" s="42" t="str">
        <f aca="false">IF(辅助数据!$FY$25="","",IF($B$3="公区维修",INDEX(公区维修!$N$5:$N$404,辅助数据!$FY$25),INDEX(入户维修!$O$5:$O$404,辅助数据!$FY$25))&amp;"")</f>
        <v/>
      </c>
      <c r="K33" s="54" t="str">
        <f aca="false">IF(辅助数据!$FY$25="","",IF($B$3="公区维修",INDEX(公区维修!$O$5:$O$404,辅助数据!$FY$25),INDEX(入户维修!$P$5:$P$404,辅助数据!$FY$25))&amp;"")</f>
        <v/>
      </c>
      <c r="L33" s="18" t="str">
        <f aca="false">IF(辅助数据!$FY$25="","",IF($B$3="公区维修",INDEX(公区维修!$L$5:$L$404,辅助数据!$FY$25),INDEX(入户维修!$M$5:$M$404,辅助数据!$FY$25))&amp;"")</f>
        <v/>
      </c>
    </row>
    <row r="34" customFormat="false" ht="24" hidden="false" customHeight="true" outlineLevel="0" collapsed="false">
      <c r="A34" s="55" t="str">
        <f aca="false">IF($D$3="","",IF($H$3&gt;25,"　⚠ 共 "&amp;$H$3&amp;" 单，此处仅显示最早 25 单；完整记录请回台账用单据编号筛选","　—— 以上为全部报修记录 ——"))</f>
        <v>　—— 以上为全部报修记录 ——</v>
      </c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</row>
    <row r="35" customFormat="false" ht="15" hidden="false" customHeight="false" outlineLevel="0" collapsed="false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</row>
    <row r="36" customFormat="false" ht="24" hidden="false" customHeight="true" outlineLevel="0" collapsed="false">
      <c r="A36" s="56" t="s">
        <v>474</v>
      </c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</row>
    <row r="37" customFormat="false" ht="19.5" hidden="false" customHeight="true" outlineLevel="0" collapsed="false">
      <c r="A37" s="57" t="s">
        <v>475</v>
      </c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</row>
    <row r="38" customFormat="false" ht="19.5" hidden="false" customHeight="true" outlineLevel="0" collapsed="false">
      <c r="A38" s="57" t="s">
        <v>476</v>
      </c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customFormat="false" ht="19.5" hidden="false" customHeight="true" outlineLevel="0" collapsed="false">
      <c r="A39" s="57" t="s">
        <v>477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</row>
    <row r="40" customFormat="false" ht="19.5" hidden="false" customHeight="true" outlineLevel="0" collapsed="false">
      <c r="A40" s="57" t="s">
        <v>478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customFormat="false" ht="19.5" hidden="false" customHeight="true" outlineLevel="0" collapsed="false">
      <c r="A41" s="57" t="s">
        <v>479</v>
      </c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</row>
    <row r="42" customFormat="false" ht="19.5" hidden="false" customHeight="true" outlineLevel="0" collapsed="false">
      <c r="A42" s="57" t="s">
        <v>480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</row>
  </sheetData>
  <mergeCells count="10">
    <mergeCell ref="A1:L1"/>
    <mergeCell ref="A5:L5"/>
    <mergeCell ref="A34:L34"/>
    <mergeCell ref="A36:L36"/>
    <mergeCell ref="A37:L37"/>
    <mergeCell ref="A38:L38"/>
    <mergeCell ref="A39:L39"/>
    <mergeCell ref="A40:L40"/>
    <mergeCell ref="A41:L41"/>
    <mergeCell ref="A42:L42"/>
  </mergeCells>
  <conditionalFormatting sqref="A9:A33">
    <cfRule type="expression" priority="2" aboveAverage="0" equalAverage="0" bottom="0" percent="0" rank="0" text="" dxfId="33">
      <formula>AND($A9&lt;&gt;"",$A9&lt;&gt;"第1单")</formula>
    </cfRule>
  </conditionalFormatting>
  <conditionalFormatting sqref="H9:H33">
    <cfRule type="expression" priority="3" aboveAverage="0" equalAverage="0" bottom="0" percent="0" rank="0" text="" dxfId="29">
      <formula>$H9="已完成"</formula>
    </cfRule>
    <cfRule type="expression" priority="4" aboveAverage="0" equalAverage="0" bottom="0" percent="0" rank="0" text="" dxfId="30">
      <formula>$H9="跟进中"</formula>
    </cfRule>
    <cfRule type="expression" priority="5" aboveAverage="0" equalAverage="0" bottom="0" percent="0" rank="0" text="" dxfId="31">
      <formula>$H9="需另约时间"</formula>
    </cfRule>
  </conditionalFormatting>
  <conditionalFormatting sqref="J9:J33">
    <cfRule type="expression" priority="6" aboveAverage="0" equalAverage="0" bottom="0" percent="0" rank="0" text="" dxfId="34">
      <formula>$J9="非常满意"</formula>
    </cfRule>
    <cfRule type="expression" priority="7" aboveAverage="0" equalAverage="0" bottom="0" percent="0" rank="0" text="" dxfId="35">
      <formula>$J9="满意"</formula>
    </cfRule>
    <cfRule type="expression" priority="8" aboveAverage="0" equalAverage="0" bottom="0" percent="0" rank="0" text="" dxfId="30">
      <formula>$J9="一般"</formula>
    </cfRule>
    <cfRule type="expression" priority="9" aboveAverage="0" equalAverage="0" bottom="0" percent="0" rank="0" text="" dxfId="31">
      <formula>$J9="不满意"</formula>
    </cfRule>
  </conditionalFormatting>
  <conditionalFormatting sqref="A9:L33">
    <cfRule type="expression" priority="10" aboveAverage="0" equalAverage="0" bottom="0" percent="0" rank="0" text="" dxfId="36">
      <formula>AND($B9&lt;&gt;"",MOD(ROW(),2)=0)</formula>
    </cfRule>
  </conditionalFormatting>
  <dataValidations count="2">
    <dataValidation allowBlank="true" errorStyle="stop" operator="between" prompt="选择要查询哪本台账。" promptTitle="查询范围" showDropDown="false" showErrorMessage="true" showInputMessage="true" sqref="B3" type="list">
      <formula1>"入户维修,公区维修"</formula1>
      <formula2>0</formula2>
    </dataValidation>
    <dataValidation allowBlank="true" errorStyle="stop" operator="between" prompt="下拉选择楼栋。查公区时可选「公共区域」。" promptTitle="楼栋" showDropDown="false" showErrorMessage="true" showInputMessage="true" sqref="D3" type="list">
      <formula1>"1栋,2栋,3栋,4栋,5栋,6栋,7栋,8栋,9栋,10栋,11栋,商铺,公共区域"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2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&amp;L&amp;8 &amp;K6b7785单元报修查询 · 数据实时取自入户维修 / 公区维修台账&amp;R&amp;8 &amp;K6b7785&amp;D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7FB0"/>
    <pageSetUpPr fitToPage="true"/>
  </sheetPr>
  <dimension ref="A1:F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3" min="2" style="1" width="14"/>
    <col collapsed="false" customWidth="true" hidden="false" outlineLevel="0" max="4" min="4" style="1" width="15"/>
    <col collapsed="false" customWidth="true" hidden="false" outlineLevel="0" max="6" min="5" style="1" width="14"/>
  </cols>
  <sheetData>
    <row r="1" customFormat="false" ht="39.75" hidden="false" customHeight="true" outlineLevel="0" collapsed="false">
      <c r="A1" s="58" t="s">
        <v>481</v>
      </c>
      <c r="B1" s="58"/>
      <c r="C1" s="58"/>
      <c r="D1" s="58"/>
      <c r="E1" s="58"/>
      <c r="F1" s="58"/>
    </row>
    <row r="2" customFormat="false" ht="21.75" hidden="false" customHeight="true" outlineLevel="0" collapsed="false">
      <c r="A2" s="59" t="s">
        <v>482</v>
      </c>
      <c r="B2" s="59"/>
      <c r="C2" s="59"/>
      <c r="D2" s="59"/>
      <c r="E2" s="59"/>
      <c r="F2" s="59"/>
    </row>
    <row r="3" customFormat="false" ht="30" hidden="false" customHeight="true" outlineLevel="0" collapsed="false">
      <c r="A3" s="60" t="s">
        <v>483</v>
      </c>
      <c r="B3" s="60"/>
      <c r="C3" s="60"/>
      <c r="D3" s="60"/>
      <c r="E3" s="60"/>
      <c r="F3" s="60"/>
    </row>
    <row r="4" customFormat="false" ht="7.5" hidden="false" customHeight="true" outlineLevel="0" collapsed="false">
      <c r="A4" s="61"/>
      <c r="B4" s="61"/>
      <c r="C4" s="61"/>
      <c r="D4" s="61"/>
      <c r="E4" s="61"/>
      <c r="F4" s="61"/>
    </row>
    <row r="5" customFormat="false" ht="30" hidden="false" customHeight="true" outlineLevel="0" collapsed="false">
      <c r="A5" s="62" t="s">
        <v>484</v>
      </c>
      <c r="B5" s="63" t="s">
        <v>485</v>
      </c>
      <c r="C5" s="63"/>
      <c r="D5" s="62" t="s">
        <v>486</v>
      </c>
      <c r="E5" s="63"/>
      <c r="F5" s="63"/>
    </row>
    <row r="6" customFormat="false" ht="30" hidden="false" customHeight="true" outlineLevel="0" collapsed="false">
      <c r="A6" s="62" t="s">
        <v>487</v>
      </c>
      <c r="B6" s="63"/>
      <c r="C6" s="63"/>
      <c r="D6" s="62" t="s">
        <v>488</v>
      </c>
      <c r="E6" s="63" t="s">
        <v>489</v>
      </c>
      <c r="F6" s="63"/>
    </row>
    <row r="7" customFormat="false" ht="30" hidden="false" customHeight="true" outlineLevel="0" collapsed="false">
      <c r="A7" s="62" t="s">
        <v>490</v>
      </c>
      <c r="B7" s="63"/>
      <c r="C7" s="63"/>
      <c r="D7" s="62" t="s">
        <v>491</v>
      </c>
      <c r="E7" s="63"/>
      <c r="F7" s="63"/>
    </row>
    <row r="8" customFormat="false" ht="9.75" hidden="false" customHeight="true" outlineLevel="0" collapsed="false">
      <c r="A8" s="61"/>
      <c r="B8" s="61"/>
      <c r="C8" s="61"/>
      <c r="D8" s="61"/>
      <c r="E8" s="61"/>
      <c r="F8" s="61"/>
    </row>
    <row r="9" customFormat="false" ht="25.5" hidden="false" customHeight="true" outlineLevel="0" collapsed="false">
      <c r="A9" s="56" t="s">
        <v>492</v>
      </c>
      <c r="B9" s="56"/>
      <c r="C9" s="56"/>
      <c r="D9" s="56"/>
      <c r="E9" s="56"/>
      <c r="F9" s="56"/>
    </row>
    <row r="10" customFormat="false" ht="24" hidden="false" customHeight="true" outlineLevel="0" collapsed="false">
      <c r="A10" s="64" t="s">
        <v>493</v>
      </c>
      <c r="B10" s="64"/>
      <c r="C10" s="64"/>
      <c r="D10" s="64"/>
      <c r="E10" s="64"/>
      <c r="F10" s="64"/>
    </row>
    <row r="11" customFormat="false" ht="55.5" hidden="false" customHeight="true" outlineLevel="0" collapsed="false">
      <c r="A11" s="65"/>
      <c r="B11" s="65"/>
      <c r="C11" s="65"/>
      <c r="D11" s="65"/>
      <c r="E11" s="65"/>
      <c r="F11" s="65"/>
    </row>
    <row r="12" customFormat="false" ht="24" hidden="false" customHeight="true" outlineLevel="0" collapsed="false">
      <c r="A12" s="64" t="s">
        <v>494</v>
      </c>
      <c r="B12" s="64"/>
      <c r="C12" s="64"/>
      <c r="D12" s="64"/>
      <c r="E12" s="64"/>
      <c r="F12" s="64"/>
    </row>
    <row r="13" customFormat="false" ht="55.5" hidden="false" customHeight="true" outlineLevel="0" collapsed="false">
      <c r="A13" s="65"/>
      <c r="B13" s="65"/>
      <c r="C13" s="65"/>
      <c r="D13" s="65"/>
      <c r="E13" s="65"/>
      <c r="F13" s="65"/>
    </row>
    <row r="14" customFormat="false" ht="27.75" hidden="false" customHeight="true" outlineLevel="0" collapsed="false">
      <c r="A14" s="66" t="s">
        <v>495</v>
      </c>
      <c r="B14" s="66"/>
      <c r="C14" s="66"/>
      <c r="D14" s="66"/>
      <c r="E14" s="66"/>
      <c r="F14" s="66"/>
    </row>
    <row r="15" customFormat="false" ht="25.5" hidden="false" customHeight="true" outlineLevel="0" collapsed="false">
      <c r="A15" s="56" t="s">
        <v>496</v>
      </c>
      <c r="B15" s="56"/>
      <c r="C15" s="56"/>
      <c r="D15" s="56"/>
      <c r="E15" s="56"/>
      <c r="F15" s="56"/>
    </row>
    <row r="16" customFormat="false" ht="24" hidden="false" customHeight="true" outlineLevel="0" collapsed="false">
      <c r="A16" s="64" t="s">
        <v>497</v>
      </c>
      <c r="B16" s="64"/>
      <c r="C16" s="64"/>
      <c r="D16" s="64"/>
      <c r="E16" s="64"/>
      <c r="F16" s="64"/>
    </row>
    <row r="17" customFormat="false" ht="27.75" hidden="false" customHeight="true" outlineLevel="0" collapsed="false">
      <c r="A17" s="66" t="s">
        <v>498</v>
      </c>
      <c r="B17" s="66"/>
      <c r="C17" s="66"/>
      <c r="D17" s="66"/>
      <c r="E17" s="66"/>
      <c r="F17" s="66"/>
    </row>
    <row r="18" customFormat="false" ht="24" hidden="false" customHeight="true" outlineLevel="0" collapsed="false">
      <c r="A18" s="64" t="s">
        <v>499</v>
      </c>
      <c r="B18" s="64"/>
      <c r="C18" s="64"/>
      <c r="D18" s="64"/>
      <c r="E18" s="64"/>
      <c r="F18" s="64"/>
    </row>
    <row r="19" customFormat="false" ht="39.75" hidden="false" customHeight="true" outlineLevel="0" collapsed="false">
      <c r="A19" s="65"/>
      <c r="B19" s="65"/>
      <c r="C19" s="65"/>
      <c r="D19" s="65"/>
      <c r="E19" s="65"/>
      <c r="F19" s="65"/>
    </row>
    <row r="20" customFormat="false" ht="39.75" hidden="false" customHeight="true" outlineLevel="0" collapsed="false">
      <c r="A20" s="65"/>
      <c r="B20" s="65"/>
      <c r="C20" s="65"/>
      <c r="D20" s="65"/>
      <c r="E20" s="65"/>
      <c r="F20" s="65"/>
    </row>
    <row r="21" customFormat="false" ht="25.5" hidden="false" customHeight="true" outlineLevel="0" collapsed="false">
      <c r="A21" s="56" t="s">
        <v>500</v>
      </c>
      <c r="B21" s="56"/>
      <c r="C21" s="56"/>
      <c r="D21" s="56"/>
      <c r="E21" s="56"/>
      <c r="F21" s="56"/>
    </row>
    <row r="22" customFormat="false" ht="33.75" hidden="false" customHeight="true" outlineLevel="0" collapsed="false">
      <c r="A22" s="67" t="s">
        <v>501</v>
      </c>
      <c r="B22" s="67"/>
      <c r="C22" s="67"/>
      <c r="D22" s="67" t="s">
        <v>502</v>
      </c>
      <c r="E22" s="67"/>
      <c r="F22" s="67"/>
    </row>
    <row r="23" customFormat="false" ht="33.75" hidden="false" customHeight="true" outlineLevel="0" collapsed="false">
      <c r="A23" s="67" t="s">
        <v>503</v>
      </c>
      <c r="B23" s="67"/>
      <c r="C23" s="67"/>
      <c r="D23" s="67" t="s">
        <v>504</v>
      </c>
      <c r="E23" s="67"/>
      <c r="F23" s="67"/>
    </row>
    <row r="24" customFormat="false" ht="30" hidden="false" customHeight="true" outlineLevel="0" collapsed="false">
      <c r="A24" s="60" t="s">
        <v>505</v>
      </c>
      <c r="B24" s="60"/>
      <c r="C24" s="60"/>
      <c r="D24" s="60"/>
      <c r="E24" s="60"/>
      <c r="F24" s="60"/>
    </row>
  </sheetData>
  <mergeCells count="26">
    <mergeCell ref="A1:F1"/>
    <mergeCell ref="A2:F2"/>
    <mergeCell ref="A3:F3"/>
    <mergeCell ref="B5:C5"/>
    <mergeCell ref="E5:F5"/>
    <mergeCell ref="B6:C6"/>
    <mergeCell ref="E6:F6"/>
    <mergeCell ref="B7:C7"/>
    <mergeCell ref="E7:F7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A18:F18"/>
    <mergeCell ref="A19:F19"/>
    <mergeCell ref="A21:F21"/>
    <mergeCell ref="A22:C22"/>
    <mergeCell ref="D22:F22"/>
    <mergeCell ref="A23:C23"/>
    <mergeCell ref="D23:F23"/>
    <mergeCell ref="A24:F24"/>
  </mergeCells>
  <printOptions headings="false" gridLines="false" gridLinesSet="true" horizontalCentered="true" verticalCentered="false"/>
  <pageMargins left="0.6" right="0.6" top="0.7" bottom="0.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B4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68" t="s">
        <v>24</v>
      </c>
      <c r="B1" s="69" t="n">
        <f aca="false">IF(COUNTIFS(入户维修!$F$5:$F$404,$A1,入户维修!$K$5:$K$404,"跟进中")+COUNTIFS(入户维修!$G$5:$G$404,$A1,入户维修!$K$5:$K$404,"跟进中")+COUNTIFS(入户维修!$H$5:$H$404,$A1,入户维修!$K$5:$K$404,"跟进中")+COUNTIFS(公区维修!$F$5:$F$404,$A1,公区维修!$K$5:$K$404,"跟进中")+COUNTIFS(公区维修!$G$5:$G$404,$A1,公区维修!$K$5:$K$404,"跟进中")+COUNTIFS(公区维修!$H$5:$H$404,$A1,公区维修!$K$5:$K$404,"跟进中")&gt;0,1,0)</f>
        <v>1</v>
      </c>
      <c r="C1" s="69" t="n">
        <f aca="false">IF($BO1=0,0,SUM($BO$1:$BO1))</f>
        <v>0</v>
      </c>
      <c r="D1" s="69" t="n">
        <f aca="false">IF($BP1=0,0,SUM($BP$1:$BP1))</f>
        <v>0</v>
      </c>
      <c r="BE1" s="0" t="str">
        <f aca="false">IF($BN1=1,"　"&amp;$A1,"")&amp;IF($BN2=1,"　"&amp;$A2,"")&amp;IF($BN3=1,"　"&amp;$A3,"")&amp;IF($BN4=1,"　"&amp;$A4,"")&amp;IF($BN5=1,"　"&amp;$A5,"")</f>
        <v>　张师傅</v>
      </c>
      <c r="BF1" s="68" t="s">
        <v>24</v>
      </c>
      <c r="BG1" s="0" t="str">
        <f aca="false">IFERROR(INDEX($A$1:$A$5,MATCH(1,$BQ$1:$BQ$5,0)),IF(1=MAX($BQ$1:$BQ$5)+1,"取消",""))</f>
        <v>李师傅</v>
      </c>
      <c r="BH1" s="70" t="n">
        <f aca="false">总仪表盘!$B$3</f>
        <v>46241</v>
      </c>
      <c r="BI1" s="70" t="n">
        <f aca="false">总仪表盘!$B$3</f>
        <v>46241</v>
      </c>
      <c r="BJ1" s="70" t="e">
        <f aca="false">#REF!</f>
        <v>#REF!</v>
      </c>
      <c r="BK1" s="70" t="e">
        <f aca="false">#REF!</f>
        <v>#REF!</v>
      </c>
      <c r="BL1" s="70" t="e">
        <f aca="false">#REF!</f>
        <v>#REF!</v>
      </c>
      <c r="BM1" s="70" t="e">
        <f aca="false">#REF!</f>
        <v>#REF!</v>
      </c>
      <c r="BN1" s="69" t="n">
        <f aca="false">IF(入户维修!J$3="休息",1,0)</f>
        <v>1</v>
      </c>
      <c r="BO1" s="69" t="n">
        <f aca="false">IF(AND($B1=1,$BN1=0),1,0)</f>
        <v>0</v>
      </c>
      <c r="BP1" s="69" t="n">
        <f aca="false">IF(AND($B1=0,$BN1=0),1,0)</f>
        <v>0</v>
      </c>
      <c r="BQ1" s="69" t="n">
        <f aca="false">IF($BN1=1,0,1-SUM($BN$1:$BN1))</f>
        <v>0</v>
      </c>
      <c r="BR1" s="69" t="n">
        <f aca="false">COUNTIFS(入户维修!$F$5:$F$404,$A1,入户维修!$E$5:$E$404,"?*",入户维修!$B$5:$B$404,"&gt;="&amp;辅助数据!$BH$1,入户维修!$B$5:$B$404,"&lt;="&amp;辅助数据!$BI$1)+COUNTIFS(入户维修!$G$5:$G$404,$A1,入户维修!$E$5:$E$404,"?*",入户维修!$B$5:$B$404,"&gt;="&amp;辅助数据!$BH$1,入户维修!$B$5:$B$404,"&lt;="&amp;辅助数据!$BI$1)+COUNTIFS(入户维修!$H$5:$H$404,$A1,入户维修!$E$5:$E$404,"?*",入户维修!$B$5:$B$404,"&gt;="&amp;辅助数据!$BH$1,入户维修!$B$5:$B$404,"&lt;="&amp;辅助数据!$BI$1)+COUNTIFS(公区维修!$F$5:$F$404,$A1,公区维修!$E$5:$E$404,"?*",公区维修!$B$5:$B$404,"&gt;="&amp;辅助数据!$BH$1,公区维修!$B$5:$B$404,"&lt;="&amp;辅助数据!$BI$1)+COUNTIFS(公区维修!$G$5:$G$404,$A1,公区维修!$E$5:$E$404,"?*",公区维修!$B$5:$B$404,"&gt;="&amp;辅助数据!$BH$1,公区维修!$B$5:$B$404,"&lt;="&amp;辅助数据!$BI$1)+COUNTIFS(公区维修!$H$5:$H$404,$A1,公区维修!$E$5:$E$404,"?*",公区维修!$B$5:$B$404,"&gt;="&amp;辅助数据!$BH$1,公区维修!$B$5:$B$404,"&lt;="&amp;辅助数据!$BI$1)</f>
        <v>8</v>
      </c>
      <c r="BS1" s="69" t="n">
        <f aca="false">COUNTIFS(入户维修!$F$5:$F$404,$A1,入户维修!$K$5:$K$404,"已完成",入户维修!$B$5:$B$404,"&gt;="&amp;辅助数据!$BH$1,入户维修!$B$5:$B$404,"&lt;="&amp;辅助数据!$BI$1)+COUNTIFS(入户维修!$G$5:$G$404,$A1,入户维修!$K$5:$K$404,"已完成",入户维修!$B$5:$B$404,"&gt;="&amp;辅助数据!$BH$1,入户维修!$B$5:$B$404,"&lt;="&amp;辅助数据!$BI$1)+COUNTIFS(入户维修!$H$5:$H$404,$A1,入户维修!$K$5:$K$404,"已完成",入户维修!$B$5:$B$404,"&gt;="&amp;辅助数据!$BH$1,入户维修!$B$5:$B$404,"&lt;="&amp;辅助数据!$BI$1)+COUNTIFS(公区维修!$F$5:$F$404,$A1,公区维修!$K$5:$K$404,"已完成",公区维修!$B$5:$B$404,"&gt;="&amp;辅助数据!$BH$1,公区维修!$B$5:$B$404,"&lt;="&amp;辅助数据!$BI$1)+COUNTIFS(公区维修!$G$5:$G$404,$A1,公区维修!$K$5:$K$404,"已完成",公区维修!$B$5:$B$404,"&gt;="&amp;辅助数据!$BH$1,公区维修!$B$5:$B$404,"&lt;="&amp;辅助数据!$BI$1)+COUNTIFS(公区维修!$H$5:$H$404,$A1,公区维修!$K$5:$K$404,"已完成",公区维修!$B$5:$B$404,"&gt;="&amp;辅助数据!$BH$1,公区维修!$B$5:$B$404,"&lt;="&amp;辅助数据!$BI$1)</f>
        <v>8</v>
      </c>
      <c r="BT1" s="69" t="n">
        <f aca="false">COUNTIFS(入户维修!$F$5:$F$404,$A1,入户维修!$K$5:$K$404,"跟进中",入户维修!$B$5:$B$404,"&gt;="&amp;辅助数据!$BH$1,入户维修!$B$5:$B$404,"&lt;="&amp;辅助数据!$BI$1)+COUNTIFS(入户维修!$G$5:$G$404,$A1,入户维修!$K$5:$K$404,"跟进中",入户维修!$B$5:$B$404,"&gt;="&amp;辅助数据!$BH$1,入户维修!$B$5:$B$404,"&lt;="&amp;辅助数据!$BI$1)+COUNTIFS(入户维修!$H$5:$H$404,$A1,入户维修!$K$5:$K$404,"跟进中",入户维修!$B$5:$B$404,"&gt;="&amp;辅助数据!$BH$1,入户维修!$B$5:$B$404,"&lt;="&amp;辅助数据!$BI$1)+COUNTIFS(公区维修!$F$5:$F$404,$A1,公区维修!$K$5:$K$404,"跟进中",公区维修!$B$5:$B$404,"&gt;="&amp;辅助数据!$BH$1,公区维修!$B$5:$B$404,"&lt;="&amp;辅助数据!$BI$1)+COUNTIFS(公区维修!$G$5:$G$404,$A1,公区维修!$K$5:$K$404,"跟进中",公区维修!$B$5:$B$404,"&gt;="&amp;辅助数据!$BH$1,公区维修!$B$5:$B$404,"&lt;="&amp;辅助数据!$BI$1)+COUNTIFS(公区维修!$H$5:$H$404,$A1,公区维修!$K$5:$K$404,"跟进中",公区维修!$B$5:$B$404,"&gt;="&amp;辅助数据!$BH$1,公区维修!$B$5:$B$404,"&lt;="&amp;辅助数据!$BI$1)</f>
        <v>0</v>
      </c>
      <c r="BU1" s="69" t="n">
        <f aca="false">COUNTIFS(入户维修!$F$5:$F$404,$A1,入户维修!$O$5:$O$404,"非常满意",入户维修!$B$5:$B$404,"&gt;="&amp;辅助数据!$BH$1,入户维修!$B$5:$B$404,"&lt;="&amp;辅助数据!$BI$1)+COUNTIFS(入户维修!$G$5:$G$404,$A1,入户维修!$O$5:$O$404,"非常满意",入户维修!$B$5:$B$404,"&gt;="&amp;辅助数据!$BH$1,入户维修!$B$5:$B$404,"&lt;="&amp;辅助数据!$BI$1)+COUNTIFS(入户维修!$H$5:$H$404,$A1,入户维修!$O$5:$O$404,"非常满意",入户维修!$B$5:$B$404,"&gt;="&amp;辅助数据!$BH$1,入户维修!$B$5:$B$404,"&lt;="&amp;辅助数据!$BI$1)+COUNTIFS(公区维修!$F$5:$F$404,$A1,公区维修!$N$5:$N$404,"非常满意",公区维修!$B$5:$B$404,"&gt;="&amp;辅助数据!$BH$1,公区维修!$B$5:$B$404,"&lt;="&amp;辅助数据!$BI$1)+COUNTIFS(公区维修!$G$5:$G$404,$A1,公区维修!$N$5:$N$404,"非常满意",公区维修!$B$5:$B$404,"&gt;="&amp;辅助数据!$BH$1,公区维修!$B$5:$B$404,"&lt;="&amp;辅助数据!$BI$1)+COUNTIFS(公区维修!$H$5:$H$404,$A1,公区维修!$N$5:$N$404,"非常满意",公区维修!$B$5:$B$404,"&gt;="&amp;辅助数据!$BH$1,公区维修!$B$5:$B$404,"&lt;="&amp;辅助数据!$BI$1)</f>
        <v>8</v>
      </c>
      <c r="BV1" s="69" t="n">
        <f aca="false">COUNTIFS(入户维修!$F$5:$F$404,$A1,入户维修!$O$5:$O$404,"满意",入户维修!$B$5:$B$404,"&gt;="&amp;辅助数据!$BH$1,入户维修!$B$5:$B$404,"&lt;="&amp;辅助数据!$BI$1)+COUNTIFS(入户维修!$G$5:$G$404,$A1,入户维修!$O$5:$O$404,"满意",入户维修!$B$5:$B$404,"&gt;="&amp;辅助数据!$BH$1,入户维修!$B$5:$B$404,"&lt;="&amp;辅助数据!$BI$1)+COUNTIFS(入户维修!$H$5:$H$404,$A1,入户维修!$O$5:$O$404,"满意",入户维修!$B$5:$B$404,"&gt;="&amp;辅助数据!$BH$1,入户维修!$B$5:$B$404,"&lt;="&amp;辅助数据!$BI$1)+COUNTIFS(公区维修!$F$5:$F$404,$A1,公区维修!$N$5:$N$404,"满意",公区维修!$B$5:$B$404,"&gt;="&amp;辅助数据!$BH$1,公区维修!$B$5:$B$404,"&lt;="&amp;辅助数据!$BI$1)+COUNTIFS(公区维修!$G$5:$G$404,$A1,公区维修!$N$5:$N$404,"满意",公区维修!$B$5:$B$404,"&gt;="&amp;辅助数据!$BH$1,公区维修!$B$5:$B$404,"&lt;="&amp;辅助数据!$BI$1)+COUNTIFS(公区维修!$H$5:$H$404,$A1,公区维修!$N$5:$N$404,"满意",公区维修!$B$5:$B$404,"&gt;="&amp;辅助数据!$BH$1,公区维修!$B$5:$B$404,"&lt;="&amp;辅助数据!$BI$1)</f>
        <v>0</v>
      </c>
      <c r="BW1" s="69" t="n">
        <f aca="false">COUNTIFS(入户维修!$F$5:$F$404,$A1,入户维修!$O$5:$O$404,"一般",入户维修!$B$5:$B$404,"&gt;="&amp;辅助数据!$BH$1,入户维修!$B$5:$B$404,"&lt;="&amp;辅助数据!$BI$1)+COUNTIFS(入户维修!$G$5:$G$404,$A1,入户维修!$O$5:$O$404,"一般",入户维修!$B$5:$B$404,"&gt;="&amp;辅助数据!$BH$1,入户维修!$B$5:$B$404,"&lt;="&amp;辅助数据!$BI$1)+COUNTIFS(入户维修!$H$5:$H$404,$A1,入户维修!$O$5:$O$404,"一般",入户维修!$B$5:$B$404,"&gt;="&amp;辅助数据!$BH$1,入户维修!$B$5:$B$404,"&lt;="&amp;辅助数据!$BI$1)+COUNTIFS(公区维修!$F$5:$F$404,$A1,公区维修!$N$5:$N$404,"一般",公区维修!$B$5:$B$404,"&gt;="&amp;辅助数据!$BH$1,公区维修!$B$5:$B$404,"&lt;="&amp;辅助数据!$BI$1)+COUNTIFS(公区维修!$G$5:$G$404,$A1,公区维修!$N$5:$N$404,"一般",公区维修!$B$5:$B$404,"&gt;="&amp;辅助数据!$BH$1,公区维修!$B$5:$B$404,"&lt;="&amp;辅助数据!$BI$1)+COUNTIFS(公区维修!$H$5:$H$404,$A1,公区维修!$N$5:$N$404,"一般",公区维修!$B$5:$B$404,"&gt;="&amp;辅助数据!$BH$1,公区维修!$B$5:$B$404,"&lt;="&amp;辅助数据!$BI$1)</f>
        <v>0</v>
      </c>
      <c r="BX1" s="69" t="n">
        <f aca="false">COUNTIFS(入户维修!$F$5:$F$404,$A1,入户维修!$O$5:$O$404,"不满意",入户维修!$B$5:$B$404,"&gt;="&amp;辅助数据!$BH$1,入户维修!$B$5:$B$404,"&lt;="&amp;辅助数据!$BI$1)+COUNTIFS(入户维修!$G$5:$G$404,$A1,入户维修!$O$5:$O$404,"不满意",入户维修!$B$5:$B$404,"&gt;="&amp;辅助数据!$BH$1,入户维修!$B$5:$B$404,"&lt;="&amp;辅助数据!$BI$1)+COUNTIFS(入户维修!$H$5:$H$404,$A1,入户维修!$O$5:$O$404,"不满意",入户维修!$B$5:$B$404,"&gt;="&amp;辅助数据!$BH$1,入户维修!$B$5:$B$404,"&lt;="&amp;辅助数据!$BI$1)+COUNTIFS(公区维修!$F$5:$F$404,$A1,公区维修!$N$5:$N$404,"不满意",公区维修!$B$5:$B$404,"&gt;="&amp;辅助数据!$BH$1,公区维修!$B$5:$B$404,"&lt;="&amp;辅助数据!$BI$1)+COUNTIFS(公区维修!$G$5:$G$404,$A1,公区维修!$N$5:$N$404,"不满意",公区维修!$B$5:$B$404,"&gt;="&amp;辅助数据!$BH$1,公区维修!$B$5:$B$404,"&lt;="&amp;辅助数据!$BI$1)+COUNTIFS(公区维修!$H$5:$H$404,$A1,公区维修!$N$5:$N$404,"不满意",公区维修!$B$5:$B$404,"&gt;="&amp;辅助数据!$BH$1,公区维修!$B$5:$B$404,"&lt;="&amp;辅助数据!$BI$1)</f>
        <v>0</v>
      </c>
      <c r="BY1" s="69" t="n">
        <f aca="false">SUM($BU1:$BX1)</f>
        <v>8</v>
      </c>
      <c r="BZ1" s="69" t="n">
        <f aca="false">$BS1+$BR1/1000</f>
        <v>8.008</v>
      </c>
      <c r="CA1" s="69" t="n">
        <f aca="false">RANK($BZ1,$BZ$1:$BZ$5)+COUNTIF($BZ$1:$BZ1,$BZ1)-1</f>
        <v>1</v>
      </c>
      <c r="CB1" s="69" t="n">
        <f aca="false">IF($BY1=0,-1,($BU1*100+$BV1*80+$BW1*60)/$BY1+$BY1/1000)</f>
        <v>100.008</v>
      </c>
      <c r="CC1" s="69" t="n">
        <f aca="false">RANK($CB1,$CB$1:$CB$5)+COUNTIF($CB$1:$CB1,$CB1)-1</f>
        <v>1</v>
      </c>
      <c r="CD1" s="69" t="n">
        <f aca="false">COUNTIFS(入户维修!$F$5:$F$404,$A1,入户维修!$E$5:$E$404,"?*",入户维修!$B$5:$B$404,"&gt;="&amp;辅助数据!$BH$2,入户维修!$B$5:$B$404,"&lt;="&amp;辅助数据!$BI$2)+COUNTIFS(入户维修!$G$5:$G$404,$A1,入户维修!$E$5:$E$404,"?*",入户维修!$B$5:$B$404,"&gt;="&amp;辅助数据!$BH$2,入户维修!$B$5:$B$404,"&lt;="&amp;辅助数据!$BI$2)+COUNTIFS(入户维修!$H$5:$H$404,$A1,入户维修!$E$5:$E$404,"?*",入户维修!$B$5:$B$404,"&gt;="&amp;辅助数据!$BH$2,入户维修!$B$5:$B$404,"&lt;="&amp;辅助数据!$BI$2)+COUNTIFS(公区维修!$F$5:$F$404,$A1,公区维修!$E$5:$E$404,"?*",公区维修!$B$5:$B$404,"&gt;="&amp;辅助数据!$BH$2,公区维修!$B$5:$B$404,"&lt;="&amp;辅助数据!$BI$2)+COUNTIFS(公区维修!$G$5:$G$404,$A1,公区维修!$E$5:$E$404,"?*",公区维修!$B$5:$B$404,"&gt;="&amp;辅助数据!$BH$2,公区维修!$B$5:$B$404,"&lt;="&amp;辅助数据!$BI$2)+COUNTIFS(公区维修!$H$5:$H$404,$A1,公区维修!$E$5:$E$404,"?*",公区维修!$B$5:$B$404,"&gt;="&amp;辅助数据!$BH$2,公区维修!$B$5:$B$404,"&lt;="&amp;辅助数据!$BI$2)</f>
        <v>31</v>
      </c>
      <c r="CE1" s="69" t="n">
        <f aca="false">COUNTIFS(入户维修!$F$5:$F$404,$A1,入户维修!$K$5:$K$404,"已完成",入户维修!$B$5:$B$404,"&gt;="&amp;辅助数据!$BH$2,入户维修!$B$5:$B$404,"&lt;="&amp;辅助数据!$BI$2)+COUNTIFS(入户维修!$G$5:$G$404,$A1,入户维修!$K$5:$K$404,"已完成",入户维修!$B$5:$B$404,"&gt;="&amp;辅助数据!$BH$2,入户维修!$B$5:$B$404,"&lt;="&amp;辅助数据!$BI$2)+COUNTIFS(入户维修!$H$5:$H$404,$A1,入户维修!$K$5:$K$404,"已完成",入户维修!$B$5:$B$404,"&gt;="&amp;辅助数据!$BH$2,入户维修!$B$5:$B$404,"&lt;="&amp;辅助数据!$BI$2)+COUNTIFS(公区维修!$F$5:$F$404,$A1,公区维修!$K$5:$K$404,"已完成",公区维修!$B$5:$B$404,"&gt;="&amp;辅助数据!$BH$2,公区维修!$B$5:$B$404,"&lt;="&amp;辅助数据!$BI$2)+COUNTIFS(公区维修!$G$5:$G$404,$A1,公区维修!$K$5:$K$404,"已完成",公区维修!$B$5:$B$404,"&gt;="&amp;辅助数据!$BH$2,公区维修!$B$5:$B$404,"&lt;="&amp;辅助数据!$BI$2)+COUNTIFS(公区维修!$H$5:$H$404,$A1,公区维修!$K$5:$K$404,"已完成",公区维修!$B$5:$B$404,"&gt;="&amp;辅助数据!$BH$2,公区维修!$B$5:$B$404,"&lt;="&amp;辅助数据!$BI$2)</f>
        <v>30</v>
      </c>
      <c r="CF1" s="69" t="n">
        <f aca="false">COUNTIFS(入户维修!$F$5:$F$404,$A1,入户维修!$K$5:$K$404,"跟进中",入户维修!$B$5:$B$404,"&gt;="&amp;辅助数据!$BH$2,入户维修!$B$5:$B$404,"&lt;="&amp;辅助数据!$BI$2)+COUNTIFS(入户维修!$G$5:$G$404,$A1,入户维修!$K$5:$K$404,"跟进中",入户维修!$B$5:$B$404,"&gt;="&amp;辅助数据!$BH$2,入户维修!$B$5:$B$404,"&lt;="&amp;辅助数据!$BI$2)+COUNTIFS(入户维修!$H$5:$H$404,$A1,入户维修!$K$5:$K$404,"跟进中",入户维修!$B$5:$B$404,"&gt;="&amp;辅助数据!$BH$2,入户维修!$B$5:$B$404,"&lt;="&amp;辅助数据!$BI$2)+COUNTIFS(公区维修!$F$5:$F$404,$A1,公区维修!$K$5:$K$404,"跟进中",公区维修!$B$5:$B$404,"&gt;="&amp;辅助数据!$BH$2,公区维修!$B$5:$B$404,"&lt;="&amp;辅助数据!$BI$2)+COUNTIFS(公区维修!$G$5:$G$404,$A1,公区维修!$K$5:$K$404,"跟进中",公区维修!$B$5:$B$404,"&gt;="&amp;辅助数据!$BH$2,公区维修!$B$5:$B$404,"&lt;="&amp;辅助数据!$BI$2)+COUNTIFS(公区维修!$H$5:$H$404,$A1,公区维修!$K$5:$K$404,"跟进中",公区维修!$B$5:$B$404,"&gt;="&amp;辅助数据!$BH$2,公区维修!$B$5:$B$404,"&lt;="&amp;辅助数据!$BI$2)</f>
        <v>1</v>
      </c>
      <c r="CG1" s="69" t="n">
        <f aca="false">COUNTIFS(入户维修!$F$5:$F$404,$A1,入户维修!$O$5:$O$404,"非常满意",入户维修!$B$5:$B$404,"&gt;="&amp;辅助数据!$BH$2,入户维修!$B$5:$B$404,"&lt;="&amp;辅助数据!$BI$2)+COUNTIFS(入户维修!$G$5:$G$404,$A1,入户维修!$O$5:$O$404,"非常满意",入户维修!$B$5:$B$404,"&gt;="&amp;辅助数据!$BH$2,入户维修!$B$5:$B$404,"&lt;="&amp;辅助数据!$BI$2)+COUNTIFS(入户维修!$H$5:$H$404,$A1,入户维修!$O$5:$O$404,"非常满意",入户维修!$B$5:$B$404,"&gt;="&amp;辅助数据!$BH$2,入户维修!$B$5:$B$404,"&lt;="&amp;辅助数据!$BI$2)+COUNTIFS(公区维修!$F$5:$F$404,$A1,公区维修!$N$5:$N$404,"非常满意",公区维修!$B$5:$B$404,"&gt;="&amp;辅助数据!$BH$2,公区维修!$B$5:$B$404,"&lt;="&amp;辅助数据!$BI$2)+COUNTIFS(公区维修!$G$5:$G$404,$A1,公区维修!$N$5:$N$404,"非常满意",公区维修!$B$5:$B$404,"&gt;="&amp;辅助数据!$BH$2,公区维修!$B$5:$B$404,"&lt;="&amp;辅助数据!$BI$2)+COUNTIFS(公区维修!$H$5:$H$404,$A1,公区维修!$N$5:$N$404,"非常满意",公区维修!$B$5:$B$404,"&gt;="&amp;辅助数据!$BH$2,公区维修!$B$5:$B$404,"&lt;="&amp;辅助数据!$BI$2)</f>
        <v>29</v>
      </c>
      <c r="CH1" s="69" t="n">
        <f aca="false">COUNTIFS(入户维修!$F$5:$F$404,$A1,入户维修!$O$5:$O$404,"满意",入户维修!$B$5:$B$404,"&gt;="&amp;辅助数据!$BH$2,入户维修!$B$5:$B$404,"&lt;="&amp;辅助数据!$BI$2)+COUNTIFS(入户维修!$G$5:$G$404,$A1,入户维修!$O$5:$O$404,"满意",入户维修!$B$5:$B$404,"&gt;="&amp;辅助数据!$BH$2,入户维修!$B$5:$B$404,"&lt;="&amp;辅助数据!$BI$2)+COUNTIFS(入户维修!$H$5:$H$404,$A1,入户维修!$O$5:$O$404,"满意",入户维修!$B$5:$B$404,"&gt;="&amp;辅助数据!$BH$2,入户维修!$B$5:$B$404,"&lt;="&amp;辅助数据!$BI$2)+COUNTIFS(公区维修!$F$5:$F$404,$A1,公区维修!$N$5:$N$404,"满意",公区维修!$B$5:$B$404,"&gt;="&amp;辅助数据!$BH$2,公区维修!$B$5:$B$404,"&lt;="&amp;辅助数据!$BI$2)+COUNTIFS(公区维修!$G$5:$G$404,$A1,公区维修!$N$5:$N$404,"满意",公区维修!$B$5:$B$404,"&gt;="&amp;辅助数据!$BH$2,公区维修!$B$5:$B$404,"&lt;="&amp;辅助数据!$BI$2)+COUNTIFS(公区维修!$H$5:$H$404,$A1,公区维修!$N$5:$N$404,"满意",公区维修!$B$5:$B$404,"&gt;="&amp;辅助数据!$BH$2,公区维修!$B$5:$B$404,"&lt;="&amp;辅助数据!$BI$2)</f>
        <v>1</v>
      </c>
      <c r="CI1" s="69" t="n">
        <f aca="false">COUNTIFS(入户维修!$F$5:$F$404,$A1,入户维修!$O$5:$O$404,"一般",入户维修!$B$5:$B$404,"&gt;="&amp;辅助数据!$BH$2,入户维修!$B$5:$B$404,"&lt;="&amp;辅助数据!$BI$2)+COUNTIFS(入户维修!$G$5:$G$404,$A1,入户维修!$O$5:$O$404,"一般",入户维修!$B$5:$B$404,"&gt;="&amp;辅助数据!$BH$2,入户维修!$B$5:$B$404,"&lt;="&amp;辅助数据!$BI$2)+COUNTIFS(入户维修!$H$5:$H$404,$A1,入户维修!$O$5:$O$404,"一般",入户维修!$B$5:$B$404,"&gt;="&amp;辅助数据!$BH$2,入户维修!$B$5:$B$404,"&lt;="&amp;辅助数据!$BI$2)+COUNTIFS(公区维修!$F$5:$F$404,$A1,公区维修!$N$5:$N$404,"一般",公区维修!$B$5:$B$404,"&gt;="&amp;辅助数据!$BH$2,公区维修!$B$5:$B$404,"&lt;="&amp;辅助数据!$BI$2)+COUNTIFS(公区维修!$G$5:$G$404,$A1,公区维修!$N$5:$N$404,"一般",公区维修!$B$5:$B$404,"&gt;="&amp;辅助数据!$BH$2,公区维修!$B$5:$B$404,"&lt;="&amp;辅助数据!$BI$2)+COUNTIFS(公区维修!$H$5:$H$404,$A1,公区维修!$N$5:$N$404,"一般",公区维修!$B$5:$B$404,"&gt;="&amp;辅助数据!$BH$2,公区维修!$B$5:$B$404,"&lt;="&amp;辅助数据!$BI$2)</f>
        <v>0</v>
      </c>
      <c r="CJ1" s="69" t="n">
        <f aca="false">COUNTIFS(入户维修!$F$5:$F$404,$A1,入户维修!$O$5:$O$404,"不满意",入户维修!$B$5:$B$404,"&gt;="&amp;辅助数据!$BH$2,入户维修!$B$5:$B$404,"&lt;="&amp;辅助数据!$BI$2)+COUNTIFS(入户维修!$G$5:$G$404,$A1,入户维修!$O$5:$O$404,"不满意",入户维修!$B$5:$B$404,"&gt;="&amp;辅助数据!$BH$2,入户维修!$B$5:$B$404,"&lt;="&amp;辅助数据!$BI$2)+COUNTIFS(入户维修!$H$5:$H$404,$A1,入户维修!$O$5:$O$404,"不满意",入户维修!$B$5:$B$404,"&gt;="&amp;辅助数据!$BH$2,入户维修!$B$5:$B$404,"&lt;="&amp;辅助数据!$BI$2)+COUNTIFS(公区维修!$F$5:$F$404,$A1,公区维修!$N$5:$N$404,"不满意",公区维修!$B$5:$B$404,"&gt;="&amp;辅助数据!$BH$2,公区维修!$B$5:$B$404,"&lt;="&amp;辅助数据!$BI$2)+COUNTIFS(公区维修!$G$5:$G$404,$A1,公区维修!$N$5:$N$404,"不满意",公区维修!$B$5:$B$404,"&gt;="&amp;辅助数据!$BH$2,公区维修!$B$5:$B$404,"&lt;="&amp;辅助数据!$BI$2)+COUNTIFS(公区维修!$H$5:$H$404,$A1,公区维修!$N$5:$N$404,"不满意",公区维修!$B$5:$B$404,"&gt;="&amp;辅助数据!$BH$2,公区维修!$B$5:$B$404,"&lt;="&amp;辅助数据!$BI$2)</f>
        <v>0</v>
      </c>
      <c r="CK1" s="69" t="n">
        <f aca="false">SUM($CG1:$CJ1)</f>
        <v>30</v>
      </c>
      <c r="CL1" s="69" t="n">
        <f aca="false">$CE1+$CD1/1000</f>
        <v>30.031</v>
      </c>
      <c r="CM1" s="69" t="n">
        <f aca="false">RANK($CL1,$CL$1:$CL$5)+COUNTIF($CL$1:$CL1,$CL1)-1</f>
        <v>1</v>
      </c>
      <c r="CN1" s="69" t="n">
        <f aca="false">IF($CK1=0,-1,($CG1*100+$CH1*80+$CI1*60)/$CK1+$CK1/1000)</f>
        <v>99.3633333333333</v>
      </c>
      <c r="CO1" s="69" t="n">
        <f aca="false">RANK($CN1,$CN$1:$CN$5)+COUNTIF($CN$1:$CN1,$CN1)-1</f>
        <v>2</v>
      </c>
      <c r="CP1" s="69" t="n">
        <f aca="false">COUNTIFS(入户维修!$F$5:$F$404,$A1,入户维修!$E$5:$E$404,"?*",入户维修!$B$5:$B$404,"&gt;="&amp;辅助数据!$BH$3,入户维修!$B$5:$B$404,"&lt;="&amp;辅助数据!$BI$3)+COUNTIFS(入户维修!$G$5:$G$404,$A1,入户维修!$E$5:$E$404,"?*",入户维修!$B$5:$B$404,"&gt;="&amp;辅助数据!$BH$3,入户维修!$B$5:$B$404,"&lt;="&amp;辅助数据!$BI$3)+COUNTIFS(入户维修!$H$5:$H$404,$A1,入户维修!$E$5:$E$404,"?*",入户维修!$B$5:$B$404,"&gt;="&amp;辅助数据!$BH$3,入户维修!$B$5:$B$404,"&lt;="&amp;辅助数据!$BI$3)+COUNTIFS(公区维修!$F$5:$F$404,$A1,公区维修!$E$5:$E$404,"?*",公区维修!$B$5:$B$404,"&gt;="&amp;辅助数据!$BH$3,公区维修!$B$5:$B$404,"&lt;="&amp;辅助数据!$BI$3)+COUNTIFS(公区维修!$G$5:$G$404,$A1,公区维修!$E$5:$E$404,"?*",公区维修!$B$5:$B$404,"&gt;="&amp;辅助数据!$BH$3,公区维修!$B$5:$B$404,"&lt;="&amp;辅助数据!$BI$3)+COUNTIFS(公区维修!$H$5:$H$404,$A1,公区维修!$E$5:$E$404,"?*",公区维修!$B$5:$B$404,"&gt;="&amp;辅助数据!$BH$3,公区维修!$B$5:$B$404,"&lt;="&amp;辅助数据!$BI$3)</f>
        <v>45</v>
      </c>
      <c r="CQ1" s="69" t="n">
        <f aca="false">COUNTIFS(入户维修!$F$5:$F$404,$A1,入户维修!$K$5:$K$404,"已完成",入户维修!$B$5:$B$404,"&gt;="&amp;辅助数据!$BH$3,入户维修!$B$5:$B$404,"&lt;="&amp;辅助数据!$BI$3)+COUNTIFS(入户维修!$G$5:$G$404,$A1,入户维修!$K$5:$K$404,"已完成",入户维修!$B$5:$B$404,"&gt;="&amp;辅助数据!$BH$3,入户维修!$B$5:$B$404,"&lt;="&amp;辅助数据!$BI$3)+COUNTIFS(入户维修!$H$5:$H$404,$A1,入户维修!$K$5:$K$404,"已完成",入户维修!$B$5:$B$404,"&gt;="&amp;辅助数据!$BH$3,入户维修!$B$5:$B$404,"&lt;="&amp;辅助数据!$BI$3)+COUNTIFS(公区维修!$F$5:$F$404,$A1,公区维修!$K$5:$K$404,"已完成",公区维修!$B$5:$B$404,"&gt;="&amp;辅助数据!$BH$3,公区维修!$B$5:$B$404,"&lt;="&amp;辅助数据!$BI$3)+COUNTIFS(公区维修!$G$5:$G$404,$A1,公区维修!$K$5:$K$404,"已完成",公区维修!$B$5:$B$404,"&gt;="&amp;辅助数据!$BH$3,公区维修!$B$5:$B$404,"&lt;="&amp;辅助数据!$BI$3)+COUNTIFS(公区维修!$H$5:$H$404,$A1,公区维修!$K$5:$K$404,"已完成",公区维修!$B$5:$B$404,"&gt;="&amp;辅助数据!$BH$3,公区维修!$B$5:$B$404,"&lt;="&amp;辅助数据!$BI$3)</f>
        <v>43</v>
      </c>
      <c r="CR1" s="69" t="n">
        <f aca="false">COUNTIFS(入户维修!$F$5:$F$404,$A1,入户维修!$K$5:$K$404,"跟进中",入户维修!$B$5:$B$404,"&gt;="&amp;辅助数据!$BH$3,入户维修!$B$5:$B$404,"&lt;="&amp;辅助数据!$BI$3)+COUNTIFS(入户维修!$G$5:$G$404,$A1,入户维修!$K$5:$K$404,"跟进中",入户维修!$B$5:$B$404,"&gt;="&amp;辅助数据!$BH$3,入户维修!$B$5:$B$404,"&lt;="&amp;辅助数据!$BI$3)+COUNTIFS(入户维修!$H$5:$H$404,$A1,入户维修!$K$5:$K$404,"跟进中",入户维修!$B$5:$B$404,"&gt;="&amp;辅助数据!$BH$3,入户维修!$B$5:$B$404,"&lt;="&amp;辅助数据!$BI$3)+COUNTIFS(公区维修!$F$5:$F$404,$A1,公区维修!$K$5:$K$404,"跟进中",公区维修!$B$5:$B$404,"&gt;="&amp;辅助数据!$BH$3,公区维修!$B$5:$B$404,"&lt;="&amp;辅助数据!$BI$3)+COUNTIFS(公区维修!$G$5:$G$404,$A1,公区维修!$K$5:$K$404,"跟进中",公区维修!$B$5:$B$404,"&gt;="&amp;辅助数据!$BH$3,公区维修!$B$5:$B$404,"&lt;="&amp;辅助数据!$BI$3)+COUNTIFS(公区维修!$H$5:$H$404,$A1,公区维修!$K$5:$K$404,"跟进中",公区维修!$B$5:$B$404,"&gt;="&amp;辅助数据!$BH$3,公区维修!$B$5:$B$404,"&lt;="&amp;辅助数据!$BI$3)</f>
        <v>2</v>
      </c>
      <c r="CS1" s="69" t="n">
        <f aca="false">COUNTIFS(入户维修!$F$5:$F$404,$A1,入户维修!$O$5:$O$404,"非常满意",入户维修!$B$5:$B$404,"&gt;="&amp;辅助数据!$BH$3,入户维修!$B$5:$B$404,"&lt;="&amp;辅助数据!$BI$3)+COUNTIFS(入户维修!$G$5:$G$404,$A1,入户维修!$O$5:$O$404,"非常满意",入户维修!$B$5:$B$404,"&gt;="&amp;辅助数据!$BH$3,入户维修!$B$5:$B$404,"&lt;="&amp;辅助数据!$BI$3)+COUNTIFS(入户维修!$H$5:$H$404,$A1,入户维修!$O$5:$O$404,"非常满意",入户维修!$B$5:$B$404,"&gt;="&amp;辅助数据!$BH$3,入户维修!$B$5:$B$404,"&lt;="&amp;辅助数据!$BI$3)+COUNTIFS(公区维修!$F$5:$F$404,$A1,公区维修!$N$5:$N$404,"非常满意",公区维修!$B$5:$B$404,"&gt;="&amp;辅助数据!$BH$3,公区维修!$B$5:$B$404,"&lt;="&amp;辅助数据!$BI$3)+COUNTIFS(公区维修!$G$5:$G$404,$A1,公区维修!$N$5:$N$404,"非常满意",公区维修!$B$5:$B$404,"&gt;="&amp;辅助数据!$BH$3,公区维修!$B$5:$B$404,"&lt;="&amp;辅助数据!$BI$3)+COUNTIFS(公区维修!$H$5:$H$404,$A1,公区维修!$N$5:$N$404,"非常满意",公区维修!$B$5:$B$404,"&gt;="&amp;辅助数据!$BH$3,公区维修!$B$5:$B$404,"&lt;="&amp;辅助数据!$BI$3)</f>
        <v>40</v>
      </c>
      <c r="CT1" s="69" t="n">
        <f aca="false">COUNTIFS(入户维修!$F$5:$F$404,$A1,入户维修!$O$5:$O$404,"满意",入户维修!$B$5:$B$404,"&gt;="&amp;辅助数据!$BH$3,入户维修!$B$5:$B$404,"&lt;="&amp;辅助数据!$BI$3)+COUNTIFS(入户维修!$G$5:$G$404,$A1,入户维修!$O$5:$O$404,"满意",入户维修!$B$5:$B$404,"&gt;="&amp;辅助数据!$BH$3,入户维修!$B$5:$B$404,"&lt;="&amp;辅助数据!$BI$3)+COUNTIFS(入户维修!$H$5:$H$404,$A1,入户维修!$O$5:$O$404,"满意",入户维修!$B$5:$B$404,"&gt;="&amp;辅助数据!$BH$3,入户维修!$B$5:$B$404,"&lt;="&amp;辅助数据!$BI$3)+COUNTIFS(公区维修!$F$5:$F$404,$A1,公区维修!$N$5:$N$404,"满意",公区维修!$B$5:$B$404,"&gt;="&amp;辅助数据!$BH$3,公区维修!$B$5:$B$404,"&lt;="&amp;辅助数据!$BI$3)+COUNTIFS(公区维修!$G$5:$G$404,$A1,公区维修!$N$5:$N$404,"满意",公区维修!$B$5:$B$404,"&gt;="&amp;辅助数据!$BH$3,公区维修!$B$5:$B$404,"&lt;="&amp;辅助数据!$BI$3)+COUNTIFS(公区维修!$H$5:$H$404,$A1,公区维修!$N$5:$N$404,"满意",公区维修!$B$5:$B$404,"&gt;="&amp;辅助数据!$BH$3,公区维修!$B$5:$B$404,"&lt;="&amp;辅助数据!$BI$3)</f>
        <v>1</v>
      </c>
      <c r="CU1" s="69" t="n">
        <f aca="false">COUNTIFS(入户维修!$F$5:$F$404,$A1,入户维修!$O$5:$O$404,"一般",入户维修!$B$5:$B$404,"&gt;="&amp;辅助数据!$BH$3,入户维修!$B$5:$B$404,"&lt;="&amp;辅助数据!$BI$3)+COUNTIFS(入户维修!$G$5:$G$404,$A1,入户维修!$O$5:$O$404,"一般",入户维修!$B$5:$B$404,"&gt;="&amp;辅助数据!$BH$3,入户维修!$B$5:$B$404,"&lt;="&amp;辅助数据!$BI$3)+COUNTIFS(入户维修!$H$5:$H$404,$A1,入户维修!$O$5:$O$404,"一般",入户维修!$B$5:$B$404,"&gt;="&amp;辅助数据!$BH$3,入户维修!$B$5:$B$404,"&lt;="&amp;辅助数据!$BI$3)+COUNTIFS(公区维修!$F$5:$F$404,$A1,公区维修!$N$5:$N$404,"一般",公区维修!$B$5:$B$404,"&gt;="&amp;辅助数据!$BH$3,公区维修!$B$5:$B$404,"&lt;="&amp;辅助数据!$BI$3)+COUNTIFS(公区维修!$G$5:$G$404,$A1,公区维修!$N$5:$N$404,"一般",公区维修!$B$5:$B$404,"&gt;="&amp;辅助数据!$BH$3,公区维修!$B$5:$B$404,"&lt;="&amp;辅助数据!$BI$3)+COUNTIFS(公区维修!$H$5:$H$404,$A1,公区维修!$N$5:$N$404,"一般",公区维修!$B$5:$B$404,"&gt;="&amp;辅助数据!$BH$3,公区维修!$B$5:$B$404,"&lt;="&amp;辅助数据!$BI$3)</f>
        <v>0</v>
      </c>
      <c r="CV1" s="69" t="n">
        <f aca="false">COUNTIFS(入户维修!$F$5:$F$404,$A1,入户维修!$O$5:$O$404,"不满意",入户维修!$B$5:$B$404,"&gt;="&amp;辅助数据!$BH$3,入户维修!$B$5:$B$404,"&lt;="&amp;辅助数据!$BI$3)+COUNTIFS(入户维修!$G$5:$G$404,$A1,入户维修!$O$5:$O$404,"不满意",入户维修!$B$5:$B$404,"&gt;="&amp;辅助数据!$BH$3,入户维修!$B$5:$B$404,"&lt;="&amp;辅助数据!$BI$3)+COUNTIFS(入户维修!$H$5:$H$404,$A1,入户维修!$O$5:$O$404,"不满意",入户维修!$B$5:$B$404,"&gt;="&amp;辅助数据!$BH$3,入户维修!$B$5:$B$404,"&lt;="&amp;辅助数据!$BI$3)+COUNTIFS(公区维修!$F$5:$F$404,$A1,公区维修!$N$5:$N$404,"不满意",公区维修!$B$5:$B$404,"&gt;="&amp;辅助数据!$BH$3,公区维修!$B$5:$B$404,"&lt;="&amp;辅助数据!$BI$3)+COUNTIFS(公区维修!$G$5:$G$404,$A1,公区维修!$N$5:$N$404,"不满意",公区维修!$B$5:$B$404,"&gt;="&amp;辅助数据!$BH$3,公区维修!$B$5:$B$404,"&lt;="&amp;辅助数据!$BI$3)+COUNTIFS(公区维修!$H$5:$H$404,$A1,公区维修!$N$5:$N$404,"不满意",公区维修!$B$5:$B$404,"&gt;="&amp;辅助数据!$BH$3,公区维修!$B$5:$B$404,"&lt;="&amp;辅助数据!$BI$3)</f>
        <v>0</v>
      </c>
      <c r="CW1" s="69" t="n">
        <f aca="false">SUM($CS1:$CV1)</f>
        <v>41</v>
      </c>
      <c r="CX1" s="69" t="n">
        <f aca="false">$CQ1+$CP1/1000</f>
        <v>43.045</v>
      </c>
      <c r="CY1" s="69" t="n">
        <f aca="false">RANK($CX1,$CX$1:$CX$5)+COUNTIF($CX$1:$CX1,$CX1)-1</f>
        <v>1</v>
      </c>
      <c r="CZ1" s="69" t="n">
        <f aca="false">IF($CW1=0,-1,($CS1*100+$CT1*80+$CU1*60)/$CW1+$CW1/1000)</f>
        <v>99.5531951219512</v>
      </c>
      <c r="DA1" s="69" t="n">
        <f aca="false">RANK($CZ1,$CZ$1:$CZ$5)+COUNTIF($CZ$1:$CZ1,$CZ1)-1</f>
        <v>3</v>
      </c>
      <c r="DB1" s="69" t="e">
        <f aca="false">COUNTIFS(入户维修!$F$5:$F$404,$A1,入户维修!$E$5:$E$404,"?*",入户维修!$B$5:$B$404,"&gt;="&amp;辅助数据!$BJ$1,入户维修!$B$5:$B$404,"&lt;="&amp;辅助数据!$BK$1)+COUNTIFS(入户维修!$G$5:$G$404,$A1,入户维修!$E$5:$E$404,"?*",入户维修!$B$5:$B$404,"&gt;="&amp;辅助数据!$BJ$1,入户维修!$B$5:$B$404,"&lt;="&amp;辅助数据!$BK$1)+COUNTIFS(入户维修!$H$5:$H$404,$A1,入户维修!$E$5:$E$404,"?*",入户维修!$B$5:$B$404,"&gt;="&amp;辅助数据!$BJ$1,入户维修!$B$5:$B$404,"&lt;="&amp;辅助数据!$BK$1)</f>
        <v>#REF!</v>
      </c>
      <c r="DC1" s="69" t="e">
        <f aca="false">COUNTIFS(入户维修!$F$5:$F$404,$A1,入户维修!$K$5:$K$404,"已完成",入户维修!$B$5:$B$404,"&gt;="&amp;辅助数据!$BJ$1,入户维修!$B$5:$B$404,"&lt;="&amp;辅助数据!$BK$1)+COUNTIFS(入户维修!$G$5:$G$404,$A1,入户维修!$K$5:$K$404,"已完成",入户维修!$B$5:$B$404,"&gt;="&amp;辅助数据!$BJ$1,入户维修!$B$5:$B$404,"&lt;="&amp;辅助数据!$BK$1)+COUNTIFS(入户维修!$H$5:$H$404,$A1,入户维修!$K$5:$K$404,"已完成",入户维修!$B$5:$B$404,"&gt;="&amp;辅助数据!$BJ$1,入户维修!$B$5:$B$404,"&lt;="&amp;辅助数据!$BK$1)</f>
        <v>#REF!</v>
      </c>
      <c r="DD1" s="69" t="e">
        <f aca="false">COUNTIFS(入户维修!$F$5:$F$404,$A1,入户维修!$K$5:$K$404,"跟进中",入户维修!$B$5:$B$404,"&gt;="&amp;辅助数据!$BJ$1,入户维修!$B$5:$B$404,"&lt;="&amp;辅助数据!$BK$1)+COUNTIFS(入户维修!$G$5:$G$404,$A1,入户维修!$K$5:$K$404,"跟进中",入户维修!$B$5:$B$404,"&gt;="&amp;辅助数据!$BJ$1,入户维修!$B$5:$B$404,"&lt;="&amp;辅助数据!$BK$1)+COUNTIFS(入户维修!$H$5:$H$404,$A1,入户维修!$K$5:$K$404,"跟进中",入户维修!$B$5:$B$404,"&gt;="&amp;辅助数据!$BJ$1,入户维修!$B$5:$B$404,"&lt;="&amp;辅助数据!$BK$1)</f>
        <v>#REF!</v>
      </c>
      <c r="DE1" s="69" t="e">
        <f aca="false">COUNTIFS(入户维修!$F$5:$F$404,$A1,入户维修!$O$5:$O$404,"非常满意",入户维修!$B$5:$B$404,"&gt;="&amp;辅助数据!$BJ$1,入户维修!$B$5:$B$404,"&lt;="&amp;辅助数据!$BK$1)+COUNTIFS(入户维修!$G$5:$G$404,$A1,入户维修!$O$5:$O$404,"非常满意",入户维修!$B$5:$B$404,"&gt;="&amp;辅助数据!$BJ$1,入户维修!$B$5:$B$404,"&lt;="&amp;辅助数据!$BK$1)+COUNTIFS(入户维修!$H$5:$H$404,$A1,入户维修!$O$5:$O$404,"非常满意",入户维修!$B$5:$B$404,"&gt;="&amp;辅助数据!$BJ$1,入户维修!$B$5:$B$404,"&lt;="&amp;辅助数据!$BK$1)</f>
        <v>#REF!</v>
      </c>
      <c r="DF1" s="69" t="e">
        <f aca="false">COUNTIFS(入户维修!$F$5:$F$404,$A1,入户维修!$O$5:$O$404,"满意",入户维修!$B$5:$B$404,"&gt;="&amp;辅助数据!$BJ$1,入户维修!$B$5:$B$404,"&lt;="&amp;辅助数据!$BK$1)+COUNTIFS(入户维修!$G$5:$G$404,$A1,入户维修!$O$5:$O$404,"满意",入户维修!$B$5:$B$404,"&gt;="&amp;辅助数据!$BJ$1,入户维修!$B$5:$B$404,"&lt;="&amp;辅助数据!$BK$1)+COUNTIFS(入户维修!$H$5:$H$404,$A1,入户维修!$O$5:$O$404,"满意",入户维修!$B$5:$B$404,"&gt;="&amp;辅助数据!$BJ$1,入户维修!$B$5:$B$404,"&lt;="&amp;辅助数据!$BK$1)</f>
        <v>#REF!</v>
      </c>
      <c r="DG1" s="69" t="e">
        <f aca="false">COUNTIFS(入户维修!$F$5:$F$404,$A1,入户维修!$O$5:$O$404,"一般",入户维修!$B$5:$B$404,"&gt;="&amp;辅助数据!$BJ$1,入户维修!$B$5:$B$404,"&lt;="&amp;辅助数据!$BK$1)+COUNTIFS(入户维修!$G$5:$G$404,$A1,入户维修!$O$5:$O$404,"一般",入户维修!$B$5:$B$404,"&gt;="&amp;辅助数据!$BJ$1,入户维修!$B$5:$B$404,"&lt;="&amp;辅助数据!$BK$1)+COUNTIFS(入户维修!$H$5:$H$404,$A1,入户维修!$O$5:$O$404,"一般",入户维修!$B$5:$B$404,"&gt;="&amp;辅助数据!$BJ$1,入户维修!$B$5:$B$404,"&lt;="&amp;辅助数据!$BK$1)</f>
        <v>#REF!</v>
      </c>
      <c r="DH1" s="69" t="e">
        <f aca="false">COUNTIFS(入户维修!$F$5:$F$404,$A1,入户维修!$O$5:$O$404,"不满意",入户维修!$B$5:$B$404,"&gt;="&amp;辅助数据!$BJ$1,入户维修!$B$5:$B$404,"&lt;="&amp;辅助数据!$BK$1)+COUNTIFS(入户维修!$G$5:$G$404,$A1,入户维修!$O$5:$O$404,"不满意",入户维修!$B$5:$B$404,"&gt;="&amp;辅助数据!$BJ$1,入户维修!$B$5:$B$404,"&lt;="&amp;辅助数据!$BK$1)+COUNTIFS(入户维修!$H$5:$H$404,$A1,入户维修!$O$5:$O$404,"不满意",入户维修!$B$5:$B$404,"&gt;="&amp;辅助数据!$BJ$1,入户维修!$B$5:$B$404,"&lt;="&amp;辅助数据!$BK$1)</f>
        <v>#REF!</v>
      </c>
      <c r="DI1" s="69" t="e">
        <f aca="false">SUM($DE1:$DH1)</f>
        <v>#REF!</v>
      </c>
      <c r="DJ1" s="69" t="e">
        <f aca="false">$DC1+$DB1/1000</f>
        <v>#REF!</v>
      </c>
      <c r="DK1" s="69" t="e">
        <f aca="false">RANK($DJ1,$DJ$1:$DJ$5)+COUNTIF($DJ$1:$DJ1,$DJ1)-1</f>
        <v>#REF!</v>
      </c>
      <c r="DL1" s="69" t="e">
        <f aca="false">IF($DI1=0,-1,($DE1*100+$DF1*80+$DG1*60)/$DI1+$DI1/1000)</f>
        <v>#REF!</v>
      </c>
      <c r="DM1" s="69" t="e">
        <f aca="false">RANK($DL1,$DL$1:$DL$5)+COUNTIF($DL$1:$DL1,$DL1)-1</f>
        <v>#REF!</v>
      </c>
      <c r="DN1" s="69" t="e">
        <f aca="false">COUNTIFS(入户维修!$F$5:$F$404,$A1,入户维修!$E$5:$E$404,"?*",入户维修!$B$5:$B$404,"&gt;="&amp;辅助数据!$BJ$2,入户维修!$B$5:$B$404,"&lt;="&amp;辅助数据!$BK$2)+COUNTIFS(入户维修!$G$5:$G$404,$A1,入户维修!$E$5:$E$404,"?*",入户维修!$B$5:$B$404,"&gt;="&amp;辅助数据!$BJ$2,入户维修!$B$5:$B$404,"&lt;="&amp;辅助数据!$BK$2)+COUNTIFS(入户维修!$H$5:$H$404,$A1,入户维修!$E$5:$E$404,"?*",入户维修!$B$5:$B$404,"&gt;="&amp;辅助数据!$BJ$2,入户维修!$B$5:$B$404,"&lt;="&amp;辅助数据!$BK$2)</f>
        <v>#REF!</v>
      </c>
      <c r="DO1" s="69" t="e">
        <f aca="false">COUNTIFS(入户维修!$F$5:$F$404,$A1,入户维修!$K$5:$K$404,"已完成",入户维修!$B$5:$B$404,"&gt;="&amp;辅助数据!$BJ$2,入户维修!$B$5:$B$404,"&lt;="&amp;辅助数据!$BK$2)+COUNTIFS(入户维修!$G$5:$G$404,$A1,入户维修!$K$5:$K$404,"已完成",入户维修!$B$5:$B$404,"&gt;="&amp;辅助数据!$BJ$2,入户维修!$B$5:$B$404,"&lt;="&amp;辅助数据!$BK$2)+COUNTIFS(入户维修!$H$5:$H$404,$A1,入户维修!$K$5:$K$404,"已完成",入户维修!$B$5:$B$404,"&gt;="&amp;辅助数据!$BJ$2,入户维修!$B$5:$B$404,"&lt;="&amp;辅助数据!$BK$2)</f>
        <v>#REF!</v>
      </c>
      <c r="DP1" s="69" t="e">
        <f aca="false">COUNTIFS(入户维修!$F$5:$F$404,$A1,入户维修!$K$5:$K$404,"跟进中",入户维修!$B$5:$B$404,"&gt;="&amp;辅助数据!$BJ$2,入户维修!$B$5:$B$404,"&lt;="&amp;辅助数据!$BK$2)+COUNTIFS(入户维修!$G$5:$G$404,$A1,入户维修!$K$5:$K$404,"跟进中",入户维修!$B$5:$B$404,"&gt;="&amp;辅助数据!$BJ$2,入户维修!$B$5:$B$404,"&lt;="&amp;辅助数据!$BK$2)+COUNTIFS(入户维修!$H$5:$H$404,$A1,入户维修!$K$5:$K$404,"跟进中",入户维修!$B$5:$B$404,"&gt;="&amp;辅助数据!$BJ$2,入户维修!$B$5:$B$404,"&lt;="&amp;辅助数据!$BK$2)</f>
        <v>#REF!</v>
      </c>
      <c r="DQ1" s="69" t="e">
        <f aca="false">COUNTIFS(入户维修!$F$5:$F$404,$A1,入户维修!$O$5:$O$404,"非常满意",入户维修!$B$5:$B$404,"&gt;="&amp;辅助数据!$BJ$2,入户维修!$B$5:$B$404,"&lt;="&amp;辅助数据!$BK$2)+COUNTIFS(入户维修!$G$5:$G$404,$A1,入户维修!$O$5:$O$404,"非常满意",入户维修!$B$5:$B$404,"&gt;="&amp;辅助数据!$BJ$2,入户维修!$B$5:$B$404,"&lt;="&amp;辅助数据!$BK$2)+COUNTIFS(入户维修!$H$5:$H$404,$A1,入户维修!$O$5:$O$404,"非常满意",入户维修!$B$5:$B$404,"&gt;="&amp;辅助数据!$BJ$2,入户维修!$B$5:$B$404,"&lt;="&amp;辅助数据!$BK$2)</f>
        <v>#REF!</v>
      </c>
      <c r="DR1" s="69" t="e">
        <f aca="false">COUNTIFS(入户维修!$F$5:$F$404,$A1,入户维修!$O$5:$O$404,"满意",入户维修!$B$5:$B$404,"&gt;="&amp;辅助数据!$BJ$2,入户维修!$B$5:$B$404,"&lt;="&amp;辅助数据!$BK$2)+COUNTIFS(入户维修!$G$5:$G$404,$A1,入户维修!$O$5:$O$404,"满意",入户维修!$B$5:$B$404,"&gt;="&amp;辅助数据!$BJ$2,入户维修!$B$5:$B$404,"&lt;="&amp;辅助数据!$BK$2)+COUNTIFS(入户维修!$H$5:$H$404,$A1,入户维修!$O$5:$O$404,"满意",入户维修!$B$5:$B$404,"&gt;="&amp;辅助数据!$BJ$2,入户维修!$B$5:$B$404,"&lt;="&amp;辅助数据!$BK$2)</f>
        <v>#REF!</v>
      </c>
      <c r="DS1" s="69" t="e">
        <f aca="false">COUNTIFS(入户维修!$F$5:$F$404,$A1,入户维修!$O$5:$O$404,"一般",入户维修!$B$5:$B$404,"&gt;="&amp;辅助数据!$BJ$2,入户维修!$B$5:$B$404,"&lt;="&amp;辅助数据!$BK$2)+COUNTIFS(入户维修!$G$5:$G$404,$A1,入户维修!$O$5:$O$404,"一般",入户维修!$B$5:$B$404,"&gt;="&amp;辅助数据!$BJ$2,入户维修!$B$5:$B$404,"&lt;="&amp;辅助数据!$BK$2)+COUNTIFS(入户维修!$H$5:$H$404,$A1,入户维修!$O$5:$O$404,"一般",入户维修!$B$5:$B$404,"&gt;="&amp;辅助数据!$BJ$2,入户维修!$B$5:$B$404,"&lt;="&amp;辅助数据!$BK$2)</f>
        <v>#REF!</v>
      </c>
      <c r="DT1" s="69" t="e">
        <f aca="false">COUNTIFS(入户维修!$F$5:$F$404,$A1,入户维修!$O$5:$O$404,"不满意",入户维修!$B$5:$B$404,"&gt;="&amp;辅助数据!$BJ$2,入户维修!$B$5:$B$404,"&lt;="&amp;辅助数据!$BK$2)+COUNTIFS(入户维修!$G$5:$G$404,$A1,入户维修!$O$5:$O$404,"不满意",入户维修!$B$5:$B$404,"&gt;="&amp;辅助数据!$BJ$2,入户维修!$B$5:$B$404,"&lt;="&amp;辅助数据!$BK$2)+COUNTIFS(入户维修!$H$5:$H$404,$A1,入户维修!$O$5:$O$404,"不满意",入户维修!$B$5:$B$404,"&gt;="&amp;辅助数据!$BJ$2,入户维修!$B$5:$B$404,"&lt;="&amp;辅助数据!$BK$2)</f>
        <v>#REF!</v>
      </c>
      <c r="DU1" s="69" t="e">
        <f aca="false">SUM($DQ1:$DT1)</f>
        <v>#REF!</v>
      </c>
      <c r="DV1" s="69" t="e">
        <f aca="false">$DO1+$DN1/1000</f>
        <v>#REF!</v>
      </c>
      <c r="DW1" s="69" t="e">
        <f aca="false">RANK($DV1,$DV$1:$DV$5)+COUNTIF($DV$1:$DV1,$DV1)-1</f>
        <v>#REF!</v>
      </c>
      <c r="DX1" s="69" t="e">
        <f aca="false">IF($DU1=0,-1,($DQ1*100+$DR1*80+$DS1*60)/$DU1+$DU1/1000)</f>
        <v>#REF!</v>
      </c>
      <c r="DY1" s="69" t="e">
        <f aca="false">RANK($DX1,$DX$1:$DX$5)+COUNTIF($DX$1:$DX1,$DX1)-1</f>
        <v>#REF!</v>
      </c>
      <c r="DZ1" s="69" t="e">
        <f aca="false">COUNTIFS(入户维修!$F$5:$F$404,$A1,入户维修!$E$5:$E$404,"?*",入户维修!$B$5:$B$404,"&gt;="&amp;辅助数据!$BJ$3,入户维修!$B$5:$B$404,"&lt;="&amp;辅助数据!$BK$3)+COUNTIFS(入户维修!$G$5:$G$404,$A1,入户维修!$E$5:$E$404,"?*",入户维修!$B$5:$B$404,"&gt;="&amp;辅助数据!$BJ$3,入户维修!$B$5:$B$404,"&lt;="&amp;辅助数据!$BK$3)+COUNTIFS(入户维修!$H$5:$H$404,$A1,入户维修!$E$5:$E$404,"?*",入户维修!$B$5:$B$404,"&gt;="&amp;辅助数据!$BJ$3,入户维修!$B$5:$B$404,"&lt;="&amp;辅助数据!$BK$3)</f>
        <v>#REF!</v>
      </c>
      <c r="EA1" s="69" t="e">
        <f aca="false">COUNTIFS(入户维修!$F$5:$F$404,$A1,入户维修!$K$5:$K$404,"已完成",入户维修!$B$5:$B$404,"&gt;="&amp;辅助数据!$BJ$3,入户维修!$B$5:$B$404,"&lt;="&amp;辅助数据!$BK$3)+COUNTIFS(入户维修!$G$5:$G$404,$A1,入户维修!$K$5:$K$404,"已完成",入户维修!$B$5:$B$404,"&gt;="&amp;辅助数据!$BJ$3,入户维修!$B$5:$B$404,"&lt;="&amp;辅助数据!$BK$3)+COUNTIFS(入户维修!$H$5:$H$404,$A1,入户维修!$K$5:$K$404,"已完成",入户维修!$B$5:$B$404,"&gt;="&amp;辅助数据!$BJ$3,入户维修!$B$5:$B$404,"&lt;="&amp;辅助数据!$BK$3)</f>
        <v>#REF!</v>
      </c>
      <c r="EB1" s="69" t="e">
        <f aca="false">COUNTIFS(入户维修!$F$5:$F$404,$A1,入户维修!$K$5:$K$404,"跟进中",入户维修!$B$5:$B$404,"&gt;="&amp;辅助数据!$BJ$3,入户维修!$B$5:$B$404,"&lt;="&amp;辅助数据!$BK$3)+COUNTIFS(入户维修!$G$5:$G$404,$A1,入户维修!$K$5:$K$404,"跟进中",入户维修!$B$5:$B$404,"&gt;="&amp;辅助数据!$BJ$3,入户维修!$B$5:$B$404,"&lt;="&amp;辅助数据!$BK$3)+COUNTIFS(入户维修!$H$5:$H$404,$A1,入户维修!$K$5:$K$404,"跟进中",入户维修!$B$5:$B$404,"&gt;="&amp;辅助数据!$BJ$3,入户维修!$B$5:$B$404,"&lt;="&amp;辅助数据!$BK$3)</f>
        <v>#REF!</v>
      </c>
      <c r="EC1" s="69" t="e">
        <f aca="false">COUNTIFS(入户维修!$F$5:$F$404,$A1,入户维修!$O$5:$O$404,"非常满意",入户维修!$B$5:$B$404,"&gt;="&amp;辅助数据!$BJ$3,入户维修!$B$5:$B$404,"&lt;="&amp;辅助数据!$BK$3)+COUNTIFS(入户维修!$G$5:$G$404,$A1,入户维修!$O$5:$O$404,"非常满意",入户维修!$B$5:$B$404,"&gt;="&amp;辅助数据!$BJ$3,入户维修!$B$5:$B$404,"&lt;="&amp;辅助数据!$BK$3)+COUNTIFS(入户维修!$H$5:$H$404,$A1,入户维修!$O$5:$O$404,"非常满意",入户维修!$B$5:$B$404,"&gt;="&amp;辅助数据!$BJ$3,入户维修!$B$5:$B$404,"&lt;="&amp;辅助数据!$BK$3)</f>
        <v>#REF!</v>
      </c>
      <c r="ED1" s="69" t="e">
        <f aca="false">COUNTIFS(入户维修!$F$5:$F$404,$A1,入户维修!$O$5:$O$404,"满意",入户维修!$B$5:$B$404,"&gt;="&amp;辅助数据!$BJ$3,入户维修!$B$5:$B$404,"&lt;="&amp;辅助数据!$BK$3)+COUNTIFS(入户维修!$G$5:$G$404,$A1,入户维修!$O$5:$O$404,"满意",入户维修!$B$5:$B$404,"&gt;="&amp;辅助数据!$BJ$3,入户维修!$B$5:$B$404,"&lt;="&amp;辅助数据!$BK$3)+COUNTIFS(入户维修!$H$5:$H$404,$A1,入户维修!$O$5:$O$404,"满意",入户维修!$B$5:$B$404,"&gt;="&amp;辅助数据!$BJ$3,入户维修!$B$5:$B$404,"&lt;="&amp;辅助数据!$BK$3)</f>
        <v>#REF!</v>
      </c>
      <c r="EE1" s="69" t="e">
        <f aca="false">COUNTIFS(入户维修!$F$5:$F$404,$A1,入户维修!$O$5:$O$404,"一般",入户维修!$B$5:$B$404,"&gt;="&amp;辅助数据!$BJ$3,入户维修!$B$5:$B$404,"&lt;="&amp;辅助数据!$BK$3)+COUNTIFS(入户维修!$G$5:$G$404,$A1,入户维修!$O$5:$O$404,"一般",入户维修!$B$5:$B$404,"&gt;="&amp;辅助数据!$BJ$3,入户维修!$B$5:$B$404,"&lt;="&amp;辅助数据!$BK$3)+COUNTIFS(入户维修!$H$5:$H$404,$A1,入户维修!$O$5:$O$404,"一般",入户维修!$B$5:$B$404,"&gt;="&amp;辅助数据!$BJ$3,入户维修!$B$5:$B$404,"&lt;="&amp;辅助数据!$BK$3)</f>
        <v>#REF!</v>
      </c>
      <c r="EF1" s="69" t="e">
        <f aca="false">COUNTIFS(入户维修!$F$5:$F$404,$A1,入户维修!$O$5:$O$404,"不满意",入户维修!$B$5:$B$404,"&gt;="&amp;辅助数据!$BJ$3,入户维修!$B$5:$B$404,"&lt;="&amp;辅助数据!$BK$3)+COUNTIFS(入户维修!$G$5:$G$404,$A1,入户维修!$O$5:$O$404,"不满意",入户维修!$B$5:$B$404,"&gt;="&amp;辅助数据!$BJ$3,入户维修!$B$5:$B$404,"&lt;="&amp;辅助数据!$BK$3)+COUNTIFS(入户维修!$H$5:$H$404,$A1,入户维修!$O$5:$O$404,"不满意",入户维修!$B$5:$B$404,"&gt;="&amp;辅助数据!$BJ$3,入户维修!$B$5:$B$404,"&lt;="&amp;辅助数据!$BK$3)</f>
        <v>#REF!</v>
      </c>
      <c r="EG1" s="69" t="e">
        <f aca="false">SUM($EC1:$EF1)</f>
        <v>#REF!</v>
      </c>
      <c r="EH1" s="69" t="e">
        <f aca="false">$EA1+$DZ1/1000</f>
        <v>#REF!</v>
      </c>
      <c r="EI1" s="69" t="e">
        <f aca="false">RANK($EH1,$EH$1:$EH$5)+COUNTIF($EH$1:$EH1,$EH1)-1</f>
        <v>#REF!</v>
      </c>
      <c r="EJ1" s="69" t="e">
        <f aca="false">IF($EG1=0,-1,($EC1*100+$ED1*80+$EE1*60)/$EG1+$EG1/1000)</f>
        <v>#REF!</v>
      </c>
      <c r="EK1" s="69" t="e">
        <f aca="false">RANK($EJ1,$EJ$1:$EJ$5)+COUNTIF($EJ$1:$EJ1,$EJ1)-1</f>
        <v>#REF!</v>
      </c>
      <c r="EL1" s="69" t="e">
        <f aca="false">COUNTIFS(公区维修!$F$5:$F$404,$A1,公区维修!$E$5:$E$404,"?*",公区维修!$B$5:$B$404,"&gt;="&amp;辅助数据!$BL$1,公区维修!$B$5:$B$404,"&lt;="&amp;辅助数据!$BM$1)+COUNTIFS(公区维修!$G$5:$G$404,$A1,公区维修!$E$5:$E$404,"?*",公区维修!$B$5:$B$404,"&gt;="&amp;辅助数据!$BL$1,公区维修!$B$5:$B$404,"&lt;="&amp;辅助数据!$BM$1)+COUNTIFS(公区维修!$H$5:$H$404,$A1,公区维修!$E$5:$E$404,"?*",公区维修!$B$5:$B$404,"&gt;="&amp;辅助数据!$BL$1,公区维修!$B$5:$B$404,"&lt;="&amp;辅助数据!$BM$1)</f>
        <v>#REF!</v>
      </c>
      <c r="EM1" s="69" t="e">
        <f aca="false">COUNTIFS(公区维修!$F$5:$F$404,$A1,公区维修!$K$5:$K$404,"已完成",公区维修!$B$5:$B$404,"&gt;="&amp;辅助数据!$BL$1,公区维修!$B$5:$B$404,"&lt;="&amp;辅助数据!$BM$1)+COUNTIFS(公区维修!$G$5:$G$404,$A1,公区维修!$K$5:$K$404,"已完成",公区维修!$B$5:$B$404,"&gt;="&amp;辅助数据!$BL$1,公区维修!$B$5:$B$404,"&lt;="&amp;辅助数据!$BM$1)+COUNTIFS(公区维修!$H$5:$H$404,$A1,公区维修!$K$5:$K$404,"已完成",公区维修!$B$5:$B$404,"&gt;="&amp;辅助数据!$BL$1,公区维修!$B$5:$B$404,"&lt;="&amp;辅助数据!$BM$1)</f>
        <v>#REF!</v>
      </c>
      <c r="EN1" s="69" t="e">
        <f aca="false">COUNTIFS(公区维修!$F$5:$F$404,$A1,公区维修!$K$5:$K$404,"跟进中",公区维修!$B$5:$B$404,"&gt;="&amp;辅助数据!$BL$1,公区维修!$B$5:$B$404,"&lt;="&amp;辅助数据!$BM$1)+COUNTIFS(公区维修!$G$5:$G$404,$A1,公区维修!$K$5:$K$404,"跟进中",公区维修!$B$5:$B$404,"&gt;="&amp;辅助数据!$BL$1,公区维修!$B$5:$B$404,"&lt;="&amp;辅助数据!$BM$1)+COUNTIFS(公区维修!$H$5:$H$404,$A1,公区维修!$K$5:$K$404,"跟进中",公区维修!$B$5:$B$404,"&gt;="&amp;辅助数据!$BL$1,公区维修!$B$5:$B$404,"&lt;="&amp;辅助数据!$BM$1)</f>
        <v>#REF!</v>
      </c>
      <c r="EO1" s="69" t="e">
        <f aca="false">COUNTIFS(公区维修!$F$5:$F$404,$A1,公区维修!$N$5:$N$404,"非常满意",公区维修!$B$5:$B$404,"&gt;="&amp;辅助数据!$BL$1,公区维修!$B$5:$B$404,"&lt;="&amp;辅助数据!$BM$1)+COUNTIFS(公区维修!$G$5:$G$404,$A1,公区维修!$N$5:$N$404,"非常满意",公区维修!$B$5:$B$404,"&gt;="&amp;辅助数据!$BL$1,公区维修!$B$5:$B$404,"&lt;="&amp;辅助数据!$BM$1)+COUNTIFS(公区维修!$H$5:$H$404,$A1,公区维修!$N$5:$N$404,"非常满意",公区维修!$B$5:$B$404,"&gt;="&amp;辅助数据!$BL$1,公区维修!$B$5:$B$404,"&lt;="&amp;辅助数据!$BM$1)</f>
        <v>#REF!</v>
      </c>
      <c r="EP1" s="69" t="e">
        <f aca="false">COUNTIFS(公区维修!$F$5:$F$404,$A1,公区维修!$N$5:$N$404,"满意",公区维修!$B$5:$B$404,"&gt;="&amp;辅助数据!$BL$1,公区维修!$B$5:$B$404,"&lt;="&amp;辅助数据!$BM$1)+COUNTIFS(公区维修!$G$5:$G$404,$A1,公区维修!$N$5:$N$404,"满意",公区维修!$B$5:$B$404,"&gt;="&amp;辅助数据!$BL$1,公区维修!$B$5:$B$404,"&lt;="&amp;辅助数据!$BM$1)+COUNTIFS(公区维修!$H$5:$H$404,$A1,公区维修!$N$5:$N$404,"满意",公区维修!$B$5:$B$404,"&gt;="&amp;辅助数据!$BL$1,公区维修!$B$5:$B$404,"&lt;="&amp;辅助数据!$BM$1)</f>
        <v>#REF!</v>
      </c>
      <c r="EQ1" s="69" t="e">
        <f aca="false">COUNTIFS(公区维修!$F$5:$F$404,$A1,公区维修!$N$5:$N$404,"一般",公区维修!$B$5:$B$404,"&gt;="&amp;辅助数据!$BL$1,公区维修!$B$5:$B$404,"&lt;="&amp;辅助数据!$BM$1)+COUNTIFS(公区维修!$G$5:$G$404,$A1,公区维修!$N$5:$N$404,"一般",公区维修!$B$5:$B$404,"&gt;="&amp;辅助数据!$BL$1,公区维修!$B$5:$B$404,"&lt;="&amp;辅助数据!$BM$1)+COUNTIFS(公区维修!$H$5:$H$404,$A1,公区维修!$N$5:$N$404,"一般",公区维修!$B$5:$B$404,"&gt;="&amp;辅助数据!$BL$1,公区维修!$B$5:$B$404,"&lt;="&amp;辅助数据!$BM$1)</f>
        <v>#REF!</v>
      </c>
      <c r="ER1" s="69" t="e">
        <f aca="false">COUNTIFS(公区维修!$F$5:$F$404,$A1,公区维修!$N$5:$N$404,"不满意",公区维修!$B$5:$B$404,"&gt;="&amp;辅助数据!$BL$1,公区维修!$B$5:$B$404,"&lt;="&amp;辅助数据!$BM$1)+COUNTIFS(公区维修!$G$5:$G$404,$A1,公区维修!$N$5:$N$404,"不满意",公区维修!$B$5:$B$404,"&gt;="&amp;辅助数据!$BL$1,公区维修!$B$5:$B$404,"&lt;="&amp;辅助数据!$BM$1)+COUNTIFS(公区维修!$H$5:$H$404,$A1,公区维修!$N$5:$N$404,"不满意",公区维修!$B$5:$B$404,"&gt;="&amp;辅助数据!$BL$1,公区维修!$B$5:$B$404,"&lt;="&amp;辅助数据!$BM$1)</f>
        <v>#REF!</v>
      </c>
      <c r="ES1" s="69" t="e">
        <f aca="false">SUM($EO1:$ER1)</f>
        <v>#REF!</v>
      </c>
      <c r="ET1" s="69" t="e">
        <f aca="false">$EM1+$EL1/1000</f>
        <v>#REF!</v>
      </c>
      <c r="EU1" s="69" t="e">
        <f aca="false">RANK($ET1,$ET$1:$ET$5)+COUNTIF($ET$1:$ET1,$ET1)-1</f>
        <v>#REF!</v>
      </c>
      <c r="EV1" s="69" t="e">
        <f aca="false">IF($ES1=0,-1,($EO1*100+$EP1*80+$EQ1*60)/$ES1+$ES1/1000)</f>
        <v>#REF!</v>
      </c>
      <c r="EW1" s="69" t="e">
        <f aca="false">RANK($EV1,$EV$1:$EV$5)+COUNTIF($EV$1:$EV1,$EV1)-1</f>
        <v>#REF!</v>
      </c>
      <c r="EX1" s="69" t="e">
        <f aca="false">COUNTIFS(公区维修!$F$5:$F$404,$A1,公区维修!$E$5:$E$404,"?*",公区维修!$B$5:$B$404,"&gt;="&amp;辅助数据!$BL$2,公区维修!$B$5:$B$404,"&lt;="&amp;辅助数据!$BM$2)+COUNTIFS(公区维修!$G$5:$G$404,$A1,公区维修!$E$5:$E$404,"?*",公区维修!$B$5:$B$404,"&gt;="&amp;辅助数据!$BL$2,公区维修!$B$5:$B$404,"&lt;="&amp;辅助数据!$BM$2)+COUNTIFS(公区维修!$H$5:$H$404,$A1,公区维修!$E$5:$E$404,"?*",公区维修!$B$5:$B$404,"&gt;="&amp;辅助数据!$BL$2,公区维修!$B$5:$B$404,"&lt;="&amp;辅助数据!$BM$2)</f>
        <v>#REF!</v>
      </c>
      <c r="EY1" s="69" t="e">
        <f aca="false">COUNTIFS(公区维修!$F$5:$F$404,$A1,公区维修!$K$5:$K$404,"已完成",公区维修!$B$5:$B$404,"&gt;="&amp;辅助数据!$BL$2,公区维修!$B$5:$B$404,"&lt;="&amp;辅助数据!$BM$2)+COUNTIFS(公区维修!$G$5:$G$404,$A1,公区维修!$K$5:$K$404,"已完成",公区维修!$B$5:$B$404,"&gt;="&amp;辅助数据!$BL$2,公区维修!$B$5:$B$404,"&lt;="&amp;辅助数据!$BM$2)+COUNTIFS(公区维修!$H$5:$H$404,$A1,公区维修!$K$5:$K$404,"已完成",公区维修!$B$5:$B$404,"&gt;="&amp;辅助数据!$BL$2,公区维修!$B$5:$B$404,"&lt;="&amp;辅助数据!$BM$2)</f>
        <v>#REF!</v>
      </c>
      <c r="EZ1" s="69" t="e">
        <f aca="false">COUNTIFS(公区维修!$F$5:$F$404,$A1,公区维修!$K$5:$K$404,"跟进中",公区维修!$B$5:$B$404,"&gt;="&amp;辅助数据!$BL$2,公区维修!$B$5:$B$404,"&lt;="&amp;辅助数据!$BM$2)+COUNTIFS(公区维修!$G$5:$G$404,$A1,公区维修!$K$5:$K$404,"跟进中",公区维修!$B$5:$B$404,"&gt;="&amp;辅助数据!$BL$2,公区维修!$B$5:$B$404,"&lt;="&amp;辅助数据!$BM$2)+COUNTIFS(公区维修!$H$5:$H$404,$A1,公区维修!$K$5:$K$404,"跟进中",公区维修!$B$5:$B$404,"&gt;="&amp;辅助数据!$BL$2,公区维修!$B$5:$B$404,"&lt;="&amp;辅助数据!$BM$2)</f>
        <v>#REF!</v>
      </c>
      <c r="FA1" s="69" t="e">
        <f aca="false">COUNTIFS(公区维修!$F$5:$F$404,$A1,公区维修!$N$5:$N$404,"非常满意",公区维修!$B$5:$B$404,"&gt;="&amp;辅助数据!$BL$2,公区维修!$B$5:$B$404,"&lt;="&amp;辅助数据!$BM$2)+COUNTIFS(公区维修!$G$5:$G$404,$A1,公区维修!$N$5:$N$404,"非常满意",公区维修!$B$5:$B$404,"&gt;="&amp;辅助数据!$BL$2,公区维修!$B$5:$B$404,"&lt;="&amp;辅助数据!$BM$2)+COUNTIFS(公区维修!$H$5:$H$404,$A1,公区维修!$N$5:$N$404,"非常满意",公区维修!$B$5:$B$404,"&gt;="&amp;辅助数据!$BL$2,公区维修!$B$5:$B$404,"&lt;="&amp;辅助数据!$BM$2)</f>
        <v>#REF!</v>
      </c>
      <c r="FB1" s="69" t="e">
        <f aca="false">COUNTIFS(公区维修!$F$5:$F$404,$A1,公区维修!$N$5:$N$404,"满意",公区维修!$B$5:$B$404,"&gt;="&amp;辅助数据!$BL$2,公区维修!$B$5:$B$404,"&lt;="&amp;辅助数据!$BM$2)+COUNTIFS(公区维修!$G$5:$G$404,$A1,公区维修!$N$5:$N$404,"满意",公区维修!$B$5:$B$404,"&gt;="&amp;辅助数据!$BL$2,公区维修!$B$5:$B$404,"&lt;="&amp;辅助数据!$BM$2)+COUNTIFS(公区维修!$H$5:$H$404,$A1,公区维修!$N$5:$N$404,"满意",公区维修!$B$5:$B$404,"&gt;="&amp;辅助数据!$BL$2,公区维修!$B$5:$B$404,"&lt;="&amp;辅助数据!$BM$2)</f>
        <v>#REF!</v>
      </c>
      <c r="FC1" s="69" t="e">
        <f aca="false">COUNTIFS(公区维修!$F$5:$F$404,$A1,公区维修!$N$5:$N$404,"一般",公区维修!$B$5:$B$404,"&gt;="&amp;辅助数据!$BL$2,公区维修!$B$5:$B$404,"&lt;="&amp;辅助数据!$BM$2)+COUNTIFS(公区维修!$G$5:$G$404,$A1,公区维修!$N$5:$N$404,"一般",公区维修!$B$5:$B$404,"&gt;="&amp;辅助数据!$BL$2,公区维修!$B$5:$B$404,"&lt;="&amp;辅助数据!$BM$2)+COUNTIFS(公区维修!$H$5:$H$404,$A1,公区维修!$N$5:$N$404,"一般",公区维修!$B$5:$B$404,"&gt;="&amp;辅助数据!$BL$2,公区维修!$B$5:$B$404,"&lt;="&amp;辅助数据!$BM$2)</f>
        <v>#REF!</v>
      </c>
      <c r="FD1" s="69" t="e">
        <f aca="false">COUNTIFS(公区维修!$F$5:$F$404,$A1,公区维修!$N$5:$N$404,"不满意",公区维修!$B$5:$B$404,"&gt;="&amp;辅助数据!$BL$2,公区维修!$B$5:$B$404,"&lt;="&amp;辅助数据!$BM$2)+COUNTIFS(公区维修!$G$5:$G$404,$A1,公区维修!$N$5:$N$404,"不满意",公区维修!$B$5:$B$404,"&gt;="&amp;辅助数据!$BL$2,公区维修!$B$5:$B$404,"&lt;="&amp;辅助数据!$BM$2)+COUNTIFS(公区维修!$H$5:$H$404,$A1,公区维修!$N$5:$N$404,"不满意",公区维修!$B$5:$B$404,"&gt;="&amp;辅助数据!$BL$2,公区维修!$B$5:$B$404,"&lt;="&amp;辅助数据!$BM$2)</f>
        <v>#REF!</v>
      </c>
      <c r="FE1" s="69" t="e">
        <f aca="false">SUM($FA1:$FD1)</f>
        <v>#REF!</v>
      </c>
      <c r="FF1" s="69" t="e">
        <f aca="false">$EY1+$EX1/1000</f>
        <v>#REF!</v>
      </c>
      <c r="FG1" s="69" t="e">
        <f aca="false">RANK($FF1,$FF$1:$FF$5)+COUNTIF($FF$1:$FF1,$FF1)-1</f>
        <v>#REF!</v>
      </c>
      <c r="FH1" s="69" t="e">
        <f aca="false">IF($FE1=0,-1,($FA1*100+$FB1*80+$FC1*60)/$FE1+$FE1/1000)</f>
        <v>#REF!</v>
      </c>
      <c r="FI1" s="69" t="e">
        <f aca="false">RANK($FH1,$FH$1:$FH$5)+COUNTIF($FH$1:$FH1,$FH1)-1</f>
        <v>#REF!</v>
      </c>
      <c r="FJ1" s="69" t="e">
        <f aca="false">COUNTIFS(公区维修!$F$5:$F$404,$A1,公区维修!$E$5:$E$404,"?*",公区维修!$B$5:$B$404,"&gt;="&amp;辅助数据!$BL$3,公区维修!$B$5:$B$404,"&lt;="&amp;辅助数据!$BM$3)+COUNTIFS(公区维修!$G$5:$G$404,$A1,公区维修!$E$5:$E$404,"?*",公区维修!$B$5:$B$404,"&gt;="&amp;辅助数据!$BL$3,公区维修!$B$5:$B$404,"&lt;="&amp;辅助数据!$BM$3)+COUNTIFS(公区维修!$H$5:$H$404,$A1,公区维修!$E$5:$E$404,"?*",公区维修!$B$5:$B$404,"&gt;="&amp;辅助数据!$BL$3,公区维修!$B$5:$B$404,"&lt;="&amp;辅助数据!$BM$3)</f>
        <v>#REF!</v>
      </c>
      <c r="FK1" s="69" t="e">
        <f aca="false">COUNTIFS(公区维修!$F$5:$F$404,$A1,公区维修!$K$5:$K$404,"已完成",公区维修!$B$5:$B$404,"&gt;="&amp;辅助数据!$BL$3,公区维修!$B$5:$B$404,"&lt;="&amp;辅助数据!$BM$3)+COUNTIFS(公区维修!$G$5:$G$404,$A1,公区维修!$K$5:$K$404,"已完成",公区维修!$B$5:$B$404,"&gt;="&amp;辅助数据!$BL$3,公区维修!$B$5:$B$404,"&lt;="&amp;辅助数据!$BM$3)+COUNTIFS(公区维修!$H$5:$H$404,$A1,公区维修!$K$5:$K$404,"已完成",公区维修!$B$5:$B$404,"&gt;="&amp;辅助数据!$BL$3,公区维修!$B$5:$B$404,"&lt;="&amp;辅助数据!$BM$3)</f>
        <v>#REF!</v>
      </c>
      <c r="FL1" s="69" t="e">
        <f aca="false">COUNTIFS(公区维修!$F$5:$F$404,$A1,公区维修!$K$5:$K$404,"跟进中",公区维修!$B$5:$B$404,"&gt;="&amp;辅助数据!$BL$3,公区维修!$B$5:$B$404,"&lt;="&amp;辅助数据!$BM$3)+COUNTIFS(公区维修!$G$5:$G$404,$A1,公区维修!$K$5:$K$404,"跟进中",公区维修!$B$5:$B$404,"&gt;="&amp;辅助数据!$BL$3,公区维修!$B$5:$B$404,"&lt;="&amp;辅助数据!$BM$3)+COUNTIFS(公区维修!$H$5:$H$404,$A1,公区维修!$K$5:$K$404,"跟进中",公区维修!$B$5:$B$404,"&gt;="&amp;辅助数据!$BL$3,公区维修!$B$5:$B$404,"&lt;="&amp;辅助数据!$BM$3)</f>
        <v>#REF!</v>
      </c>
      <c r="FM1" s="69" t="e">
        <f aca="false">COUNTIFS(公区维修!$F$5:$F$404,$A1,公区维修!$N$5:$N$404,"非常满意",公区维修!$B$5:$B$404,"&gt;="&amp;辅助数据!$BL$3,公区维修!$B$5:$B$404,"&lt;="&amp;辅助数据!$BM$3)+COUNTIFS(公区维修!$G$5:$G$404,$A1,公区维修!$N$5:$N$404,"非常满意",公区维修!$B$5:$B$404,"&gt;="&amp;辅助数据!$BL$3,公区维修!$B$5:$B$404,"&lt;="&amp;辅助数据!$BM$3)+COUNTIFS(公区维修!$H$5:$H$404,$A1,公区维修!$N$5:$N$404,"非常满意",公区维修!$B$5:$B$404,"&gt;="&amp;辅助数据!$BL$3,公区维修!$B$5:$B$404,"&lt;="&amp;辅助数据!$BM$3)</f>
        <v>#REF!</v>
      </c>
      <c r="FN1" s="69" t="e">
        <f aca="false">COUNTIFS(公区维修!$F$5:$F$404,$A1,公区维修!$N$5:$N$404,"满意",公区维修!$B$5:$B$404,"&gt;="&amp;辅助数据!$BL$3,公区维修!$B$5:$B$404,"&lt;="&amp;辅助数据!$BM$3)+COUNTIFS(公区维修!$G$5:$G$404,$A1,公区维修!$N$5:$N$404,"满意",公区维修!$B$5:$B$404,"&gt;="&amp;辅助数据!$BL$3,公区维修!$B$5:$B$404,"&lt;="&amp;辅助数据!$BM$3)+COUNTIFS(公区维修!$H$5:$H$404,$A1,公区维修!$N$5:$N$404,"满意",公区维修!$B$5:$B$404,"&gt;="&amp;辅助数据!$BL$3,公区维修!$B$5:$B$404,"&lt;="&amp;辅助数据!$BM$3)</f>
        <v>#REF!</v>
      </c>
      <c r="FO1" s="69" t="e">
        <f aca="false">COUNTIFS(公区维修!$F$5:$F$404,$A1,公区维修!$N$5:$N$404,"一般",公区维修!$B$5:$B$404,"&gt;="&amp;辅助数据!$BL$3,公区维修!$B$5:$B$404,"&lt;="&amp;辅助数据!$BM$3)+COUNTIFS(公区维修!$G$5:$G$404,$A1,公区维修!$N$5:$N$404,"一般",公区维修!$B$5:$B$404,"&gt;="&amp;辅助数据!$BL$3,公区维修!$B$5:$B$404,"&lt;="&amp;辅助数据!$BM$3)+COUNTIFS(公区维修!$H$5:$H$404,$A1,公区维修!$N$5:$N$404,"一般",公区维修!$B$5:$B$404,"&gt;="&amp;辅助数据!$BL$3,公区维修!$B$5:$B$404,"&lt;="&amp;辅助数据!$BM$3)</f>
        <v>#REF!</v>
      </c>
      <c r="FP1" s="69" t="e">
        <f aca="false">COUNTIFS(公区维修!$F$5:$F$404,$A1,公区维修!$N$5:$N$404,"不满意",公区维修!$B$5:$B$404,"&gt;="&amp;辅助数据!$BL$3,公区维修!$B$5:$B$404,"&lt;="&amp;辅助数据!$BM$3)+COUNTIFS(公区维修!$G$5:$G$404,$A1,公区维修!$N$5:$N$404,"不满意",公区维修!$B$5:$B$404,"&gt;="&amp;辅助数据!$BL$3,公区维修!$B$5:$B$404,"&lt;="&amp;辅助数据!$BM$3)+COUNTIFS(公区维修!$H$5:$H$404,$A1,公区维修!$N$5:$N$404,"不满意",公区维修!$B$5:$B$404,"&gt;="&amp;辅助数据!$BL$3,公区维修!$B$5:$B$404,"&lt;="&amp;辅助数据!$BM$3)</f>
        <v>#REF!</v>
      </c>
      <c r="FQ1" s="69" t="e">
        <f aca="false">SUM($FM1:$FP1)</f>
        <v>#REF!</v>
      </c>
      <c r="FR1" s="69" t="e">
        <f aca="false">$FK1+$FJ1/1000</f>
        <v>#REF!</v>
      </c>
      <c r="FS1" s="69" t="e">
        <f aca="false">RANK($FR1,$FR$1:$FR$5)+COUNTIF($FR$1:$FR1,$FR1)-1</f>
        <v>#REF!</v>
      </c>
      <c r="FT1" s="69" t="e">
        <f aca="false">IF($FQ1=0,-1,($FM1*100+$FN1*80+$FO1*60)/$FQ1+$FQ1/1000)</f>
        <v>#REF!</v>
      </c>
      <c r="FU1" s="69" t="e">
        <f aca="false">RANK($FT1,$FT$1:$FT$5)+COUNTIF($FT$1:$FT1,$FT1)-1</f>
        <v>#REF!</v>
      </c>
      <c r="FY1" s="69" t="n">
        <f aca="false">IFERROR(MATCH(1,$FW$5:$FW$404,0),"")</f>
        <v>2</v>
      </c>
      <c r="GA1" s="69" t="n">
        <f aca="false">COUNTIFS(入户维修!$F$5:$F$404,$A1,入户维修!$K$5:$K$404,"跟进中")+COUNTIFS(入户维修!$G$5:$G$404,$A1,入户维修!$K$5:$K$404,"跟进中")+COUNTIFS(入户维修!$H$5:$H$404,$A1,入户维修!$K$5:$K$404,"跟进中")</f>
        <v>3</v>
      </c>
      <c r="GB1" s="69" t="n">
        <f aca="false">COUNTIFS(公区维修!$F$5:$F$404,$A1,公区维修!$K$5:$K$404,"跟进中")+COUNTIFS(公区维修!$G$5:$G$404,$A1,公区维修!$K$5:$K$404,"跟进中")+COUNTIFS(公区维修!$H$5:$H$404,$A1,公区维修!$K$5:$K$404,"跟进中")</f>
        <v>0</v>
      </c>
    </row>
    <row r="2" customFormat="false" ht="15" hidden="false" customHeight="true" outlineLevel="0" collapsed="false">
      <c r="A2" s="68" t="s">
        <v>25</v>
      </c>
      <c r="B2" s="69" t="n">
        <f aca="false">IF(COUNTIFS(入户维修!$F$5:$F$404,$A2,入户维修!$K$5:$K$404,"跟进中")+COUNTIFS(入户维修!$G$5:$G$404,$A2,入户维修!$K$5:$K$404,"跟进中")+COUNTIFS(入户维修!$H$5:$H$404,$A2,入户维修!$K$5:$K$404,"跟进中")+COUNTIFS(公区维修!$F$5:$F$404,$A2,公区维修!$K$5:$K$404,"跟进中")+COUNTIFS(公区维修!$G$5:$G$404,$A2,公区维修!$K$5:$K$404,"跟进中")+COUNTIFS(公区维修!$H$5:$H$404,$A2,公区维修!$K$5:$K$404,"跟进中")&gt;0,1,0)</f>
        <v>1</v>
      </c>
      <c r="C2" s="69" t="n">
        <f aca="false">IF($BO2=0,0,SUM($BO$1:$BO2))</f>
        <v>1</v>
      </c>
      <c r="D2" s="69" t="n">
        <f aca="false">IF($BP2=0,0,SUM($BP$1:$BP2))</f>
        <v>0</v>
      </c>
      <c r="BE2" s="68" t="s">
        <v>506</v>
      </c>
      <c r="BF2" s="68" t="s">
        <v>25</v>
      </c>
      <c r="BG2" s="0" t="str">
        <f aca="false">IFERROR(INDEX($A$1:$A$5,MATCH(2,$BQ$1:$BQ$5,0)),IF(2=MAX($BQ$1:$BQ$5)+1,"取消",""))</f>
        <v>王师傅</v>
      </c>
      <c r="BH2" s="70" t="n">
        <f aca="false">总仪表盘!$B$3-WEEKDAY(总仪表盘!$B$3,2)+1</f>
        <v>46237</v>
      </c>
      <c r="BI2" s="70" t="n">
        <f aca="false">$BH$2+6</f>
        <v>46243</v>
      </c>
      <c r="BJ2" s="70" t="e">
        <f aca="false">#REF!-WEEKDAY(#REF!,2)+1</f>
        <v>#REF!</v>
      </c>
      <c r="BK2" s="70" t="e">
        <f aca="false">$BJ$2+6</f>
        <v>#REF!</v>
      </c>
      <c r="BL2" s="70" t="e">
        <f aca="false">#REF!-WEEKDAY(#REF!,2)+1</f>
        <v>#REF!</v>
      </c>
      <c r="BM2" s="70" t="e">
        <f aca="false">$BL$2+6</f>
        <v>#REF!</v>
      </c>
      <c r="BN2" s="68" t="n">
        <f aca="false">IF(入户维修!K$3="休息",1,0)</f>
        <v>0</v>
      </c>
      <c r="BO2" s="68" t="n">
        <f aca="false">IF(AND($B2=1,$BN2=0),1,0)</f>
        <v>1</v>
      </c>
      <c r="BP2" s="68" t="n">
        <f aca="false">IF(AND($B2=0,$BN2=0),1,0)</f>
        <v>0</v>
      </c>
      <c r="BQ2" s="68" t="n">
        <f aca="false">IF($BN2=1,0,2-SUM($BN$1:$BN2))</f>
        <v>1</v>
      </c>
      <c r="BR2" s="68" t="n">
        <f aca="false">COUNTIFS(入户维修!$F$5:$F$404,$A2,入户维修!$E$5:$E$404,"?*",入户维修!$B$5:$B$404,"&gt;="&amp;辅助数据!$BH$1,入户维修!$B$5:$B$404,"&lt;="&amp;辅助数据!$BI$1)+COUNTIFS(入户维修!$G$5:$G$404,$A2,入户维修!$E$5:$E$404,"?*",入户维修!$B$5:$B$404,"&gt;="&amp;辅助数据!$BH$1,入户维修!$B$5:$B$404,"&lt;="&amp;辅助数据!$BI$1)+COUNTIFS(入户维修!$H$5:$H$404,$A2,入户维修!$E$5:$E$404,"?*",入户维修!$B$5:$B$404,"&gt;="&amp;辅助数据!$BH$1,入户维修!$B$5:$B$404,"&lt;="&amp;辅助数据!$BI$1)+COUNTIFS(公区维修!$F$5:$F$404,$A2,公区维修!$E$5:$E$404,"?*",公区维修!$B$5:$B$404,"&gt;="&amp;辅助数据!$BH$1,公区维修!$B$5:$B$404,"&lt;="&amp;辅助数据!$BI$1)+COUNTIFS(公区维修!$G$5:$G$404,$A2,公区维修!$E$5:$E$404,"?*",公区维修!$B$5:$B$404,"&gt;="&amp;辅助数据!$BH$1,公区维修!$B$5:$B$404,"&lt;="&amp;辅助数据!$BI$1)+COUNTIFS(公区维修!$H$5:$H$404,$A2,公区维修!$E$5:$E$404,"?*",公区维修!$B$5:$B$404,"&gt;="&amp;辅助数据!$BH$1,公区维修!$B$5:$B$404,"&lt;="&amp;辅助数据!$BI$1)</f>
        <v>2</v>
      </c>
      <c r="BS2" s="68" t="n">
        <f aca="false">COUNTIFS(入户维修!$F$5:$F$404,$A2,入户维修!$K$5:$K$404,"已完成",入户维修!$B$5:$B$404,"&gt;="&amp;辅助数据!$BH$1,入户维修!$B$5:$B$404,"&lt;="&amp;辅助数据!$BI$1)+COUNTIFS(入户维修!$G$5:$G$404,$A2,入户维修!$K$5:$K$404,"已完成",入户维修!$B$5:$B$404,"&gt;="&amp;辅助数据!$BH$1,入户维修!$B$5:$B$404,"&lt;="&amp;辅助数据!$BI$1)+COUNTIFS(入户维修!$H$5:$H$404,$A2,入户维修!$K$5:$K$404,"已完成",入户维修!$B$5:$B$404,"&gt;="&amp;辅助数据!$BH$1,入户维修!$B$5:$B$404,"&lt;="&amp;辅助数据!$BI$1)+COUNTIFS(公区维修!$F$5:$F$404,$A2,公区维修!$K$5:$K$404,"已完成",公区维修!$B$5:$B$404,"&gt;="&amp;辅助数据!$BH$1,公区维修!$B$5:$B$404,"&lt;="&amp;辅助数据!$BI$1)+COUNTIFS(公区维修!$G$5:$G$404,$A2,公区维修!$K$5:$K$404,"已完成",公区维修!$B$5:$B$404,"&gt;="&amp;辅助数据!$BH$1,公区维修!$B$5:$B$404,"&lt;="&amp;辅助数据!$BI$1)+COUNTIFS(公区维修!$H$5:$H$404,$A2,公区维修!$K$5:$K$404,"已完成",公区维修!$B$5:$B$404,"&gt;="&amp;辅助数据!$BH$1,公区维修!$B$5:$B$404,"&lt;="&amp;辅助数据!$BI$1)</f>
        <v>2</v>
      </c>
      <c r="BT2" s="68" t="n">
        <f aca="false">COUNTIFS(入户维修!$F$5:$F$404,$A2,入户维修!$K$5:$K$404,"跟进中",入户维修!$B$5:$B$404,"&gt;="&amp;辅助数据!$BH$1,入户维修!$B$5:$B$404,"&lt;="&amp;辅助数据!$BI$1)+COUNTIFS(入户维修!$G$5:$G$404,$A2,入户维修!$K$5:$K$404,"跟进中",入户维修!$B$5:$B$404,"&gt;="&amp;辅助数据!$BH$1,入户维修!$B$5:$B$404,"&lt;="&amp;辅助数据!$BI$1)+COUNTIFS(入户维修!$H$5:$H$404,$A2,入户维修!$K$5:$K$404,"跟进中",入户维修!$B$5:$B$404,"&gt;="&amp;辅助数据!$BH$1,入户维修!$B$5:$B$404,"&lt;="&amp;辅助数据!$BI$1)+COUNTIFS(公区维修!$F$5:$F$404,$A2,公区维修!$K$5:$K$404,"跟进中",公区维修!$B$5:$B$404,"&gt;="&amp;辅助数据!$BH$1,公区维修!$B$5:$B$404,"&lt;="&amp;辅助数据!$BI$1)+COUNTIFS(公区维修!$G$5:$G$404,$A2,公区维修!$K$5:$K$404,"跟进中",公区维修!$B$5:$B$404,"&gt;="&amp;辅助数据!$BH$1,公区维修!$B$5:$B$404,"&lt;="&amp;辅助数据!$BI$1)+COUNTIFS(公区维修!$H$5:$H$404,$A2,公区维修!$K$5:$K$404,"跟进中",公区维修!$B$5:$B$404,"&gt;="&amp;辅助数据!$BH$1,公区维修!$B$5:$B$404,"&lt;="&amp;辅助数据!$BI$1)</f>
        <v>0</v>
      </c>
      <c r="BU2" s="68" t="n">
        <f aca="false">COUNTIFS(入户维修!$F$5:$F$404,$A2,入户维修!$O$5:$O$404,"非常满意",入户维修!$B$5:$B$404,"&gt;="&amp;辅助数据!$BH$1,入户维修!$B$5:$B$404,"&lt;="&amp;辅助数据!$BI$1)+COUNTIFS(入户维修!$G$5:$G$404,$A2,入户维修!$O$5:$O$404,"非常满意",入户维修!$B$5:$B$404,"&gt;="&amp;辅助数据!$BH$1,入户维修!$B$5:$B$404,"&lt;="&amp;辅助数据!$BI$1)+COUNTIFS(入户维修!$H$5:$H$404,$A2,入户维修!$O$5:$O$404,"非常满意",入户维修!$B$5:$B$404,"&gt;="&amp;辅助数据!$BH$1,入户维修!$B$5:$B$404,"&lt;="&amp;辅助数据!$BI$1)+COUNTIFS(公区维修!$F$5:$F$404,$A2,公区维修!$N$5:$N$404,"非常满意",公区维修!$B$5:$B$404,"&gt;="&amp;辅助数据!$BH$1,公区维修!$B$5:$B$404,"&lt;="&amp;辅助数据!$BI$1)+COUNTIFS(公区维修!$G$5:$G$404,$A2,公区维修!$N$5:$N$404,"非常满意",公区维修!$B$5:$B$404,"&gt;="&amp;辅助数据!$BH$1,公区维修!$B$5:$B$404,"&lt;="&amp;辅助数据!$BI$1)+COUNTIFS(公区维修!$H$5:$H$404,$A2,公区维修!$N$5:$N$404,"非常满意",公区维修!$B$5:$B$404,"&gt;="&amp;辅助数据!$BH$1,公区维修!$B$5:$B$404,"&lt;="&amp;辅助数据!$BI$1)</f>
        <v>1</v>
      </c>
      <c r="BV2" s="68" t="n">
        <f aca="false">COUNTIFS(入户维修!$F$5:$F$404,$A2,入户维修!$O$5:$O$404,"满意",入户维修!$B$5:$B$404,"&gt;="&amp;辅助数据!$BH$1,入户维修!$B$5:$B$404,"&lt;="&amp;辅助数据!$BI$1)+COUNTIFS(入户维修!$G$5:$G$404,$A2,入户维修!$O$5:$O$404,"满意",入户维修!$B$5:$B$404,"&gt;="&amp;辅助数据!$BH$1,入户维修!$B$5:$B$404,"&lt;="&amp;辅助数据!$BI$1)+COUNTIFS(入户维修!$H$5:$H$404,$A2,入户维修!$O$5:$O$404,"满意",入户维修!$B$5:$B$404,"&gt;="&amp;辅助数据!$BH$1,入户维修!$B$5:$B$404,"&lt;="&amp;辅助数据!$BI$1)+COUNTIFS(公区维修!$F$5:$F$404,$A2,公区维修!$N$5:$N$404,"满意",公区维修!$B$5:$B$404,"&gt;="&amp;辅助数据!$BH$1,公区维修!$B$5:$B$404,"&lt;="&amp;辅助数据!$BI$1)+COUNTIFS(公区维修!$G$5:$G$404,$A2,公区维修!$N$5:$N$404,"满意",公区维修!$B$5:$B$404,"&gt;="&amp;辅助数据!$BH$1,公区维修!$B$5:$B$404,"&lt;="&amp;辅助数据!$BI$1)+COUNTIFS(公区维修!$H$5:$H$404,$A2,公区维修!$N$5:$N$404,"满意",公区维修!$B$5:$B$404,"&gt;="&amp;辅助数据!$BH$1,公区维修!$B$5:$B$404,"&lt;="&amp;辅助数据!$BI$1)</f>
        <v>1</v>
      </c>
      <c r="BW2" s="68" t="n">
        <f aca="false">COUNTIFS(入户维修!$F$5:$F$404,$A2,入户维修!$O$5:$O$404,"一般",入户维修!$B$5:$B$404,"&gt;="&amp;辅助数据!$BH$1,入户维修!$B$5:$B$404,"&lt;="&amp;辅助数据!$BI$1)+COUNTIFS(入户维修!$G$5:$G$404,$A2,入户维修!$O$5:$O$404,"一般",入户维修!$B$5:$B$404,"&gt;="&amp;辅助数据!$BH$1,入户维修!$B$5:$B$404,"&lt;="&amp;辅助数据!$BI$1)+COUNTIFS(入户维修!$H$5:$H$404,$A2,入户维修!$O$5:$O$404,"一般",入户维修!$B$5:$B$404,"&gt;="&amp;辅助数据!$BH$1,入户维修!$B$5:$B$404,"&lt;="&amp;辅助数据!$BI$1)+COUNTIFS(公区维修!$F$5:$F$404,$A2,公区维修!$N$5:$N$404,"一般",公区维修!$B$5:$B$404,"&gt;="&amp;辅助数据!$BH$1,公区维修!$B$5:$B$404,"&lt;="&amp;辅助数据!$BI$1)+COUNTIFS(公区维修!$G$5:$G$404,$A2,公区维修!$N$5:$N$404,"一般",公区维修!$B$5:$B$404,"&gt;="&amp;辅助数据!$BH$1,公区维修!$B$5:$B$404,"&lt;="&amp;辅助数据!$BI$1)+COUNTIFS(公区维修!$H$5:$H$404,$A2,公区维修!$N$5:$N$404,"一般",公区维修!$B$5:$B$404,"&gt;="&amp;辅助数据!$BH$1,公区维修!$B$5:$B$404,"&lt;="&amp;辅助数据!$BI$1)</f>
        <v>0</v>
      </c>
      <c r="BX2" s="68" t="n">
        <f aca="false">COUNTIFS(入户维修!$F$5:$F$404,$A2,入户维修!$O$5:$O$404,"不满意",入户维修!$B$5:$B$404,"&gt;="&amp;辅助数据!$BH$1,入户维修!$B$5:$B$404,"&lt;="&amp;辅助数据!$BI$1)+COUNTIFS(入户维修!$G$5:$G$404,$A2,入户维修!$O$5:$O$404,"不满意",入户维修!$B$5:$B$404,"&gt;="&amp;辅助数据!$BH$1,入户维修!$B$5:$B$404,"&lt;="&amp;辅助数据!$BI$1)+COUNTIFS(入户维修!$H$5:$H$404,$A2,入户维修!$O$5:$O$404,"不满意",入户维修!$B$5:$B$404,"&gt;="&amp;辅助数据!$BH$1,入户维修!$B$5:$B$404,"&lt;="&amp;辅助数据!$BI$1)+COUNTIFS(公区维修!$F$5:$F$404,$A2,公区维修!$N$5:$N$404,"不满意",公区维修!$B$5:$B$404,"&gt;="&amp;辅助数据!$BH$1,公区维修!$B$5:$B$404,"&lt;="&amp;辅助数据!$BI$1)+COUNTIFS(公区维修!$G$5:$G$404,$A2,公区维修!$N$5:$N$404,"不满意",公区维修!$B$5:$B$404,"&gt;="&amp;辅助数据!$BH$1,公区维修!$B$5:$B$404,"&lt;="&amp;辅助数据!$BI$1)+COUNTIFS(公区维修!$H$5:$H$404,$A2,公区维修!$N$5:$N$404,"不满意",公区维修!$B$5:$B$404,"&gt;="&amp;辅助数据!$BH$1,公区维修!$B$5:$B$404,"&lt;="&amp;辅助数据!$BI$1)</f>
        <v>0</v>
      </c>
      <c r="BY2" s="68" t="n">
        <f aca="false">SUM($BU2:$BX2)</f>
        <v>2</v>
      </c>
      <c r="BZ2" s="68" t="n">
        <f aca="false">$BS2+$BR2/1000</f>
        <v>2.002</v>
      </c>
      <c r="CA2" s="68" t="n">
        <f aca="false">RANK($BZ2,$BZ$1:$BZ$5)+COUNTIF($BZ$1:$BZ2,$BZ2)-1</f>
        <v>2</v>
      </c>
      <c r="CB2" s="68" t="n">
        <f aca="false">IF($BY2=0,-1,($BU2*100+$BV2*80+$BW2*60)/$BY2+$BY2/1000)</f>
        <v>90.002</v>
      </c>
      <c r="CC2" s="68" t="n">
        <f aca="false">RANK($CB2,$CB$1:$CB$5)+COUNTIF($CB$1:$CB2,$CB2)-1</f>
        <v>2</v>
      </c>
      <c r="CD2" s="68" t="n">
        <f aca="false">COUNTIFS(入户维修!$F$5:$F$404,$A2,入户维修!$E$5:$E$404,"?*",入户维修!$B$5:$B$404,"&gt;="&amp;辅助数据!$BH$2,入户维修!$B$5:$B$404,"&lt;="&amp;辅助数据!$BI$2)+COUNTIFS(入户维修!$G$5:$G$404,$A2,入户维修!$E$5:$E$404,"?*",入户维修!$B$5:$B$404,"&gt;="&amp;辅助数据!$BH$2,入户维修!$B$5:$B$404,"&lt;="&amp;辅助数据!$BI$2)+COUNTIFS(入户维修!$H$5:$H$404,$A2,入户维修!$E$5:$E$404,"?*",入户维修!$B$5:$B$404,"&gt;="&amp;辅助数据!$BH$2,入户维修!$B$5:$B$404,"&lt;="&amp;辅助数据!$BI$2)+COUNTIFS(公区维修!$F$5:$F$404,$A2,公区维修!$E$5:$E$404,"?*",公区维修!$B$5:$B$404,"&gt;="&amp;辅助数据!$BH$2,公区维修!$B$5:$B$404,"&lt;="&amp;辅助数据!$BI$2)+COUNTIFS(公区维修!$G$5:$G$404,$A2,公区维修!$E$5:$E$404,"?*",公区维修!$B$5:$B$404,"&gt;="&amp;辅助数据!$BH$2,公区维修!$B$5:$B$404,"&lt;="&amp;辅助数据!$BI$2)+COUNTIFS(公区维修!$H$5:$H$404,$A2,公区维修!$E$5:$E$404,"?*",公区维修!$B$5:$B$404,"&gt;="&amp;辅助数据!$BH$2,公区维修!$B$5:$B$404,"&lt;="&amp;辅助数据!$BI$2)</f>
        <v>9</v>
      </c>
      <c r="CE2" s="68" t="n">
        <f aca="false">COUNTIFS(入户维修!$F$5:$F$404,$A2,入户维修!$K$5:$K$404,"已完成",入户维修!$B$5:$B$404,"&gt;="&amp;辅助数据!$BH$2,入户维修!$B$5:$B$404,"&lt;="&amp;辅助数据!$BI$2)+COUNTIFS(入户维修!$G$5:$G$404,$A2,入户维修!$K$5:$K$404,"已完成",入户维修!$B$5:$B$404,"&gt;="&amp;辅助数据!$BH$2,入户维修!$B$5:$B$404,"&lt;="&amp;辅助数据!$BI$2)+COUNTIFS(入户维修!$H$5:$H$404,$A2,入户维修!$K$5:$K$404,"已完成",入户维修!$B$5:$B$404,"&gt;="&amp;辅助数据!$BH$2,入户维修!$B$5:$B$404,"&lt;="&amp;辅助数据!$BI$2)+COUNTIFS(公区维修!$F$5:$F$404,$A2,公区维修!$K$5:$K$404,"已完成",公区维修!$B$5:$B$404,"&gt;="&amp;辅助数据!$BH$2,公区维修!$B$5:$B$404,"&lt;="&amp;辅助数据!$BI$2)+COUNTIFS(公区维修!$G$5:$G$404,$A2,公区维修!$K$5:$K$404,"已完成",公区维修!$B$5:$B$404,"&gt;="&amp;辅助数据!$BH$2,公区维修!$B$5:$B$404,"&lt;="&amp;辅助数据!$BI$2)+COUNTIFS(公区维修!$H$5:$H$404,$A2,公区维修!$K$5:$K$404,"已完成",公区维修!$B$5:$B$404,"&gt;="&amp;辅助数据!$BH$2,公区维修!$B$5:$B$404,"&lt;="&amp;辅助数据!$BI$2)</f>
        <v>6</v>
      </c>
      <c r="CF2" s="68" t="n">
        <f aca="false">COUNTIFS(入户维修!$F$5:$F$404,$A2,入户维修!$K$5:$K$404,"跟进中",入户维修!$B$5:$B$404,"&gt;="&amp;辅助数据!$BH$2,入户维修!$B$5:$B$404,"&lt;="&amp;辅助数据!$BI$2)+COUNTIFS(入户维修!$G$5:$G$404,$A2,入户维修!$K$5:$K$404,"跟进中",入户维修!$B$5:$B$404,"&gt;="&amp;辅助数据!$BH$2,入户维修!$B$5:$B$404,"&lt;="&amp;辅助数据!$BI$2)+COUNTIFS(入户维修!$H$5:$H$404,$A2,入户维修!$K$5:$K$404,"跟进中",入户维修!$B$5:$B$404,"&gt;="&amp;辅助数据!$BH$2,入户维修!$B$5:$B$404,"&lt;="&amp;辅助数据!$BI$2)+COUNTIFS(公区维修!$F$5:$F$404,$A2,公区维修!$K$5:$K$404,"跟进中",公区维修!$B$5:$B$404,"&gt;="&amp;辅助数据!$BH$2,公区维修!$B$5:$B$404,"&lt;="&amp;辅助数据!$BI$2)+COUNTIFS(公区维修!$G$5:$G$404,$A2,公区维修!$K$5:$K$404,"跟进中",公区维修!$B$5:$B$404,"&gt;="&amp;辅助数据!$BH$2,公区维修!$B$5:$B$404,"&lt;="&amp;辅助数据!$BI$2)+COUNTIFS(公区维修!$H$5:$H$404,$A2,公区维修!$K$5:$K$404,"跟进中",公区维修!$B$5:$B$404,"&gt;="&amp;辅助数据!$BH$2,公区维修!$B$5:$B$404,"&lt;="&amp;辅助数据!$BI$2)</f>
        <v>3</v>
      </c>
      <c r="CG2" s="68" t="n">
        <f aca="false">COUNTIFS(入户维修!$F$5:$F$404,$A2,入户维修!$O$5:$O$404,"非常满意",入户维修!$B$5:$B$404,"&gt;="&amp;辅助数据!$BH$2,入户维修!$B$5:$B$404,"&lt;="&amp;辅助数据!$BI$2)+COUNTIFS(入户维修!$G$5:$G$404,$A2,入户维修!$O$5:$O$404,"非常满意",入户维修!$B$5:$B$404,"&gt;="&amp;辅助数据!$BH$2,入户维修!$B$5:$B$404,"&lt;="&amp;辅助数据!$BI$2)+COUNTIFS(入户维修!$H$5:$H$404,$A2,入户维修!$O$5:$O$404,"非常满意",入户维修!$B$5:$B$404,"&gt;="&amp;辅助数据!$BH$2,入户维修!$B$5:$B$404,"&lt;="&amp;辅助数据!$BI$2)+COUNTIFS(公区维修!$F$5:$F$404,$A2,公区维修!$N$5:$N$404,"非常满意",公区维修!$B$5:$B$404,"&gt;="&amp;辅助数据!$BH$2,公区维修!$B$5:$B$404,"&lt;="&amp;辅助数据!$BI$2)+COUNTIFS(公区维修!$G$5:$G$404,$A2,公区维修!$N$5:$N$404,"非常满意",公区维修!$B$5:$B$404,"&gt;="&amp;辅助数据!$BH$2,公区维修!$B$5:$B$404,"&lt;="&amp;辅助数据!$BI$2)+COUNTIFS(公区维修!$H$5:$H$404,$A2,公区维修!$N$5:$N$404,"非常满意",公区维修!$B$5:$B$404,"&gt;="&amp;辅助数据!$BH$2,公区维修!$B$5:$B$404,"&lt;="&amp;辅助数据!$BI$2)</f>
        <v>5</v>
      </c>
      <c r="CH2" s="68" t="n">
        <f aca="false">COUNTIFS(入户维修!$F$5:$F$404,$A2,入户维修!$O$5:$O$404,"满意",入户维修!$B$5:$B$404,"&gt;="&amp;辅助数据!$BH$2,入户维修!$B$5:$B$404,"&lt;="&amp;辅助数据!$BI$2)+COUNTIFS(入户维修!$G$5:$G$404,$A2,入户维修!$O$5:$O$404,"满意",入户维修!$B$5:$B$404,"&gt;="&amp;辅助数据!$BH$2,入户维修!$B$5:$B$404,"&lt;="&amp;辅助数据!$BI$2)+COUNTIFS(入户维修!$H$5:$H$404,$A2,入户维修!$O$5:$O$404,"满意",入户维修!$B$5:$B$404,"&gt;="&amp;辅助数据!$BH$2,入户维修!$B$5:$B$404,"&lt;="&amp;辅助数据!$BI$2)+COUNTIFS(公区维修!$F$5:$F$404,$A2,公区维修!$N$5:$N$404,"满意",公区维修!$B$5:$B$404,"&gt;="&amp;辅助数据!$BH$2,公区维修!$B$5:$B$404,"&lt;="&amp;辅助数据!$BI$2)+COUNTIFS(公区维修!$G$5:$G$404,$A2,公区维修!$N$5:$N$404,"满意",公区维修!$B$5:$B$404,"&gt;="&amp;辅助数据!$BH$2,公区维修!$B$5:$B$404,"&lt;="&amp;辅助数据!$BI$2)+COUNTIFS(公区维修!$H$5:$H$404,$A2,公区维修!$N$5:$N$404,"满意",公区维修!$B$5:$B$404,"&gt;="&amp;辅助数据!$BH$2,公区维修!$B$5:$B$404,"&lt;="&amp;辅助数据!$BI$2)</f>
        <v>1</v>
      </c>
      <c r="CI2" s="68" t="n">
        <f aca="false">COUNTIFS(入户维修!$F$5:$F$404,$A2,入户维修!$O$5:$O$404,"一般",入户维修!$B$5:$B$404,"&gt;="&amp;辅助数据!$BH$2,入户维修!$B$5:$B$404,"&lt;="&amp;辅助数据!$BI$2)+COUNTIFS(入户维修!$G$5:$G$404,$A2,入户维修!$O$5:$O$404,"一般",入户维修!$B$5:$B$404,"&gt;="&amp;辅助数据!$BH$2,入户维修!$B$5:$B$404,"&lt;="&amp;辅助数据!$BI$2)+COUNTIFS(入户维修!$H$5:$H$404,$A2,入户维修!$O$5:$O$404,"一般",入户维修!$B$5:$B$404,"&gt;="&amp;辅助数据!$BH$2,入户维修!$B$5:$B$404,"&lt;="&amp;辅助数据!$BI$2)+COUNTIFS(公区维修!$F$5:$F$404,$A2,公区维修!$N$5:$N$404,"一般",公区维修!$B$5:$B$404,"&gt;="&amp;辅助数据!$BH$2,公区维修!$B$5:$B$404,"&lt;="&amp;辅助数据!$BI$2)+COUNTIFS(公区维修!$G$5:$G$404,$A2,公区维修!$N$5:$N$404,"一般",公区维修!$B$5:$B$404,"&gt;="&amp;辅助数据!$BH$2,公区维修!$B$5:$B$404,"&lt;="&amp;辅助数据!$BI$2)+COUNTIFS(公区维修!$H$5:$H$404,$A2,公区维修!$N$5:$N$404,"一般",公区维修!$B$5:$B$404,"&gt;="&amp;辅助数据!$BH$2,公区维修!$B$5:$B$404,"&lt;="&amp;辅助数据!$BI$2)</f>
        <v>0</v>
      </c>
      <c r="CJ2" s="68" t="n">
        <f aca="false">COUNTIFS(入户维修!$F$5:$F$404,$A2,入户维修!$O$5:$O$404,"不满意",入户维修!$B$5:$B$404,"&gt;="&amp;辅助数据!$BH$2,入户维修!$B$5:$B$404,"&lt;="&amp;辅助数据!$BI$2)+COUNTIFS(入户维修!$G$5:$G$404,$A2,入户维修!$O$5:$O$404,"不满意",入户维修!$B$5:$B$404,"&gt;="&amp;辅助数据!$BH$2,入户维修!$B$5:$B$404,"&lt;="&amp;辅助数据!$BI$2)+COUNTIFS(入户维修!$H$5:$H$404,$A2,入户维修!$O$5:$O$404,"不满意",入户维修!$B$5:$B$404,"&gt;="&amp;辅助数据!$BH$2,入户维修!$B$5:$B$404,"&lt;="&amp;辅助数据!$BI$2)+COUNTIFS(公区维修!$F$5:$F$404,$A2,公区维修!$N$5:$N$404,"不满意",公区维修!$B$5:$B$404,"&gt;="&amp;辅助数据!$BH$2,公区维修!$B$5:$B$404,"&lt;="&amp;辅助数据!$BI$2)+COUNTIFS(公区维修!$G$5:$G$404,$A2,公区维修!$N$5:$N$404,"不满意",公区维修!$B$5:$B$404,"&gt;="&amp;辅助数据!$BH$2,公区维修!$B$5:$B$404,"&lt;="&amp;辅助数据!$BI$2)+COUNTIFS(公区维修!$H$5:$H$404,$A2,公区维修!$N$5:$N$404,"不满意",公区维修!$B$5:$B$404,"&gt;="&amp;辅助数据!$BH$2,公区维修!$B$5:$B$404,"&lt;="&amp;辅助数据!$BI$2)</f>
        <v>0</v>
      </c>
      <c r="CK2" s="68" t="n">
        <f aca="false">SUM($CG2:$CJ2)</f>
        <v>6</v>
      </c>
      <c r="CL2" s="68" t="n">
        <f aca="false">$CE2+$CD2/1000</f>
        <v>6.009</v>
      </c>
      <c r="CM2" s="68" t="n">
        <f aca="false">RANK($CL2,$CL$1:$CL$5)+COUNTIF($CL$1:$CL2,$CL2)-1</f>
        <v>2</v>
      </c>
      <c r="CN2" s="68" t="n">
        <f aca="false">IF($CK2=0,-1,($CG2*100+$CH2*80+$CI2*60)/$CK2+$CK2/1000)</f>
        <v>96.6726666666667</v>
      </c>
      <c r="CO2" s="68" t="n">
        <f aca="false">RANK($CN2,$CN$1:$CN$5)+COUNTIF($CN$1:$CN2,$CN2)-1</f>
        <v>3</v>
      </c>
      <c r="CP2" s="68" t="n">
        <f aca="false">COUNTIFS(入户维修!$F$5:$F$404,$A2,入户维修!$E$5:$E$404,"?*",入户维修!$B$5:$B$404,"&gt;="&amp;辅助数据!$BH$3,入户维修!$B$5:$B$404,"&lt;="&amp;辅助数据!$BI$3)+COUNTIFS(入户维修!$G$5:$G$404,$A2,入户维修!$E$5:$E$404,"?*",入户维修!$B$5:$B$404,"&gt;="&amp;辅助数据!$BH$3,入户维修!$B$5:$B$404,"&lt;="&amp;辅助数据!$BI$3)+COUNTIFS(入户维修!$H$5:$H$404,$A2,入户维修!$E$5:$E$404,"?*",入户维修!$B$5:$B$404,"&gt;="&amp;辅助数据!$BH$3,入户维修!$B$5:$B$404,"&lt;="&amp;辅助数据!$BI$3)+COUNTIFS(公区维修!$F$5:$F$404,$A2,公区维修!$E$5:$E$404,"?*",公区维修!$B$5:$B$404,"&gt;="&amp;辅助数据!$BH$3,公区维修!$B$5:$B$404,"&lt;="&amp;辅助数据!$BI$3)+COUNTIFS(公区维修!$G$5:$G$404,$A2,公区维修!$E$5:$E$404,"?*",公区维修!$B$5:$B$404,"&gt;="&amp;辅助数据!$BH$3,公区维修!$B$5:$B$404,"&lt;="&amp;辅助数据!$BI$3)+COUNTIFS(公区维修!$H$5:$H$404,$A2,公区维修!$E$5:$E$404,"?*",公区维修!$B$5:$B$404,"&gt;="&amp;辅助数据!$BH$3,公区维修!$B$5:$B$404,"&lt;="&amp;辅助数据!$BI$3)</f>
        <v>18</v>
      </c>
      <c r="CQ2" s="68" t="n">
        <f aca="false">COUNTIFS(入户维修!$F$5:$F$404,$A2,入户维修!$K$5:$K$404,"已完成",入户维修!$B$5:$B$404,"&gt;="&amp;辅助数据!$BH$3,入户维修!$B$5:$B$404,"&lt;="&amp;辅助数据!$BI$3)+COUNTIFS(入户维修!$G$5:$G$404,$A2,入户维修!$K$5:$K$404,"已完成",入户维修!$B$5:$B$404,"&gt;="&amp;辅助数据!$BH$3,入户维修!$B$5:$B$404,"&lt;="&amp;辅助数据!$BI$3)+COUNTIFS(入户维修!$H$5:$H$404,$A2,入户维修!$K$5:$K$404,"已完成",入户维修!$B$5:$B$404,"&gt;="&amp;辅助数据!$BH$3,入户维修!$B$5:$B$404,"&lt;="&amp;辅助数据!$BI$3)+COUNTIFS(公区维修!$F$5:$F$404,$A2,公区维修!$K$5:$K$404,"已完成",公区维修!$B$5:$B$404,"&gt;="&amp;辅助数据!$BH$3,公区维修!$B$5:$B$404,"&lt;="&amp;辅助数据!$BI$3)+COUNTIFS(公区维修!$G$5:$G$404,$A2,公区维修!$K$5:$K$404,"已完成",公区维修!$B$5:$B$404,"&gt;="&amp;辅助数据!$BH$3,公区维修!$B$5:$B$404,"&lt;="&amp;辅助数据!$BI$3)+COUNTIFS(公区维修!$H$5:$H$404,$A2,公区维修!$K$5:$K$404,"已完成",公区维修!$B$5:$B$404,"&gt;="&amp;辅助数据!$BH$3,公区维修!$B$5:$B$404,"&lt;="&amp;辅助数据!$BI$3)</f>
        <v>15</v>
      </c>
      <c r="CR2" s="68" t="n">
        <f aca="false">COUNTIFS(入户维修!$F$5:$F$404,$A2,入户维修!$K$5:$K$404,"跟进中",入户维修!$B$5:$B$404,"&gt;="&amp;辅助数据!$BH$3,入户维修!$B$5:$B$404,"&lt;="&amp;辅助数据!$BI$3)+COUNTIFS(入户维修!$G$5:$G$404,$A2,入户维修!$K$5:$K$404,"跟进中",入户维修!$B$5:$B$404,"&gt;="&amp;辅助数据!$BH$3,入户维修!$B$5:$B$404,"&lt;="&amp;辅助数据!$BI$3)+COUNTIFS(入户维修!$H$5:$H$404,$A2,入户维修!$K$5:$K$404,"跟进中",入户维修!$B$5:$B$404,"&gt;="&amp;辅助数据!$BH$3,入户维修!$B$5:$B$404,"&lt;="&amp;辅助数据!$BI$3)+COUNTIFS(公区维修!$F$5:$F$404,$A2,公区维修!$K$5:$K$404,"跟进中",公区维修!$B$5:$B$404,"&gt;="&amp;辅助数据!$BH$3,公区维修!$B$5:$B$404,"&lt;="&amp;辅助数据!$BI$3)+COUNTIFS(公区维修!$G$5:$G$404,$A2,公区维修!$K$5:$K$404,"跟进中",公区维修!$B$5:$B$404,"&gt;="&amp;辅助数据!$BH$3,公区维修!$B$5:$B$404,"&lt;="&amp;辅助数据!$BI$3)+COUNTIFS(公区维修!$H$5:$H$404,$A2,公区维修!$K$5:$K$404,"跟进中",公区维修!$B$5:$B$404,"&gt;="&amp;辅助数据!$BH$3,公区维修!$B$5:$B$404,"&lt;="&amp;辅助数据!$BI$3)</f>
        <v>3</v>
      </c>
      <c r="CS2" s="68" t="n">
        <f aca="false">COUNTIFS(入户维修!$F$5:$F$404,$A2,入户维修!$O$5:$O$404,"非常满意",入户维修!$B$5:$B$404,"&gt;="&amp;辅助数据!$BH$3,入户维修!$B$5:$B$404,"&lt;="&amp;辅助数据!$BI$3)+COUNTIFS(入户维修!$G$5:$G$404,$A2,入户维修!$O$5:$O$404,"非常满意",入户维修!$B$5:$B$404,"&gt;="&amp;辅助数据!$BH$3,入户维修!$B$5:$B$404,"&lt;="&amp;辅助数据!$BI$3)+COUNTIFS(入户维修!$H$5:$H$404,$A2,入户维修!$O$5:$O$404,"非常满意",入户维修!$B$5:$B$404,"&gt;="&amp;辅助数据!$BH$3,入户维修!$B$5:$B$404,"&lt;="&amp;辅助数据!$BI$3)+COUNTIFS(公区维修!$F$5:$F$404,$A2,公区维修!$N$5:$N$404,"非常满意",公区维修!$B$5:$B$404,"&gt;="&amp;辅助数据!$BH$3,公区维修!$B$5:$B$404,"&lt;="&amp;辅助数据!$BI$3)+COUNTIFS(公区维修!$G$5:$G$404,$A2,公区维修!$N$5:$N$404,"非常满意",公区维修!$B$5:$B$404,"&gt;="&amp;辅助数据!$BH$3,公区维修!$B$5:$B$404,"&lt;="&amp;辅助数据!$BI$3)+COUNTIFS(公区维修!$H$5:$H$404,$A2,公区维修!$N$5:$N$404,"非常满意",公区维修!$B$5:$B$404,"&gt;="&amp;辅助数据!$BH$3,公区维修!$B$5:$B$404,"&lt;="&amp;辅助数据!$BI$3)</f>
        <v>12</v>
      </c>
      <c r="CT2" s="68" t="n">
        <f aca="false">COUNTIFS(入户维修!$F$5:$F$404,$A2,入户维修!$O$5:$O$404,"满意",入户维修!$B$5:$B$404,"&gt;="&amp;辅助数据!$BH$3,入户维修!$B$5:$B$404,"&lt;="&amp;辅助数据!$BI$3)+COUNTIFS(入户维修!$G$5:$G$404,$A2,入户维修!$O$5:$O$404,"满意",入户维修!$B$5:$B$404,"&gt;="&amp;辅助数据!$BH$3,入户维修!$B$5:$B$404,"&lt;="&amp;辅助数据!$BI$3)+COUNTIFS(入户维修!$H$5:$H$404,$A2,入户维修!$O$5:$O$404,"满意",入户维修!$B$5:$B$404,"&gt;="&amp;辅助数据!$BH$3,入户维修!$B$5:$B$404,"&lt;="&amp;辅助数据!$BI$3)+COUNTIFS(公区维修!$F$5:$F$404,$A2,公区维修!$N$5:$N$404,"满意",公区维修!$B$5:$B$404,"&gt;="&amp;辅助数据!$BH$3,公区维修!$B$5:$B$404,"&lt;="&amp;辅助数据!$BI$3)+COUNTIFS(公区维修!$G$5:$G$404,$A2,公区维修!$N$5:$N$404,"满意",公区维修!$B$5:$B$404,"&gt;="&amp;辅助数据!$BH$3,公区维修!$B$5:$B$404,"&lt;="&amp;辅助数据!$BI$3)+COUNTIFS(公区维修!$H$5:$H$404,$A2,公区维修!$N$5:$N$404,"满意",公区维修!$B$5:$B$404,"&gt;="&amp;辅助数据!$BH$3,公区维修!$B$5:$B$404,"&lt;="&amp;辅助数据!$BI$3)</f>
        <v>3</v>
      </c>
      <c r="CU2" s="68" t="n">
        <f aca="false">COUNTIFS(入户维修!$F$5:$F$404,$A2,入户维修!$O$5:$O$404,"一般",入户维修!$B$5:$B$404,"&gt;="&amp;辅助数据!$BH$3,入户维修!$B$5:$B$404,"&lt;="&amp;辅助数据!$BI$3)+COUNTIFS(入户维修!$G$5:$G$404,$A2,入户维修!$O$5:$O$404,"一般",入户维修!$B$5:$B$404,"&gt;="&amp;辅助数据!$BH$3,入户维修!$B$5:$B$404,"&lt;="&amp;辅助数据!$BI$3)+COUNTIFS(入户维修!$H$5:$H$404,$A2,入户维修!$O$5:$O$404,"一般",入户维修!$B$5:$B$404,"&gt;="&amp;辅助数据!$BH$3,入户维修!$B$5:$B$404,"&lt;="&amp;辅助数据!$BI$3)+COUNTIFS(公区维修!$F$5:$F$404,$A2,公区维修!$N$5:$N$404,"一般",公区维修!$B$5:$B$404,"&gt;="&amp;辅助数据!$BH$3,公区维修!$B$5:$B$404,"&lt;="&amp;辅助数据!$BI$3)+COUNTIFS(公区维修!$G$5:$G$404,$A2,公区维修!$N$5:$N$404,"一般",公区维修!$B$5:$B$404,"&gt;="&amp;辅助数据!$BH$3,公区维修!$B$5:$B$404,"&lt;="&amp;辅助数据!$BI$3)+COUNTIFS(公区维修!$H$5:$H$404,$A2,公区维修!$N$5:$N$404,"一般",公区维修!$B$5:$B$404,"&gt;="&amp;辅助数据!$BH$3,公区维修!$B$5:$B$404,"&lt;="&amp;辅助数据!$BI$3)</f>
        <v>0</v>
      </c>
      <c r="CV2" s="68" t="n">
        <f aca="false">COUNTIFS(入户维修!$F$5:$F$404,$A2,入户维修!$O$5:$O$404,"不满意",入户维修!$B$5:$B$404,"&gt;="&amp;辅助数据!$BH$3,入户维修!$B$5:$B$404,"&lt;="&amp;辅助数据!$BI$3)+COUNTIFS(入户维修!$G$5:$G$404,$A2,入户维修!$O$5:$O$404,"不满意",入户维修!$B$5:$B$404,"&gt;="&amp;辅助数据!$BH$3,入户维修!$B$5:$B$404,"&lt;="&amp;辅助数据!$BI$3)+COUNTIFS(入户维修!$H$5:$H$404,$A2,入户维修!$O$5:$O$404,"不满意",入户维修!$B$5:$B$404,"&gt;="&amp;辅助数据!$BH$3,入户维修!$B$5:$B$404,"&lt;="&amp;辅助数据!$BI$3)+COUNTIFS(公区维修!$F$5:$F$404,$A2,公区维修!$N$5:$N$404,"不满意",公区维修!$B$5:$B$404,"&gt;="&amp;辅助数据!$BH$3,公区维修!$B$5:$B$404,"&lt;="&amp;辅助数据!$BI$3)+COUNTIFS(公区维修!$G$5:$G$404,$A2,公区维修!$N$5:$N$404,"不满意",公区维修!$B$5:$B$404,"&gt;="&amp;辅助数据!$BH$3,公区维修!$B$5:$B$404,"&lt;="&amp;辅助数据!$BI$3)+COUNTIFS(公区维修!$H$5:$H$404,$A2,公区维修!$N$5:$N$404,"不满意",公区维修!$B$5:$B$404,"&gt;="&amp;辅助数据!$BH$3,公区维修!$B$5:$B$404,"&lt;="&amp;辅助数据!$BI$3)</f>
        <v>0</v>
      </c>
      <c r="CW2" s="68" t="n">
        <f aca="false">SUM($CS2:$CV2)</f>
        <v>15</v>
      </c>
      <c r="CX2" s="68" t="n">
        <f aca="false">$CQ2+$CP2/1000</f>
        <v>15.018</v>
      </c>
      <c r="CY2" s="68" t="n">
        <f aca="false">RANK($CX2,$CX$1:$CX$5)+COUNTIF($CX$1:$CX2,$CX2)-1</f>
        <v>2</v>
      </c>
      <c r="CZ2" s="68" t="n">
        <f aca="false">IF($CW2=0,-1,($CS2*100+$CT2*80+$CU2*60)/$CW2+$CW2/1000)</f>
        <v>96.015</v>
      </c>
      <c r="DA2" s="68" t="n">
        <f aca="false">RANK($CZ2,$CZ$1:$CZ$5)+COUNTIF($CZ$1:$CZ2,$CZ2)-1</f>
        <v>4</v>
      </c>
      <c r="DB2" s="68" t="e">
        <f aca="false">COUNTIFS(入户维修!$F$5:$F$404,$A2,入户维修!$E$5:$E$404,"?*",入户维修!$B$5:$B$404,"&gt;="&amp;辅助数据!$BJ$1,入户维修!$B$5:$B$404,"&lt;="&amp;辅助数据!$BK$1)+COUNTIFS(入户维修!$G$5:$G$404,$A2,入户维修!$E$5:$E$404,"?*",入户维修!$B$5:$B$404,"&gt;="&amp;辅助数据!$BJ$1,入户维修!$B$5:$B$404,"&lt;="&amp;辅助数据!$BK$1)+COUNTIFS(入户维修!$H$5:$H$404,$A2,入户维修!$E$5:$E$404,"?*",入户维修!$B$5:$B$404,"&gt;="&amp;辅助数据!$BJ$1,入户维修!$B$5:$B$404,"&lt;="&amp;辅助数据!$BK$1)</f>
        <v>#REF!</v>
      </c>
      <c r="DC2" s="68" t="e">
        <f aca="false">COUNTIFS(入户维修!$F$5:$F$404,$A2,入户维修!$K$5:$K$404,"已完成",入户维修!$B$5:$B$404,"&gt;="&amp;辅助数据!$BJ$1,入户维修!$B$5:$B$404,"&lt;="&amp;辅助数据!$BK$1)+COUNTIFS(入户维修!$G$5:$G$404,$A2,入户维修!$K$5:$K$404,"已完成",入户维修!$B$5:$B$404,"&gt;="&amp;辅助数据!$BJ$1,入户维修!$B$5:$B$404,"&lt;="&amp;辅助数据!$BK$1)+COUNTIFS(入户维修!$H$5:$H$404,$A2,入户维修!$K$5:$K$404,"已完成",入户维修!$B$5:$B$404,"&gt;="&amp;辅助数据!$BJ$1,入户维修!$B$5:$B$404,"&lt;="&amp;辅助数据!$BK$1)</f>
        <v>#REF!</v>
      </c>
      <c r="DD2" s="68" t="e">
        <f aca="false">COUNTIFS(入户维修!$F$5:$F$404,$A2,入户维修!$K$5:$K$404,"跟进中",入户维修!$B$5:$B$404,"&gt;="&amp;辅助数据!$BJ$1,入户维修!$B$5:$B$404,"&lt;="&amp;辅助数据!$BK$1)+COUNTIFS(入户维修!$G$5:$G$404,$A2,入户维修!$K$5:$K$404,"跟进中",入户维修!$B$5:$B$404,"&gt;="&amp;辅助数据!$BJ$1,入户维修!$B$5:$B$404,"&lt;="&amp;辅助数据!$BK$1)+COUNTIFS(入户维修!$H$5:$H$404,$A2,入户维修!$K$5:$K$404,"跟进中",入户维修!$B$5:$B$404,"&gt;="&amp;辅助数据!$BJ$1,入户维修!$B$5:$B$404,"&lt;="&amp;辅助数据!$BK$1)</f>
        <v>#REF!</v>
      </c>
      <c r="DE2" s="68" t="e">
        <f aca="false">COUNTIFS(入户维修!$F$5:$F$404,$A2,入户维修!$O$5:$O$404,"非常满意",入户维修!$B$5:$B$404,"&gt;="&amp;辅助数据!$BJ$1,入户维修!$B$5:$B$404,"&lt;="&amp;辅助数据!$BK$1)+COUNTIFS(入户维修!$G$5:$G$404,$A2,入户维修!$O$5:$O$404,"非常满意",入户维修!$B$5:$B$404,"&gt;="&amp;辅助数据!$BJ$1,入户维修!$B$5:$B$404,"&lt;="&amp;辅助数据!$BK$1)+COUNTIFS(入户维修!$H$5:$H$404,$A2,入户维修!$O$5:$O$404,"非常满意",入户维修!$B$5:$B$404,"&gt;="&amp;辅助数据!$BJ$1,入户维修!$B$5:$B$404,"&lt;="&amp;辅助数据!$BK$1)</f>
        <v>#REF!</v>
      </c>
      <c r="DF2" s="68" t="e">
        <f aca="false">COUNTIFS(入户维修!$F$5:$F$404,$A2,入户维修!$O$5:$O$404,"满意",入户维修!$B$5:$B$404,"&gt;="&amp;辅助数据!$BJ$1,入户维修!$B$5:$B$404,"&lt;="&amp;辅助数据!$BK$1)+COUNTIFS(入户维修!$G$5:$G$404,$A2,入户维修!$O$5:$O$404,"满意",入户维修!$B$5:$B$404,"&gt;="&amp;辅助数据!$BJ$1,入户维修!$B$5:$B$404,"&lt;="&amp;辅助数据!$BK$1)+COUNTIFS(入户维修!$H$5:$H$404,$A2,入户维修!$O$5:$O$404,"满意",入户维修!$B$5:$B$404,"&gt;="&amp;辅助数据!$BJ$1,入户维修!$B$5:$B$404,"&lt;="&amp;辅助数据!$BK$1)</f>
        <v>#REF!</v>
      </c>
      <c r="DG2" s="68" t="e">
        <f aca="false">COUNTIFS(入户维修!$F$5:$F$404,$A2,入户维修!$O$5:$O$404,"一般",入户维修!$B$5:$B$404,"&gt;="&amp;辅助数据!$BJ$1,入户维修!$B$5:$B$404,"&lt;="&amp;辅助数据!$BK$1)+COUNTIFS(入户维修!$G$5:$G$404,$A2,入户维修!$O$5:$O$404,"一般",入户维修!$B$5:$B$404,"&gt;="&amp;辅助数据!$BJ$1,入户维修!$B$5:$B$404,"&lt;="&amp;辅助数据!$BK$1)+COUNTIFS(入户维修!$H$5:$H$404,$A2,入户维修!$O$5:$O$404,"一般",入户维修!$B$5:$B$404,"&gt;="&amp;辅助数据!$BJ$1,入户维修!$B$5:$B$404,"&lt;="&amp;辅助数据!$BK$1)</f>
        <v>#REF!</v>
      </c>
      <c r="DH2" s="68" t="e">
        <f aca="false">COUNTIFS(入户维修!$F$5:$F$404,$A2,入户维修!$O$5:$O$404,"不满意",入户维修!$B$5:$B$404,"&gt;="&amp;辅助数据!$BJ$1,入户维修!$B$5:$B$404,"&lt;="&amp;辅助数据!$BK$1)+COUNTIFS(入户维修!$G$5:$G$404,$A2,入户维修!$O$5:$O$404,"不满意",入户维修!$B$5:$B$404,"&gt;="&amp;辅助数据!$BJ$1,入户维修!$B$5:$B$404,"&lt;="&amp;辅助数据!$BK$1)+COUNTIFS(入户维修!$H$5:$H$404,$A2,入户维修!$O$5:$O$404,"不满意",入户维修!$B$5:$B$404,"&gt;="&amp;辅助数据!$BJ$1,入户维修!$B$5:$B$404,"&lt;="&amp;辅助数据!$BK$1)</f>
        <v>#REF!</v>
      </c>
      <c r="DI2" s="68" t="e">
        <f aca="false">SUM($DE2:$DH2)</f>
        <v>#REF!</v>
      </c>
      <c r="DJ2" s="68" t="e">
        <f aca="false">$DC2+$DB2/1000</f>
        <v>#REF!</v>
      </c>
      <c r="DK2" s="68" t="e">
        <f aca="false">RANK($DJ2,$DJ$1:$DJ$5)+COUNTIF($DJ$1:$DJ2,$DJ2)-1</f>
        <v>#REF!</v>
      </c>
      <c r="DL2" s="68" t="e">
        <f aca="false">IF($DI2=0,-1,($DE2*100+$DF2*80+$DG2*60)/$DI2+$DI2/1000)</f>
        <v>#REF!</v>
      </c>
      <c r="DM2" s="68" t="e">
        <f aca="false">RANK($DL2,$DL$1:$DL$5)+COUNTIF($DL$1:$DL2,$DL2)-1</f>
        <v>#REF!</v>
      </c>
      <c r="DN2" s="68" t="e">
        <f aca="false">COUNTIFS(入户维修!$F$5:$F$404,$A2,入户维修!$E$5:$E$404,"?*",入户维修!$B$5:$B$404,"&gt;="&amp;辅助数据!$BJ$2,入户维修!$B$5:$B$404,"&lt;="&amp;辅助数据!$BK$2)+COUNTIFS(入户维修!$G$5:$G$404,$A2,入户维修!$E$5:$E$404,"?*",入户维修!$B$5:$B$404,"&gt;="&amp;辅助数据!$BJ$2,入户维修!$B$5:$B$404,"&lt;="&amp;辅助数据!$BK$2)+COUNTIFS(入户维修!$H$5:$H$404,$A2,入户维修!$E$5:$E$404,"?*",入户维修!$B$5:$B$404,"&gt;="&amp;辅助数据!$BJ$2,入户维修!$B$5:$B$404,"&lt;="&amp;辅助数据!$BK$2)</f>
        <v>#REF!</v>
      </c>
      <c r="DO2" s="68" t="e">
        <f aca="false">COUNTIFS(入户维修!$F$5:$F$404,$A2,入户维修!$K$5:$K$404,"已完成",入户维修!$B$5:$B$404,"&gt;="&amp;辅助数据!$BJ$2,入户维修!$B$5:$B$404,"&lt;="&amp;辅助数据!$BK$2)+COUNTIFS(入户维修!$G$5:$G$404,$A2,入户维修!$K$5:$K$404,"已完成",入户维修!$B$5:$B$404,"&gt;="&amp;辅助数据!$BJ$2,入户维修!$B$5:$B$404,"&lt;="&amp;辅助数据!$BK$2)+COUNTIFS(入户维修!$H$5:$H$404,$A2,入户维修!$K$5:$K$404,"已完成",入户维修!$B$5:$B$404,"&gt;="&amp;辅助数据!$BJ$2,入户维修!$B$5:$B$404,"&lt;="&amp;辅助数据!$BK$2)</f>
        <v>#REF!</v>
      </c>
      <c r="DP2" s="68" t="e">
        <f aca="false">COUNTIFS(入户维修!$F$5:$F$404,$A2,入户维修!$K$5:$K$404,"跟进中",入户维修!$B$5:$B$404,"&gt;="&amp;辅助数据!$BJ$2,入户维修!$B$5:$B$404,"&lt;="&amp;辅助数据!$BK$2)+COUNTIFS(入户维修!$G$5:$G$404,$A2,入户维修!$K$5:$K$404,"跟进中",入户维修!$B$5:$B$404,"&gt;="&amp;辅助数据!$BJ$2,入户维修!$B$5:$B$404,"&lt;="&amp;辅助数据!$BK$2)+COUNTIFS(入户维修!$H$5:$H$404,$A2,入户维修!$K$5:$K$404,"跟进中",入户维修!$B$5:$B$404,"&gt;="&amp;辅助数据!$BJ$2,入户维修!$B$5:$B$404,"&lt;="&amp;辅助数据!$BK$2)</f>
        <v>#REF!</v>
      </c>
      <c r="DQ2" s="68" t="e">
        <f aca="false">COUNTIFS(入户维修!$F$5:$F$404,$A2,入户维修!$O$5:$O$404,"非常满意",入户维修!$B$5:$B$404,"&gt;="&amp;辅助数据!$BJ$2,入户维修!$B$5:$B$404,"&lt;="&amp;辅助数据!$BK$2)+COUNTIFS(入户维修!$G$5:$G$404,$A2,入户维修!$O$5:$O$404,"非常满意",入户维修!$B$5:$B$404,"&gt;="&amp;辅助数据!$BJ$2,入户维修!$B$5:$B$404,"&lt;="&amp;辅助数据!$BK$2)+COUNTIFS(入户维修!$H$5:$H$404,$A2,入户维修!$O$5:$O$404,"非常满意",入户维修!$B$5:$B$404,"&gt;="&amp;辅助数据!$BJ$2,入户维修!$B$5:$B$404,"&lt;="&amp;辅助数据!$BK$2)</f>
        <v>#REF!</v>
      </c>
      <c r="DR2" s="68" t="e">
        <f aca="false">COUNTIFS(入户维修!$F$5:$F$404,$A2,入户维修!$O$5:$O$404,"满意",入户维修!$B$5:$B$404,"&gt;="&amp;辅助数据!$BJ$2,入户维修!$B$5:$B$404,"&lt;="&amp;辅助数据!$BK$2)+COUNTIFS(入户维修!$G$5:$G$404,$A2,入户维修!$O$5:$O$404,"满意",入户维修!$B$5:$B$404,"&gt;="&amp;辅助数据!$BJ$2,入户维修!$B$5:$B$404,"&lt;="&amp;辅助数据!$BK$2)+COUNTIFS(入户维修!$H$5:$H$404,$A2,入户维修!$O$5:$O$404,"满意",入户维修!$B$5:$B$404,"&gt;="&amp;辅助数据!$BJ$2,入户维修!$B$5:$B$404,"&lt;="&amp;辅助数据!$BK$2)</f>
        <v>#REF!</v>
      </c>
      <c r="DS2" s="68" t="e">
        <f aca="false">COUNTIFS(入户维修!$F$5:$F$404,$A2,入户维修!$O$5:$O$404,"一般",入户维修!$B$5:$B$404,"&gt;="&amp;辅助数据!$BJ$2,入户维修!$B$5:$B$404,"&lt;="&amp;辅助数据!$BK$2)+COUNTIFS(入户维修!$G$5:$G$404,$A2,入户维修!$O$5:$O$404,"一般",入户维修!$B$5:$B$404,"&gt;="&amp;辅助数据!$BJ$2,入户维修!$B$5:$B$404,"&lt;="&amp;辅助数据!$BK$2)+COUNTIFS(入户维修!$H$5:$H$404,$A2,入户维修!$O$5:$O$404,"一般",入户维修!$B$5:$B$404,"&gt;="&amp;辅助数据!$BJ$2,入户维修!$B$5:$B$404,"&lt;="&amp;辅助数据!$BK$2)</f>
        <v>#REF!</v>
      </c>
      <c r="DT2" s="68" t="e">
        <f aca="false">COUNTIFS(入户维修!$F$5:$F$404,$A2,入户维修!$O$5:$O$404,"不满意",入户维修!$B$5:$B$404,"&gt;="&amp;辅助数据!$BJ$2,入户维修!$B$5:$B$404,"&lt;="&amp;辅助数据!$BK$2)+COUNTIFS(入户维修!$G$5:$G$404,$A2,入户维修!$O$5:$O$404,"不满意",入户维修!$B$5:$B$404,"&gt;="&amp;辅助数据!$BJ$2,入户维修!$B$5:$B$404,"&lt;="&amp;辅助数据!$BK$2)+COUNTIFS(入户维修!$H$5:$H$404,$A2,入户维修!$O$5:$O$404,"不满意",入户维修!$B$5:$B$404,"&gt;="&amp;辅助数据!$BJ$2,入户维修!$B$5:$B$404,"&lt;="&amp;辅助数据!$BK$2)</f>
        <v>#REF!</v>
      </c>
      <c r="DU2" s="68" t="e">
        <f aca="false">SUM($DQ2:$DT2)</f>
        <v>#REF!</v>
      </c>
      <c r="DV2" s="68" t="e">
        <f aca="false">$DO2+$DN2/1000</f>
        <v>#REF!</v>
      </c>
      <c r="DW2" s="68" t="e">
        <f aca="false">RANK($DV2,$DV$1:$DV$5)+COUNTIF($DV$1:$DV2,$DV2)-1</f>
        <v>#REF!</v>
      </c>
      <c r="DX2" s="68" t="e">
        <f aca="false">IF($DU2=0,-1,($DQ2*100+$DR2*80+$DS2*60)/$DU2+$DU2/1000)</f>
        <v>#REF!</v>
      </c>
      <c r="DY2" s="68" t="e">
        <f aca="false">RANK($DX2,$DX$1:$DX$5)+COUNTIF($DX$1:$DX2,$DX2)-1</f>
        <v>#REF!</v>
      </c>
      <c r="DZ2" s="68" t="e">
        <f aca="false">COUNTIFS(入户维修!$F$5:$F$404,$A2,入户维修!$E$5:$E$404,"?*",入户维修!$B$5:$B$404,"&gt;="&amp;辅助数据!$BJ$3,入户维修!$B$5:$B$404,"&lt;="&amp;辅助数据!$BK$3)+COUNTIFS(入户维修!$G$5:$G$404,$A2,入户维修!$E$5:$E$404,"?*",入户维修!$B$5:$B$404,"&gt;="&amp;辅助数据!$BJ$3,入户维修!$B$5:$B$404,"&lt;="&amp;辅助数据!$BK$3)+COUNTIFS(入户维修!$H$5:$H$404,$A2,入户维修!$E$5:$E$404,"?*",入户维修!$B$5:$B$404,"&gt;="&amp;辅助数据!$BJ$3,入户维修!$B$5:$B$404,"&lt;="&amp;辅助数据!$BK$3)</f>
        <v>#REF!</v>
      </c>
      <c r="EA2" s="68" t="e">
        <f aca="false">COUNTIFS(入户维修!$F$5:$F$404,$A2,入户维修!$K$5:$K$404,"已完成",入户维修!$B$5:$B$404,"&gt;="&amp;辅助数据!$BJ$3,入户维修!$B$5:$B$404,"&lt;="&amp;辅助数据!$BK$3)+COUNTIFS(入户维修!$G$5:$G$404,$A2,入户维修!$K$5:$K$404,"已完成",入户维修!$B$5:$B$404,"&gt;="&amp;辅助数据!$BJ$3,入户维修!$B$5:$B$404,"&lt;="&amp;辅助数据!$BK$3)+COUNTIFS(入户维修!$H$5:$H$404,$A2,入户维修!$K$5:$K$404,"已完成",入户维修!$B$5:$B$404,"&gt;="&amp;辅助数据!$BJ$3,入户维修!$B$5:$B$404,"&lt;="&amp;辅助数据!$BK$3)</f>
        <v>#REF!</v>
      </c>
      <c r="EB2" s="68" t="e">
        <f aca="false">COUNTIFS(入户维修!$F$5:$F$404,$A2,入户维修!$K$5:$K$404,"跟进中",入户维修!$B$5:$B$404,"&gt;="&amp;辅助数据!$BJ$3,入户维修!$B$5:$B$404,"&lt;="&amp;辅助数据!$BK$3)+COUNTIFS(入户维修!$G$5:$G$404,$A2,入户维修!$K$5:$K$404,"跟进中",入户维修!$B$5:$B$404,"&gt;="&amp;辅助数据!$BJ$3,入户维修!$B$5:$B$404,"&lt;="&amp;辅助数据!$BK$3)+COUNTIFS(入户维修!$H$5:$H$404,$A2,入户维修!$K$5:$K$404,"跟进中",入户维修!$B$5:$B$404,"&gt;="&amp;辅助数据!$BJ$3,入户维修!$B$5:$B$404,"&lt;="&amp;辅助数据!$BK$3)</f>
        <v>#REF!</v>
      </c>
      <c r="EC2" s="68" t="e">
        <f aca="false">COUNTIFS(入户维修!$F$5:$F$404,$A2,入户维修!$O$5:$O$404,"非常满意",入户维修!$B$5:$B$404,"&gt;="&amp;辅助数据!$BJ$3,入户维修!$B$5:$B$404,"&lt;="&amp;辅助数据!$BK$3)+COUNTIFS(入户维修!$G$5:$G$404,$A2,入户维修!$O$5:$O$404,"非常满意",入户维修!$B$5:$B$404,"&gt;="&amp;辅助数据!$BJ$3,入户维修!$B$5:$B$404,"&lt;="&amp;辅助数据!$BK$3)+COUNTIFS(入户维修!$H$5:$H$404,$A2,入户维修!$O$5:$O$404,"非常满意",入户维修!$B$5:$B$404,"&gt;="&amp;辅助数据!$BJ$3,入户维修!$B$5:$B$404,"&lt;="&amp;辅助数据!$BK$3)</f>
        <v>#REF!</v>
      </c>
      <c r="ED2" s="68" t="e">
        <f aca="false">COUNTIFS(入户维修!$F$5:$F$404,$A2,入户维修!$O$5:$O$404,"满意",入户维修!$B$5:$B$404,"&gt;="&amp;辅助数据!$BJ$3,入户维修!$B$5:$B$404,"&lt;="&amp;辅助数据!$BK$3)+COUNTIFS(入户维修!$G$5:$G$404,$A2,入户维修!$O$5:$O$404,"满意",入户维修!$B$5:$B$404,"&gt;="&amp;辅助数据!$BJ$3,入户维修!$B$5:$B$404,"&lt;="&amp;辅助数据!$BK$3)+COUNTIFS(入户维修!$H$5:$H$404,$A2,入户维修!$O$5:$O$404,"满意",入户维修!$B$5:$B$404,"&gt;="&amp;辅助数据!$BJ$3,入户维修!$B$5:$B$404,"&lt;="&amp;辅助数据!$BK$3)</f>
        <v>#REF!</v>
      </c>
      <c r="EE2" s="68" t="e">
        <f aca="false">COUNTIFS(入户维修!$F$5:$F$404,$A2,入户维修!$O$5:$O$404,"一般",入户维修!$B$5:$B$404,"&gt;="&amp;辅助数据!$BJ$3,入户维修!$B$5:$B$404,"&lt;="&amp;辅助数据!$BK$3)+COUNTIFS(入户维修!$G$5:$G$404,$A2,入户维修!$O$5:$O$404,"一般",入户维修!$B$5:$B$404,"&gt;="&amp;辅助数据!$BJ$3,入户维修!$B$5:$B$404,"&lt;="&amp;辅助数据!$BK$3)+COUNTIFS(入户维修!$H$5:$H$404,$A2,入户维修!$O$5:$O$404,"一般",入户维修!$B$5:$B$404,"&gt;="&amp;辅助数据!$BJ$3,入户维修!$B$5:$B$404,"&lt;="&amp;辅助数据!$BK$3)</f>
        <v>#REF!</v>
      </c>
      <c r="EF2" s="68" t="e">
        <f aca="false">COUNTIFS(入户维修!$F$5:$F$404,$A2,入户维修!$O$5:$O$404,"不满意",入户维修!$B$5:$B$404,"&gt;="&amp;辅助数据!$BJ$3,入户维修!$B$5:$B$404,"&lt;="&amp;辅助数据!$BK$3)+COUNTIFS(入户维修!$G$5:$G$404,$A2,入户维修!$O$5:$O$404,"不满意",入户维修!$B$5:$B$404,"&gt;="&amp;辅助数据!$BJ$3,入户维修!$B$5:$B$404,"&lt;="&amp;辅助数据!$BK$3)+COUNTIFS(入户维修!$H$5:$H$404,$A2,入户维修!$O$5:$O$404,"不满意",入户维修!$B$5:$B$404,"&gt;="&amp;辅助数据!$BJ$3,入户维修!$B$5:$B$404,"&lt;="&amp;辅助数据!$BK$3)</f>
        <v>#REF!</v>
      </c>
      <c r="EG2" s="68" t="e">
        <f aca="false">SUM($EC2:$EF2)</f>
        <v>#REF!</v>
      </c>
      <c r="EH2" s="68" t="e">
        <f aca="false">$EA2+$DZ2/1000</f>
        <v>#REF!</v>
      </c>
      <c r="EI2" s="68" t="e">
        <f aca="false">RANK($EH2,$EH$1:$EH$5)+COUNTIF($EH$1:$EH2,$EH2)-1</f>
        <v>#REF!</v>
      </c>
      <c r="EJ2" s="68" t="e">
        <f aca="false">IF($EG2=0,-1,($EC2*100+$ED2*80+$EE2*60)/$EG2+$EG2/1000)</f>
        <v>#REF!</v>
      </c>
      <c r="EK2" s="68" t="e">
        <f aca="false">RANK($EJ2,$EJ$1:$EJ$5)+COUNTIF($EJ$1:$EJ2,$EJ2)-1</f>
        <v>#REF!</v>
      </c>
      <c r="EL2" s="68" t="e">
        <f aca="false">COUNTIFS(公区维修!$F$5:$F$404,$A2,公区维修!$E$5:$E$404,"?*",公区维修!$B$5:$B$404,"&gt;="&amp;辅助数据!$BL$1,公区维修!$B$5:$B$404,"&lt;="&amp;辅助数据!$BM$1)+COUNTIFS(公区维修!$G$5:$G$404,$A2,公区维修!$E$5:$E$404,"?*",公区维修!$B$5:$B$404,"&gt;="&amp;辅助数据!$BL$1,公区维修!$B$5:$B$404,"&lt;="&amp;辅助数据!$BM$1)+COUNTIFS(公区维修!$H$5:$H$404,$A2,公区维修!$E$5:$E$404,"?*",公区维修!$B$5:$B$404,"&gt;="&amp;辅助数据!$BL$1,公区维修!$B$5:$B$404,"&lt;="&amp;辅助数据!$BM$1)</f>
        <v>#REF!</v>
      </c>
      <c r="EM2" s="68" t="e">
        <f aca="false">COUNTIFS(公区维修!$F$5:$F$404,$A2,公区维修!$K$5:$K$404,"已完成",公区维修!$B$5:$B$404,"&gt;="&amp;辅助数据!$BL$1,公区维修!$B$5:$B$404,"&lt;="&amp;辅助数据!$BM$1)+COUNTIFS(公区维修!$G$5:$G$404,$A2,公区维修!$K$5:$K$404,"已完成",公区维修!$B$5:$B$404,"&gt;="&amp;辅助数据!$BL$1,公区维修!$B$5:$B$404,"&lt;="&amp;辅助数据!$BM$1)+COUNTIFS(公区维修!$H$5:$H$404,$A2,公区维修!$K$5:$K$404,"已完成",公区维修!$B$5:$B$404,"&gt;="&amp;辅助数据!$BL$1,公区维修!$B$5:$B$404,"&lt;="&amp;辅助数据!$BM$1)</f>
        <v>#REF!</v>
      </c>
      <c r="EN2" s="68" t="e">
        <f aca="false">COUNTIFS(公区维修!$F$5:$F$404,$A2,公区维修!$K$5:$K$404,"跟进中",公区维修!$B$5:$B$404,"&gt;="&amp;辅助数据!$BL$1,公区维修!$B$5:$B$404,"&lt;="&amp;辅助数据!$BM$1)+COUNTIFS(公区维修!$G$5:$G$404,$A2,公区维修!$K$5:$K$404,"跟进中",公区维修!$B$5:$B$404,"&gt;="&amp;辅助数据!$BL$1,公区维修!$B$5:$B$404,"&lt;="&amp;辅助数据!$BM$1)+COUNTIFS(公区维修!$H$5:$H$404,$A2,公区维修!$K$5:$K$404,"跟进中",公区维修!$B$5:$B$404,"&gt;="&amp;辅助数据!$BL$1,公区维修!$B$5:$B$404,"&lt;="&amp;辅助数据!$BM$1)</f>
        <v>#REF!</v>
      </c>
      <c r="EO2" s="68" t="e">
        <f aca="false">COUNTIFS(公区维修!$F$5:$F$404,$A2,公区维修!$N$5:$N$404,"非常满意",公区维修!$B$5:$B$404,"&gt;="&amp;辅助数据!$BL$1,公区维修!$B$5:$B$404,"&lt;="&amp;辅助数据!$BM$1)+COUNTIFS(公区维修!$G$5:$G$404,$A2,公区维修!$N$5:$N$404,"非常满意",公区维修!$B$5:$B$404,"&gt;="&amp;辅助数据!$BL$1,公区维修!$B$5:$B$404,"&lt;="&amp;辅助数据!$BM$1)+COUNTIFS(公区维修!$H$5:$H$404,$A2,公区维修!$N$5:$N$404,"非常满意",公区维修!$B$5:$B$404,"&gt;="&amp;辅助数据!$BL$1,公区维修!$B$5:$B$404,"&lt;="&amp;辅助数据!$BM$1)</f>
        <v>#REF!</v>
      </c>
      <c r="EP2" s="68" t="e">
        <f aca="false">COUNTIFS(公区维修!$F$5:$F$404,$A2,公区维修!$N$5:$N$404,"满意",公区维修!$B$5:$B$404,"&gt;="&amp;辅助数据!$BL$1,公区维修!$B$5:$B$404,"&lt;="&amp;辅助数据!$BM$1)+COUNTIFS(公区维修!$G$5:$G$404,$A2,公区维修!$N$5:$N$404,"满意",公区维修!$B$5:$B$404,"&gt;="&amp;辅助数据!$BL$1,公区维修!$B$5:$B$404,"&lt;="&amp;辅助数据!$BM$1)+COUNTIFS(公区维修!$H$5:$H$404,$A2,公区维修!$N$5:$N$404,"满意",公区维修!$B$5:$B$404,"&gt;="&amp;辅助数据!$BL$1,公区维修!$B$5:$B$404,"&lt;="&amp;辅助数据!$BM$1)</f>
        <v>#REF!</v>
      </c>
      <c r="EQ2" s="68" t="e">
        <f aca="false">COUNTIFS(公区维修!$F$5:$F$404,$A2,公区维修!$N$5:$N$404,"一般",公区维修!$B$5:$B$404,"&gt;="&amp;辅助数据!$BL$1,公区维修!$B$5:$B$404,"&lt;="&amp;辅助数据!$BM$1)+COUNTIFS(公区维修!$G$5:$G$404,$A2,公区维修!$N$5:$N$404,"一般",公区维修!$B$5:$B$404,"&gt;="&amp;辅助数据!$BL$1,公区维修!$B$5:$B$404,"&lt;="&amp;辅助数据!$BM$1)+COUNTIFS(公区维修!$H$5:$H$404,$A2,公区维修!$N$5:$N$404,"一般",公区维修!$B$5:$B$404,"&gt;="&amp;辅助数据!$BL$1,公区维修!$B$5:$B$404,"&lt;="&amp;辅助数据!$BM$1)</f>
        <v>#REF!</v>
      </c>
      <c r="ER2" s="68" t="e">
        <f aca="false">COUNTIFS(公区维修!$F$5:$F$404,$A2,公区维修!$N$5:$N$404,"不满意",公区维修!$B$5:$B$404,"&gt;="&amp;辅助数据!$BL$1,公区维修!$B$5:$B$404,"&lt;="&amp;辅助数据!$BM$1)+COUNTIFS(公区维修!$G$5:$G$404,$A2,公区维修!$N$5:$N$404,"不满意",公区维修!$B$5:$B$404,"&gt;="&amp;辅助数据!$BL$1,公区维修!$B$5:$B$404,"&lt;="&amp;辅助数据!$BM$1)+COUNTIFS(公区维修!$H$5:$H$404,$A2,公区维修!$N$5:$N$404,"不满意",公区维修!$B$5:$B$404,"&gt;="&amp;辅助数据!$BL$1,公区维修!$B$5:$B$404,"&lt;="&amp;辅助数据!$BM$1)</f>
        <v>#REF!</v>
      </c>
      <c r="ES2" s="68" t="e">
        <f aca="false">SUM($EO2:$ER2)</f>
        <v>#REF!</v>
      </c>
      <c r="ET2" s="68" t="e">
        <f aca="false">$EM2+$EL2/1000</f>
        <v>#REF!</v>
      </c>
      <c r="EU2" s="68" t="e">
        <f aca="false">RANK($ET2,$ET$1:$ET$5)+COUNTIF($ET$1:$ET2,$ET2)-1</f>
        <v>#REF!</v>
      </c>
      <c r="EV2" s="68" t="e">
        <f aca="false">IF($ES2=0,-1,($EO2*100+$EP2*80+$EQ2*60)/$ES2+$ES2/1000)</f>
        <v>#REF!</v>
      </c>
      <c r="EW2" s="68" t="e">
        <f aca="false">RANK($EV2,$EV$1:$EV$5)+COUNTIF($EV$1:$EV2,$EV2)-1</f>
        <v>#REF!</v>
      </c>
      <c r="EX2" s="68" t="e">
        <f aca="false">COUNTIFS(公区维修!$F$5:$F$404,$A2,公区维修!$E$5:$E$404,"?*",公区维修!$B$5:$B$404,"&gt;="&amp;辅助数据!$BL$2,公区维修!$B$5:$B$404,"&lt;="&amp;辅助数据!$BM$2)+COUNTIFS(公区维修!$G$5:$G$404,$A2,公区维修!$E$5:$E$404,"?*",公区维修!$B$5:$B$404,"&gt;="&amp;辅助数据!$BL$2,公区维修!$B$5:$B$404,"&lt;="&amp;辅助数据!$BM$2)+COUNTIFS(公区维修!$H$5:$H$404,$A2,公区维修!$E$5:$E$404,"?*",公区维修!$B$5:$B$404,"&gt;="&amp;辅助数据!$BL$2,公区维修!$B$5:$B$404,"&lt;="&amp;辅助数据!$BM$2)</f>
        <v>#REF!</v>
      </c>
      <c r="EY2" s="68" t="e">
        <f aca="false">COUNTIFS(公区维修!$F$5:$F$404,$A2,公区维修!$K$5:$K$404,"已完成",公区维修!$B$5:$B$404,"&gt;="&amp;辅助数据!$BL$2,公区维修!$B$5:$B$404,"&lt;="&amp;辅助数据!$BM$2)+COUNTIFS(公区维修!$G$5:$G$404,$A2,公区维修!$K$5:$K$404,"已完成",公区维修!$B$5:$B$404,"&gt;="&amp;辅助数据!$BL$2,公区维修!$B$5:$B$404,"&lt;="&amp;辅助数据!$BM$2)+COUNTIFS(公区维修!$H$5:$H$404,$A2,公区维修!$K$5:$K$404,"已完成",公区维修!$B$5:$B$404,"&gt;="&amp;辅助数据!$BL$2,公区维修!$B$5:$B$404,"&lt;="&amp;辅助数据!$BM$2)</f>
        <v>#REF!</v>
      </c>
      <c r="EZ2" s="68" t="e">
        <f aca="false">COUNTIFS(公区维修!$F$5:$F$404,$A2,公区维修!$K$5:$K$404,"跟进中",公区维修!$B$5:$B$404,"&gt;="&amp;辅助数据!$BL$2,公区维修!$B$5:$B$404,"&lt;="&amp;辅助数据!$BM$2)+COUNTIFS(公区维修!$G$5:$G$404,$A2,公区维修!$K$5:$K$404,"跟进中",公区维修!$B$5:$B$404,"&gt;="&amp;辅助数据!$BL$2,公区维修!$B$5:$B$404,"&lt;="&amp;辅助数据!$BM$2)+COUNTIFS(公区维修!$H$5:$H$404,$A2,公区维修!$K$5:$K$404,"跟进中",公区维修!$B$5:$B$404,"&gt;="&amp;辅助数据!$BL$2,公区维修!$B$5:$B$404,"&lt;="&amp;辅助数据!$BM$2)</f>
        <v>#REF!</v>
      </c>
      <c r="FA2" s="68" t="e">
        <f aca="false">COUNTIFS(公区维修!$F$5:$F$404,$A2,公区维修!$N$5:$N$404,"非常满意",公区维修!$B$5:$B$404,"&gt;="&amp;辅助数据!$BL$2,公区维修!$B$5:$B$404,"&lt;="&amp;辅助数据!$BM$2)+COUNTIFS(公区维修!$G$5:$G$404,$A2,公区维修!$N$5:$N$404,"非常满意",公区维修!$B$5:$B$404,"&gt;="&amp;辅助数据!$BL$2,公区维修!$B$5:$B$404,"&lt;="&amp;辅助数据!$BM$2)+COUNTIFS(公区维修!$H$5:$H$404,$A2,公区维修!$N$5:$N$404,"非常满意",公区维修!$B$5:$B$404,"&gt;="&amp;辅助数据!$BL$2,公区维修!$B$5:$B$404,"&lt;="&amp;辅助数据!$BM$2)</f>
        <v>#REF!</v>
      </c>
      <c r="FB2" s="68" t="e">
        <f aca="false">COUNTIFS(公区维修!$F$5:$F$404,$A2,公区维修!$N$5:$N$404,"满意",公区维修!$B$5:$B$404,"&gt;="&amp;辅助数据!$BL$2,公区维修!$B$5:$B$404,"&lt;="&amp;辅助数据!$BM$2)+COUNTIFS(公区维修!$G$5:$G$404,$A2,公区维修!$N$5:$N$404,"满意",公区维修!$B$5:$B$404,"&gt;="&amp;辅助数据!$BL$2,公区维修!$B$5:$B$404,"&lt;="&amp;辅助数据!$BM$2)+COUNTIFS(公区维修!$H$5:$H$404,$A2,公区维修!$N$5:$N$404,"满意",公区维修!$B$5:$B$404,"&gt;="&amp;辅助数据!$BL$2,公区维修!$B$5:$B$404,"&lt;="&amp;辅助数据!$BM$2)</f>
        <v>#REF!</v>
      </c>
      <c r="FC2" s="68" t="e">
        <f aca="false">COUNTIFS(公区维修!$F$5:$F$404,$A2,公区维修!$N$5:$N$404,"一般",公区维修!$B$5:$B$404,"&gt;="&amp;辅助数据!$BL$2,公区维修!$B$5:$B$404,"&lt;="&amp;辅助数据!$BM$2)+COUNTIFS(公区维修!$G$5:$G$404,$A2,公区维修!$N$5:$N$404,"一般",公区维修!$B$5:$B$404,"&gt;="&amp;辅助数据!$BL$2,公区维修!$B$5:$B$404,"&lt;="&amp;辅助数据!$BM$2)+COUNTIFS(公区维修!$H$5:$H$404,$A2,公区维修!$N$5:$N$404,"一般",公区维修!$B$5:$B$404,"&gt;="&amp;辅助数据!$BL$2,公区维修!$B$5:$B$404,"&lt;="&amp;辅助数据!$BM$2)</f>
        <v>#REF!</v>
      </c>
      <c r="FD2" s="68" t="e">
        <f aca="false">COUNTIFS(公区维修!$F$5:$F$404,$A2,公区维修!$N$5:$N$404,"不满意",公区维修!$B$5:$B$404,"&gt;="&amp;辅助数据!$BL$2,公区维修!$B$5:$B$404,"&lt;="&amp;辅助数据!$BM$2)+COUNTIFS(公区维修!$G$5:$G$404,$A2,公区维修!$N$5:$N$404,"不满意",公区维修!$B$5:$B$404,"&gt;="&amp;辅助数据!$BL$2,公区维修!$B$5:$B$404,"&lt;="&amp;辅助数据!$BM$2)+COUNTIFS(公区维修!$H$5:$H$404,$A2,公区维修!$N$5:$N$404,"不满意",公区维修!$B$5:$B$404,"&gt;="&amp;辅助数据!$BL$2,公区维修!$B$5:$B$404,"&lt;="&amp;辅助数据!$BM$2)</f>
        <v>#REF!</v>
      </c>
      <c r="FE2" s="68" t="e">
        <f aca="false">SUM($FA2:$FD2)</f>
        <v>#REF!</v>
      </c>
      <c r="FF2" s="68" t="e">
        <f aca="false">$EY2+$EX2/1000</f>
        <v>#REF!</v>
      </c>
      <c r="FG2" s="68" t="e">
        <f aca="false">RANK($FF2,$FF$1:$FF$5)+COUNTIF($FF$1:$FF2,$FF2)-1</f>
        <v>#REF!</v>
      </c>
      <c r="FH2" s="68" t="e">
        <f aca="false">IF($FE2=0,-1,($FA2*100+$FB2*80+$FC2*60)/$FE2+$FE2/1000)</f>
        <v>#REF!</v>
      </c>
      <c r="FI2" s="68" t="e">
        <f aca="false">RANK($FH2,$FH$1:$FH$5)+COUNTIF($FH$1:$FH2,$FH2)-1</f>
        <v>#REF!</v>
      </c>
      <c r="FJ2" s="68" t="e">
        <f aca="false">COUNTIFS(公区维修!$F$5:$F$404,$A2,公区维修!$E$5:$E$404,"?*",公区维修!$B$5:$B$404,"&gt;="&amp;辅助数据!$BL$3,公区维修!$B$5:$B$404,"&lt;="&amp;辅助数据!$BM$3)+COUNTIFS(公区维修!$G$5:$G$404,$A2,公区维修!$E$5:$E$404,"?*",公区维修!$B$5:$B$404,"&gt;="&amp;辅助数据!$BL$3,公区维修!$B$5:$B$404,"&lt;="&amp;辅助数据!$BM$3)+COUNTIFS(公区维修!$H$5:$H$404,$A2,公区维修!$E$5:$E$404,"?*",公区维修!$B$5:$B$404,"&gt;="&amp;辅助数据!$BL$3,公区维修!$B$5:$B$404,"&lt;="&amp;辅助数据!$BM$3)</f>
        <v>#REF!</v>
      </c>
      <c r="FK2" s="68" t="e">
        <f aca="false">COUNTIFS(公区维修!$F$5:$F$404,$A2,公区维修!$K$5:$K$404,"已完成",公区维修!$B$5:$B$404,"&gt;="&amp;辅助数据!$BL$3,公区维修!$B$5:$B$404,"&lt;="&amp;辅助数据!$BM$3)+COUNTIFS(公区维修!$G$5:$G$404,$A2,公区维修!$K$5:$K$404,"已完成",公区维修!$B$5:$B$404,"&gt;="&amp;辅助数据!$BL$3,公区维修!$B$5:$B$404,"&lt;="&amp;辅助数据!$BM$3)+COUNTIFS(公区维修!$H$5:$H$404,$A2,公区维修!$K$5:$K$404,"已完成",公区维修!$B$5:$B$404,"&gt;="&amp;辅助数据!$BL$3,公区维修!$B$5:$B$404,"&lt;="&amp;辅助数据!$BM$3)</f>
        <v>#REF!</v>
      </c>
      <c r="FL2" s="68" t="e">
        <f aca="false">COUNTIFS(公区维修!$F$5:$F$404,$A2,公区维修!$K$5:$K$404,"跟进中",公区维修!$B$5:$B$404,"&gt;="&amp;辅助数据!$BL$3,公区维修!$B$5:$B$404,"&lt;="&amp;辅助数据!$BM$3)+COUNTIFS(公区维修!$G$5:$G$404,$A2,公区维修!$K$5:$K$404,"跟进中",公区维修!$B$5:$B$404,"&gt;="&amp;辅助数据!$BL$3,公区维修!$B$5:$B$404,"&lt;="&amp;辅助数据!$BM$3)+COUNTIFS(公区维修!$H$5:$H$404,$A2,公区维修!$K$5:$K$404,"跟进中",公区维修!$B$5:$B$404,"&gt;="&amp;辅助数据!$BL$3,公区维修!$B$5:$B$404,"&lt;="&amp;辅助数据!$BM$3)</f>
        <v>#REF!</v>
      </c>
      <c r="FM2" s="68" t="e">
        <f aca="false">COUNTIFS(公区维修!$F$5:$F$404,$A2,公区维修!$N$5:$N$404,"非常满意",公区维修!$B$5:$B$404,"&gt;="&amp;辅助数据!$BL$3,公区维修!$B$5:$B$404,"&lt;="&amp;辅助数据!$BM$3)+COUNTIFS(公区维修!$G$5:$G$404,$A2,公区维修!$N$5:$N$404,"非常满意",公区维修!$B$5:$B$404,"&gt;="&amp;辅助数据!$BL$3,公区维修!$B$5:$B$404,"&lt;="&amp;辅助数据!$BM$3)+COUNTIFS(公区维修!$H$5:$H$404,$A2,公区维修!$N$5:$N$404,"非常满意",公区维修!$B$5:$B$404,"&gt;="&amp;辅助数据!$BL$3,公区维修!$B$5:$B$404,"&lt;="&amp;辅助数据!$BM$3)</f>
        <v>#REF!</v>
      </c>
      <c r="FN2" s="68" t="e">
        <f aca="false">COUNTIFS(公区维修!$F$5:$F$404,$A2,公区维修!$N$5:$N$404,"满意",公区维修!$B$5:$B$404,"&gt;="&amp;辅助数据!$BL$3,公区维修!$B$5:$B$404,"&lt;="&amp;辅助数据!$BM$3)+COUNTIFS(公区维修!$G$5:$G$404,$A2,公区维修!$N$5:$N$404,"满意",公区维修!$B$5:$B$404,"&gt;="&amp;辅助数据!$BL$3,公区维修!$B$5:$B$404,"&lt;="&amp;辅助数据!$BM$3)+COUNTIFS(公区维修!$H$5:$H$404,$A2,公区维修!$N$5:$N$404,"满意",公区维修!$B$5:$B$404,"&gt;="&amp;辅助数据!$BL$3,公区维修!$B$5:$B$404,"&lt;="&amp;辅助数据!$BM$3)</f>
        <v>#REF!</v>
      </c>
      <c r="FO2" s="68" t="e">
        <f aca="false">COUNTIFS(公区维修!$F$5:$F$404,$A2,公区维修!$N$5:$N$404,"一般",公区维修!$B$5:$B$404,"&gt;="&amp;辅助数据!$BL$3,公区维修!$B$5:$B$404,"&lt;="&amp;辅助数据!$BM$3)+COUNTIFS(公区维修!$G$5:$G$404,$A2,公区维修!$N$5:$N$404,"一般",公区维修!$B$5:$B$404,"&gt;="&amp;辅助数据!$BL$3,公区维修!$B$5:$B$404,"&lt;="&amp;辅助数据!$BM$3)+COUNTIFS(公区维修!$H$5:$H$404,$A2,公区维修!$N$5:$N$404,"一般",公区维修!$B$5:$B$404,"&gt;="&amp;辅助数据!$BL$3,公区维修!$B$5:$B$404,"&lt;="&amp;辅助数据!$BM$3)</f>
        <v>#REF!</v>
      </c>
      <c r="FP2" s="68" t="e">
        <f aca="false">COUNTIFS(公区维修!$F$5:$F$404,$A2,公区维修!$N$5:$N$404,"不满意",公区维修!$B$5:$B$404,"&gt;="&amp;辅助数据!$BL$3,公区维修!$B$5:$B$404,"&lt;="&amp;辅助数据!$BM$3)+COUNTIFS(公区维修!$G$5:$G$404,$A2,公区维修!$N$5:$N$404,"不满意",公区维修!$B$5:$B$404,"&gt;="&amp;辅助数据!$BL$3,公区维修!$B$5:$B$404,"&lt;="&amp;辅助数据!$BM$3)+COUNTIFS(公区维修!$H$5:$H$404,$A2,公区维修!$N$5:$N$404,"不满意",公区维修!$B$5:$B$404,"&gt;="&amp;辅助数据!$BL$3,公区维修!$B$5:$B$404,"&lt;="&amp;辅助数据!$BM$3)</f>
        <v>#REF!</v>
      </c>
      <c r="FQ2" s="68" t="e">
        <f aca="false">SUM($FM2:$FP2)</f>
        <v>#REF!</v>
      </c>
      <c r="FR2" s="68" t="e">
        <f aca="false">$FK2+$FJ2/1000</f>
        <v>#REF!</v>
      </c>
      <c r="FS2" s="68" t="e">
        <f aca="false">RANK($FR2,$FR$1:$FR$5)+COUNTIF($FR$1:$FR2,$FR2)-1</f>
        <v>#REF!</v>
      </c>
      <c r="FT2" s="68" t="e">
        <f aca="false">IF($FQ2=0,-1,($FM2*100+$FN2*80+$FO2*60)/$FQ2+$FQ2/1000)</f>
        <v>#REF!</v>
      </c>
      <c r="FU2" s="68" t="e">
        <f aca="false">RANK($FT2,$FT$1:$FT$5)+COUNTIF($FT$1:$FT2,$FT2)-1</f>
        <v>#REF!</v>
      </c>
      <c r="FY2" s="69" t="n">
        <f aca="false">IFERROR(MATCH(2,$FW$5:$FW$404,0),"")</f>
        <v>5</v>
      </c>
      <c r="GA2" s="69" t="n">
        <f aca="false">COUNTIFS(入户维修!$F$5:$F$404,$A2,入户维修!$K$5:$K$404,"跟进中")+COUNTIFS(入户维修!$G$5:$G$404,$A2,入户维修!$K$5:$K$404,"跟进中")+COUNTIFS(入户维修!$H$5:$H$404,$A2,入户维修!$K$5:$K$404,"跟进中")</f>
        <v>7</v>
      </c>
      <c r="GB2" s="69" t="n">
        <f aca="false">COUNTIFS(公区维修!$F$5:$F$404,$A2,公区维修!$K$5:$K$404,"跟进中")+COUNTIFS(公区维修!$G$5:$G$404,$A2,公区维修!$K$5:$K$404,"跟进中")+COUNTIFS(公区维修!$H$5:$H$404,$A2,公区维修!$K$5:$K$404,"跟进中")</f>
        <v>0</v>
      </c>
    </row>
    <row r="3" customFormat="false" ht="15" hidden="false" customHeight="true" outlineLevel="0" collapsed="false">
      <c r="A3" s="68" t="s">
        <v>169</v>
      </c>
      <c r="B3" s="68" t="n">
        <f aca="false">IF(COUNTIFS(入户维修!$F$5:$F$404,$A3,入户维修!$K$5:$K$404,"跟进中")+COUNTIFS(入户维修!$G$5:$G$404,$A3,入户维修!$K$5:$K$404,"跟进中")+COUNTIFS(入户维修!$H$5:$H$404,$A3,入户维修!$K$5:$K$404,"跟进中")+COUNTIFS(公区维修!$F$5:$F$404,$A3,公区维修!$K$5:$K$404,"跟进中")+COUNTIFS(公区维修!$G$5:$G$404,$A3,公区维修!$K$5:$K$404,"跟进中")+COUNTIFS(公区维修!$H$5:$H$404,$A3,公区维修!$K$5:$K$404,"跟进中")&gt;0,1,0)</f>
        <v>1</v>
      </c>
      <c r="C3" s="68" t="n">
        <f aca="false">IF($BO3=0,0,SUM($BO$1:$BO3))</f>
        <v>2</v>
      </c>
      <c r="D3" s="68" t="n">
        <f aca="false">IF($BP3=0,0,SUM($BP$1:$BP3))</f>
        <v>0</v>
      </c>
      <c r="BF3" s="68" t="s">
        <v>169</v>
      </c>
      <c r="BG3" s="0" t="str">
        <f aca="false">IFERROR(INDEX($A$1:$A$5,MATCH(3,$BQ$1:$BQ$5,0)),IF(3=MAX($BQ$1:$BQ$5)+1,"取消",""))</f>
        <v>陈师傅</v>
      </c>
      <c r="BH3" s="70" t="n">
        <f aca="false">DATE(YEAR(总仪表盘!$B$3),MONTH(总仪表盘!$B$3),1)</f>
        <v>46235</v>
      </c>
      <c r="BI3" s="70" t="n">
        <f aca="false">DATE(YEAR(总仪表盘!$B$3),MONTH(总仪表盘!$B$3)+1,0)</f>
        <v>46265</v>
      </c>
      <c r="BJ3" s="70" t="e">
        <f aca="false">DATE(YEAR(#REF!),MONTH(#REF!),1)</f>
        <v>#REF!</v>
      </c>
      <c r="BK3" s="70" t="e">
        <f aca="false">DATE(YEAR(#REF!),MONTH(#REF!)+1,0)</f>
        <v>#REF!</v>
      </c>
      <c r="BL3" s="70" t="e">
        <f aca="false">DATE(YEAR(#REF!),MONTH(#REF!),1)</f>
        <v>#REF!</v>
      </c>
      <c r="BM3" s="70" t="e">
        <f aca="false">DATE(YEAR(#REF!),MONTH(#REF!)+1,0)</f>
        <v>#REF!</v>
      </c>
      <c r="BN3" s="68" t="n">
        <f aca="false">IF(入户维修!L$3="休息",1,0)</f>
        <v>0</v>
      </c>
      <c r="BO3" s="68" t="n">
        <f aca="false">IF(AND($B3=1,$BN3=0),1,0)</f>
        <v>1</v>
      </c>
      <c r="BP3" s="68" t="n">
        <f aca="false">IF(AND($B3=0,$BN3=0),1,0)</f>
        <v>0</v>
      </c>
      <c r="BQ3" s="68" t="n">
        <f aca="false">IF($BN3=1,0,3-SUM($BN$1:$BN3))</f>
        <v>2</v>
      </c>
      <c r="BR3" s="68" t="n">
        <f aca="false">COUNTIFS(入户维修!$F$5:$F$404,$A3,入户维修!$E$5:$E$404,"?*",入户维修!$B$5:$B$404,"&gt;="&amp;辅助数据!$BH$1,入户维修!$B$5:$B$404,"&lt;="&amp;辅助数据!$BI$1)+COUNTIFS(入户维修!$G$5:$G$404,$A3,入户维修!$E$5:$E$404,"?*",入户维修!$B$5:$B$404,"&gt;="&amp;辅助数据!$BH$1,入户维修!$B$5:$B$404,"&lt;="&amp;辅助数据!$BI$1)+COUNTIFS(入户维修!$H$5:$H$404,$A3,入户维修!$E$5:$E$404,"?*",入户维修!$B$5:$B$404,"&gt;="&amp;辅助数据!$BH$1,入户维修!$B$5:$B$404,"&lt;="&amp;辅助数据!$BI$1)+COUNTIFS(公区维修!$F$5:$F$404,$A3,公区维修!$E$5:$E$404,"?*",公区维修!$B$5:$B$404,"&gt;="&amp;辅助数据!$BH$1,公区维修!$B$5:$B$404,"&lt;="&amp;辅助数据!$BI$1)+COUNTIFS(公区维修!$G$5:$G$404,$A3,公区维修!$E$5:$E$404,"?*",公区维修!$B$5:$B$404,"&gt;="&amp;辅助数据!$BH$1,公区维修!$B$5:$B$404,"&lt;="&amp;辅助数据!$BI$1)+COUNTIFS(公区维修!$H$5:$H$404,$A3,公区维修!$E$5:$E$404,"?*",公区维修!$B$5:$B$404,"&gt;="&amp;辅助数据!$BH$1,公区维修!$B$5:$B$404,"&lt;="&amp;辅助数据!$BI$1)</f>
        <v>0</v>
      </c>
      <c r="BS3" s="68" t="n">
        <f aca="false">COUNTIFS(入户维修!$F$5:$F$404,$A3,入户维修!$K$5:$K$404,"已完成",入户维修!$B$5:$B$404,"&gt;="&amp;辅助数据!$BH$1,入户维修!$B$5:$B$404,"&lt;="&amp;辅助数据!$BI$1)+COUNTIFS(入户维修!$G$5:$G$404,$A3,入户维修!$K$5:$K$404,"已完成",入户维修!$B$5:$B$404,"&gt;="&amp;辅助数据!$BH$1,入户维修!$B$5:$B$404,"&lt;="&amp;辅助数据!$BI$1)+COUNTIFS(入户维修!$H$5:$H$404,$A3,入户维修!$K$5:$K$404,"已完成",入户维修!$B$5:$B$404,"&gt;="&amp;辅助数据!$BH$1,入户维修!$B$5:$B$404,"&lt;="&amp;辅助数据!$BI$1)+COUNTIFS(公区维修!$F$5:$F$404,$A3,公区维修!$K$5:$K$404,"已完成",公区维修!$B$5:$B$404,"&gt;="&amp;辅助数据!$BH$1,公区维修!$B$5:$B$404,"&lt;="&amp;辅助数据!$BI$1)+COUNTIFS(公区维修!$G$5:$G$404,$A3,公区维修!$K$5:$K$404,"已完成",公区维修!$B$5:$B$404,"&gt;="&amp;辅助数据!$BH$1,公区维修!$B$5:$B$404,"&lt;="&amp;辅助数据!$BI$1)+COUNTIFS(公区维修!$H$5:$H$404,$A3,公区维修!$K$5:$K$404,"已完成",公区维修!$B$5:$B$404,"&gt;="&amp;辅助数据!$BH$1,公区维修!$B$5:$B$404,"&lt;="&amp;辅助数据!$BI$1)</f>
        <v>0</v>
      </c>
      <c r="BT3" s="68" t="n">
        <f aca="false">COUNTIFS(入户维修!$F$5:$F$404,$A3,入户维修!$K$5:$K$404,"跟进中",入户维修!$B$5:$B$404,"&gt;="&amp;辅助数据!$BH$1,入户维修!$B$5:$B$404,"&lt;="&amp;辅助数据!$BI$1)+COUNTIFS(入户维修!$G$5:$G$404,$A3,入户维修!$K$5:$K$404,"跟进中",入户维修!$B$5:$B$404,"&gt;="&amp;辅助数据!$BH$1,入户维修!$B$5:$B$404,"&lt;="&amp;辅助数据!$BI$1)+COUNTIFS(入户维修!$H$5:$H$404,$A3,入户维修!$K$5:$K$404,"跟进中",入户维修!$B$5:$B$404,"&gt;="&amp;辅助数据!$BH$1,入户维修!$B$5:$B$404,"&lt;="&amp;辅助数据!$BI$1)+COUNTIFS(公区维修!$F$5:$F$404,$A3,公区维修!$K$5:$K$404,"跟进中",公区维修!$B$5:$B$404,"&gt;="&amp;辅助数据!$BH$1,公区维修!$B$5:$B$404,"&lt;="&amp;辅助数据!$BI$1)+COUNTIFS(公区维修!$G$5:$G$404,$A3,公区维修!$K$5:$K$404,"跟进中",公区维修!$B$5:$B$404,"&gt;="&amp;辅助数据!$BH$1,公区维修!$B$5:$B$404,"&lt;="&amp;辅助数据!$BI$1)+COUNTIFS(公区维修!$H$5:$H$404,$A3,公区维修!$K$5:$K$404,"跟进中",公区维修!$B$5:$B$404,"&gt;="&amp;辅助数据!$BH$1,公区维修!$B$5:$B$404,"&lt;="&amp;辅助数据!$BI$1)</f>
        <v>0</v>
      </c>
      <c r="BU3" s="68" t="n">
        <f aca="false">COUNTIFS(入户维修!$F$5:$F$404,$A3,入户维修!$O$5:$O$404,"非常满意",入户维修!$B$5:$B$404,"&gt;="&amp;辅助数据!$BH$1,入户维修!$B$5:$B$404,"&lt;="&amp;辅助数据!$BI$1)+COUNTIFS(入户维修!$G$5:$G$404,$A3,入户维修!$O$5:$O$404,"非常满意",入户维修!$B$5:$B$404,"&gt;="&amp;辅助数据!$BH$1,入户维修!$B$5:$B$404,"&lt;="&amp;辅助数据!$BI$1)+COUNTIFS(入户维修!$H$5:$H$404,$A3,入户维修!$O$5:$O$404,"非常满意",入户维修!$B$5:$B$404,"&gt;="&amp;辅助数据!$BH$1,入户维修!$B$5:$B$404,"&lt;="&amp;辅助数据!$BI$1)+COUNTIFS(公区维修!$F$5:$F$404,$A3,公区维修!$N$5:$N$404,"非常满意",公区维修!$B$5:$B$404,"&gt;="&amp;辅助数据!$BH$1,公区维修!$B$5:$B$404,"&lt;="&amp;辅助数据!$BI$1)+COUNTIFS(公区维修!$G$5:$G$404,$A3,公区维修!$N$5:$N$404,"非常满意",公区维修!$B$5:$B$404,"&gt;="&amp;辅助数据!$BH$1,公区维修!$B$5:$B$404,"&lt;="&amp;辅助数据!$BI$1)+COUNTIFS(公区维修!$H$5:$H$404,$A3,公区维修!$N$5:$N$404,"非常满意",公区维修!$B$5:$B$404,"&gt;="&amp;辅助数据!$BH$1,公区维修!$B$5:$B$404,"&lt;="&amp;辅助数据!$BI$1)</f>
        <v>0</v>
      </c>
      <c r="BV3" s="68" t="n">
        <f aca="false">COUNTIFS(入户维修!$F$5:$F$404,$A3,入户维修!$O$5:$O$404,"满意",入户维修!$B$5:$B$404,"&gt;="&amp;辅助数据!$BH$1,入户维修!$B$5:$B$404,"&lt;="&amp;辅助数据!$BI$1)+COUNTIFS(入户维修!$G$5:$G$404,$A3,入户维修!$O$5:$O$404,"满意",入户维修!$B$5:$B$404,"&gt;="&amp;辅助数据!$BH$1,入户维修!$B$5:$B$404,"&lt;="&amp;辅助数据!$BI$1)+COUNTIFS(入户维修!$H$5:$H$404,$A3,入户维修!$O$5:$O$404,"满意",入户维修!$B$5:$B$404,"&gt;="&amp;辅助数据!$BH$1,入户维修!$B$5:$B$404,"&lt;="&amp;辅助数据!$BI$1)+COUNTIFS(公区维修!$F$5:$F$404,$A3,公区维修!$N$5:$N$404,"满意",公区维修!$B$5:$B$404,"&gt;="&amp;辅助数据!$BH$1,公区维修!$B$5:$B$404,"&lt;="&amp;辅助数据!$BI$1)+COUNTIFS(公区维修!$G$5:$G$404,$A3,公区维修!$N$5:$N$404,"满意",公区维修!$B$5:$B$404,"&gt;="&amp;辅助数据!$BH$1,公区维修!$B$5:$B$404,"&lt;="&amp;辅助数据!$BI$1)+COUNTIFS(公区维修!$H$5:$H$404,$A3,公区维修!$N$5:$N$404,"满意",公区维修!$B$5:$B$404,"&gt;="&amp;辅助数据!$BH$1,公区维修!$B$5:$B$404,"&lt;="&amp;辅助数据!$BI$1)</f>
        <v>0</v>
      </c>
      <c r="BW3" s="68" t="n">
        <f aca="false">COUNTIFS(入户维修!$F$5:$F$404,$A3,入户维修!$O$5:$O$404,"一般",入户维修!$B$5:$B$404,"&gt;="&amp;辅助数据!$BH$1,入户维修!$B$5:$B$404,"&lt;="&amp;辅助数据!$BI$1)+COUNTIFS(入户维修!$G$5:$G$404,$A3,入户维修!$O$5:$O$404,"一般",入户维修!$B$5:$B$404,"&gt;="&amp;辅助数据!$BH$1,入户维修!$B$5:$B$404,"&lt;="&amp;辅助数据!$BI$1)+COUNTIFS(入户维修!$H$5:$H$404,$A3,入户维修!$O$5:$O$404,"一般",入户维修!$B$5:$B$404,"&gt;="&amp;辅助数据!$BH$1,入户维修!$B$5:$B$404,"&lt;="&amp;辅助数据!$BI$1)+COUNTIFS(公区维修!$F$5:$F$404,$A3,公区维修!$N$5:$N$404,"一般",公区维修!$B$5:$B$404,"&gt;="&amp;辅助数据!$BH$1,公区维修!$B$5:$B$404,"&lt;="&amp;辅助数据!$BI$1)+COUNTIFS(公区维修!$G$5:$G$404,$A3,公区维修!$N$5:$N$404,"一般",公区维修!$B$5:$B$404,"&gt;="&amp;辅助数据!$BH$1,公区维修!$B$5:$B$404,"&lt;="&amp;辅助数据!$BI$1)+COUNTIFS(公区维修!$H$5:$H$404,$A3,公区维修!$N$5:$N$404,"一般",公区维修!$B$5:$B$404,"&gt;="&amp;辅助数据!$BH$1,公区维修!$B$5:$B$404,"&lt;="&amp;辅助数据!$BI$1)</f>
        <v>0</v>
      </c>
      <c r="BX3" s="68" t="n">
        <f aca="false">COUNTIFS(入户维修!$F$5:$F$404,$A3,入户维修!$O$5:$O$404,"不满意",入户维修!$B$5:$B$404,"&gt;="&amp;辅助数据!$BH$1,入户维修!$B$5:$B$404,"&lt;="&amp;辅助数据!$BI$1)+COUNTIFS(入户维修!$G$5:$G$404,$A3,入户维修!$O$5:$O$404,"不满意",入户维修!$B$5:$B$404,"&gt;="&amp;辅助数据!$BH$1,入户维修!$B$5:$B$404,"&lt;="&amp;辅助数据!$BI$1)+COUNTIFS(入户维修!$H$5:$H$404,$A3,入户维修!$O$5:$O$404,"不满意",入户维修!$B$5:$B$404,"&gt;="&amp;辅助数据!$BH$1,入户维修!$B$5:$B$404,"&lt;="&amp;辅助数据!$BI$1)+COUNTIFS(公区维修!$F$5:$F$404,$A3,公区维修!$N$5:$N$404,"不满意",公区维修!$B$5:$B$404,"&gt;="&amp;辅助数据!$BH$1,公区维修!$B$5:$B$404,"&lt;="&amp;辅助数据!$BI$1)+COUNTIFS(公区维修!$G$5:$G$404,$A3,公区维修!$N$5:$N$404,"不满意",公区维修!$B$5:$B$404,"&gt;="&amp;辅助数据!$BH$1,公区维修!$B$5:$B$404,"&lt;="&amp;辅助数据!$BI$1)+COUNTIFS(公区维修!$H$5:$H$404,$A3,公区维修!$N$5:$N$404,"不满意",公区维修!$B$5:$B$404,"&gt;="&amp;辅助数据!$BH$1,公区维修!$B$5:$B$404,"&lt;="&amp;辅助数据!$BI$1)</f>
        <v>0</v>
      </c>
      <c r="BY3" s="68" t="n">
        <f aca="false">SUM($BU3:$BX3)</f>
        <v>0</v>
      </c>
      <c r="BZ3" s="68" t="n">
        <f aca="false">$BS3+$BR3/1000</f>
        <v>0</v>
      </c>
      <c r="CA3" s="68" t="n">
        <f aca="false">RANK($BZ3,$BZ$1:$BZ$5)+COUNTIF($BZ$1:$BZ3,$BZ3)-1</f>
        <v>4</v>
      </c>
      <c r="CB3" s="68" t="n">
        <f aca="false">IF($BY3=0,-1,($BU3*100+$BV3*80+$BW3*60)/$BY3+$BY3/1000)</f>
        <v>-1</v>
      </c>
      <c r="CC3" s="68" t="n">
        <f aca="false">RANK($CB3,$CB$1:$CB$5)+COUNTIF($CB$1:$CB3,$CB3)-1</f>
        <v>3</v>
      </c>
      <c r="CD3" s="68" t="n">
        <f aca="false">COUNTIFS(入户维修!$F$5:$F$404,$A3,入户维修!$E$5:$E$404,"?*",入户维修!$B$5:$B$404,"&gt;="&amp;辅助数据!$BH$2,入户维修!$B$5:$B$404,"&lt;="&amp;辅助数据!$BI$2)+COUNTIFS(入户维修!$G$5:$G$404,$A3,入户维修!$E$5:$E$404,"?*",入户维修!$B$5:$B$404,"&gt;="&amp;辅助数据!$BH$2,入户维修!$B$5:$B$404,"&lt;="&amp;辅助数据!$BI$2)+COUNTIFS(入户维修!$H$5:$H$404,$A3,入户维修!$E$5:$E$404,"?*",入户维修!$B$5:$B$404,"&gt;="&amp;辅助数据!$BH$2,入户维修!$B$5:$B$404,"&lt;="&amp;辅助数据!$BI$2)+COUNTIFS(公区维修!$F$5:$F$404,$A3,公区维修!$E$5:$E$404,"?*",公区维修!$B$5:$B$404,"&gt;="&amp;辅助数据!$BH$2,公区维修!$B$5:$B$404,"&lt;="&amp;辅助数据!$BI$2)+COUNTIFS(公区维修!$G$5:$G$404,$A3,公区维修!$E$5:$E$404,"?*",公区维修!$B$5:$B$404,"&gt;="&amp;辅助数据!$BH$2,公区维修!$B$5:$B$404,"&lt;="&amp;辅助数据!$BI$2)+COUNTIFS(公区维修!$H$5:$H$404,$A3,公区维修!$E$5:$E$404,"?*",公区维修!$B$5:$B$404,"&gt;="&amp;辅助数据!$BH$2,公区维修!$B$5:$B$404,"&lt;="&amp;辅助数据!$BI$2)</f>
        <v>1</v>
      </c>
      <c r="CE3" s="68" t="n">
        <f aca="false">COUNTIFS(入户维修!$F$5:$F$404,$A3,入户维修!$K$5:$K$404,"已完成",入户维修!$B$5:$B$404,"&gt;="&amp;辅助数据!$BH$2,入户维修!$B$5:$B$404,"&lt;="&amp;辅助数据!$BI$2)+COUNTIFS(入户维修!$G$5:$G$404,$A3,入户维修!$K$5:$K$404,"已完成",入户维修!$B$5:$B$404,"&gt;="&amp;辅助数据!$BH$2,入户维修!$B$5:$B$404,"&lt;="&amp;辅助数据!$BI$2)+COUNTIFS(入户维修!$H$5:$H$404,$A3,入户维修!$K$5:$K$404,"已完成",入户维修!$B$5:$B$404,"&gt;="&amp;辅助数据!$BH$2,入户维修!$B$5:$B$404,"&lt;="&amp;辅助数据!$BI$2)+COUNTIFS(公区维修!$F$5:$F$404,$A3,公区维修!$K$5:$K$404,"已完成",公区维修!$B$5:$B$404,"&gt;="&amp;辅助数据!$BH$2,公区维修!$B$5:$B$404,"&lt;="&amp;辅助数据!$BI$2)+COUNTIFS(公区维修!$G$5:$G$404,$A3,公区维修!$K$5:$K$404,"已完成",公区维修!$B$5:$B$404,"&gt;="&amp;辅助数据!$BH$2,公区维修!$B$5:$B$404,"&lt;="&amp;辅助数据!$BI$2)+COUNTIFS(公区维修!$H$5:$H$404,$A3,公区维修!$K$5:$K$404,"已完成",公区维修!$B$5:$B$404,"&gt;="&amp;辅助数据!$BH$2,公区维修!$B$5:$B$404,"&lt;="&amp;辅助数据!$BI$2)</f>
        <v>1</v>
      </c>
      <c r="CF3" s="68" t="n">
        <f aca="false">COUNTIFS(入户维修!$F$5:$F$404,$A3,入户维修!$K$5:$K$404,"跟进中",入户维修!$B$5:$B$404,"&gt;="&amp;辅助数据!$BH$2,入户维修!$B$5:$B$404,"&lt;="&amp;辅助数据!$BI$2)+COUNTIFS(入户维修!$G$5:$G$404,$A3,入户维修!$K$5:$K$404,"跟进中",入户维修!$B$5:$B$404,"&gt;="&amp;辅助数据!$BH$2,入户维修!$B$5:$B$404,"&lt;="&amp;辅助数据!$BI$2)+COUNTIFS(入户维修!$H$5:$H$404,$A3,入户维修!$K$5:$K$404,"跟进中",入户维修!$B$5:$B$404,"&gt;="&amp;辅助数据!$BH$2,入户维修!$B$5:$B$404,"&lt;="&amp;辅助数据!$BI$2)+COUNTIFS(公区维修!$F$5:$F$404,$A3,公区维修!$K$5:$K$404,"跟进中",公区维修!$B$5:$B$404,"&gt;="&amp;辅助数据!$BH$2,公区维修!$B$5:$B$404,"&lt;="&amp;辅助数据!$BI$2)+COUNTIFS(公区维修!$G$5:$G$404,$A3,公区维修!$K$5:$K$404,"跟进中",公区维修!$B$5:$B$404,"&gt;="&amp;辅助数据!$BH$2,公区维修!$B$5:$B$404,"&lt;="&amp;辅助数据!$BI$2)+COUNTIFS(公区维修!$H$5:$H$404,$A3,公区维修!$K$5:$K$404,"跟进中",公区维修!$B$5:$B$404,"&gt;="&amp;辅助数据!$BH$2,公区维修!$B$5:$B$404,"&lt;="&amp;辅助数据!$BI$2)</f>
        <v>0</v>
      </c>
      <c r="CG3" s="68" t="n">
        <f aca="false">COUNTIFS(入户维修!$F$5:$F$404,$A3,入户维修!$O$5:$O$404,"非常满意",入户维修!$B$5:$B$404,"&gt;="&amp;辅助数据!$BH$2,入户维修!$B$5:$B$404,"&lt;="&amp;辅助数据!$BI$2)+COUNTIFS(入户维修!$G$5:$G$404,$A3,入户维修!$O$5:$O$404,"非常满意",入户维修!$B$5:$B$404,"&gt;="&amp;辅助数据!$BH$2,入户维修!$B$5:$B$404,"&lt;="&amp;辅助数据!$BI$2)+COUNTIFS(入户维修!$H$5:$H$404,$A3,入户维修!$O$5:$O$404,"非常满意",入户维修!$B$5:$B$404,"&gt;="&amp;辅助数据!$BH$2,入户维修!$B$5:$B$404,"&lt;="&amp;辅助数据!$BI$2)+COUNTIFS(公区维修!$F$5:$F$404,$A3,公区维修!$N$5:$N$404,"非常满意",公区维修!$B$5:$B$404,"&gt;="&amp;辅助数据!$BH$2,公区维修!$B$5:$B$404,"&lt;="&amp;辅助数据!$BI$2)+COUNTIFS(公区维修!$G$5:$G$404,$A3,公区维修!$N$5:$N$404,"非常满意",公区维修!$B$5:$B$404,"&gt;="&amp;辅助数据!$BH$2,公区维修!$B$5:$B$404,"&lt;="&amp;辅助数据!$BI$2)+COUNTIFS(公区维修!$H$5:$H$404,$A3,公区维修!$N$5:$N$404,"非常满意",公区维修!$B$5:$B$404,"&gt;="&amp;辅助数据!$BH$2,公区维修!$B$5:$B$404,"&lt;="&amp;辅助数据!$BI$2)</f>
        <v>0</v>
      </c>
      <c r="CH3" s="68" t="n">
        <f aca="false">COUNTIFS(入户维修!$F$5:$F$404,$A3,入户维修!$O$5:$O$404,"满意",入户维修!$B$5:$B$404,"&gt;="&amp;辅助数据!$BH$2,入户维修!$B$5:$B$404,"&lt;="&amp;辅助数据!$BI$2)+COUNTIFS(入户维修!$G$5:$G$404,$A3,入户维修!$O$5:$O$404,"满意",入户维修!$B$5:$B$404,"&gt;="&amp;辅助数据!$BH$2,入户维修!$B$5:$B$404,"&lt;="&amp;辅助数据!$BI$2)+COUNTIFS(入户维修!$H$5:$H$404,$A3,入户维修!$O$5:$O$404,"满意",入户维修!$B$5:$B$404,"&gt;="&amp;辅助数据!$BH$2,入户维修!$B$5:$B$404,"&lt;="&amp;辅助数据!$BI$2)+COUNTIFS(公区维修!$F$5:$F$404,$A3,公区维修!$N$5:$N$404,"满意",公区维修!$B$5:$B$404,"&gt;="&amp;辅助数据!$BH$2,公区维修!$B$5:$B$404,"&lt;="&amp;辅助数据!$BI$2)+COUNTIFS(公区维修!$G$5:$G$404,$A3,公区维修!$N$5:$N$404,"满意",公区维修!$B$5:$B$404,"&gt;="&amp;辅助数据!$BH$2,公区维修!$B$5:$B$404,"&lt;="&amp;辅助数据!$BI$2)+COUNTIFS(公区维修!$H$5:$H$404,$A3,公区维修!$N$5:$N$404,"满意",公区维修!$B$5:$B$404,"&gt;="&amp;辅助数据!$BH$2,公区维修!$B$5:$B$404,"&lt;="&amp;辅助数据!$BI$2)</f>
        <v>1</v>
      </c>
      <c r="CI3" s="68" t="n">
        <f aca="false">COUNTIFS(入户维修!$F$5:$F$404,$A3,入户维修!$O$5:$O$404,"一般",入户维修!$B$5:$B$404,"&gt;="&amp;辅助数据!$BH$2,入户维修!$B$5:$B$404,"&lt;="&amp;辅助数据!$BI$2)+COUNTIFS(入户维修!$G$5:$G$404,$A3,入户维修!$O$5:$O$404,"一般",入户维修!$B$5:$B$404,"&gt;="&amp;辅助数据!$BH$2,入户维修!$B$5:$B$404,"&lt;="&amp;辅助数据!$BI$2)+COUNTIFS(入户维修!$H$5:$H$404,$A3,入户维修!$O$5:$O$404,"一般",入户维修!$B$5:$B$404,"&gt;="&amp;辅助数据!$BH$2,入户维修!$B$5:$B$404,"&lt;="&amp;辅助数据!$BI$2)+COUNTIFS(公区维修!$F$5:$F$404,$A3,公区维修!$N$5:$N$404,"一般",公区维修!$B$5:$B$404,"&gt;="&amp;辅助数据!$BH$2,公区维修!$B$5:$B$404,"&lt;="&amp;辅助数据!$BI$2)+COUNTIFS(公区维修!$G$5:$G$404,$A3,公区维修!$N$5:$N$404,"一般",公区维修!$B$5:$B$404,"&gt;="&amp;辅助数据!$BH$2,公区维修!$B$5:$B$404,"&lt;="&amp;辅助数据!$BI$2)+COUNTIFS(公区维修!$H$5:$H$404,$A3,公区维修!$N$5:$N$404,"一般",公区维修!$B$5:$B$404,"&gt;="&amp;辅助数据!$BH$2,公区维修!$B$5:$B$404,"&lt;="&amp;辅助数据!$BI$2)</f>
        <v>0</v>
      </c>
      <c r="CJ3" s="68" t="n">
        <f aca="false">COUNTIFS(入户维修!$F$5:$F$404,$A3,入户维修!$O$5:$O$404,"不满意",入户维修!$B$5:$B$404,"&gt;="&amp;辅助数据!$BH$2,入户维修!$B$5:$B$404,"&lt;="&amp;辅助数据!$BI$2)+COUNTIFS(入户维修!$G$5:$G$404,$A3,入户维修!$O$5:$O$404,"不满意",入户维修!$B$5:$B$404,"&gt;="&amp;辅助数据!$BH$2,入户维修!$B$5:$B$404,"&lt;="&amp;辅助数据!$BI$2)+COUNTIFS(入户维修!$H$5:$H$404,$A3,入户维修!$O$5:$O$404,"不满意",入户维修!$B$5:$B$404,"&gt;="&amp;辅助数据!$BH$2,入户维修!$B$5:$B$404,"&lt;="&amp;辅助数据!$BI$2)+COUNTIFS(公区维修!$F$5:$F$404,$A3,公区维修!$N$5:$N$404,"不满意",公区维修!$B$5:$B$404,"&gt;="&amp;辅助数据!$BH$2,公区维修!$B$5:$B$404,"&lt;="&amp;辅助数据!$BI$2)+COUNTIFS(公区维修!$G$5:$G$404,$A3,公区维修!$N$5:$N$404,"不满意",公区维修!$B$5:$B$404,"&gt;="&amp;辅助数据!$BH$2,公区维修!$B$5:$B$404,"&lt;="&amp;辅助数据!$BI$2)+COUNTIFS(公区维修!$H$5:$H$404,$A3,公区维修!$N$5:$N$404,"不满意",公区维修!$B$5:$B$404,"&gt;="&amp;辅助数据!$BH$2,公区维修!$B$5:$B$404,"&lt;="&amp;辅助数据!$BI$2)</f>
        <v>0</v>
      </c>
      <c r="CK3" s="68" t="n">
        <f aca="false">SUM($CG3:$CJ3)</f>
        <v>1</v>
      </c>
      <c r="CL3" s="68" t="n">
        <f aca="false">$CE3+$CD3/1000</f>
        <v>1.001</v>
      </c>
      <c r="CM3" s="68" t="n">
        <f aca="false">RANK($CL3,$CL$1:$CL$5)+COUNTIF($CL$1:$CL3,$CL3)-1</f>
        <v>5</v>
      </c>
      <c r="CN3" s="68" t="n">
        <f aca="false">IF($CK3=0,-1,($CG3*100+$CH3*80+$CI3*60)/$CK3+$CK3/1000)</f>
        <v>80.001</v>
      </c>
      <c r="CO3" s="68" t="n">
        <f aca="false">RANK($CN3,$CN$1:$CN$5)+COUNTIF($CN$1:$CN3,$CN3)-1</f>
        <v>4</v>
      </c>
      <c r="CP3" s="68" t="n">
        <f aca="false">COUNTIFS(入户维修!$F$5:$F$404,$A3,入户维修!$E$5:$E$404,"?*",入户维修!$B$5:$B$404,"&gt;="&amp;辅助数据!$BH$3,入户维修!$B$5:$B$404,"&lt;="&amp;辅助数据!$BI$3)+COUNTIFS(入户维修!$G$5:$G$404,$A3,入户维修!$E$5:$E$404,"?*",入户维修!$B$5:$B$404,"&gt;="&amp;辅助数据!$BH$3,入户维修!$B$5:$B$404,"&lt;="&amp;辅助数据!$BI$3)+COUNTIFS(入户维修!$H$5:$H$404,$A3,入户维修!$E$5:$E$404,"?*",入户维修!$B$5:$B$404,"&gt;="&amp;辅助数据!$BH$3,入户维修!$B$5:$B$404,"&lt;="&amp;辅助数据!$BI$3)+COUNTIFS(公区维修!$F$5:$F$404,$A3,公区维修!$E$5:$E$404,"?*",公区维修!$B$5:$B$404,"&gt;="&amp;辅助数据!$BH$3,公区维修!$B$5:$B$404,"&lt;="&amp;辅助数据!$BI$3)+COUNTIFS(公区维修!$G$5:$G$404,$A3,公区维修!$E$5:$E$404,"?*",公区维修!$B$5:$B$404,"&gt;="&amp;辅助数据!$BH$3,公区维修!$B$5:$B$404,"&lt;="&amp;辅助数据!$BI$3)+COUNTIFS(公区维修!$H$5:$H$404,$A3,公区维修!$E$5:$E$404,"?*",公区维修!$B$5:$B$404,"&gt;="&amp;辅助数据!$BH$3,公区维修!$B$5:$B$404,"&lt;="&amp;辅助数据!$BI$3)</f>
        <v>4</v>
      </c>
      <c r="CQ3" s="68" t="n">
        <f aca="false">COUNTIFS(入户维修!$F$5:$F$404,$A3,入户维修!$K$5:$K$404,"已完成",入户维修!$B$5:$B$404,"&gt;="&amp;辅助数据!$BH$3,入户维修!$B$5:$B$404,"&lt;="&amp;辅助数据!$BI$3)+COUNTIFS(入户维修!$G$5:$G$404,$A3,入户维修!$K$5:$K$404,"已完成",入户维修!$B$5:$B$404,"&gt;="&amp;辅助数据!$BH$3,入户维修!$B$5:$B$404,"&lt;="&amp;辅助数据!$BI$3)+COUNTIFS(入户维修!$H$5:$H$404,$A3,入户维修!$K$5:$K$404,"已完成",入户维修!$B$5:$B$404,"&gt;="&amp;辅助数据!$BH$3,入户维修!$B$5:$B$404,"&lt;="&amp;辅助数据!$BI$3)+COUNTIFS(公区维修!$F$5:$F$404,$A3,公区维修!$K$5:$K$404,"已完成",公区维修!$B$5:$B$404,"&gt;="&amp;辅助数据!$BH$3,公区维修!$B$5:$B$404,"&lt;="&amp;辅助数据!$BI$3)+COUNTIFS(公区维修!$G$5:$G$404,$A3,公区维修!$K$5:$K$404,"已完成",公区维修!$B$5:$B$404,"&gt;="&amp;辅助数据!$BH$3,公区维修!$B$5:$B$404,"&lt;="&amp;辅助数据!$BI$3)+COUNTIFS(公区维修!$H$5:$H$404,$A3,公区维修!$K$5:$K$404,"已完成",公区维修!$B$5:$B$404,"&gt;="&amp;辅助数据!$BH$3,公区维修!$B$5:$B$404,"&lt;="&amp;辅助数据!$BI$3)</f>
        <v>4</v>
      </c>
      <c r="CR3" s="68" t="n">
        <f aca="false">COUNTIFS(入户维修!$F$5:$F$404,$A3,入户维修!$K$5:$K$404,"跟进中",入户维修!$B$5:$B$404,"&gt;="&amp;辅助数据!$BH$3,入户维修!$B$5:$B$404,"&lt;="&amp;辅助数据!$BI$3)+COUNTIFS(入户维修!$G$5:$G$404,$A3,入户维修!$K$5:$K$404,"跟进中",入户维修!$B$5:$B$404,"&gt;="&amp;辅助数据!$BH$3,入户维修!$B$5:$B$404,"&lt;="&amp;辅助数据!$BI$3)+COUNTIFS(入户维修!$H$5:$H$404,$A3,入户维修!$K$5:$K$404,"跟进中",入户维修!$B$5:$B$404,"&gt;="&amp;辅助数据!$BH$3,入户维修!$B$5:$B$404,"&lt;="&amp;辅助数据!$BI$3)+COUNTIFS(公区维修!$F$5:$F$404,$A3,公区维修!$K$5:$K$404,"跟进中",公区维修!$B$5:$B$404,"&gt;="&amp;辅助数据!$BH$3,公区维修!$B$5:$B$404,"&lt;="&amp;辅助数据!$BI$3)+COUNTIFS(公区维修!$G$5:$G$404,$A3,公区维修!$K$5:$K$404,"跟进中",公区维修!$B$5:$B$404,"&gt;="&amp;辅助数据!$BH$3,公区维修!$B$5:$B$404,"&lt;="&amp;辅助数据!$BI$3)+COUNTIFS(公区维修!$H$5:$H$404,$A3,公区维修!$K$5:$K$404,"跟进中",公区维修!$B$5:$B$404,"&gt;="&amp;辅助数据!$BH$3,公区维修!$B$5:$B$404,"&lt;="&amp;辅助数据!$BI$3)</f>
        <v>0</v>
      </c>
      <c r="CS3" s="68" t="n">
        <f aca="false">COUNTIFS(入户维修!$F$5:$F$404,$A3,入户维修!$O$5:$O$404,"非常满意",入户维修!$B$5:$B$404,"&gt;="&amp;辅助数据!$BH$3,入户维修!$B$5:$B$404,"&lt;="&amp;辅助数据!$BI$3)+COUNTIFS(入户维修!$G$5:$G$404,$A3,入户维修!$O$5:$O$404,"非常满意",入户维修!$B$5:$B$404,"&gt;="&amp;辅助数据!$BH$3,入户维修!$B$5:$B$404,"&lt;="&amp;辅助数据!$BI$3)+COUNTIFS(入户维修!$H$5:$H$404,$A3,入户维修!$O$5:$O$404,"非常满意",入户维修!$B$5:$B$404,"&gt;="&amp;辅助数据!$BH$3,入户维修!$B$5:$B$404,"&lt;="&amp;辅助数据!$BI$3)+COUNTIFS(公区维修!$F$5:$F$404,$A3,公区维修!$N$5:$N$404,"非常满意",公区维修!$B$5:$B$404,"&gt;="&amp;辅助数据!$BH$3,公区维修!$B$5:$B$404,"&lt;="&amp;辅助数据!$BI$3)+COUNTIFS(公区维修!$G$5:$G$404,$A3,公区维修!$N$5:$N$404,"非常满意",公区维修!$B$5:$B$404,"&gt;="&amp;辅助数据!$BH$3,公区维修!$B$5:$B$404,"&lt;="&amp;辅助数据!$BI$3)+COUNTIFS(公区维修!$H$5:$H$404,$A3,公区维修!$N$5:$N$404,"非常满意",公区维修!$B$5:$B$404,"&gt;="&amp;辅助数据!$BH$3,公区维修!$B$5:$B$404,"&lt;="&amp;辅助数据!$BI$3)</f>
        <v>3</v>
      </c>
      <c r="CT3" s="68" t="n">
        <f aca="false">COUNTIFS(入户维修!$F$5:$F$404,$A3,入户维修!$O$5:$O$404,"满意",入户维修!$B$5:$B$404,"&gt;="&amp;辅助数据!$BH$3,入户维修!$B$5:$B$404,"&lt;="&amp;辅助数据!$BI$3)+COUNTIFS(入户维修!$G$5:$G$404,$A3,入户维修!$O$5:$O$404,"满意",入户维修!$B$5:$B$404,"&gt;="&amp;辅助数据!$BH$3,入户维修!$B$5:$B$404,"&lt;="&amp;辅助数据!$BI$3)+COUNTIFS(入户维修!$H$5:$H$404,$A3,入户维修!$O$5:$O$404,"满意",入户维修!$B$5:$B$404,"&gt;="&amp;辅助数据!$BH$3,入户维修!$B$5:$B$404,"&lt;="&amp;辅助数据!$BI$3)+COUNTIFS(公区维修!$F$5:$F$404,$A3,公区维修!$N$5:$N$404,"满意",公区维修!$B$5:$B$404,"&gt;="&amp;辅助数据!$BH$3,公区维修!$B$5:$B$404,"&lt;="&amp;辅助数据!$BI$3)+COUNTIFS(公区维修!$G$5:$G$404,$A3,公区维修!$N$5:$N$404,"满意",公区维修!$B$5:$B$404,"&gt;="&amp;辅助数据!$BH$3,公区维修!$B$5:$B$404,"&lt;="&amp;辅助数据!$BI$3)+COUNTIFS(公区维修!$H$5:$H$404,$A3,公区维修!$N$5:$N$404,"满意",公区维修!$B$5:$B$404,"&gt;="&amp;辅助数据!$BH$3,公区维修!$B$5:$B$404,"&lt;="&amp;辅助数据!$BI$3)</f>
        <v>1</v>
      </c>
      <c r="CU3" s="68" t="n">
        <f aca="false">COUNTIFS(入户维修!$F$5:$F$404,$A3,入户维修!$O$5:$O$404,"一般",入户维修!$B$5:$B$404,"&gt;="&amp;辅助数据!$BH$3,入户维修!$B$5:$B$404,"&lt;="&amp;辅助数据!$BI$3)+COUNTIFS(入户维修!$G$5:$G$404,$A3,入户维修!$O$5:$O$404,"一般",入户维修!$B$5:$B$404,"&gt;="&amp;辅助数据!$BH$3,入户维修!$B$5:$B$404,"&lt;="&amp;辅助数据!$BI$3)+COUNTIFS(入户维修!$H$5:$H$404,$A3,入户维修!$O$5:$O$404,"一般",入户维修!$B$5:$B$404,"&gt;="&amp;辅助数据!$BH$3,入户维修!$B$5:$B$404,"&lt;="&amp;辅助数据!$BI$3)+COUNTIFS(公区维修!$F$5:$F$404,$A3,公区维修!$N$5:$N$404,"一般",公区维修!$B$5:$B$404,"&gt;="&amp;辅助数据!$BH$3,公区维修!$B$5:$B$404,"&lt;="&amp;辅助数据!$BI$3)+COUNTIFS(公区维修!$G$5:$G$404,$A3,公区维修!$N$5:$N$404,"一般",公区维修!$B$5:$B$404,"&gt;="&amp;辅助数据!$BH$3,公区维修!$B$5:$B$404,"&lt;="&amp;辅助数据!$BI$3)+COUNTIFS(公区维修!$H$5:$H$404,$A3,公区维修!$N$5:$N$404,"一般",公区维修!$B$5:$B$404,"&gt;="&amp;辅助数据!$BH$3,公区维修!$B$5:$B$404,"&lt;="&amp;辅助数据!$BI$3)</f>
        <v>0</v>
      </c>
      <c r="CV3" s="68" t="n">
        <f aca="false">COUNTIFS(入户维修!$F$5:$F$404,$A3,入户维修!$O$5:$O$404,"不满意",入户维修!$B$5:$B$404,"&gt;="&amp;辅助数据!$BH$3,入户维修!$B$5:$B$404,"&lt;="&amp;辅助数据!$BI$3)+COUNTIFS(入户维修!$G$5:$G$404,$A3,入户维修!$O$5:$O$404,"不满意",入户维修!$B$5:$B$404,"&gt;="&amp;辅助数据!$BH$3,入户维修!$B$5:$B$404,"&lt;="&amp;辅助数据!$BI$3)+COUNTIFS(入户维修!$H$5:$H$404,$A3,入户维修!$O$5:$O$404,"不满意",入户维修!$B$5:$B$404,"&gt;="&amp;辅助数据!$BH$3,入户维修!$B$5:$B$404,"&lt;="&amp;辅助数据!$BI$3)+COUNTIFS(公区维修!$F$5:$F$404,$A3,公区维修!$N$5:$N$404,"不满意",公区维修!$B$5:$B$404,"&gt;="&amp;辅助数据!$BH$3,公区维修!$B$5:$B$404,"&lt;="&amp;辅助数据!$BI$3)+COUNTIFS(公区维修!$G$5:$G$404,$A3,公区维修!$N$5:$N$404,"不满意",公区维修!$B$5:$B$404,"&gt;="&amp;辅助数据!$BH$3,公区维修!$B$5:$B$404,"&lt;="&amp;辅助数据!$BI$3)+COUNTIFS(公区维修!$H$5:$H$404,$A3,公区维修!$N$5:$N$404,"不满意",公区维修!$B$5:$B$404,"&gt;="&amp;辅助数据!$BH$3,公区维修!$B$5:$B$404,"&lt;="&amp;辅助数据!$BI$3)</f>
        <v>0</v>
      </c>
      <c r="CW3" s="68" t="n">
        <f aca="false">SUM($CS3:$CV3)</f>
        <v>4</v>
      </c>
      <c r="CX3" s="68" t="n">
        <f aca="false">$CQ3+$CP3/1000</f>
        <v>4.004</v>
      </c>
      <c r="CY3" s="68" t="n">
        <f aca="false">RANK($CX3,$CX$1:$CX$5)+COUNTIF($CX$1:$CX3,$CX3)-1</f>
        <v>4</v>
      </c>
      <c r="CZ3" s="68" t="n">
        <f aca="false">IF($CW3=0,-1,($CS3*100+$CT3*80+$CU3*60)/$CW3+$CW3/1000)</f>
        <v>95.004</v>
      </c>
      <c r="DA3" s="68" t="n">
        <f aca="false">RANK($CZ3,$CZ$1:$CZ$5)+COUNTIF($CZ$1:$CZ3,$CZ3)-1</f>
        <v>5</v>
      </c>
      <c r="DB3" s="68" t="e">
        <f aca="false">COUNTIFS(入户维修!$F$5:$F$404,$A3,入户维修!$E$5:$E$404,"?*",入户维修!$B$5:$B$404,"&gt;="&amp;辅助数据!$BJ$1,入户维修!$B$5:$B$404,"&lt;="&amp;辅助数据!$BK$1)+COUNTIFS(入户维修!$G$5:$G$404,$A3,入户维修!$E$5:$E$404,"?*",入户维修!$B$5:$B$404,"&gt;="&amp;辅助数据!$BJ$1,入户维修!$B$5:$B$404,"&lt;="&amp;辅助数据!$BK$1)+COUNTIFS(入户维修!$H$5:$H$404,$A3,入户维修!$E$5:$E$404,"?*",入户维修!$B$5:$B$404,"&gt;="&amp;辅助数据!$BJ$1,入户维修!$B$5:$B$404,"&lt;="&amp;辅助数据!$BK$1)</f>
        <v>#REF!</v>
      </c>
      <c r="DC3" s="68" t="e">
        <f aca="false">COUNTIFS(入户维修!$F$5:$F$404,$A3,入户维修!$K$5:$K$404,"已完成",入户维修!$B$5:$B$404,"&gt;="&amp;辅助数据!$BJ$1,入户维修!$B$5:$B$404,"&lt;="&amp;辅助数据!$BK$1)+COUNTIFS(入户维修!$G$5:$G$404,$A3,入户维修!$K$5:$K$404,"已完成",入户维修!$B$5:$B$404,"&gt;="&amp;辅助数据!$BJ$1,入户维修!$B$5:$B$404,"&lt;="&amp;辅助数据!$BK$1)+COUNTIFS(入户维修!$H$5:$H$404,$A3,入户维修!$K$5:$K$404,"已完成",入户维修!$B$5:$B$404,"&gt;="&amp;辅助数据!$BJ$1,入户维修!$B$5:$B$404,"&lt;="&amp;辅助数据!$BK$1)</f>
        <v>#REF!</v>
      </c>
      <c r="DD3" s="68" t="e">
        <f aca="false">COUNTIFS(入户维修!$F$5:$F$404,$A3,入户维修!$K$5:$K$404,"跟进中",入户维修!$B$5:$B$404,"&gt;="&amp;辅助数据!$BJ$1,入户维修!$B$5:$B$404,"&lt;="&amp;辅助数据!$BK$1)+COUNTIFS(入户维修!$G$5:$G$404,$A3,入户维修!$K$5:$K$404,"跟进中",入户维修!$B$5:$B$404,"&gt;="&amp;辅助数据!$BJ$1,入户维修!$B$5:$B$404,"&lt;="&amp;辅助数据!$BK$1)+COUNTIFS(入户维修!$H$5:$H$404,$A3,入户维修!$K$5:$K$404,"跟进中",入户维修!$B$5:$B$404,"&gt;="&amp;辅助数据!$BJ$1,入户维修!$B$5:$B$404,"&lt;="&amp;辅助数据!$BK$1)</f>
        <v>#REF!</v>
      </c>
      <c r="DE3" s="68" t="e">
        <f aca="false">COUNTIFS(入户维修!$F$5:$F$404,$A3,入户维修!$O$5:$O$404,"非常满意",入户维修!$B$5:$B$404,"&gt;="&amp;辅助数据!$BJ$1,入户维修!$B$5:$B$404,"&lt;="&amp;辅助数据!$BK$1)+COUNTIFS(入户维修!$G$5:$G$404,$A3,入户维修!$O$5:$O$404,"非常满意",入户维修!$B$5:$B$404,"&gt;="&amp;辅助数据!$BJ$1,入户维修!$B$5:$B$404,"&lt;="&amp;辅助数据!$BK$1)+COUNTIFS(入户维修!$H$5:$H$404,$A3,入户维修!$O$5:$O$404,"非常满意",入户维修!$B$5:$B$404,"&gt;="&amp;辅助数据!$BJ$1,入户维修!$B$5:$B$404,"&lt;="&amp;辅助数据!$BK$1)</f>
        <v>#REF!</v>
      </c>
      <c r="DF3" s="68" t="e">
        <f aca="false">COUNTIFS(入户维修!$F$5:$F$404,$A3,入户维修!$O$5:$O$404,"满意",入户维修!$B$5:$B$404,"&gt;="&amp;辅助数据!$BJ$1,入户维修!$B$5:$B$404,"&lt;="&amp;辅助数据!$BK$1)+COUNTIFS(入户维修!$G$5:$G$404,$A3,入户维修!$O$5:$O$404,"满意",入户维修!$B$5:$B$404,"&gt;="&amp;辅助数据!$BJ$1,入户维修!$B$5:$B$404,"&lt;="&amp;辅助数据!$BK$1)+COUNTIFS(入户维修!$H$5:$H$404,$A3,入户维修!$O$5:$O$404,"满意",入户维修!$B$5:$B$404,"&gt;="&amp;辅助数据!$BJ$1,入户维修!$B$5:$B$404,"&lt;="&amp;辅助数据!$BK$1)</f>
        <v>#REF!</v>
      </c>
      <c r="DG3" s="68" t="e">
        <f aca="false">COUNTIFS(入户维修!$F$5:$F$404,$A3,入户维修!$O$5:$O$404,"一般",入户维修!$B$5:$B$404,"&gt;="&amp;辅助数据!$BJ$1,入户维修!$B$5:$B$404,"&lt;="&amp;辅助数据!$BK$1)+COUNTIFS(入户维修!$G$5:$G$404,$A3,入户维修!$O$5:$O$404,"一般",入户维修!$B$5:$B$404,"&gt;="&amp;辅助数据!$BJ$1,入户维修!$B$5:$B$404,"&lt;="&amp;辅助数据!$BK$1)+COUNTIFS(入户维修!$H$5:$H$404,$A3,入户维修!$O$5:$O$404,"一般",入户维修!$B$5:$B$404,"&gt;="&amp;辅助数据!$BJ$1,入户维修!$B$5:$B$404,"&lt;="&amp;辅助数据!$BK$1)</f>
        <v>#REF!</v>
      </c>
      <c r="DH3" s="68" t="e">
        <f aca="false">COUNTIFS(入户维修!$F$5:$F$404,$A3,入户维修!$O$5:$O$404,"不满意",入户维修!$B$5:$B$404,"&gt;="&amp;辅助数据!$BJ$1,入户维修!$B$5:$B$404,"&lt;="&amp;辅助数据!$BK$1)+COUNTIFS(入户维修!$G$5:$G$404,$A3,入户维修!$O$5:$O$404,"不满意",入户维修!$B$5:$B$404,"&gt;="&amp;辅助数据!$BJ$1,入户维修!$B$5:$B$404,"&lt;="&amp;辅助数据!$BK$1)+COUNTIFS(入户维修!$H$5:$H$404,$A3,入户维修!$O$5:$O$404,"不满意",入户维修!$B$5:$B$404,"&gt;="&amp;辅助数据!$BJ$1,入户维修!$B$5:$B$404,"&lt;="&amp;辅助数据!$BK$1)</f>
        <v>#REF!</v>
      </c>
      <c r="DI3" s="68" t="e">
        <f aca="false">SUM($DE3:$DH3)</f>
        <v>#REF!</v>
      </c>
      <c r="DJ3" s="68" t="e">
        <f aca="false">$DC3+$DB3/1000</f>
        <v>#REF!</v>
      </c>
      <c r="DK3" s="68" t="e">
        <f aca="false">RANK($DJ3,$DJ$1:$DJ$5)+COUNTIF($DJ$1:$DJ3,$DJ3)-1</f>
        <v>#REF!</v>
      </c>
      <c r="DL3" s="68" t="e">
        <f aca="false">IF($DI3=0,-1,($DE3*100+$DF3*80+$DG3*60)/$DI3+$DI3/1000)</f>
        <v>#REF!</v>
      </c>
      <c r="DM3" s="68" t="e">
        <f aca="false">RANK($DL3,$DL$1:$DL$5)+COUNTIF($DL$1:$DL3,$DL3)-1</f>
        <v>#REF!</v>
      </c>
      <c r="DN3" s="68" t="e">
        <f aca="false">COUNTIFS(入户维修!$F$5:$F$404,$A3,入户维修!$E$5:$E$404,"?*",入户维修!$B$5:$B$404,"&gt;="&amp;辅助数据!$BJ$2,入户维修!$B$5:$B$404,"&lt;="&amp;辅助数据!$BK$2)+COUNTIFS(入户维修!$G$5:$G$404,$A3,入户维修!$E$5:$E$404,"?*",入户维修!$B$5:$B$404,"&gt;="&amp;辅助数据!$BJ$2,入户维修!$B$5:$B$404,"&lt;="&amp;辅助数据!$BK$2)+COUNTIFS(入户维修!$H$5:$H$404,$A3,入户维修!$E$5:$E$404,"?*",入户维修!$B$5:$B$404,"&gt;="&amp;辅助数据!$BJ$2,入户维修!$B$5:$B$404,"&lt;="&amp;辅助数据!$BK$2)</f>
        <v>#REF!</v>
      </c>
      <c r="DO3" s="68" t="e">
        <f aca="false">COUNTIFS(入户维修!$F$5:$F$404,$A3,入户维修!$K$5:$K$404,"已完成",入户维修!$B$5:$B$404,"&gt;="&amp;辅助数据!$BJ$2,入户维修!$B$5:$B$404,"&lt;="&amp;辅助数据!$BK$2)+COUNTIFS(入户维修!$G$5:$G$404,$A3,入户维修!$K$5:$K$404,"已完成",入户维修!$B$5:$B$404,"&gt;="&amp;辅助数据!$BJ$2,入户维修!$B$5:$B$404,"&lt;="&amp;辅助数据!$BK$2)+COUNTIFS(入户维修!$H$5:$H$404,$A3,入户维修!$K$5:$K$404,"已完成",入户维修!$B$5:$B$404,"&gt;="&amp;辅助数据!$BJ$2,入户维修!$B$5:$B$404,"&lt;="&amp;辅助数据!$BK$2)</f>
        <v>#REF!</v>
      </c>
      <c r="DP3" s="68" t="e">
        <f aca="false">COUNTIFS(入户维修!$F$5:$F$404,$A3,入户维修!$K$5:$K$404,"跟进中",入户维修!$B$5:$B$404,"&gt;="&amp;辅助数据!$BJ$2,入户维修!$B$5:$B$404,"&lt;="&amp;辅助数据!$BK$2)+COUNTIFS(入户维修!$G$5:$G$404,$A3,入户维修!$K$5:$K$404,"跟进中",入户维修!$B$5:$B$404,"&gt;="&amp;辅助数据!$BJ$2,入户维修!$B$5:$B$404,"&lt;="&amp;辅助数据!$BK$2)+COUNTIFS(入户维修!$H$5:$H$404,$A3,入户维修!$K$5:$K$404,"跟进中",入户维修!$B$5:$B$404,"&gt;="&amp;辅助数据!$BJ$2,入户维修!$B$5:$B$404,"&lt;="&amp;辅助数据!$BK$2)</f>
        <v>#REF!</v>
      </c>
      <c r="DQ3" s="68" t="e">
        <f aca="false">COUNTIFS(入户维修!$F$5:$F$404,$A3,入户维修!$O$5:$O$404,"非常满意",入户维修!$B$5:$B$404,"&gt;="&amp;辅助数据!$BJ$2,入户维修!$B$5:$B$404,"&lt;="&amp;辅助数据!$BK$2)+COUNTIFS(入户维修!$G$5:$G$404,$A3,入户维修!$O$5:$O$404,"非常满意",入户维修!$B$5:$B$404,"&gt;="&amp;辅助数据!$BJ$2,入户维修!$B$5:$B$404,"&lt;="&amp;辅助数据!$BK$2)+COUNTIFS(入户维修!$H$5:$H$404,$A3,入户维修!$O$5:$O$404,"非常满意",入户维修!$B$5:$B$404,"&gt;="&amp;辅助数据!$BJ$2,入户维修!$B$5:$B$404,"&lt;="&amp;辅助数据!$BK$2)</f>
        <v>#REF!</v>
      </c>
      <c r="DR3" s="68" t="e">
        <f aca="false">COUNTIFS(入户维修!$F$5:$F$404,$A3,入户维修!$O$5:$O$404,"满意",入户维修!$B$5:$B$404,"&gt;="&amp;辅助数据!$BJ$2,入户维修!$B$5:$B$404,"&lt;="&amp;辅助数据!$BK$2)+COUNTIFS(入户维修!$G$5:$G$404,$A3,入户维修!$O$5:$O$404,"满意",入户维修!$B$5:$B$404,"&gt;="&amp;辅助数据!$BJ$2,入户维修!$B$5:$B$404,"&lt;="&amp;辅助数据!$BK$2)+COUNTIFS(入户维修!$H$5:$H$404,$A3,入户维修!$O$5:$O$404,"满意",入户维修!$B$5:$B$404,"&gt;="&amp;辅助数据!$BJ$2,入户维修!$B$5:$B$404,"&lt;="&amp;辅助数据!$BK$2)</f>
        <v>#REF!</v>
      </c>
      <c r="DS3" s="68" t="e">
        <f aca="false">COUNTIFS(入户维修!$F$5:$F$404,$A3,入户维修!$O$5:$O$404,"一般",入户维修!$B$5:$B$404,"&gt;="&amp;辅助数据!$BJ$2,入户维修!$B$5:$B$404,"&lt;="&amp;辅助数据!$BK$2)+COUNTIFS(入户维修!$G$5:$G$404,$A3,入户维修!$O$5:$O$404,"一般",入户维修!$B$5:$B$404,"&gt;="&amp;辅助数据!$BJ$2,入户维修!$B$5:$B$404,"&lt;="&amp;辅助数据!$BK$2)+COUNTIFS(入户维修!$H$5:$H$404,$A3,入户维修!$O$5:$O$404,"一般",入户维修!$B$5:$B$404,"&gt;="&amp;辅助数据!$BJ$2,入户维修!$B$5:$B$404,"&lt;="&amp;辅助数据!$BK$2)</f>
        <v>#REF!</v>
      </c>
      <c r="DT3" s="68" t="e">
        <f aca="false">COUNTIFS(入户维修!$F$5:$F$404,$A3,入户维修!$O$5:$O$404,"不满意",入户维修!$B$5:$B$404,"&gt;="&amp;辅助数据!$BJ$2,入户维修!$B$5:$B$404,"&lt;="&amp;辅助数据!$BK$2)+COUNTIFS(入户维修!$G$5:$G$404,$A3,入户维修!$O$5:$O$404,"不满意",入户维修!$B$5:$B$404,"&gt;="&amp;辅助数据!$BJ$2,入户维修!$B$5:$B$404,"&lt;="&amp;辅助数据!$BK$2)+COUNTIFS(入户维修!$H$5:$H$404,$A3,入户维修!$O$5:$O$404,"不满意",入户维修!$B$5:$B$404,"&gt;="&amp;辅助数据!$BJ$2,入户维修!$B$5:$B$404,"&lt;="&amp;辅助数据!$BK$2)</f>
        <v>#REF!</v>
      </c>
      <c r="DU3" s="68" t="e">
        <f aca="false">SUM($DQ3:$DT3)</f>
        <v>#REF!</v>
      </c>
      <c r="DV3" s="68" t="e">
        <f aca="false">$DO3+$DN3/1000</f>
        <v>#REF!</v>
      </c>
      <c r="DW3" s="68" t="e">
        <f aca="false">RANK($DV3,$DV$1:$DV$5)+COUNTIF($DV$1:$DV3,$DV3)-1</f>
        <v>#REF!</v>
      </c>
      <c r="DX3" s="68" t="e">
        <f aca="false">IF($DU3=0,-1,($DQ3*100+$DR3*80+$DS3*60)/$DU3+$DU3/1000)</f>
        <v>#REF!</v>
      </c>
      <c r="DY3" s="68" t="e">
        <f aca="false">RANK($DX3,$DX$1:$DX$5)+COUNTIF($DX$1:$DX3,$DX3)-1</f>
        <v>#REF!</v>
      </c>
      <c r="DZ3" s="68" t="e">
        <f aca="false">COUNTIFS(入户维修!$F$5:$F$404,$A3,入户维修!$E$5:$E$404,"?*",入户维修!$B$5:$B$404,"&gt;="&amp;辅助数据!$BJ$3,入户维修!$B$5:$B$404,"&lt;="&amp;辅助数据!$BK$3)+COUNTIFS(入户维修!$G$5:$G$404,$A3,入户维修!$E$5:$E$404,"?*",入户维修!$B$5:$B$404,"&gt;="&amp;辅助数据!$BJ$3,入户维修!$B$5:$B$404,"&lt;="&amp;辅助数据!$BK$3)+COUNTIFS(入户维修!$H$5:$H$404,$A3,入户维修!$E$5:$E$404,"?*",入户维修!$B$5:$B$404,"&gt;="&amp;辅助数据!$BJ$3,入户维修!$B$5:$B$404,"&lt;="&amp;辅助数据!$BK$3)</f>
        <v>#REF!</v>
      </c>
      <c r="EA3" s="68" t="e">
        <f aca="false">COUNTIFS(入户维修!$F$5:$F$404,$A3,入户维修!$K$5:$K$404,"已完成",入户维修!$B$5:$B$404,"&gt;="&amp;辅助数据!$BJ$3,入户维修!$B$5:$B$404,"&lt;="&amp;辅助数据!$BK$3)+COUNTIFS(入户维修!$G$5:$G$404,$A3,入户维修!$K$5:$K$404,"已完成",入户维修!$B$5:$B$404,"&gt;="&amp;辅助数据!$BJ$3,入户维修!$B$5:$B$404,"&lt;="&amp;辅助数据!$BK$3)+COUNTIFS(入户维修!$H$5:$H$404,$A3,入户维修!$K$5:$K$404,"已完成",入户维修!$B$5:$B$404,"&gt;="&amp;辅助数据!$BJ$3,入户维修!$B$5:$B$404,"&lt;="&amp;辅助数据!$BK$3)</f>
        <v>#REF!</v>
      </c>
      <c r="EB3" s="68" t="e">
        <f aca="false">COUNTIFS(入户维修!$F$5:$F$404,$A3,入户维修!$K$5:$K$404,"跟进中",入户维修!$B$5:$B$404,"&gt;="&amp;辅助数据!$BJ$3,入户维修!$B$5:$B$404,"&lt;="&amp;辅助数据!$BK$3)+COUNTIFS(入户维修!$G$5:$G$404,$A3,入户维修!$K$5:$K$404,"跟进中",入户维修!$B$5:$B$404,"&gt;="&amp;辅助数据!$BJ$3,入户维修!$B$5:$B$404,"&lt;="&amp;辅助数据!$BK$3)+COUNTIFS(入户维修!$H$5:$H$404,$A3,入户维修!$K$5:$K$404,"跟进中",入户维修!$B$5:$B$404,"&gt;="&amp;辅助数据!$BJ$3,入户维修!$B$5:$B$404,"&lt;="&amp;辅助数据!$BK$3)</f>
        <v>#REF!</v>
      </c>
      <c r="EC3" s="68" t="e">
        <f aca="false">COUNTIFS(入户维修!$F$5:$F$404,$A3,入户维修!$O$5:$O$404,"非常满意",入户维修!$B$5:$B$404,"&gt;="&amp;辅助数据!$BJ$3,入户维修!$B$5:$B$404,"&lt;="&amp;辅助数据!$BK$3)+COUNTIFS(入户维修!$G$5:$G$404,$A3,入户维修!$O$5:$O$404,"非常满意",入户维修!$B$5:$B$404,"&gt;="&amp;辅助数据!$BJ$3,入户维修!$B$5:$B$404,"&lt;="&amp;辅助数据!$BK$3)+COUNTIFS(入户维修!$H$5:$H$404,$A3,入户维修!$O$5:$O$404,"非常满意",入户维修!$B$5:$B$404,"&gt;="&amp;辅助数据!$BJ$3,入户维修!$B$5:$B$404,"&lt;="&amp;辅助数据!$BK$3)</f>
        <v>#REF!</v>
      </c>
      <c r="ED3" s="68" t="e">
        <f aca="false">COUNTIFS(入户维修!$F$5:$F$404,$A3,入户维修!$O$5:$O$404,"满意",入户维修!$B$5:$B$404,"&gt;="&amp;辅助数据!$BJ$3,入户维修!$B$5:$B$404,"&lt;="&amp;辅助数据!$BK$3)+COUNTIFS(入户维修!$G$5:$G$404,$A3,入户维修!$O$5:$O$404,"满意",入户维修!$B$5:$B$404,"&gt;="&amp;辅助数据!$BJ$3,入户维修!$B$5:$B$404,"&lt;="&amp;辅助数据!$BK$3)+COUNTIFS(入户维修!$H$5:$H$404,$A3,入户维修!$O$5:$O$404,"满意",入户维修!$B$5:$B$404,"&gt;="&amp;辅助数据!$BJ$3,入户维修!$B$5:$B$404,"&lt;="&amp;辅助数据!$BK$3)</f>
        <v>#REF!</v>
      </c>
      <c r="EE3" s="68" t="e">
        <f aca="false">COUNTIFS(入户维修!$F$5:$F$404,$A3,入户维修!$O$5:$O$404,"一般",入户维修!$B$5:$B$404,"&gt;="&amp;辅助数据!$BJ$3,入户维修!$B$5:$B$404,"&lt;="&amp;辅助数据!$BK$3)+COUNTIFS(入户维修!$G$5:$G$404,$A3,入户维修!$O$5:$O$404,"一般",入户维修!$B$5:$B$404,"&gt;="&amp;辅助数据!$BJ$3,入户维修!$B$5:$B$404,"&lt;="&amp;辅助数据!$BK$3)+COUNTIFS(入户维修!$H$5:$H$404,$A3,入户维修!$O$5:$O$404,"一般",入户维修!$B$5:$B$404,"&gt;="&amp;辅助数据!$BJ$3,入户维修!$B$5:$B$404,"&lt;="&amp;辅助数据!$BK$3)</f>
        <v>#REF!</v>
      </c>
      <c r="EF3" s="68" t="e">
        <f aca="false">COUNTIFS(入户维修!$F$5:$F$404,$A3,入户维修!$O$5:$O$404,"不满意",入户维修!$B$5:$B$404,"&gt;="&amp;辅助数据!$BJ$3,入户维修!$B$5:$B$404,"&lt;="&amp;辅助数据!$BK$3)+COUNTIFS(入户维修!$G$5:$G$404,$A3,入户维修!$O$5:$O$404,"不满意",入户维修!$B$5:$B$404,"&gt;="&amp;辅助数据!$BJ$3,入户维修!$B$5:$B$404,"&lt;="&amp;辅助数据!$BK$3)+COUNTIFS(入户维修!$H$5:$H$404,$A3,入户维修!$O$5:$O$404,"不满意",入户维修!$B$5:$B$404,"&gt;="&amp;辅助数据!$BJ$3,入户维修!$B$5:$B$404,"&lt;="&amp;辅助数据!$BK$3)</f>
        <v>#REF!</v>
      </c>
      <c r="EG3" s="68" t="e">
        <f aca="false">SUM($EC3:$EF3)</f>
        <v>#REF!</v>
      </c>
      <c r="EH3" s="68" t="e">
        <f aca="false">$EA3+$DZ3/1000</f>
        <v>#REF!</v>
      </c>
      <c r="EI3" s="68" t="e">
        <f aca="false">RANK($EH3,$EH$1:$EH$5)+COUNTIF($EH$1:$EH3,$EH3)-1</f>
        <v>#REF!</v>
      </c>
      <c r="EJ3" s="68" t="e">
        <f aca="false">IF($EG3=0,-1,($EC3*100+$ED3*80+$EE3*60)/$EG3+$EG3/1000)</f>
        <v>#REF!</v>
      </c>
      <c r="EK3" s="68" t="e">
        <f aca="false">RANK($EJ3,$EJ$1:$EJ$5)+COUNTIF($EJ$1:$EJ3,$EJ3)-1</f>
        <v>#REF!</v>
      </c>
      <c r="EL3" s="68" t="e">
        <f aca="false">COUNTIFS(公区维修!$F$5:$F$404,$A3,公区维修!$E$5:$E$404,"?*",公区维修!$B$5:$B$404,"&gt;="&amp;辅助数据!$BL$1,公区维修!$B$5:$B$404,"&lt;="&amp;辅助数据!$BM$1)+COUNTIFS(公区维修!$G$5:$G$404,$A3,公区维修!$E$5:$E$404,"?*",公区维修!$B$5:$B$404,"&gt;="&amp;辅助数据!$BL$1,公区维修!$B$5:$B$404,"&lt;="&amp;辅助数据!$BM$1)+COUNTIFS(公区维修!$H$5:$H$404,$A3,公区维修!$E$5:$E$404,"?*",公区维修!$B$5:$B$404,"&gt;="&amp;辅助数据!$BL$1,公区维修!$B$5:$B$404,"&lt;="&amp;辅助数据!$BM$1)</f>
        <v>#REF!</v>
      </c>
      <c r="EM3" s="68" t="e">
        <f aca="false">COUNTIFS(公区维修!$F$5:$F$404,$A3,公区维修!$K$5:$K$404,"已完成",公区维修!$B$5:$B$404,"&gt;="&amp;辅助数据!$BL$1,公区维修!$B$5:$B$404,"&lt;="&amp;辅助数据!$BM$1)+COUNTIFS(公区维修!$G$5:$G$404,$A3,公区维修!$K$5:$K$404,"已完成",公区维修!$B$5:$B$404,"&gt;="&amp;辅助数据!$BL$1,公区维修!$B$5:$B$404,"&lt;="&amp;辅助数据!$BM$1)+COUNTIFS(公区维修!$H$5:$H$404,$A3,公区维修!$K$5:$K$404,"已完成",公区维修!$B$5:$B$404,"&gt;="&amp;辅助数据!$BL$1,公区维修!$B$5:$B$404,"&lt;="&amp;辅助数据!$BM$1)</f>
        <v>#REF!</v>
      </c>
      <c r="EN3" s="68" t="e">
        <f aca="false">COUNTIFS(公区维修!$F$5:$F$404,$A3,公区维修!$K$5:$K$404,"跟进中",公区维修!$B$5:$B$404,"&gt;="&amp;辅助数据!$BL$1,公区维修!$B$5:$B$404,"&lt;="&amp;辅助数据!$BM$1)+COUNTIFS(公区维修!$G$5:$G$404,$A3,公区维修!$K$5:$K$404,"跟进中",公区维修!$B$5:$B$404,"&gt;="&amp;辅助数据!$BL$1,公区维修!$B$5:$B$404,"&lt;="&amp;辅助数据!$BM$1)+COUNTIFS(公区维修!$H$5:$H$404,$A3,公区维修!$K$5:$K$404,"跟进中",公区维修!$B$5:$B$404,"&gt;="&amp;辅助数据!$BL$1,公区维修!$B$5:$B$404,"&lt;="&amp;辅助数据!$BM$1)</f>
        <v>#REF!</v>
      </c>
      <c r="EO3" s="68" t="e">
        <f aca="false">COUNTIFS(公区维修!$F$5:$F$404,$A3,公区维修!$N$5:$N$404,"非常满意",公区维修!$B$5:$B$404,"&gt;="&amp;辅助数据!$BL$1,公区维修!$B$5:$B$404,"&lt;="&amp;辅助数据!$BM$1)+COUNTIFS(公区维修!$G$5:$G$404,$A3,公区维修!$N$5:$N$404,"非常满意",公区维修!$B$5:$B$404,"&gt;="&amp;辅助数据!$BL$1,公区维修!$B$5:$B$404,"&lt;="&amp;辅助数据!$BM$1)+COUNTIFS(公区维修!$H$5:$H$404,$A3,公区维修!$N$5:$N$404,"非常满意",公区维修!$B$5:$B$404,"&gt;="&amp;辅助数据!$BL$1,公区维修!$B$5:$B$404,"&lt;="&amp;辅助数据!$BM$1)</f>
        <v>#REF!</v>
      </c>
      <c r="EP3" s="68" t="e">
        <f aca="false">COUNTIFS(公区维修!$F$5:$F$404,$A3,公区维修!$N$5:$N$404,"满意",公区维修!$B$5:$B$404,"&gt;="&amp;辅助数据!$BL$1,公区维修!$B$5:$B$404,"&lt;="&amp;辅助数据!$BM$1)+COUNTIFS(公区维修!$G$5:$G$404,$A3,公区维修!$N$5:$N$404,"满意",公区维修!$B$5:$B$404,"&gt;="&amp;辅助数据!$BL$1,公区维修!$B$5:$B$404,"&lt;="&amp;辅助数据!$BM$1)+COUNTIFS(公区维修!$H$5:$H$404,$A3,公区维修!$N$5:$N$404,"满意",公区维修!$B$5:$B$404,"&gt;="&amp;辅助数据!$BL$1,公区维修!$B$5:$B$404,"&lt;="&amp;辅助数据!$BM$1)</f>
        <v>#REF!</v>
      </c>
      <c r="EQ3" s="68" t="e">
        <f aca="false">COUNTIFS(公区维修!$F$5:$F$404,$A3,公区维修!$N$5:$N$404,"一般",公区维修!$B$5:$B$404,"&gt;="&amp;辅助数据!$BL$1,公区维修!$B$5:$B$404,"&lt;="&amp;辅助数据!$BM$1)+COUNTIFS(公区维修!$G$5:$G$404,$A3,公区维修!$N$5:$N$404,"一般",公区维修!$B$5:$B$404,"&gt;="&amp;辅助数据!$BL$1,公区维修!$B$5:$B$404,"&lt;="&amp;辅助数据!$BM$1)+COUNTIFS(公区维修!$H$5:$H$404,$A3,公区维修!$N$5:$N$404,"一般",公区维修!$B$5:$B$404,"&gt;="&amp;辅助数据!$BL$1,公区维修!$B$5:$B$404,"&lt;="&amp;辅助数据!$BM$1)</f>
        <v>#REF!</v>
      </c>
      <c r="ER3" s="68" t="e">
        <f aca="false">COUNTIFS(公区维修!$F$5:$F$404,$A3,公区维修!$N$5:$N$404,"不满意",公区维修!$B$5:$B$404,"&gt;="&amp;辅助数据!$BL$1,公区维修!$B$5:$B$404,"&lt;="&amp;辅助数据!$BM$1)+COUNTIFS(公区维修!$G$5:$G$404,$A3,公区维修!$N$5:$N$404,"不满意",公区维修!$B$5:$B$404,"&gt;="&amp;辅助数据!$BL$1,公区维修!$B$5:$B$404,"&lt;="&amp;辅助数据!$BM$1)+COUNTIFS(公区维修!$H$5:$H$404,$A3,公区维修!$N$5:$N$404,"不满意",公区维修!$B$5:$B$404,"&gt;="&amp;辅助数据!$BL$1,公区维修!$B$5:$B$404,"&lt;="&amp;辅助数据!$BM$1)</f>
        <v>#REF!</v>
      </c>
      <c r="ES3" s="68" t="e">
        <f aca="false">SUM($EO3:$ER3)</f>
        <v>#REF!</v>
      </c>
      <c r="ET3" s="68" t="e">
        <f aca="false">$EM3+$EL3/1000</f>
        <v>#REF!</v>
      </c>
      <c r="EU3" s="68" t="e">
        <f aca="false">RANK($ET3,$ET$1:$ET$5)+COUNTIF($ET$1:$ET3,$ET3)-1</f>
        <v>#REF!</v>
      </c>
      <c r="EV3" s="68" t="e">
        <f aca="false">IF($ES3=0,-1,($EO3*100+$EP3*80+$EQ3*60)/$ES3+$ES3/1000)</f>
        <v>#REF!</v>
      </c>
      <c r="EW3" s="68" t="e">
        <f aca="false">RANK($EV3,$EV$1:$EV$5)+COUNTIF($EV$1:$EV3,$EV3)-1</f>
        <v>#REF!</v>
      </c>
      <c r="EX3" s="68" t="e">
        <f aca="false">COUNTIFS(公区维修!$F$5:$F$404,$A3,公区维修!$E$5:$E$404,"?*",公区维修!$B$5:$B$404,"&gt;="&amp;辅助数据!$BL$2,公区维修!$B$5:$B$404,"&lt;="&amp;辅助数据!$BM$2)+COUNTIFS(公区维修!$G$5:$G$404,$A3,公区维修!$E$5:$E$404,"?*",公区维修!$B$5:$B$404,"&gt;="&amp;辅助数据!$BL$2,公区维修!$B$5:$B$404,"&lt;="&amp;辅助数据!$BM$2)+COUNTIFS(公区维修!$H$5:$H$404,$A3,公区维修!$E$5:$E$404,"?*",公区维修!$B$5:$B$404,"&gt;="&amp;辅助数据!$BL$2,公区维修!$B$5:$B$404,"&lt;="&amp;辅助数据!$BM$2)</f>
        <v>#REF!</v>
      </c>
      <c r="EY3" s="68" t="e">
        <f aca="false">COUNTIFS(公区维修!$F$5:$F$404,$A3,公区维修!$K$5:$K$404,"已完成",公区维修!$B$5:$B$404,"&gt;="&amp;辅助数据!$BL$2,公区维修!$B$5:$B$404,"&lt;="&amp;辅助数据!$BM$2)+COUNTIFS(公区维修!$G$5:$G$404,$A3,公区维修!$K$5:$K$404,"已完成",公区维修!$B$5:$B$404,"&gt;="&amp;辅助数据!$BL$2,公区维修!$B$5:$B$404,"&lt;="&amp;辅助数据!$BM$2)+COUNTIFS(公区维修!$H$5:$H$404,$A3,公区维修!$K$5:$K$404,"已完成",公区维修!$B$5:$B$404,"&gt;="&amp;辅助数据!$BL$2,公区维修!$B$5:$B$404,"&lt;="&amp;辅助数据!$BM$2)</f>
        <v>#REF!</v>
      </c>
      <c r="EZ3" s="68" t="e">
        <f aca="false">COUNTIFS(公区维修!$F$5:$F$404,$A3,公区维修!$K$5:$K$404,"跟进中",公区维修!$B$5:$B$404,"&gt;="&amp;辅助数据!$BL$2,公区维修!$B$5:$B$404,"&lt;="&amp;辅助数据!$BM$2)+COUNTIFS(公区维修!$G$5:$G$404,$A3,公区维修!$K$5:$K$404,"跟进中",公区维修!$B$5:$B$404,"&gt;="&amp;辅助数据!$BL$2,公区维修!$B$5:$B$404,"&lt;="&amp;辅助数据!$BM$2)+COUNTIFS(公区维修!$H$5:$H$404,$A3,公区维修!$K$5:$K$404,"跟进中",公区维修!$B$5:$B$404,"&gt;="&amp;辅助数据!$BL$2,公区维修!$B$5:$B$404,"&lt;="&amp;辅助数据!$BM$2)</f>
        <v>#REF!</v>
      </c>
      <c r="FA3" s="68" t="e">
        <f aca="false">COUNTIFS(公区维修!$F$5:$F$404,$A3,公区维修!$N$5:$N$404,"非常满意",公区维修!$B$5:$B$404,"&gt;="&amp;辅助数据!$BL$2,公区维修!$B$5:$B$404,"&lt;="&amp;辅助数据!$BM$2)+COUNTIFS(公区维修!$G$5:$G$404,$A3,公区维修!$N$5:$N$404,"非常满意",公区维修!$B$5:$B$404,"&gt;="&amp;辅助数据!$BL$2,公区维修!$B$5:$B$404,"&lt;="&amp;辅助数据!$BM$2)+COUNTIFS(公区维修!$H$5:$H$404,$A3,公区维修!$N$5:$N$404,"非常满意",公区维修!$B$5:$B$404,"&gt;="&amp;辅助数据!$BL$2,公区维修!$B$5:$B$404,"&lt;="&amp;辅助数据!$BM$2)</f>
        <v>#REF!</v>
      </c>
      <c r="FB3" s="68" t="e">
        <f aca="false">COUNTIFS(公区维修!$F$5:$F$404,$A3,公区维修!$N$5:$N$404,"满意",公区维修!$B$5:$B$404,"&gt;="&amp;辅助数据!$BL$2,公区维修!$B$5:$B$404,"&lt;="&amp;辅助数据!$BM$2)+COUNTIFS(公区维修!$G$5:$G$404,$A3,公区维修!$N$5:$N$404,"满意",公区维修!$B$5:$B$404,"&gt;="&amp;辅助数据!$BL$2,公区维修!$B$5:$B$404,"&lt;="&amp;辅助数据!$BM$2)+COUNTIFS(公区维修!$H$5:$H$404,$A3,公区维修!$N$5:$N$404,"满意",公区维修!$B$5:$B$404,"&gt;="&amp;辅助数据!$BL$2,公区维修!$B$5:$B$404,"&lt;="&amp;辅助数据!$BM$2)</f>
        <v>#REF!</v>
      </c>
      <c r="FC3" s="68" t="e">
        <f aca="false">COUNTIFS(公区维修!$F$5:$F$404,$A3,公区维修!$N$5:$N$404,"一般",公区维修!$B$5:$B$404,"&gt;="&amp;辅助数据!$BL$2,公区维修!$B$5:$B$404,"&lt;="&amp;辅助数据!$BM$2)+COUNTIFS(公区维修!$G$5:$G$404,$A3,公区维修!$N$5:$N$404,"一般",公区维修!$B$5:$B$404,"&gt;="&amp;辅助数据!$BL$2,公区维修!$B$5:$B$404,"&lt;="&amp;辅助数据!$BM$2)+COUNTIFS(公区维修!$H$5:$H$404,$A3,公区维修!$N$5:$N$404,"一般",公区维修!$B$5:$B$404,"&gt;="&amp;辅助数据!$BL$2,公区维修!$B$5:$B$404,"&lt;="&amp;辅助数据!$BM$2)</f>
        <v>#REF!</v>
      </c>
      <c r="FD3" s="68" t="e">
        <f aca="false">COUNTIFS(公区维修!$F$5:$F$404,$A3,公区维修!$N$5:$N$404,"不满意",公区维修!$B$5:$B$404,"&gt;="&amp;辅助数据!$BL$2,公区维修!$B$5:$B$404,"&lt;="&amp;辅助数据!$BM$2)+COUNTIFS(公区维修!$G$5:$G$404,$A3,公区维修!$N$5:$N$404,"不满意",公区维修!$B$5:$B$404,"&gt;="&amp;辅助数据!$BL$2,公区维修!$B$5:$B$404,"&lt;="&amp;辅助数据!$BM$2)+COUNTIFS(公区维修!$H$5:$H$404,$A3,公区维修!$N$5:$N$404,"不满意",公区维修!$B$5:$B$404,"&gt;="&amp;辅助数据!$BL$2,公区维修!$B$5:$B$404,"&lt;="&amp;辅助数据!$BM$2)</f>
        <v>#REF!</v>
      </c>
      <c r="FE3" s="68" t="e">
        <f aca="false">SUM($FA3:$FD3)</f>
        <v>#REF!</v>
      </c>
      <c r="FF3" s="68" t="e">
        <f aca="false">$EY3+$EX3/1000</f>
        <v>#REF!</v>
      </c>
      <c r="FG3" s="68" t="e">
        <f aca="false">RANK($FF3,$FF$1:$FF$5)+COUNTIF($FF$1:$FF3,$FF3)-1</f>
        <v>#REF!</v>
      </c>
      <c r="FH3" s="68" t="e">
        <f aca="false">IF($FE3=0,-1,($FA3*100+$FB3*80+$FC3*60)/$FE3+$FE3/1000)</f>
        <v>#REF!</v>
      </c>
      <c r="FI3" s="68" t="e">
        <f aca="false">RANK($FH3,$FH$1:$FH$5)+COUNTIF($FH$1:$FH3,$FH3)-1</f>
        <v>#REF!</v>
      </c>
      <c r="FJ3" s="68" t="e">
        <f aca="false">COUNTIFS(公区维修!$F$5:$F$404,$A3,公区维修!$E$5:$E$404,"?*",公区维修!$B$5:$B$404,"&gt;="&amp;辅助数据!$BL$3,公区维修!$B$5:$B$404,"&lt;="&amp;辅助数据!$BM$3)+COUNTIFS(公区维修!$G$5:$G$404,$A3,公区维修!$E$5:$E$404,"?*",公区维修!$B$5:$B$404,"&gt;="&amp;辅助数据!$BL$3,公区维修!$B$5:$B$404,"&lt;="&amp;辅助数据!$BM$3)+COUNTIFS(公区维修!$H$5:$H$404,$A3,公区维修!$E$5:$E$404,"?*",公区维修!$B$5:$B$404,"&gt;="&amp;辅助数据!$BL$3,公区维修!$B$5:$B$404,"&lt;="&amp;辅助数据!$BM$3)</f>
        <v>#REF!</v>
      </c>
      <c r="FK3" s="68" t="e">
        <f aca="false">COUNTIFS(公区维修!$F$5:$F$404,$A3,公区维修!$K$5:$K$404,"已完成",公区维修!$B$5:$B$404,"&gt;="&amp;辅助数据!$BL$3,公区维修!$B$5:$B$404,"&lt;="&amp;辅助数据!$BM$3)+COUNTIFS(公区维修!$G$5:$G$404,$A3,公区维修!$K$5:$K$404,"已完成",公区维修!$B$5:$B$404,"&gt;="&amp;辅助数据!$BL$3,公区维修!$B$5:$B$404,"&lt;="&amp;辅助数据!$BM$3)+COUNTIFS(公区维修!$H$5:$H$404,$A3,公区维修!$K$5:$K$404,"已完成",公区维修!$B$5:$B$404,"&gt;="&amp;辅助数据!$BL$3,公区维修!$B$5:$B$404,"&lt;="&amp;辅助数据!$BM$3)</f>
        <v>#REF!</v>
      </c>
      <c r="FL3" s="68" t="e">
        <f aca="false">COUNTIFS(公区维修!$F$5:$F$404,$A3,公区维修!$K$5:$K$404,"跟进中",公区维修!$B$5:$B$404,"&gt;="&amp;辅助数据!$BL$3,公区维修!$B$5:$B$404,"&lt;="&amp;辅助数据!$BM$3)+COUNTIFS(公区维修!$G$5:$G$404,$A3,公区维修!$K$5:$K$404,"跟进中",公区维修!$B$5:$B$404,"&gt;="&amp;辅助数据!$BL$3,公区维修!$B$5:$B$404,"&lt;="&amp;辅助数据!$BM$3)+COUNTIFS(公区维修!$H$5:$H$404,$A3,公区维修!$K$5:$K$404,"跟进中",公区维修!$B$5:$B$404,"&gt;="&amp;辅助数据!$BL$3,公区维修!$B$5:$B$404,"&lt;="&amp;辅助数据!$BM$3)</f>
        <v>#REF!</v>
      </c>
      <c r="FM3" s="68" t="e">
        <f aca="false">COUNTIFS(公区维修!$F$5:$F$404,$A3,公区维修!$N$5:$N$404,"非常满意",公区维修!$B$5:$B$404,"&gt;="&amp;辅助数据!$BL$3,公区维修!$B$5:$B$404,"&lt;="&amp;辅助数据!$BM$3)+COUNTIFS(公区维修!$G$5:$G$404,$A3,公区维修!$N$5:$N$404,"非常满意",公区维修!$B$5:$B$404,"&gt;="&amp;辅助数据!$BL$3,公区维修!$B$5:$B$404,"&lt;="&amp;辅助数据!$BM$3)+COUNTIFS(公区维修!$H$5:$H$404,$A3,公区维修!$N$5:$N$404,"非常满意",公区维修!$B$5:$B$404,"&gt;="&amp;辅助数据!$BL$3,公区维修!$B$5:$B$404,"&lt;="&amp;辅助数据!$BM$3)</f>
        <v>#REF!</v>
      </c>
      <c r="FN3" s="68" t="e">
        <f aca="false">COUNTIFS(公区维修!$F$5:$F$404,$A3,公区维修!$N$5:$N$404,"满意",公区维修!$B$5:$B$404,"&gt;="&amp;辅助数据!$BL$3,公区维修!$B$5:$B$404,"&lt;="&amp;辅助数据!$BM$3)+COUNTIFS(公区维修!$G$5:$G$404,$A3,公区维修!$N$5:$N$404,"满意",公区维修!$B$5:$B$404,"&gt;="&amp;辅助数据!$BL$3,公区维修!$B$5:$B$404,"&lt;="&amp;辅助数据!$BM$3)+COUNTIFS(公区维修!$H$5:$H$404,$A3,公区维修!$N$5:$N$404,"满意",公区维修!$B$5:$B$404,"&gt;="&amp;辅助数据!$BL$3,公区维修!$B$5:$B$404,"&lt;="&amp;辅助数据!$BM$3)</f>
        <v>#REF!</v>
      </c>
      <c r="FO3" s="68" t="e">
        <f aca="false">COUNTIFS(公区维修!$F$5:$F$404,$A3,公区维修!$N$5:$N$404,"一般",公区维修!$B$5:$B$404,"&gt;="&amp;辅助数据!$BL$3,公区维修!$B$5:$B$404,"&lt;="&amp;辅助数据!$BM$3)+COUNTIFS(公区维修!$G$5:$G$404,$A3,公区维修!$N$5:$N$404,"一般",公区维修!$B$5:$B$404,"&gt;="&amp;辅助数据!$BL$3,公区维修!$B$5:$B$404,"&lt;="&amp;辅助数据!$BM$3)+COUNTIFS(公区维修!$H$5:$H$404,$A3,公区维修!$N$5:$N$404,"一般",公区维修!$B$5:$B$404,"&gt;="&amp;辅助数据!$BL$3,公区维修!$B$5:$B$404,"&lt;="&amp;辅助数据!$BM$3)</f>
        <v>#REF!</v>
      </c>
      <c r="FP3" s="68" t="e">
        <f aca="false">COUNTIFS(公区维修!$F$5:$F$404,$A3,公区维修!$N$5:$N$404,"不满意",公区维修!$B$5:$B$404,"&gt;="&amp;辅助数据!$BL$3,公区维修!$B$5:$B$404,"&lt;="&amp;辅助数据!$BM$3)+COUNTIFS(公区维修!$G$5:$G$404,$A3,公区维修!$N$5:$N$404,"不满意",公区维修!$B$5:$B$404,"&gt;="&amp;辅助数据!$BL$3,公区维修!$B$5:$B$404,"&lt;="&amp;辅助数据!$BM$3)+COUNTIFS(公区维修!$H$5:$H$404,$A3,公区维修!$N$5:$N$404,"不满意",公区维修!$B$5:$B$404,"&gt;="&amp;辅助数据!$BL$3,公区维修!$B$5:$B$404,"&lt;="&amp;辅助数据!$BM$3)</f>
        <v>#REF!</v>
      </c>
      <c r="FQ3" s="68" t="e">
        <f aca="false">SUM($FM3:$FP3)</f>
        <v>#REF!</v>
      </c>
      <c r="FR3" s="68" t="e">
        <f aca="false">$FK3+$FJ3/1000</f>
        <v>#REF!</v>
      </c>
      <c r="FS3" s="68" t="e">
        <f aca="false">RANK($FR3,$FR$1:$FR$5)+COUNTIF($FR$1:$FR3,$FR3)-1</f>
        <v>#REF!</v>
      </c>
      <c r="FT3" s="68" t="e">
        <f aca="false">IF($FQ3=0,-1,($FM3*100+$FN3*80+$FO3*60)/$FQ3+$FQ3/1000)</f>
        <v>#REF!</v>
      </c>
      <c r="FU3" s="68" t="e">
        <f aca="false">RANK($FT3,$FT$1:$FT$5)+COUNTIF($FT$1:$FT3,$FT3)-1</f>
        <v>#REF!</v>
      </c>
      <c r="FY3" s="69" t="n">
        <f aca="false">IFERROR(MATCH(3,$FW$5:$FW$404,0),"")</f>
        <v>6</v>
      </c>
      <c r="GA3" s="69" t="n">
        <f aca="false">COUNTIFS(入户维修!$F$5:$F$404,$A3,入户维修!$K$5:$K$404,"跟进中")+COUNTIFS(入户维修!$G$5:$G$404,$A3,入户维修!$K$5:$K$404,"跟进中")+COUNTIFS(入户维修!$H$5:$H$404,$A3,入户维修!$K$5:$K$404,"跟进中")</f>
        <v>0</v>
      </c>
      <c r="GB3" s="69" t="n">
        <f aca="false">COUNTIFS(公区维修!$F$5:$F$404,$A3,公区维修!$K$5:$K$404,"跟进中")+COUNTIFS(公区维修!$G$5:$G$404,$A3,公区维修!$K$5:$K$404,"跟进中")+COUNTIFS(公区维修!$H$5:$H$404,$A3,公区维修!$K$5:$K$404,"跟进中")</f>
        <v>1</v>
      </c>
    </row>
    <row r="4" customFormat="false" ht="15" hidden="false" customHeight="true" outlineLevel="0" collapsed="false">
      <c r="A4" s="68" t="s">
        <v>103</v>
      </c>
      <c r="B4" s="68" t="n">
        <f aca="false">IF(COUNTIFS(入户维修!$F$5:$F$404,$A4,入户维修!$K$5:$K$404,"跟进中")+COUNTIFS(入户维修!$G$5:$G$404,$A4,入户维修!$K$5:$K$404,"跟进中")+COUNTIFS(入户维修!$H$5:$H$404,$A4,入户维修!$K$5:$K$404,"跟进中")+COUNTIFS(公区维修!$F$5:$F$404,$A4,公区维修!$K$5:$K$404,"跟进中")+COUNTIFS(公区维修!$G$5:$G$404,$A4,公区维修!$K$5:$K$404,"跟进中")+COUNTIFS(公区维修!$H$5:$H$404,$A4,公区维修!$K$5:$K$404,"跟进中")&gt;0,1,0)</f>
        <v>1</v>
      </c>
      <c r="C4" s="68" t="n">
        <f aca="false">IF($BO4=0,0,SUM($BO$1:$BO4))</f>
        <v>3</v>
      </c>
      <c r="D4" s="68" t="n">
        <f aca="false">IF($BP4=0,0,SUM($BP$1:$BP4))</f>
        <v>0</v>
      </c>
      <c r="BF4" s="68" t="s">
        <v>103</v>
      </c>
      <c r="BG4" s="0" t="str">
        <f aca="false">IFERROR(INDEX($A$1:$A$5,MATCH(4,$BQ$1:$BQ$5,0)),IF(4=MAX($BQ$1:$BQ$5)+1,"取消",""))</f>
        <v>刘师傅</v>
      </c>
      <c r="BN4" s="68" t="n">
        <f aca="false">IF(入户维修!M$3="休息",1,0)</f>
        <v>0</v>
      </c>
      <c r="BO4" s="68" t="n">
        <f aca="false">IF(AND($B4=1,$BN4=0),1,0)</f>
        <v>1</v>
      </c>
      <c r="BP4" s="68" t="n">
        <f aca="false">IF(AND($B4=0,$BN4=0),1,0)</f>
        <v>0</v>
      </c>
      <c r="BQ4" s="68" t="n">
        <f aca="false">IF($BN4=1,0,4-SUM($BN$1:$BN4))</f>
        <v>3</v>
      </c>
      <c r="BR4" s="68" t="n">
        <f aca="false">COUNTIFS(入户维修!$F$5:$F$404,$A4,入户维修!$E$5:$E$404,"?*",入户维修!$B$5:$B$404,"&gt;="&amp;辅助数据!$BH$1,入户维修!$B$5:$B$404,"&lt;="&amp;辅助数据!$BI$1)+COUNTIFS(入户维修!$G$5:$G$404,$A4,入户维修!$E$5:$E$404,"?*",入户维修!$B$5:$B$404,"&gt;="&amp;辅助数据!$BH$1,入户维修!$B$5:$B$404,"&lt;="&amp;辅助数据!$BI$1)+COUNTIFS(入户维修!$H$5:$H$404,$A4,入户维修!$E$5:$E$404,"?*",入户维修!$B$5:$B$404,"&gt;="&amp;辅助数据!$BH$1,入户维修!$B$5:$B$404,"&lt;="&amp;辅助数据!$BI$1)+COUNTIFS(公区维修!$F$5:$F$404,$A4,公区维修!$E$5:$E$404,"?*",公区维修!$B$5:$B$404,"&gt;="&amp;辅助数据!$BH$1,公区维修!$B$5:$B$404,"&lt;="&amp;辅助数据!$BI$1)+COUNTIFS(公区维修!$G$5:$G$404,$A4,公区维修!$E$5:$E$404,"?*",公区维修!$B$5:$B$404,"&gt;="&amp;辅助数据!$BH$1,公区维修!$B$5:$B$404,"&lt;="&amp;辅助数据!$BI$1)+COUNTIFS(公区维修!$H$5:$H$404,$A4,公区维修!$E$5:$E$404,"?*",公区维修!$B$5:$B$404,"&gt;="&amp;辅助数据!$BH$1,公区维修!$B$5:$B$404,"&lt;="&amp;辅助数据!$BI$1)</f>
        <v>1</v>
      </c>
      <c r="BS4" s="68" t="n">
        <f aca="false">COUNTIFS(入户维修!$F$5:$F$404,$A4,入户维修!$K$5:$K$404,"已完成",入户维修!$B$5:$B$404,"&gt;="&amp;辅助数据!$BH$1,入户维修!$B$5:$B$404,"&lt;="&amp;辅助数据!$BI$1)+COUNTIFS(入户维修!$G$5:$G$404,$A4,入户维修!$K$5:$K$404,"已完成",入户维修!$B$5:$B$404,"&gt;="&amp;辅助数据!$BH$1,入户维修!$B$5:$B$404,"&lt;="&amp;辅助数据!$BI$1)+COUNTIFS(入户维修!$H$5:$H$404,$A4,入户维修!$K$5:$K$404,"已完成",入户维修!$B$5:$B$404,"&gt;="&amp;辅助数据!$BH$1,入户维修!$B$5:$B$404,"&lt;="&amp;辅助数据!$BI$1)+COUNTIFS(公区维修!$F$5:$F$404,$A4,公区维修!$K$5:$K$404,"已完成",公区维修!$B$5:$B$404,"&gt;="&amp;辅助数据!$BH$1,公区维修!$B$5:$B$404,"&lt;="&amp;辅助数据!$BI$1)+COUNTIFS(公区维修!$G$5:$G$404,$A4,公区维修!$K$5:$K$404,"已完成",公区维修!$B$5:$B$404,"&gt;="&amp;辅助数据!$BH$1,公区维修!$B$5:$B$404,"&lt;="&amp;辅助数据!$BI$1)+COUNTIFS(公区维修!$H$5:$H$404,$A4,公区维修!$K$5:$K$404,"已完成",公区维修!$B$5:$B$404,"&gt;="&amp;辅助数据!$BH$1,公区维修!$B$5:$B$404,"&lt;="&amp;辅助数据!$BI$1)</f>
        <v>0</v>
      </c>
      <c r="BT4" s="68" t="n">
        <f aca="false">COUNTIFS(入户维修!$F$5:$F$404,$A4,入户维修!$K$5:$K$404,"跟进中",入户维修!$B$5:$B$404,"&gt;="&amp;辅助数据!$BH$1,入户维修!$B$5:$B$404,"&lt;="&amp;辅助数据!$BI$1)+COUNTIFS(入户维修!$G$5:$G$404,$A4,入户维修!$K$5:$K$404,"跟进中",入户维修!$B$5:$B$404,"&gt;="&amp;辅助数据!$BH$1,入户维修!$B$5:$B$404,"&lt;="&amp;辅助数据!$BI$1)+COUNTIFS(入户维修!$H$5:$H$404,$A4,入户维修!$K$5:$K$404,"跟进中",入户维修!$B$5:$B$404,"&gt;="&amp;辅助数据!$BH$1,入户维修!$B$5:$B$404,"&lt;="&amp;辅助数据!$BI$1)+COUNTIFS(公区维修!$F$5:$F$404,$A4,公区维修!$K$5:$K$404,"跟进中",公区维修!$B$5:$B$404,"&gt;="&amp;辅助数据!$BH$1,公区维修!$B$5:$B$404,"&lt;="&amp;辅助数据!$BI$1)+COUNTIFS(公区维修!$G$5:$G$404,$A4,公区维修!$K$5:$K$404,"跟进中",公区维修!$B$5:$B$404,"&gt;="&amp;辅助数据!$BH$1,公区维修!$B$5:$B$404,"&lt;="&amp;辅助数据!$BI$1)+COUNTIFS(公区维修!$H$5:$H$404,$A4,公区维修!$K$5:$K$404,"跟进中",公区维修!$B$5:$B$404,"&gt;="&amp;辅助数据!$BH$1,公区维修!$B$5:$B$404,"&lt;="&amp;辅助数据!$BI$1)</f>
        <v>1</v>
      </c>
      <c r="BU4" s="68" t="n">
        <f aca="false">COUNTIFS(入户维修!$F$5:$F$404,$A4,入户维修!$O$5:$O$404,"非常满意",入户维修!$B$5:$B$404,"&gt;="&amp;辅助数据!$BH$1,入户维修!$B$5:$B$404,"&lt;="&amp;辅助数据!$BI$1)+COUNTIFS(入户维修!$G$5:$G$404,$A4,入户维修!$O$5:$O$404,"非常满意",入户维修!$B$5:$B$404,"&gt;="&amp;辅助数据!$BH$1,入户维修!$B$5:$B$404,"&lt;="&amp;辅助数据!$BI$1)+COUNTIFS(入户维修!$H$5:$H$404,$A4,入户维修!$O$5:$O$404,"非常满意",入户维修!$B$5:$B$404,"&gt;="&amp;辅助数据!$BH$1,入户维修!$B$5:$B$404,"&lt;="&amp;辅助数据!$BI$1)+COUNTIFS(公区维修!$F$5:$F$404,$A4,公区维修!$N$5:$N$404,"非常满意",公区维修!$B$5:$B$404,"&gt;="&amp;辅助数据!$BH$1,公区维修!$B$5:$B$404,"&lt;="&amp;辅助数据!$BI$1)+COUNTIFS(公区维修!$G$5:$G$404,$A4,公区维修!$N$5:$N$404,"非常满意",公区维修!$B$5:$B$404,"&gt;="&amp;辅助数据!$BH$1,公区维修!$B$5:$B$404,"&lt;="&amp;辅助数据!$BI$1)+COUNTIFS(公区维修!$H$5:$H$404,$A4,公区维修!$N$5:$N$404,"非常满意",公区维修!$B$5:$B$404,"&gt;="&amp;辅助数据!$BH$1,公区维修!$B$5:$B$404,"&lt;="&amp;辅助数据!$BI$1)</f>
        <v>0</v>
      </c>
      <c r="BV4" s="68" t="n">
        <f aca="false">COUNTIFS(入户维修!$F$5:$F$404,$A4,入户维修!$O$5:$O$404,"满意",入户维修!$B$5:$B$404,"&gt;="&amp;辅助数据!$BH$1,入户维修!$B$5:$B$404,"&lt;="&amp;辅助数据!$BI$1)+COUNTIFS(入户维修!$G$5:$G$404,$A4,入户维修!$O$5:$O$404,"满意",入户维修!$B$5:$B$404,"&gt;="&amp;辅助数据!$BH$1,入户维修!$B$5:$B$404,"&lt;="&amp;辅助数据!$BI$1)+COUNTIFS(入户维修!$H$5:$H$404,$A4,入户维修!$O$5:$O$404,"满意",入户维修!$B$5:$B$404,"&gt;="&amp;辅助数据!$BH$1,入户维修!$B$5:$B$404,"&lt;="&amp;辅助数据!$BI$1)+COUNTIFS(公区维修!$F$5:$F$404,$A4,公区维修!$N$5:$N$404,"满意",公区维修!$B$5:$B$404,"&gt;="&amp;辅助数据!$BH$1,公区维修!$B$5:$B$404,"&lt;="&amp;辅助数据!$BI$1)+COUNTIFS(公区维修!$G$5:$G$404,$A4,公区维修!$N$5:$N$404,"满意",公区维修!$B$5:$B$404,"&gt;="&amp;辅助数据!$BH$1,公区维修!$B$5:$B$404,"&lt;="&amp;辅助数据!$BI$1)+COUNTIFS(公区维修!$H$5:$H$404,$A4,公区维修!$N$5:$N$404,"满意",公区维修!$B$5:$B$404,"&gt;="&amp;辅助数据!$BH$1,公区维修!$B$5:$B$404,"&lt;="&amp;辅助数据!$BI$1)</f>
        <v>0</v>
      </c>
      <c r="BW4" s="68" t="n">
        <f aca="false">COUNTIFS(入户维修!$F$5:$F$404,$A4,入户维修!$O$5:$O$404,"一般",入户维修!$B$5:$B$404,"&gt;="&amp;辅助数据!$BH$1,入户维修!$B$5:$B$404,"&lt;="&amp;辅助数据!$BI$1)+COUNTIFS(入户维修!$G$5:$G$404,$A4,入户维修!$O$5:$O$404,"一般",入户维修!$B$5:$B$404,"&gt;="&amp;辅助数据!$BH$1,入户维修!$B$5:$B$404,"&lt;="&amp;辅助数据!$BI$1)+COUNTIFS(入户维修!$H$5:$H$404,$A4,入户维修!$O$5:$O$404,"一般",入户维修!$B$5:$B$404,"&gt;="&amp;辅助数据!$BH$1,入户维修!$B$5:$B$404,"&lt;="&amp;辅助数据!$BI$1)+COUNTIFS(公区维修!$F$5:$F$404,$A4,公区维修!$N$5:$N$404,"一般",公区维修!$B$5:$B$404,"&gt;="&amp;辅助数据!$BH$1,公区维修!$B$5:$B$404,"&lt;="&amp;辅助数据!$BI$1)+COUNTIFS(公区维修!$G$5:$G$404,$A4,公区维修!$N$5:$N$404,"一般",公区维修!$B$5:$B$404,"&gt;="&amp;辅助数据!$BH$1,公区维修!$B$5:$B$404,"&lt;="&amp;辅助数据!$BI$1)+COUNTIFS(公区维修!$H$5:$H$404,$A4,公区维修!$N$5:$N$404,"一般",公区维修!$B$5:$B$404,"&gt;="&amp;辅助数据!$BH$1,公区维修!$B$5:$B$404,"&lt;="&amp;辅助数据!$BI$1)</f>
        <v>0</v>
      </c>
      <c r="BX4" s="68" t="n">
        <f aca="false">COUNTIFS(入户维修!$F$5:$F$404,$A4,入户维修!$O$5:$O$404,"不满意",入户维修!$B$5:$B$404,"&gt;="&amp;辅助数据!$BH$1,入户维修!$B$5:$B$404,"&lt;="&amp;辅助数据!$BI$1)+COUNTIFS(入户维修!$G$5:$G$404,$A4,入户维修!$O$5:$O$404,"不满意",入户维修!$B$5:$B$404,"&gt;="&amp;辅助数据!$BH$1,入户维修!$B$5:$B$404,"&lt;="&amp;辅助数据!$BI$1)+COUNTIFS(入户维修!$H$5:$H$404,$A4,入户维修!$O$5:$O$404,"不满意",入户维修!$B$5:$B$404,"&gt;="&amp;辅助数据!$BH$1,入户维修!$B$5:$B$404,"&lt;="&amp;辅助数据!$BI$1)+COUNTIFS(公区维修!$F$5:$F$404,$A4,公区维修!$N$5:$N$404,"不满意",公区维修!$B$5:$B$404,"&gt;="&amp;辅助数据!$BH$1,公区维修!$B$5:$B$404,"&lt;="&amp;辅助数据!$BI$1)+COUNTIFS(公区维修!$G$5:$G$404,$A4,公区维修!$N$5:$N$404,"不满意",公区维修!$B$5:$B$404,"&gt;="&amp;辅助数据!$BH$1,公区维修!$B$5:$B$404,"&lt;="&amp;辅助数据!$BI$1)+COUNTIFS(公区维修!$H$5:$H$404,$A4,公区维修!$N$5:$N$404,"不满意",公区维修!$B$5:$B$404,"&gt;="&amp;辅助数据!$BH$1,公区维修!$B$5:$B$404,"&lt;="&amp;辅助数据!$BI$1)</f>
        <v>0</v>
      </c>
      <c r="BY4" s="68" t="n">
        <f aca="false">SUM($BU4:$BX4)</f>
        <v>0</v>
      </c>
      <c r="BZ4" s="68" t="n">
        <f aca="false">$BS4+$BR4/1000</f>
        <v>0.001</v>
      </c>
      <c r="CA4" s="68" t="n">
        <f aca="false">RANK($BZ4,$BZ$1:$BZ$5)+COUNTIF($BZ$1:$BZ4,$BZ4)-1</f>
        <v>3</v>
      </c>
      <c r="CB4" s="68" t="n">
        <f aca="false">IF($BY4=0,-1,($BU4*100+$BV4*80+$BW4*60)/$BY4+$BY4/1000)</f>
        <v>-1</v>
      </c>
      <c r="CC4" s="68" t="n">
        <f aca="false">RANK($CB4,$CB$1:$CB$5)+COUNTIF($CB$1:$CB4,$CB4)-1</f>
        <v>4</v>
      </c>
      <c r="CD4" s="68" t="n">
        <f aca="false">COUNTIFS(入户维修!$F$5:$F$404,$A4,入户维修!$E$5:$E$404,"?*",入户维修!$B$5:$B$404,"&gt;="&amp;辅助数据!$BH$2,入户维修!$B$5:$B$404,"&lt;="&amp;辅助数据!$BI$2)+COUNTIFS(入户维修!$G$5:$G$404,$A4,入户维修!$E$5:$E$404,"?*",入户维修!$B$5:$B$404,"&gt;="&amp;辅助数据!$BH$2,入户维修!$B$5:$B$404,"&lt;="&amp;辅助数据!$BI$2)+COUNTIFS(入户维修!$H$5:$H$404,$A4,入户维修!$E$5:$E$404,"?*",入户维修!$B$5:$B$404,"&gt;="&amp;辅助数据!$BH$2,入户维修!$B$5:$B$404,"&lt;="&amp;辅助数据!$BI$2)+COUNTIFS(公区维修!$F$5:$F$404,$A4,公区维修!$E$5:$E$404,"?*",公区维修!$B$5:$B$404,"&gt;="&amp;辅助数据!$BH$2,公区维修!$B$5:$B$404,"&lt;="&amp;辅助数据!$BI$2)+COUNTIFS(公区维修!$G$5:$G$404,$A4,公区维修!$E$5:$E$404,"?*",公区维修!$B$5:$B$404,"&gt;="&amp;辅助数据!$BH$2,公区维修!$B$5:$B$404,"&lt;="&amp;辅助数据!$BI$2)+COUNTIFS(公区维修!$H$5:$H$404,$A4,公区维修!$E$5:$E$404,"?*",公区维修!$B$5:$B$404,"&gt;="&amp;辅助数据!$BH$2,公区维修!$B$5:$B$404,"&lt;="&amp;辅助数据!$BI$2)</f>
        <v>2</v>
      </c>
      <c r="CE4" s="68" t="n">
        <f aca="false">COUNTIFS(入户维修!$F$5:$F$404,$A4,入户维修!$K$5:$K$404,"已完成",入户维修!$B$5:$B$404,"&gt;="&amp;辅助数据!$BH$2,入户维修!$B$5:$B$404,"&lt;="&amp;辅助数据!$BI$2)+COUNTIFS(入户维修!$G$5:$G$404,$A4,入户维修!$K$5:$K$404,"已完成",入户维修!$B$5:$B$404,"&gt;="&amp;辅助数据!$BH$2,入户维修!$B$5:$B$404,"&lt;="&amp;辅助数据!$BI$2)+COUNTIFS(入户维修!$H$5:$H$404,$A4,入户维修!$K$5:$K$404,"已完成",入户维修!$B$5:$B$404,"&gt;="&amp;辅助数据!$BH$2,入户维修!$B$5:$B$404,"&lt;="&amp;辅助数据!$BI$2)+COUNTIFS(公区维修!$F$5:$F$404,$A4,公区维修!$K$5:$K$404,"已完成",公区维修!$B$5:$B$404,"&gt;="&amp;辅助数据!$BH$2,公区维修!$B$5:$B$404,"&lt;="&amp;辅助数据!$BI$2)+COUNTIFS(公区维修!$G$5:$G$404,$A4,公区维修!$K$5:$K$404,"已完成",公区维修!$B$5:$B$404,"&gt;="&amp;辅助数据!$BH$2,公区维修!$B$5:$B$404,"&lt;="&amp;辅助数据!$BI$2)+COUNTIFS(公区维修!$H$5:$H$404,$A4,公区维修!$K$5:$K$404,"已完成",公区维修!$B$5:$B$404,"&gt;="&amp;辅助数据!$BH$2,公区维修!$B$5:$B$404,"&lt;="&amp;辅助数据!$BI$2)</f>
        <v>1</v>
      </c>
      <c r="CF4" s="68" t="n">
        <f aca="false">COUNTIFS(入户维修!$F$5:$F$404,$A4,入户维修!$K$5:$K$404,"跟进中",入户维修!$B$5:$B$404,"&gt;="&amp;辅助数据!$BH$2,入户维修!$B$5:$B$404,"&lt;="&amp;辅助数据!$BI$2)+COUNTIFS(入户维修!$G$5:$G$404,$A4,入户维修!$K$5:$K$404,"跟进中",入户维修!$B$5:$B$404,"&gt;="&amp;辅助数据!$BH$2,入户维修!$B$5:$B$404,"&lt;="&amp;辅助数据!$BI$2)+COUNTIFS(入户维修!$H$5:$H$404,$A4,入户维修!$K$5:$K$404,"跟进中",入户维修!$B$5:$B$404,"&gt;="&amp;辅助数据!$BH$2,入户维修!$B$5:$B$404,"&lt;="&amp;辅助数据!$BI$2)+COUNTIFS(公区维修!$F$5:$F$404,$A4,公区维修!$K$5:$K$404,"跟进中",公区维修!$B$5:$B$404,"&gt;="&amp;辅助数据!$BH$2,公区维修!$B$5:$B$404,"&lt;="&amp;辅助数据!$BI$2)+COUNTIFS(公区维修!$G$5:$G$404,$A4,公区维修!$K$5:$K$404,"跟进中",公区维修!$B$5:$B$404,"&gt;="&amp;辅助数据!$BH$2,公区维修!$B$5:$B$404,"&lt;="&amp;辅助数据!$BI$2)+COUNTIFS(公区维修!$H$5:$H$404,$A4,公区维修!$K$5:$K$404,"跟进中",公区维修!$B$5:$B$404,"&gt;="&amp;辅助数据!$BH$2,公区维修!$B$5:$B$404,"&lt;="&amp;辅助数据!$BI$2)</f>
        <v>1</v>
      </c>
      <c r="CG4" s="68" t="n">
        <f aca="false">COUNTIFS(入户维修!$F$5:$F$404,$A4,入户维修!$O$5:$O$404,"非常满意",入户维修!$B$5:$B$404,"&gt;="&amp;辅助数据!$BH$2,入户维修!$B$5:$B$404,"&lt;="&amp;辅助数据!$BI$2)+COUNTIFS(入户维修!$G$5:$G$404,$A4,入户维修!$O$5:$O$404,"非常满意",入户维修!$B$5:$B$404,"&gt;="&amp;辅助数据!$BH$2,入户维修!$B$5:$B$404,"&lt;="&amp;辅助数据!$BI$2)+COUNTIFS(入户维修!$H$5:$H$404,$A4,入户维修!$O$5:$O$404,"非常满意",入户维修!$B$5:$B$404,"&gt;="&amp;辅助数据!$BH$2,入户维修!$B$5:$B$404,"&lt;="&amp;辅助数据!$BI$2)+COUNTIFS(公区维修!$F$5:$F$404,$A4,公区维修!$N$5:$N$404,"非常满意",公区维修!$B$5:$B$404,"&gt;="&amp;辅助数据!$BH$2,公区维修!$B$5:$B$404,"&lt;="&amp;辅助数据!$BI$2)+COUNTIFS(公区维修!$G$5:$G$404,$A4,公区维修!$N$5:$N$404,"非常满意",公区维修!$B$5:$B$404,"&gt;="&amp;辅助数据!$BH$2,公区维修!$B$5:$B$404,"&lt;="&amp;辅助数据!$BI$2)+COUNTIFS(公区维修!$H$5:$H$404,$A4,公区维修!$N$5:$N$404,"非常满意",公区维修!$B$5:$B$404,"&gt;="&amp;辅助数据!$BH$2,公区维修!$B$5:$B$404,"&lt;="&amp;辅助数据!$BI$2)</f>
        <v>0</v>
      </c>
      <c r="CH4" s="68" t="n">
        <f aca="false">COUNTIFS(入户维修!$F$5:$F$404,$A4,入户维修!$O$5:$O$404,"满意",入户维修!$B$5:$B$404,"&gt;="&amp;辅助数据!$BH$2,入户维修!$B$5:$B$404,"&lt;="&amp;辅助数据!$BI$2)+COUNTIFS(入户维修!$G$5:$G$404,$A4,入户维修!$O$5:$O$404,"满意",入户维修!$B$5:$B$404,"&gt;="&amp;辅助数据!$BH$2,入户维修!$B$5:$B$404,"&lt;="&amp;辅助数据!$BI$2)+COUNTIFS(入户维修!$H$5:$H$404,$A4,入户维修!$O$5:$O$404,"满意",入户维修!$B$5:$B$404,"&gt;="&amp;辅助数据!$BH$2,入户维修!$B$5:$B$404,"&lt;="&amp;辅助数据!$BI$2)+COUNTIFS(公区维修!$F$5:$F$404,$A4,公区维修!$N$5:$N$404,"满意",公区维修!$B$5:$B$404,"&gt;="&amp;辅助数据!$BH$2,公区维修!$B$5:$B$404,"&lt;="&amp;辅助数据!$BI$2)+COUNTIFS(公区维修!$G$5:$G$404,$A4,公区维修!$N$5:$N$404,"满意",公区维修!$B$5:$B$404,"&gt;="&amp;辅助数据!$BH$2,公区维修!$B$5:$B$404,"&lt;="&amp;辅助数据!$BI$2)+COUNTIFS(公区维修!$H$5:$H$404,$A4,公区维修!$N$5:$N$404,"满意",公区维修!$B$5:$B$404,"&gt;="&amp;辅助数据!$BH$2,公区维修!$B$5:$B$404,"&lt;="&amp;辅助数据!$BI$2)</f>
        <v>0</v>
      </c>
      <c r="CI4" s="68" t="n">
        <f aca="false">COUNTIFS(入户维修!$F$5:$F$404,$A4,入户维修!$O$5:$O$404,"一般",入户维修!$B$5:$B$404,"&gt;="&amp;辅助数据!$BH$2,入户维修!$B$5:$B$404,"&lt;="&amp;辅助数据!$BI$2)+COUNTIFS(入户维修!$G$5:$G$404,$A4,入户维修!$O$5:$O$404,"一般",入户维修!$B$5:$B$404,"&gt;="&amp;辅助数据!$BH$2,入户维修!$B$5:$B$404,"&lt;="&amp;辅助数据!$BI$2)+COUNTIFS(入户维修!$H$5:$H$404,$A4,入户维修!$O$5:$O$404,"一般",入户维修!$B$5:$B$404,"&gt;="&amp;辅助数据!$BH$2,入户维修!$B$5:$B$404,"&lt;="&amp;辅助数据!$BI$2)+COUNTIFS(公区维修!$F$5:$F$404,$A4,公区维修!$N$5:$N$404,"一般",公区维修!$B$5:$B$404,"&gt;="&amp;辅助数据!$BH$2,公区维修!$B$5:$B$404,"&lt;="&amp;辅助数据!$BI$2)+COUNTIFS(公区维修!$G$5:$G$404,$A4,公区维修!$N$5:$N$404,"一般",公区维修!$B$5:$B$404,"&gt;="&amp;辅助数据!$BH$2,公区维修!$B$5:$B$404,"&lt;="&amp;辅助数据!$BI$2)+COUNTIFS(公区维修!$H$5:$H$404,$A4,公区维修!$N$5:$N$404,"一般",公区维修!$B$5:$B$404,"&gt;="&amp;辅助数据!$BH$2,公区维修!$B$5:$B$404,"&lt;="&amp;辅助数据!$BI$2)</f>
        <v>0</v>
      </c>
      <c r="CJ4" s="68" t="n">
        <f aca="false">COUNTIFS(入户维修!$F$5:$F$404,$A4,入户维修!$O$5:$O$404,"不满意",入户维修!$B$5:$B$404,"&gt;="&amp;辅助数据!$BH$2,入户维修!$B$5:$B$404,"&lt;="&amp;辅助数据!$BI$2)+COUNTIFS(入户维修!$G$5:$G$404,$A4,入户维修!$O$5:$O$404,"不满意",入户维修!$B$5:$B$404,"&gt;="&amp;辅助数据!$BH$2,入户维修!$B$5:$B$404,"&lt;="&amp;辅助数据!$BI$2)+COUNTIFS(入户维修!$H$5:$H$404,$A4,入户维修!$O$5:$O$404,"不满意",入户维修!$B$5:$B$404,"&gt;="&amp;辅助数据!$BH$2,入户维修!$B$5:$B$404,"&lt;="&amp;辅助数据!$BI$2)+COUNTIFS(公区维修!$F$5:$F$404,$A4,公区维修!$N$5:$N$404,"不满意",公区维修!$B$5:$B$404,"&gt;="&amp;辅助数据!$BH$2,公区维修!$B$5:$B$404,"&lt;="&amp;辅助数据!$BI$2)+COUNTIFS(公区维修!$G$5:$G$404,$A4,公区维修!$N$5:$N$404,"不满意",公区维修!$B$5:$B$404,"&gt;="&amp;辅助数据!$BH$2,公区维修!$B$5:$B$404,"&lt;="&amp;辅助数据!$BI$2)+COUNTIFS(公区维修!$H$5:$H$404,$A4,公区维修!$N$5:$N$404,"不满意",公区维修!$B$5:$B$404,"&gt;="&amp;辅助数据!$BH$2,公区维修!$B$5:$B$404,"&lt;="&amp;辅助数据!$BI$2)</f>
        <v>0</v>
      </c>
      <c r="CK4" s="68" t="n">
        <f aca="false">SUM($CG4:$CJ4)</f>
        <v>0</v>
      </c>
      <c r="CL4" s="68" t="n">
        <f aca="false">$CE4+$CD4/1000</f>
        <v>1.002</v>
      </c>
      <c r="CM4" s="68" t="n">
        <f aca="false">RANK($CL4,$CL$1:$CL$5)+COUNTIF($CL$1:$CL4,$CL4)-1</f>
        <v>4</v>
      </c>
      <c r="CN4" s="68" t="n">
        <f aca="false">IF($CK4=0,-1,($CG4*100+$CH4*80+$CI4*60)/$CK4+$CK4/1000)</f>
        <v>-1</v>
      </c>
      <c r="CO4" s="68" t="n">
        <f aca="false">RANK($CN4,$CN$1:$CN$5)+COUNTIF($CN$1:$CN4,$CN4)-1</f>
        <v>5</v>
      </c>
      <c r="CP4" s="68" t="n">
        <f aca="false">COUNTIFS(入户维修!$F$5:$F$404,$A4,入户维修!$E$5:$E$404,"?*",入户维修!$B$5:$B$404,"&gt;="&amp;辅助数据!$BH$3,入户维修!$B$5:$B$404,"&lt;="&amp;辅助数据!$BI$3)+COUNTIFS(入户维修!$G$5:$G$404,$A4,入户维修!$E$5:$E$404,"?*",入户维修!$B$5:$B$404,"&gt;="&amp;辅助数据!$BH$3,入户维修!$B$5:$B$404,"&lt;="&amp;辅助数据!$BI$3)+COUNTIFS(入户维修!$H$5:$H$404,$A4,入户维修!$E$5:$E$404,"?*",入户维修!$B$5:$B$404,"&gt;="&amp;辅助数据!$BH$3,入户维修!$B$5:$B$404,"&lt;="&amp;辅助数据!$BI$3)+COUNTIFS(公区维修!$F$5:$F$404,$A4,公区维修!$E$5:$E$404,"?*",公区维修!$B$5:$B$404,"&gt;="&amp;辅助数据!$BH$3,公区维修!$B$5:$B$404,"&lt;="&amp;辅助数据!$BI$3)+COUNTIFS(公区维修!$G$5:$G$404,$A4,公区维修!$E$5:$E$404,"?*",公区维修!$B$5:$B$404,"&gt;="&amp;辅助数据!$BH$3,公区维修!$B$5:$B$404,"&lt;="&amp;辅助数据!$BI$3)+COUNTIFS(公区维修!$H$5:$H$404,$A4,公区维修!$E$5:$E$404,"?*",公区维修!$B$5:$B$404,"&gt;="&amp;辅助数据!$BH$3,公区维修!$B$5:$B$404,"&lt;="&amp;辅助数据!$BI$3)</f>
        <v>5</v>
      </c>
      <c r="CQ4" s="68" t="n">
        <f aca="false">COUNTIFS(入户维修!$F$5:$F$404,$A4,入户维修!$K$5:$K$404,"已完成",入户维修!$B$5:$B$404,"&gt;="&amp;辅助数据!$BH$3,入户维修!$B$5:$B$404,"&lt;="&amp;辅助数据!$BI$3)+COUNTIFS(入户维修!$G$5:$G$404,$A4,入户维修!$K$5:$K$404,"已完成",入户维修!$B$5:$B$404,"&gt;="&amp;辅助数据!$BH$3,入户维修!$B$5:$B$404,"&lt;="&amp;辅助数据!$BI$3)+COUNTIFS(入户维修!$H$5:$H$404,$A4,入户维修!$K$5:$K$404,"已完成",入户维修!$B$5:$B$404,"&gt;="&amp;辅助数据!$BH$3,入户维修!$B$5:$B$404,"&lt;="&amp;辅助数据!$BI$3)+COUNTIFS(公区维修!$F$5:$F$404,$A4,公区维修!$K$5:$K$404,"已完成",公区维修!$B$5:$B$404,"&gt;="&amp;辅助数据!$BH$3,公区维修!$B$5:$B$404,"&lt;="&amp;辅助数据!$BI$3)+COUNTIFS(公区维修!$G$5:$G$404,$A4,公区维修!$K$5:$K$404,"已完成",公区维修!$B$5:$B$404,"&gt;="&amp;辅助数据!$BH$3,公区维修!$B$5:$B$404,"&lt;="&amp;辅助数据!$BI$3)+COUNTIFS(公区维修!$H$5:$H$404,$A4,公区维修!$K$5:$K$404,"已完成",公区维修!$B$5:$B$404,"&gt;="&amp;辅助数据!$BH$3,公区维修!$B$5:$B$404,"&lt;="&amp;辅助数据!$BI$3)</f>
        <v>3</v>
      </c>
      <c r="CR4" s="68" t="n">
        <f aca="false">COUNTIFS(入户维修!$F$5:$F$404,$A4,入户维修!$K$5:$K$404,"跟进中",入户维修!$B$5:$B$404,"&gt;="&amp;辅助数据!$BH$3,入户维修!$B$5:$B$404,"&lt;="&amp;辅助数据!$BI$3)+COUNTIFS(入户维修!$G$5:$G$404,$A4,入户维修!$K$5:$K$404,"跟进中",入户维修!$B$5:$B$404,"&gt;="&amp;辅助数据!$BH$3,入户维修!$B$5:$B$404,"&lt;="&amp;辅助数据!$BI$3)+COUNTIFS(入户维修!$H$5:$H$404,$A4,入户维修!$K$5:$K$404,"跟进中",入户维修!$B$5:$B$404,"&gt;="&amp;辅助数据!$BH$3,入户维修!$B$5:$B$404,"&lt;="&amp;辅助数据!$BI$3)+COUNTIFS(公区维修!$F$5:$F$404,$A4,公区维修!$K$5:$K$404,"跟进中",公区维修!$B$5:$B$404,"&gt;="&amp;辅助数据!$BH$3,公区维修!$B$5:$B$404,"&lt;="&amp;辅助数据!$BI$3)+COUNTIFS(公区维修!$G$5:$G$404,$A4,公区维修!$K$5:$K$404,"跟进中",公区维修!$B$5:$B$404,"&gt;="&amp;辅助数据!$BH$3,公区维修!$B$5:$B$404,"&lt;="&amp;辅助数据!$BI$3)+COUNTIFS(公区维修!$H$5:$H$404,$A4,公区维修!$K$5:$K$404,"跟进中",公区维修!$B$5:$B$404,"&gt;="&amp;辅助数据!$BH$3,公区维修!$B$5:$B$404,"&lt;="&amp;辅助数据!$BI$3)</f>
        <v>2</v>
      </c>
      <c r="CS4" s="68" t="n">
        <f aca="false">COUNTIFS(入户维修!$F$5:$F$404,$A4,入户维修!$O$5:$O$404,"非常满意",入户维修!$B$5:$B$404,"&gt;="&amp;辅助数据!$BH$3,入户维修!$B$5:$B$404,"&lt;="&amp;辅助数据!$BI$3)+COUNTIFS(入户维修!$G$5:$G$404,$A4,入户维修!$O$5:$O$404,"非常满意",入户维修!$B$5:$B$404,"&gt;="&amp;辅助数据!$BH$3,入户维修!$B$5:$B$404,"&lt;="&amp;辅助数据!$BI$3)+COUNTIFS(入户维修!$H$5:$H$404,$A4,入户维修!$O$5:$O$404,"非常满意",入户维修!$B$5:$B$404,"&gt;="&amp;辅助数据!$BH$3,入户维修!$B$5:$B$404,"&lt;="&amp;辅助数据!$BI$3)+COUNTIFS(公区维修!$F$5:$F$404,$A4,公区维修!$N$5:$N$404,"非常满意",公区维修!$B$5:$B$404,"&gt;="&amp;辅助数据!$BH$3,公区维修!$B$5:$B$404,"&lt;="&amp;辅助数据!$BI$3)+COUNTIFS(公区维修!$G$5:$G$404,$A4,公区维修!$N$5:$N$404,"非常满意",公区维修!$B$5:$B$404,"&gt;="&amp;辅助数据!$BH$3,公区维修!$B$5:$B$404,"&lt;="&amp;辅助数据!$BI$3)+COUNTIFS(公区维修!$H$5:$H$404,$A4,公区维修!$N$5:$N$404,"非常满意",公区维修!$B$5:$B$404,"&gt;="&amp;辅助数据!$BH$3,公区维修!$B$5:$B$404,"&lt;="&amp;辅助数据!$BI$3)</f>
        <v>1</v>
      </c>
      <c r="CT4" s="68" t="n">
        <f aca="false">COUNTIFS(入户维修!$F$5:$F$404,$A4,入户维修!$O$5:$O$404,"满意",入户维修!$B$5:$B$404,"&gt;="&amp;辅助数据!$BH$3,入户维修!$B$5:$B$404,"&lt;="&amp;辅助数据!$BI$3)+COUNTIFS(入户维修!$G$5:$G$404,$A4,入户维修!$O$5:$O$404,"满意",入户维修!$B$5:$B$404,"&gt;="&amp;辅助数据!$BH$3,入户维修!$B$5:$B$404,"&lt;="&amp;辅助数据!$BI$3)+COUNTIFS(入户维修!$H$5:$H$404,$A4,入户维修!$O$5:$O$404,"满意",入户维修!$B$5:$B$404,"&gt;="&amp;辅助数据!$BH$3,入户维修!$B$5:$B$404,"&lt;="&amp;辅助数据!$BI$3)+COUNTIFS(公区维修!$F$5:$F$404,$A4,公区维修!$N$5:$N$404,"满意",公区维修!$B$5:$B$404,"&gt;="&amp;辅助数据!$BH$3,公区维修!$B$5:$B$404,"&lt;="&amp;辅助数据!$BI$3)+COUNTIFS(公区维修!$G$5:$G$404,$A4,公区维修!$N$5:$N$404,"满意",公区维修!$B$5:$B$404,"&gt;="&amp;辅助数据!$BH$3,公区维修!$B$5:$B$404,"&lt;="&amp;辅助数据!$BI$3)+COUNTIFS(公区维修!$H$5:$H$404,$A4,公区维修!$N$5:$N$404,"满意",公区维修!$B$5:$B$404,"&gt;="&amp;辅助数据!$BH$3,公区维修!$B$5:$B$404,"&lt;="&amp;辅助数据!$BI$3)</f>
        <v>0</v>
      </c>
      <c r="CU4" s="68" t="n">
        <f aca="false">COUNTIFS(入户维修!$F$5:$F$404,$A4,入户维修!$O$5:$O$404,"一般",入户维修!$B$5:$B$404,"&gt;="&amp;辅助数据!$BH$3,入户维修!$B$5:$B$404,"&lt;="&amp;辅助数据!$BI$3)+COUNTIFS(入户维修!$G$5:$G$404,$A4,入户维修!$O$5:$O$404,"一般",入户维修!$B$5:$B$404,"&gt;="&amp;辅助数据!$BH$3,入户维修!$B$5:$B$404,"&lt;="&amp;辅助数据!$BI$3)+COUNTIFS(入户维修!$H$5:$H$404,$A4,入户维修!$O$5:$O$404,"一般",入户维修!$B$5:$B$404,"&gt;="&amp;辅助数据!$BH$3,入户维修!$B$5:$B$404,"&lt;="&amp;辅助数据!$BI$3)+COUNTIFS(公区维修!$F$5:$F$404,$A4,公区维修!$N$5:$N$404,"一般",公区维修!$B$5:$B$404,"&gt;="&amp;辅助数据!$BH$3,公区维修!$B$5:$B$404,"&lt;="&amp;辅助数据!$BI$3)+COUNTIFS(公区维修!$G$5:$G$404,$A4,公区维修!$N$5:$N$404,"一般",公区维修!$B$5:$B$404,"&gt;="&amp;辅助数据!$BH$3,公区维修!$B$5:$B$404,"&lt;="&amp;辅助数据!$BI$3)+COUNTIFS(公区维修!$H$5:$H$404,$A4,公区维修!$N$5:$N$404,"一般",公区维修!$B$5:$B$404,"&gt;="&amp;辅助数据!$BH$3,公区维修!$B$5:$B$404,"&lt;="&amp;辅助数据!$BI$3)</f>
        <v>0</v>
      </c>
      <c r="CV4" s="68" t="n">
        <f aca="false">COUNTIFS(入户维修!$F$5:$F$404,$A4,入户维修!$O$5:$O$404,"不满意",入户维修!$B$5:$B$404,"&gt;="&amp;辅助数据!$BH$3,入户维修!$B$5:$B$404,"&lt;="&amp;辅助数据!$BI$3)+COUNTIFS(入户维修!$G$5:$G$404,$A4,入户维修!$O$5:$O$404,"不满意",入户维修!$B$5:$B$404,"&gt;="&amp;辅助数据!$BH$3,入户维修!$B$5:$B$404,"&lt;="&amp;辅助数据!$BI$3)+COUNTIFS(入户维修!$H$5:$H$404,$A4,入户维修!$O$5:$O$404,"不满意",入户维修!$B$5:$B$404,"&gt;="&amp;辅助数据!$BH$3,入户维修!$B$5:$B$404,"&lt;="&amp;辅助数据!$BI$3)+COUNTIFS(公区维修!$F$5:$F$404,$A4,公区维修!$N$5:$N$404,"不满意",公区维修!$B$5:$B$404,"&gt;="&amp;辅助数据!$BH$3,公区维修!$B$5:$B$404,"&lt;="&amp;辅助数据!$BI$3)+COUNTIFS(公区维修!$G$5:$G$404,$A4,公区维修!$N$5:$N$404,"不满意",公区维修!$B$5:$B$404,"&gt;="&amp;辅助数据!$BH$3,公区维修!$B$5:$B$404,"&lt;="&amp;辅助数据!$BI$3)+COUNTIFS(公区维修!$H$5:$H$404,$A4,公区维修!$N$5:$N$404,"不满意",公区维修!$B$5:$B$404,"&gt;="&amp;辅助数据!$BH$3,公区维修!$B$5:$B$404,"&lt;="&amp;辅助数据!$BI$3)</f>
        <v>0</v>
      </c>
      <c r="CW4" s="68" t="n">
        <f aca="false">SUM($CS4:$CV4)</f>
        <v>1</v>
      </c>
      <c r="CX4" s="68" t="n">
        <f aca="false">$CQ4+$CP4/1000</f>
        <v>3.005</v>
      </c>
      <c r="CY4" s="68" t="n">
        <f aca="false">RANK($CX4,$CX$1:$CX$5)+COUNTIF($CX$1:$CX4,$CX4)-1</f>
        <v>5</v>
      </c>
      <c r="CZ4" s="68" t="n">
        <f aca="false">IF($CW4=0,-1,($CS4*100+$CT4*80+$CU4*60)/$CW4+$CW4/1000)</f>
        <v>100.001</v>
      </c>
      <c r="DA4" s="68" t="n">
        <f aca="false">RANK($CZ4,$CZ$1:$CZ$5)+COUNTIF($CZ$1:$CZ4,$CZ4)-1</f>
        <v>2</v>
      </c>
      <c r="DB4" s="68" t="e">
        <f aca="false">COUNTIFS(入户维修!$F$5:$F$404,$A4,入户维修!$E$5:$E$404,"?*",入户维修!$B$5:$B$404,"&gt;="&amp;辅助数据!$BJ$1,入户维修!$B$5:$B$404,"&lt;="&amp;辅助数据!$BK$1)+COUNTIFS(入户维修!$G$5:$G$404,$A4,入户维修!$E$5:$E$404,"?*",入户维修!$B$5:$B$404,"&gt;="&amp;辅助数据!$BJ$1,入户维修!$B$5:$B$404,"&lt;="&amp;辅助数据!$BK$1)+COUNTIFS(入户维修!$H$5:$H$404,$A4,入户维修!$E$5:$E$404,"?*",入户维修!$B$5:$B$404,"&gt;="&amp;辅助数据!$BJ$1,入户维修!$B$5:$B$404,"&lt;="&amp;辅助数据!$BK$1)</f>
        <v>#REF!</v>
      </c>
      <c r="DC4" s="68" t="e">
        <f aca="false">COUNTIFS(入户维修!$F$5:$F$404,$A4,入户维修!$K$5:$K$404,"已完成",入户维修!$B$5:$B$404,"&gt;="&amp;辅助数据!$BJ$1,入户维修!$B$5:$B$404,"&lt;="&amp;辅助数据!$BK$1)+COUNTIFS(入户维修!$G$5:$G$404,$A4,入户维修!$K$5:$K$404,"已完成",入户维修!$B$5:$B$404,"&gt;="&amp;辅助数据!$BJ$1,入户维修!$B$5:$B$404,"&lt;="&amp;辅助数据!$BK$1)+COUNTIFS(入户维修!$H$5:$H$404,$A4,入户维修!$K$5:$K$404,"已完成",入户维修!$B$5:$B$404,"&gt;="&amp;辅助数据!$BJ$1,入户维修!$B$5:$B$404,"&lt;="&amp;辅助数据!$BK$1)</f>
        <v>#REF!</v>
      </c>
      <c r="DD4" s="68" t="e">
        <f aca="false">COUNTIFS(入户维修!$F$5:$F$404,$A4,入户维修!$K$5:$K$404,"跟进中",入户维修!$B$5:$B$404,"&gt;="&amp;辅助数据!$BJ$1,入户维修!$B$5:$B$404,"&lt;="&amp;辅助数据!$BK$1)+COUNTIFS(入户维修!$G$5:$G$404,$A4,入户维修!$K$5:$K$404,"跟进中",入户维修!$B$5:$B$404,"&gt;="&amp;辅助数据!$BJ$1,入户维修!$B$5:$B$404,"&lt;="&amp;辅助数据!$BK$1)+COUNTIFS(入户维修!$H$5:$H$404,$A4,入户维修!$K$5:$K$404,"跟进中",入户维修!$B$5:$B$404,"&gt;="&amp;辅助数据!$BJ$1,入户维修!$B$5:$B$404,"&lt;="&amp;辅助数据!$BK$1)</f>
        <v>#REF!</v>
      </c>
      <c r="DE4" s="68" t="e">
        <f aca="false">COUNTIFS(入户维修!$F$5:$F$404,$A4,入户维修!$O$5:$O$404,"非常满意",入户维修!$B$5:$B$404,"&gt;="&amp;辅助数据!$BJ$1,入户维修!$B$5:$B$404,"&lt;="&amp;辅助数据!$BK$1)+COUNTIFS(入户维修!$G$5:$G$404,$A4,入户维修!$O$5:$O$404,"非常满意",入户维修!$B$5:$B$404,"&gt;="&amp;辅助数据!$BJ$1,入户维修!$B$5:$B$404,"&lt;="&amp;辅助数据!$BK$1)+COUNTIFS(入户维修!$H$5:$H$404,$A4,入户维修!$O$5:$O$404,"非常满意",入户维修!$B$5:$B$404,"&gt;="&amp;辅助数据!$BJ$1,入户维修!$B$5:$B$404,"&lt;="&amp;辅助数据!$BK$1)</f>
        <v>#REF!</v>
      </c>
      <c r="DF4" s="68" t="e">
        <f aca="false">COUNTIFS(入户维修!$F$5:$F$404,$A4,入户维修!$O$5:$O$404,"满意",入户维修!$B$5:$B$404,"&gt;="&amp;辅助数据!$BJ$1,入户维修!$B$5:$B$404,"&lt;="&amp;辅助数据!$BK$1)+COUNTIFS(入户维修!$G$5:$G$404,$A4,入户维修!$O$5:$O$404,"满意",入户维修!$B$5:$B$404,"&gt;="&amp;辅助数据!$BJ$1,入户维修!$B$5:$B$404,"&lt;="&amp;辅助数据!$BK$1)+COUNTIFS(入户维修!$H$5:$H$404,$A4,入户维修!$O$5:$O$404,"满意",入户维修!$B$5:$B$404,"&gt;="&amp;辅助数据!$BJ$1,入户维修!$B$5:$B$404,"&lt;="&amp;辅助数据!$BK$1)</f>
        <v>#REF!</v>
      </c>
      <c r="DG4" s="68" t="e">
        <f aca="false">COUNTIFS(入户维修!$F$5:$F$404,$A4,入户维修!$O$5:$O$404,"一般",入户维修!$B$5:$B$404,"&gt;="&amp;辅助数据!$BJ$1,入户维修!$B$5:$B$404,"&lt;="&amp;辅助数据!$BK$1)+COUNTIFS(入户维修!$G$5:$G$404,$A4,入户维修!$O$5:$O$404,"一般",入户维修!$B$5:$B$404,"&gt;="&amp;辅助数据!$BJ$1,入户维修!$B$5:$B$404,"&lt;="&amp;辅助数据!$BK$1)+COUNTIFS(入户维修!$H$5:$H$404,$A4,入户维修!$O$5:$O$404,"一般",入户维修!$B$5:$B$404,"&gt;="&amp;辅助数据!$BJ$1,入户维修!$B$5:$B$404,"&lt;="&amp;辅助数据!$BK$1)</f>
        <v>#REF!</v>
      </c>
      <c r="DH4" s="68" t="e">
        <f aca="false">COUNTIFS(入户维修!$F$5:$F$404,$A4,入户维修!$O$5:$O$404,"不满意",入户维修!$B$5:$B$404,"&gt;="&amp;辅助数据!$BJ$1,入户维修!$B$5:$B$404,"&lt;="&amp;辅助数据!$BK$1)+COUNTIFS(入户维修!$G$5:$G$404,$A4,入户维修!$O$5:$O$404,"不满意",入户维修!$B$5:$B$404,"&gt;="&amp;辅助数据!$BJ$1,入户维修!$B$5:$B$404,"&lt;="&amp;辅助数据!$BK$1)+COUNTIFS(入户维修!$H$5:$H$404,$A4,入户维修!$O$5:$O$404,"不满意",入户维修!$B$5:$B$404,"&gt;="&amp;辅助数据!$BJ$1,入户维修!$B$5:$B$404,"&lt;="&amp;辅助数据!$BK$1)</f>
        <v>#REF!</v>
      </c>
      <c r="DI4" s="68" t="e">
        <f aca="false">SUM($DE4:$DH4)</f>
        <v>#REF!</v>
      </c>
      <c r="DJ4" s="68" t="e">
        <f aca="false">$DC4+$DB4/1000</f>
        <v>#REF!</v>
      </c>
      <c r="DK4" s="68" t="e">
        <f aca="false">RANK($DJ4,$DJ$1:$DJ$5)+COUNTIF($DJ$1:$DJ4,$DJ4)-1</f>
        <v>#REF!</v>
      </c>
      <c r="DL4" s="68" t="e">
        <f aca="false">IF($DI4=0,-1,($DE4*100+$DF4*80+$DG4*60)/$DI4+$DI4/1000)</f>
        <v>#REF!</v>
      </c>
      <c r="DM4" s="68" t="e">
        <f aca="false">RANK($DL4,$DL$1:$DL$5)+COUNTIF($DL$1:$DL4,$DL4)-1</f>
        <v>#REF!</v>
      </c>
      <c r="DN4" s="68" t="e">
        <f aca="false">COUNTIFS(入户维修!$F$5:$F$404,$A4,入户维修!$E$5:$E$404,"?*",入户维修!$B$5:$B$404,"&gt;="&amp;辅助数据!$BJ$2,入户维修!$B$5:$B$404,"&lt;="&amp;辅助数据!$BK$2)+COUNTIFS(入户维修!$G$5:$G$404,$A4,入户维修!$E$5:$E$404,"?*",入户维修!$B$5:$B$404,"&gt;="&amp;辅助数据!$BJ$2,入户维修!$B$5:$B$404,"&lt;="&amp;辅助数据!$BK$2)+COUNTIFS(入户维修!$H$5:$H$404,$A4,入户维修!$E$5:$E$404,"?*",入户维修!$B$5:$B$404,"&gt;="&amp;辅助数据!$BJ$2,入户维修!$B$5:$B$404,"&lt;="&amp;辅助数据!$BK$2)</f>
        <v>#REF!</v>
      </c>
      <c r="DO4" s="68" t="e">
        <f aca="false">COUNTIFS(入户维修!$F$5:$F$404,$A4,入户维修!$K$5:$K$404,"已完成",入户维修!$B$5:$B$404,"&gt;="&amp;辅助数据!$BJ$2,入户维修!$B$5:$B$404,"&lt;="&amp;辅助数据!$BK$2)+COUNTIFS(入户维修!$G$5:$G$404,$A4,入户维修!$K$5:$K$404,"已完成",入户维修!$B$5:$B$404,"&gt;="&amp;辅助数据!$BJ$2,入户维修!$B$5:$B$404,"&lt;="&amp;辅助数据!$BK$2)+COUNTIFS(入户维修!$H$5:$H$404,$A4,入户维修!$K$5:$K$404,"已完成",入户维修!$B$5:$B$404,"&gt;="&amp;辅助数据!$BJ$2,入户维修!$B$5:$B$404,"&lt;="&amp;辅助数据!$BK$2)</f>
        <v>#REF!</v>
      </c>
      <c r="DP4" s="68" t="e">
        <f aca="false">COUNTIFS(入户维修!$F$5:$F$404,$A4,入户维修!$K$5:$K$404,"跟进中",入户维修!$B$5:$B$404,"&gt;="&amp;辅助数据!$BJ$2,入户维修!$B$5:$B$404,"&lt;="&amp;辅助数据!$BK$2)+COUNTIFS(入户维修!$G$5:$G$404,$A4,入户维修!$K$5:$K$404,"跟进中",入户维修!$B$5:$B$404,"&gt;="&amp;辅助数据!$BJ$2,入户维修!$B$5:$B$404,"&lt;="&amp;辅助数据!$BK$2)+COUNTIFS(入户维修!$H$5:$H$404,$A4,入户维修!$K$5:$K$404,"跟进中",入户维修!$B$5:$B$404,"&gt;="&amp;辅助数据!$BJ$2,入户维修!$B$5:$B$404,"&lt;="&amp;辅助数据!$BK$2)</f>
        <v>#REF!</v>
      </c>
      <c r="DQ4" s="68" t="e">
        <f aca="false">COUNTIFS(入户维修!$F$5:$F$404,$A4,入户维修!$O$5:$O$404,"非常满意",入户维修!$B$5:$B$404,"&gt;="&amp;辅助数据!$BJ$2,入户维修!$B$5:$B$404,"&lt;="&amp;辅助数据!$BK$2)+COUNTIFS(入户维修!$G$5:$G$404,$A4,入户维修!$O$5:$O$404,"非常满意",入户维修!$B$5:$B$404,"&gt;="&amp;辅助数据!$BJ$2,入户维修!$B$5:$B$404,"&lt;="&amp;辅助数据!$BK$2)+COUNTIFS(入户维修!$H$5:$H$404,$A4,入户维修!$O$5:$O$404,"非常满意",入户维修!$B$5:$B$404,"&gt;="&amp;辅助数据!$BJ$2,入户维修!$B$5:$B$404,"&lt;="&amp;辅助数据!$BK$2)</f>
        <v>#REF!</v>
      </c>
      <c r="DR4" s="68" t="e">
        <f aca="false">COUNTIFS(入户维修!$F$5:$F$404,$A4,入户维修!$O$5:$O$404,"满意",入户维修!$B$5:$B$404,"&gt;="&amp;辅助数据!$BJ$2,入户维修!$B$5:$B$404,"&lt;="&amp;辅助数据!$BK$2)+COUNTIFS(入户维修!$G$5:$G$404,$A4,入户维修!$O$5:$O$404,"满意",入户维修!$B$5:$B$404,"&gt;="&amp;辅助数据!$BJ$2,入户维修!$B$5:$B$404,"&lt;="&amp;辅助数据!$BK$2)+COUNTIFS(入户维修!$H$5:$H$404,$A4,入户维修!$O$5:$O$404,"满意",入户维修!$B$5:$B$404,"&gt;="&amp;辅助数据!$BJ$2,入户维修!$B$5:$B$404,"&lt;="&amp;辅助数据!$BK$2)</f>
        <v>#REF!</v>
      </c>
      <c r="DS4" s="68" t="e">
        <f aca="false">COUNTIFS(入户维修!$F$5:$F$404,$A4,入户维修!$O$5:$O$404,"一般",入户维修!$B$5:$B$404,"&gt;="&amp;辅助数据!$BJ$2,入户维修!$B$5:$B$404,"&lt;="&amp;辅助数据!$BK$2)+COUNTIFS(入户维修!$G$5:$G$404,$A4,入户维修!$O$5:$O$404,"一般",入户维修!$B$5:$B$404,"&gt;="&amp;辅助数据!$BJ$2,入户维修!$B$5:$B$404,"&lt;="&amp;辅助数据!$BK$2)+COUNTIFS(入户维修!$H$5:$H$404,$A4,入户维修!$O$5:$O$404,"一般",入户维修!$B$5:$B$404,"&gt;="&amp;辅助数据!$BJ$2,入户维修!$B$5:$B$404,"&lt;="&amp;辅助数据!$BK$2)</f>
        <v>#REF!</v>
      </c>
      <c r="DT4" s="68" t="e">
        <f aca="false">COUNTIFS(入户维修!$F$5:$F$404,$A4,入户维修!$O$5:$O$404,"不满意",入户维修!$B$5:$B$404,"&gt;="&amp;辅助数据!$BJ$2,入户维修!$B$5:$B$404,"&lt;="&amp;辅助数据!$BK$2)+COUNTIFS(入户维修!$G$5:$G$404,$A4,入户维修!$O$5:$O$404,"不满意",入户维修!$B$5:$B$404,"&gt;="&amp;辅助数据!$BJ$2,入户维修!$B$5:$B$404,"&lt;="&amp;辅助数据!$BK$2)+COUNTIFS(入户维修!$H$5:$H$404,$A4,入户维修!$O$5:$O$404,"不满意",入户维修!$B$5:$B$404,"&gt;="&amp;辅助数据!$BJ$2,入户维修!$B$5:$B$404,"&lt;="&amp;辅助数据!$BK$2)</f>
        <v>#REF!</v>
      </c>
      <c r="DU4" s="68" t="e">
        <f aca="false">SUM($DQ4:$DT4)</f>
        <v>#REF!</v>
      </c>
      <c r="DV4" s="68" t="e">
        <f aca="false">$DO4+$DN4/1000</f>
        <v>#REF!</v>
      </c>
      <c r="DW4" s="68" t="e">
        <f aca="false">RANK($DV4,$DV$1:$DV$5)+COUNTIF($DV$1:$DV4,$DV4)-1</f>
        <v>#REF!</v>
      </c>
      <c r="DX4" s="68" t="e">
        <f aca="false">IF($DU4=0,-1,($DQ4*100+$DR4*80+$DS4*60)/$DU4+$DU4/1000)</f>
        <v>#REF!</v>
      </c>
      <c r="DY4" s="68" t="e">
        <f aca="false">RANK($DX4,$DX$1:$DX$5)+COUNTIF($DX$1:$DX4,$DX4)-1</f>
        <v>#REF!</v>
      </c>
      <c r="DZ4" s="68" t="e">
        <f aca="false">COUNTIFS(入户维修!$F$5:$F$404,$A4,入户维修!$E$5:$E$404,"?*",入户维修!$B$5:$B$404,"&gt;="&amp;辅助数据!$BJ$3,入户维修!$B$5:$B$404,"&lt;="&amp;辅助数据!$BK$3)+COUNTIFS(入户维修!$G$5:$G$404,$A4,入户维修!$E$5:$E$404,"?*",入户维修!$B$5:$B$404,"&gt;="&amp;辅助数据!$BJ$3,入户维修!$B$5:$B$404,"&lt;="&amp;辅助数据!$BK$3)+COUNTIFS(入户维修!$H$5:$H$404,$A4,入户维修!$E$5:$E$404,"?*",入户维修!$B$5:$B$404,"&gt;="&amp;辅助数据!$BJ$3,入户维修!$B$5:$B$404,"&lt;="&amp;辅助数据!$BK$3)</f>
        <v>#REF!</v>
      </c>
      <c r="EA4" s="68" t="e">
        <f aca="false">COUNTIFS(入户维修!$F$5:$F$404,$A4,入户维修!$K$5:$K$404,"已完成",入户维修!$B$5:$B$404,"&gt;="&amp;辅助数据!$BJ$3,入户维修!$B$5:$B$404,"&lt;="&amp;辅助数据!$BK$3)+COUNTIFS(入户维修!$G$5:$G$404,$A4,入户维修!$K$5:$K$404,"已完成",入户维修!$B$5:$B$404,"&gt;="&amp;辅助数据!$BJ$3,入户维修!$B$5:$B$404,"&lt;="&amp;辅助数据!$BK$3)+COUNTIFS(入户维修!$H$5:$H$404,$A4,入户维修!$K$5:$K$404,"已完成",入户维修!$B$5:$B$404,"&gt;="&amp;辅助数据!$BJ$3,入户维修!$B$5:$B$404,"&lt;="&amp;辅助数据!$BK$3)</f>
        <v>#REF!</v>
      </c>
      <c r="EB4" s="68" t="e">
        <f aca="false">COUNTIFS(入户维修!$F$5:$F$404,$A4,入户维修!$K$5:$K$404,"跟进中",入户维修!$B$5:$B$404,"&gt;="&amp;辅助数据!$BJ$3,入户维修!$B$5:$B$404,"&lt;="&amp;辅助数据!$BK$3)+COUNTIFS(入户维修!$G$5:$G$404,$A4,入户维修!$K$5:$K$404,"跟进中",入户维修!$B$5:$B$404,"&gt;="&amp;辅助数据!$BJ$3,入户维修!$B$5:$B$404,"&lt;="&amp;辅助数据!$BK$3)+COUNTIFS(入户维修!$H$5:$H$404,$A4,入户维修!$K$5:$K$404,"跟进中",入户维修!$B$5:$B$404,"&gt;="&amp;辅助数据!$BJ$3,入户维修!$B$5:$B$404,"&lt;="&amp;辅助数据!$BK$3)</f>
        <v>#REF!</v>
      </c>
      <c r="EC4" s="68" t="e">
        <f aca="false">COUNTIFS(入户维修!$F$5:$F$404,$A4,入户维修!$O$5:$O$404,"非常满意",入户维修!$B$5:$B$404,"&gt;="&amp;辅助数据!$BJ$3,入户维修!$B$5:$B$404,"&lt;="&amp;辅助数据!$BK$3)+COUNTIFS(入户维修!$G$5:$G$404,$A4,入户维修!$O$5:$O$404,"非常满意",入户维修!$B$5:$B$404,"&gt;="&amp;辅助数据!$BJ$3,入户维修!$B$5:$B$404,"&lt;="&amp;辅助数据!$BK$3)+COUNTIFS(入户维修!$H$5:$H$404,$A4,入户维修!$O$5:$O$404,"非常满意",入户维修!$B$5:$B$404,"&gt;="&amp;辅助数据!$BJ$3,入户维修!$B$5:$B$404,"&lt;="&amp;辅助数据!$BK$3)</f>
        <v>#REF!</v>
      </c>
      <c r="ED4" s="68" t="e">
        <f aca="false">COUNTIFS(入户维修!$F$5:$F$404,$A4,入户维修!$O$5:$O$404,"满意",入户维修!$B$5:$B$404,"&gt;="&amp;辅助数据!$BJ$3,入户维修!$B$5:$B$404,"&lt;="&amp;辅助数据!$BK$3)+COUNTIFS(入户维修!$G$5:$G$404,$A4,入户维修!$O$5:$O$404,"满意",入户维修!$B$5:$B$404,"&gt;="&amp;辅助数据!$BJ$3,入户维修!$B$5:$B$404,"&lt;="&amp;辅助数据!$BK$3)+COUNTIFS(入户维修!$H$5:$H$404,$A4,入户维修!$O$5:$O$404,"满意",入户维修!$B$5:$B$404,"&gt;="&amp;辅助数据!$BJ$3,入户维修!$B$5:$B$404,"&lt;="&amp;辅助数据!$BK$3)</f>
        <v>#REF!</v>
      </c>
      <c r="EE4" s="68" t="e">
        <f aca="false">COUNTIFS(入户维修!$F$5:$F$404,$A4,入户维修!$O$5:$O$404,"一般",入户维修!$B$5:$B$404,"&gt;="&amp;辅助数据!$BJ$3,入户维修!$B$5:$B$404,"&lt;="&amp;辅助数据!$BK$3)+COUNTIFS(入户维修!$G$5:$G$404,$A4,入户维修!$O$5:$O$404,"一般",入户维修!$B$5:$B$404,"&gt;="&amp;辅助数据!$BJ$3,入户维修!$B$5:$B$404,"&lt;="&amp;辅助数据!$BK$3)+COUNTIFS(入户维修!$H$5:$H$404,$A4,入户维修!$O$5:$O$404,"一般",入户维修!$B$5:$B$404,"&gt;="&amp;辅助数据!$BJ$3,入户维修!$B$5:$B$404,"&lt;="&amp;辅助数据!$BK$3)</f>
        <v>#REF!</v>
      </c>
      <c r="EF4" s="68" t="e">
        <f aca="false">COUNTIFS(入户维修!$F$5:$F$404,$A4,入户维修!$O$5:$O$404,"不满意",入户维修!$B$5:$B$404,"&gt;="&amp;辅助数据!$BJ$3,入户维修!$B$5:$B$404,"&lt;="&amp;辅助数据!$BK$3)+COUNTIFS(入户维修!$G$5:$G$404,$A4,入户维修!$O$5:$O$404,"不满意",入户维修!$B$5:$B$404,"&gt;="&amp;辅助数据!$BJ$3,入户维修!$B$5:$B$404,"&lt;="&amp;辅助数据!$BK$3)+COUNTIFS(入户维修!$H$5:$H$404,$A4,入户维修!$O$5:$O$404,"不满意",入户维修!$B$5:$B$404,"&gt;="&amp;辅助数据!$BJ$3,入户维修!$B$5:$B$404,"&lt;="&amp;辅助数据!$BK$3)</f>
        <v>#REF!</v>
      </c>
      <c r="EG4" s="68" t="e">
        <f aca="false">SUM($EC4:$EF4)</f>
        <v>#REF!</v>
      </c>
      <c r="EH4" s="68" t="e">
        <f aca="false">$EA4+$DZ4/1000</f>
        <v>#REF!</v>
      </c>
      <c r="EI4" s="68" t="e">
        <f aca="false">RANK($EH4,$EH$1:$EH$5)+COUNTIF($EH$1:$EH4,$EH4)-1</f>
        <v>#REF!</v>
      </c>
      <c r="EJ4" s="68" t="e">
        <f aca="false">IF($EG4=0,-1,($EC4*100+$ED4*80+$EE4*60)/$EG4+$EG4/1000)</f>
        <v>#REF!</v>
      </c>
      <c r="EK4" s="68" t="e">
        <f aca="false">RANK($EJ4,$EJ$1:$EJ$5)+COUNTIF($EJ$1:$EJ4,$EJ4)-1</f>
        <v>#REF!</v>
      </c>
      <c r="EL4" s="68" t="e">
        <f aca="false">COUNTIFS(公区维修!$F$5:$F$404,$A4,公区维修!$E$5:$E$404,"?*",公区维修!$B$5:$B$404,"&gt;="&amp;辅助数据!$BL$1,公区维修!$B$5:$B$404,"&lt;="&amp;辅助数据!$BM$1)+COUNTIFS(公区维修!$G$5:$G$404,$A4,公区维修!$E$5:$E$404,"?*",公区维修!$B$5:$B$404,"&gt;="&amp;辅助数据!$BL$1,公区维修!$B$5:$B$404,"&lt;="&amp;辅助数据!$BM$1)+COUNTIFS(公区维修!$H$5:$H$404,$A4,公区维修!$E$5:$E$404,"?*",公区维修!$B$5:$B$404,"&gt;="&amp;辅助数据!$BL$1,公区维修!$B$5:$B$404,"&lt;="&amp;辅助数据!$BM$1)</f>
        <v>#REF!</v>
      </c>
      <c r="EM4" s="68" t="e">
        <f aca="false">COUNTIFS(公区维修!$F$5:$F$404,$A4,公区维修!$K$5:$K$404,"已完成",公区维修!$B$5:$B$404,"&gt;="&amp;辅助数据!$BL$1,公区维修!$B$5:$B$404,"&lt;="&amp;辅助数据!$BM$1)+COUNTIFS(公区维修!$G$5:$G$404,$A4,公区维修!$K$5:$K$404,"已完成",公区维修!$B$5:$B$404,"&gt;="&amp;辅助数据!$BL$1,公区维修!$B$5:$B$404,"&lt;="&amp;辅助数据!$BM$1)+COUNTIFS(公区维修!$H$5:$H$404,$A4,公区维修!$K$5:$K$404,"已完成",公区维修!$B$5:$B$404,"&gt;="&amp;辅助数据!$BL$1,公区维修!$B$5:$B$404,"&lt;="&amp;辅助数据!$BM$1)</f>
        <v>#REF!</v>
      </c>
      <c r="EN4" s="68" t="e">
        <f aca="false">COUNTIFS(公区维修!$F$5:$F$404,$A4,公区维修!$K$5:$K$404,"跟进中",公区维修!$B$5:$B$404,"&gt;="&amp;辅助数据!$BL$1,公区维修!$B$5:$B$404,"&lt;="&amp;辅助数据!$BM$1)+COUNTIFS(公区维修!$G$5:$G$404,$A4,公区维修!$K$5:$K$404,"跟进中",公区维修!$B$5:$B$404,"&gt;="&amp;辅助数据!$BL$1,公区维修!$B$5:$B$404,"&lt;="&amp;辅助数据!$BM$1)+COUNTIFS(公区维修!$H$5:$H$404,$A4,公区维修!$K$5:$K$404,"跟进中",公区维修!$B$5:$B$404,"&gt;="&amp;辅助数据!$BL$1,公区维修!$B$5:$B$404,"&lt;="&amp;辅助数据!$BM$1)</f>
        <v>#REF!</v>
      </c>
      <c r="EO4" s="68" t="e">
        <f aca="false">COUNTIFS(公区维修!$F$5:$F$404,$A4,公区维修!$N$5:$N$404,"非常满意",公区维修!$B$5:$B$404,"&gt;="&amp;辅助数据!$BL$1,公区维修!$B$5:$B$404,"&lt;="&amp;辅助数据!$BM$1)+COUNTIFS(公区维修!$G$5:$G$404,$A4,公区维修!$N$5:$N$404,"非常满意",公区维修!$B$5:$B$404,"&gt;="&amp;辅助数据!$BL$1,公区维修!$B$5:$B$404,"&lt;="&amp;辅助数据!$BM$1)+COUNTIFS(公区维修!$H$5:$H$404,$A4,公区维修!$N$5:$N$404,"非常满意",公区维修!$B$5:$B$404,"&gt;="&amp;辅助数据!$BL$1,公区维修!$B$5:$B$404,"&lt;="&amp;辅助数据!$BM$1)</f>
        <v>#REF!</v>
      </c>
      <c r="EP4" s="68" t="e">
        <f aca="false">COUNTIFS(公区维修!$F$5:$F$404,$A4,公区维修!$N$5:$N$404,"满意",公区维修!$B$5:$B$404,"&gt;="&amp;辅助数据!$BL$1,公区维修!$B$5:$B$404,"&lt;="&amp;辅助数据!$BM$1)+COUNTIFS(公区维修!$G$5:$G$404,$A4,公区维修!$N$5:$N$404,"满意",公区维修!$B$5:$B$404,"&gt;="&amp;辅助数据!$BL$1,公区维修!$B$5:$B$404,"&lt;="&amp;辅助数据!$BM$1)+COUNTIFS(公区维修!$H$5:$H$404,$A4,公区维修!$N$5:$N$404,"满意",公区维修!$B$5:$B$404,"&gt;="&amp;辅助数据!$BL$1,公区维修!$B$5:$B$404,"&lt;="&amp;辅助数据!$BM$1)</f>
        <v>#REF!</v>
      </c>
      <c r="EQ4" s="68" t="e">
        <f aca="false">COUNTIFS(公区维修!$F$5:$F$404,$A4,公区维修!$N$5:$N$404,"一般",公区维修!$B$5:$B$404,"&gt;="&amp;辅助数据!$BL$1,公区维修!$B$5:$B$404,"&lt;="&amp;辅助数据!$BM$1)+COUNTIFS(公区维修!$G$5:$G$404,$A4,公区维修!$N$5:$N$404,"一般",公区维修!$B$5:$B$404,"&gt;="&amp;辅助数据!$BL$1,公区维修!$B$5:$B$404,"&lt;="&amp;辅助数据!$BM$1)+COUNTIFS(公区维修!$H$5:$H$404,$A4,公区维修!$N$5:$N$404,"一般",公区维修!$B$5:$B$404,"&gt;="&amp;辅助数据!$BL$1,公区维修!$B$5:$B$404,"&lt;="&amp;辅助数据!$BM$1)</f>
        <v>#REF!</v>
      </c>
      <c r="ER4" s="68" t="e">
        <f aca="false">COUNTIFS(公区维修!$F$5:$F$404,$A4,公区维修!$N$5:$N$404,"不满意",公区维修!$B$5:$B$404,"&gt;="&amp;辅助数据!$BL$1,公区维修!$B$5:$B$404,"&lt;="&amp;辅助数据!$BM$1)+COUNTIFS(公区维修!$G$5:$G$404,$A4,公区维修!$N$5:$N$404,"不满意",公区维修!$B$5:$B$404,"&gt;="&amp;辅助数据!$BL$1,公区维修!$B$5:$B$404,"&lt;="&amp;辅助数据!$BM$1)+COUNTIFS(公区维修!$H$5:$H$404,$A4,公区维修!$N$5:$N$404,"不满意",公区维修!$B$5:$B$404,"&gt;="&amp;辅助数据!$BL$1,公区维修!$B$5:$B$404,"&lt;="&amp;辅助数据!$BM$1)</f>
        <v>#REF!</v>
      </c>
      <c r="ES4" s="68" t="e">
        <f aca="false">SUM($EO4:$ER4)</f>
        <v>#REF!</v>
      </c>
      <c r="ET4" s="68" t="e">
        <f aca="false">$EM4+$EL4/1000</f>
        <v>#REF!</v>
      </c>
      <c r="EU4" s="68" t="e">
        <f aca="false">RANK($ET4,$ET$1:$ET$5)+COUNTIF($ET$1:$ET4,$ET4)-1</f>
        <v>#REF!</v>
      </c>
      <c r="EV4" s="68" t="e">
        <f aca="false">IF($ES4=0,-1,($EO4*100+$EP4*80+$EQ4*60)/$ES4+$ES4/1000)</f>
        <v>#REF!</v>
      </c>
      <c r="EW4" s="68" t="e">
        <f aca="false">RANK($EV4,$EV$1:$EV$5)+COUNTIF($EV$1:$EV4,$EV4)-1</f>
        <v>#REF!</v>
      </c>
      <c r="EX4" s="68" t="e">
        <f aca="false">COUNTIFS(公区维修!$F$5:$F$404,$A4,公区维修!$E$5:$E$404,"?*",公区维修!$B$5:$B$404,"&gt;="&amp;辅助数据!$BL$2,公区维修!$B$5:$B$404,"&lt;="&amp;辅助数据!$BM$2)+COUNTIFS(公区维修!$G$5:$G$404,$A4,公区维修!$E$5:$E$404,"?*",公区维修!$B$5:$B$404,"&gt;="&amp;辅助数据!$BL$2,公区维修!$B$5:$B$404,"&lt;="&amp;辅助数据!$BM$2)+COUNTIFS(公区维修!$H$5:$H$404,$A4,公区维修!$E$5:$E$404,"?*",公区维修!$B$5:$B$404,"&gt;="&amp;辅助数据!$BL$2,公区维修!$B$5:$B$404,"&lt;="&amp;辅助数据!$BM$2)</f>
        <v>#REF!</v>
      </c>
      <c r="EY4" s="68" t="e">
        <f aca="false">COUNTIFS(公区维修!$F$5:$F$404,$A4,公区维修!$K$5:$K$404,"已完成",公区维修!$B$5:$B$404,"&gt;="&amp;辅助数据!$BL$2,公区维修!$B$5:$B$404,"&lt;="&amp;辅助数据!$BM$2)+COUNTIFS(公区维修!$G$5:$G$404,$A4,公区维修!$K$5:$K$404,"已完成",公区维修!$B$5:$B$404,"&gt;="&amp;辅助数据!$BL$2,公区维修!$B$5:$B$404,"&lt;="&amp;辅助数据!$BM$2)+COUNTIFS(公区维修!$H$5:$H$404,$A4,公区维修!$K$5:$K$404,"已完成",公区维修!$B$5:$B$404,"&gt;="&amp;辅助数据!$BL$2,公区维修!$B$5:$B$404,"&lt;="&amp;辅助数据!$BM$2)</f>
        <v>#REF!</v>
      </c>
      <c r="EZ4" s="68" t="e">
        <f aca="false">COUNTIFS(公区维修!$F$5:$F$404,$A4,公区维修!$K$5:$K$404,"跟进中",公区维修!$B$5:$B$404,"&gt;="&amp;辅助数据!$BL$2,公区维修!$B$5:$B$404,"&lt;="&amp;辅助数据!$BM$2)+COUNTIFS(公区维修!$G$5:$G$404,$A4,公区维修!$K$5:$K$404,"跟进中",公区维修!$B$5:$B$404,"&gt;="&amp;辅助数据!$BL$2,公区维修!$B$5:$B$404,"&lt;="&amp;辅助数据!$BM$2)+COUNTIFS(公区维修!$H$5:$H$404,$A4,公区维修!$K$5:$K$404,"跟进中",公区维修!$B$5:$B$404,"&gt;="&amp;辅助数据!$BL$2,公区维修!$B$5:$B$404,"&lt;="&amp;辅助数据!$BM$2)</f>
        <v>#REF!</v>
      </c>
      <c r="FA4" s="68" t="e">
        <f aca="false">COUNTIFS(公区维修!$F$5:$F$404,$A4,公区维修!$N$5:$N$404,"非常满意",公区维修!$B$5:$B$404,"&gt;="&amp;辅助数据!$BL$2,公区维修!$B$5:$B$404,"&lt;="&amp;辅助数据!$BM$2)+COUNTIFS(公区维修!$G$5:$G$404,$A4,公区维修!$N$5:$N$404,"非常满意",公区维修!$B$5:$B$404,"&gt;="&amp;辅助数据!$BL$2,公区维修!$B$5:$B$404,"&lt;="&amp;辅助数据!$BM$2)+COUNTIFS(公区维修!$H$5:$H$404,$A4,公区维修!$N$5:$N$404,"非常满意",公区维修!$B$5:$B$404,"&gt;="&amp;辅助数据!$BL$2,公区维修!$B$5:$B$404,"&lt;="&amp;辅助数据!$BM$2)</f>
        <v>#REF!</v>
      </c>
      <c r="FB4" s="68" t="e">
        <f aca="false">COUNTIFS(公区维修!$F$5:$F$404,$A4,公区维修!$N$5:$N$404,"满意",公区维修!$B$5:$B$404,"&gt;="&amp;辅助数据!$BL$2,公区维修!$B$5:$B$404,"&lt;="&amp;辅助数据!$BM$2)+COUNTIFS(公区维修!$G$5:$G$404,$A4,公区维修!$N$5:$N$404,"满意",公区维修!$B$5:$B$404,"&gt;="&amp;辅助数据!$BL$2,公区维修!$B$5:$B$404,"&lt;="&amp;辅助数据!$BM$2)+COUNTIFS(公区维修!$H$5:$H$404,$A4,公区维修!$N$5:$N$404,"满意",公区维修!$B$5:$B$404,"&gt;="&amp;辅助数据!$BL$2,公区维修!$B$5:$B$404,"&lt;="&amp;辅助数据!$BM$2)</f>
        <v>#REF!</v>
      </c>
      <c r="FC4" s="68" t="e">
        <f aca="false">COUNTIFS(公区维修!$F$5:$F$404,$A4,公区维修!$N$5:$N$404,"一般",公区维修!$B$5:$B$404,"&gt;="&amp;辅助数据!$BL$2,公区维修!$B$5:$B$404,"&lt;="&amp;辅助数据!$BM$2)+COUNTIFS(公区维修!$G$5:$G$404,$A4,公区维修!$N$5:$N$404,"一般",公区维修!$B$5:$B$404,"&gt;="&amp;辅助数据!$BL$2,公区维修!$B$5:$B$404,"&lt;="&amp;辅助数据!$BM$2)+COUNTIFS(公区维修!$H$5:$H$404,$A4,公区维修!$N$5:$N$404,"一般",公区维修!$B$5:$B$404,"&gt;="&amp;辅助数据!$BL$2,公区维修!$B$5:$B$404,"&lt;="&amp;辅助数据!$BM$2)</f>
        <v>#REF!</v>
      </c>
      <c r="FD4" s="68" t="e">
        <f aca="false">COUNTIFS(公区维修!$F$5:$F$404,$A4,公区维修!$N$5:$N$404,"不满意",公区维修!$B$5:$B$404,"&gt;="&amp;辅助数据!$BL$2,公区维修!$B$5:$B$404,"&lt;="&amp;辅助数据!$BM$2)+COUNTIFS(公区维修!$G$5:$G$404,$A4,公区维修!$N$5:$N$404,"不满意",公区维修!$B$5:$B$404,"&gt;="&amp;辅助数据!$BL$2,公区维修!$B$5:$B$404,"&lt;="&amp;辅助数据!$BM$2)+COUNTIFS(公区维修!$H$5:$H$404,$A4,公区维修!$N$5:$N$404,"不满意",公区维修!$B$5:$B$404,"&gt;="&amp;辅助数据!$BL$2,公区维修!$B$5:$B$404,"&lt;="&amp;辅助数据!$BM$2)</f>
        <v>#REF!</v>
      </c>
      <c r="FE4" s="68" t="e">
        <f aca="false">SUM($FA4:$FD4)</f>
        <v>#REF!</v>
      </c>
      <c r="FF4" s="68" t="e">
        <f aca="false">$EY4+$EX4/1000</f>
        <v>#REF!</v>
      </c>
      <c r="FG4" s="68" t="e">
        <f aca="false">RANK($FF4,$FF$1:$FF$5)+COUNTIF($FF$1:$FF4,$FF4)-1</f>
        <v>#REF!</v>
      </c>
      <c r="FH4" s="68" t="e">
        <f aca="false">IF($FE4=0,-1,($FA4*100+$FB4*80+$FC4*60)/$FE4+$FE4/1000)</f>
        <v>#REF!</v>
      </c>
      <c r="FI4" s="68" t="e">
        <f aca="false">RANK($FH4,$FH$1:$FH$5)+COUNTIF($FH$1:$FH4,$FH4)-1</f>
        <v>#REF!</v>
      </c>
      <c r="FJ4" s="68" t="e">
        <f aca="false">COUNTIFS(公区维修!$F$5:$F$404,$A4,公区维修!$E$5:$E$404,"?*",公区维修!$B$5:$B$404,"&gt;="&amp;辅助数据!$BL$3,公区维修!$B$5:$B$404,"&lt;="&amp;辅助数据!$BM$3)+COUNTIFS(公区维修!$G$5:$G$404,$A4,公区维修!$E$5:$E$404,"?*",公区维修!$B$5:$B$404,"&gt;="&amp;辅助数据!$BL$3,公区维修!$B$5:$B$404,"&lt;="&amp;辅助数据!$BM$3)+COUNTIFS(公区维修!$H$5:$H$404,$A4,公区维修!$E$5:$E$404,"?*",公区维修!$B$5:$B$404,"&gt;="&amp;辅助数据!$BL$3,公区维修!$B$5:$B$404,"&lt;="&amp;辅助数据!$BM$3)</f>
        <v>#REF!</v>
      </c>
      <c r="FK4" s="68" t="e">
        <f aca="false">COUNTIFS(公区维修!$F$5:$F$404,$A4,公区维修!$K$5:$K$404,"已完成",公区维修!$B$5:$B$404,"&gt;="&amp;辅助数据!$BL$3,公区维修!$B$5:$B$404,"&lt;="&amp;辅助数据!$BM$3)+COUNTIFS(公区维修!$G$5:$G$404,$A4,公区维修!$K$5:$K$404,"已完成",公区维修!$B$5:$B$404,"&gt;="&amp;辅助数据!$BL$3,公区维修!$B$5:$B$404,"&lt;="&amp;辅助数据!$BM$3)+COUNTIFS(公区维修!$H$5:$H$404,$A4,公区维修!$K$5:$K$404,"已完成",公区维修!$B$5:$B$404,"&gt;="&amp;辅助数据!$BL$3,公区维修!$B$5:$B$404,"&lt;="&amp;辅助数据!$BM$3)</f>
        <v>#REF!</v>
      </c>
      <c r="FL4" s="68" t="e">
        <f aca="false">COUNTIFS(公区维修!$F$5:$F$404,$A4,公区维修!$K$5:$K$404,"跟进中",公区维修!$B$5:$B$404,"&gt;="&amp;辅助数据!$BL$3,公区维修!$B$5:$B$404,"&lt;="&amp;辅助数据!$BM$3)+COUNTIFS(公区维修!$G$5:$G$404,$A4,公区维修!$K$5:$K$404,"跟进中",公区维修!$B$5:$B$404,"&gt;="&amp;辅助数据!$BL$3,公区维修!$B$5:$B$404,"&lt;="&amp;辅助数据!$BM$3)+COUNTIFS(公区维修!$H$5:$H$404,$A4,公区维修!$K$5:$K$404,"跟进中",公区维修!$B$5:$B$404,"&gt;="&amp;辅助数据!$BL$3,公区维修!$B$5:$B$404,"&lt;="&amp;辅助数据!$BM$3)</f>
        <v>#REF!</v>
      </c>
      <c r="FM4" s="68" t="e">
        <f aca="false">COUNTIFS(公区维修!$F$5:$F$404,$A4,公区维修!$N$5:$N$404,"非常满意",公区维修!$B$5:$B$404,"&gt;="&amp;辅助数据!$BL$3,公区维修!$B$5:$B$404,"&lt;="&amp;辅助数据!$BM$3)+COUNTIFS(公区维修!$G$5:$G$404,$A4,公区维修!$N$5:$N$404,"非常满意",公区维修!$B$5:$B$404,"&gt;="&amp;辅助数据!$BL$3,公区维修!$B$5:$B$404,"&lt;="&amp;辅助数据!$BM$3)+COUNTIFS(公区维修!$H$5:$H$404,$A4,公区维修!$N$5:$N$404,"非常满意",公区维修!$B$5:$B$404,"&gt;="&amp;辅助数据!$BL$3,公区维修!$B$5:$B$404,"&lt;="&amp;辅助数据!$BM$3)</f>
        <v>#REF!</v>
      </c>
      <c r="FN4" s="68" t="e">
        <f aca="false">COUNTIFS(公区维修!$F$5:$F$404,$A4,公区维修!$N$5:$N$404,"满意",公区维修!$B$5:$B$404,"&gt;="&amp;辅助数据!$BL$3,公区维修!$B$5:$B$404,"&lt;="&amp;辅助数据!$BM$3)+COUNTIFS(公区维修!$G$5:$G$404,$A4,公区维修!$N$5:$N$404,"满意",公区维修!$B$5:$B$404,"&gt;="&amp;辅助数据!$BL$3,公区维修!$B$5:$B$404,"&lt;="&amp;辅助数据!$BM$3)+COUNTIFS(公区维修!$H$5:$H$404,$A4,公区维修!$N$5:$N$404,"满意",公区维修!$B$5:$B$404,"&gt;="&amp;辅助数据!$BL$3,公区维修!$B$5:$B$404,"&lt;="&amp;辅助数据!$BM$3)</f>
        <v>#REF!</v>
      </c>
      <c r="FO4" s="68" t="e">
        <f aca="false">COUNTIFS(公区维修!$F$5:$F$404,$A4,公区维修!$N$5:$N$404,"一般",公区维修!$B$5:$B$404,"&gt;="&amp;辅助数据!$BL$3,公区维修!$B$5:$B$404,"&lt;="&amp;辅助数据!$BM$3)+COUNTIFS(公区维修!$G$5:$G$404,$A4,公区维修!$N$5:$N$404,"一般",公区维修!$B$5:$B$404,"&gt;="&amp;辅助数据!$BL$3,公区维修!$B$5:$B$404,"&lt;="&amp;辅助数据!$BM$3)+COUNTIFS(公区维修!$H$5:$H$404,$A4,公区维修!$N$5:$N$404,"一般",公区维修!$B$5:$B$404,"&gt;="&amp;辅助数据!$BL$3,公区维修!$B$5:$B$404,"&lt;="&amp;辅助数据!$BM$3)</f>
        <v>#REF!</v>
      </c>
      <c r="FP4" s="68" t="e">
        <f aca="false">COUNTIFS(公区维修!$F$5:$F$404,$A4,公区维修!$N$5:$N$404,"不满意",公区维修!$B$5:$B$404,"&gt;="&amp;辅助数据!$BL$3,公区维修!$B$5:$B$404,"&lt;="&amp;辅助数据!$BM$3)+COUNTIFS(公区维修!$G$5:$G$404,$A4,公区维修!$N$5:$N$404,"不满意",公区维修!$B$5:$B$404,"&gt;="&amp;辅助数据!$BL$3,公区维修!$B$5:$B$404,"&lt;="&amp;辅助数据!$BM$3)+COUNTIFS(公区维修!$H$5:$H$404,$A4,公区维修!$N$5:$N$404,"不满意",公区维修!$B$5:$B$404,"&gt;="&amp;辅助数据!$BL$3,公区维修!$B$5:$B$404,"&lt;="&amp;辅助数据!$BM$3)</f>
        <v>#REF!</v>
      </c>
      <c r="FQ4" s="68" t="e">
        <f aca="false">SUM($FM4:$FP4)</f>
        <v>#REF!</v>
      </c>
      <c r="FR4" s="68" t="e">
        <f aca="false">$FK4+$FJ4/1000</f>
        <v>#REF!</v>
      </c>
      <c r="FS4" s="68" t="e">
        <f aca="false">RANK($FR4,$FR$1:$FR$5)+COUNTIF($FR$1:$FR4,$FR4)-1</f>
        <v>#REF!</v>
      </c>
      <c r="FT4" s="68" t="e">
        <f aca="false">IF($FQ4=0,-1,($FM4*100+$FN4*80+$FO4*60)/$FQ4+$FQ4/1000)</f>
        <v>#REF!</v>
      </c>
      <c r="FU4" s="68" t="e">
        <f aca="false">RANK($FT4,$FT$1:$FT$5)+COUNTIF($FT$1:$FT4,$FT4)-1</f>
        <v>#REF!</v>
      </c>
      <c r="FW4" s="0" t="n">
        <v>0</v>
      </c>
      <c r="FY4" s="69" t="n">
        <f aca="false">IFERROR(MATCH(4,$FW$5:$FW$404,0),"")</f>
        <v>7</v>
      </c>
      <c r="GA4" s="69" t="n">
        <f aca="false">COUNTIFS(入户维修!$F$5:$F$404,$A4,入户维修!$K$5:$K$404,"跟进中")+COUNTIFS(入户维修!$G$5:$G$404,$A4,入户维修!$K$5:$K$404,"跟进中")+COUNTIFS(入户维修!$H$5:$H$404,$A4,入户维修!$K$5:$K$404,"跟进中")</f>
        <v>3</v>
      </c>
      <c r="GB4" s="69" t="n">
        <f aca="false">COUNTIFS(公区维修!$F$5:$F$404,$A4,公区维修!$K$5:$K$404,"跟进中")+COUNTIFS(公区维修!$G$5:$G$404,$A4,公区维修!$K$5:$K$404,"跟进中")+COUNTIFS(公区维修!$H$5:$H$404,$A4,公区维修!$K$5:$K$404,"跟进中")</f>
        <v>1</v>
      </c>
    </row>
    <row r="5" customFormat="false" ht="15" hidden="false" customHeight="true" outlineLevel="0" collapsed="false">
      <c r="A5" s="68" t="s">
        <v>34</v>
      </c>
      <c r="B5" s="68" t="n">
        <f aca="false">IF(COUNTIFS(入户维修!$F$5:$F$404,$A5,入户维修!$K$5:$K$404,"跟进中")+COUNTIFS(入户维修!$G$5:$G$404,$A5,入户维修!$K$5:$K$404,"跟进中")+COUNTIFS(入户维修!$H$5:$H$404,$A5,入户维修!$K$5:$K$404,"跟进中")+COUNTIFS(公区维修!$F$5:$F$404,$A5,公区维修!$K$5:$K$404,"跟进中")+COUNTIFS(公区维修!$G$5:$G$404,$A5,公区维修!$K$5:$K$404,"跟进中")+COUNTIFS(公区维修!$H$5:$H$404,$A5,公区维修!$K$5:$K$404,"跟进中")&gt;0,1,0)</f>
        <v>1</v>
      </c>
      <c r="C5" s="68" t="n">
        <f aca="false">IF($BO5=0,0,SUM($BO$1:$BO5))</f>
        <v>4</v>
      </c>
      <c r="D5" s="68" t="n">
        <f aca="false">IF($BP5=0,0,SUM($BP$1:$BP5))</f>
        <v>0</v>
      </c>
      <c r="F5" s="68" t="n">
        <f aca="false">IF(OR($A$1=入户维修!$F5,$BN$1=1),0,1-SUMPRODUCT(--(($A$1=入户维修!$F5)+$BN$1&gt;0)))</f>
        <v>0</v>
      </c>
      <c r="G5" s="68" t="n">
        <f aca="false">IF(OR($A$2=入户维修!$F5,$BN$2=1),0,2-SUMPRODUCT(--(($A$1:$A$2=入户维修!$F5)+$BN$1:$BN$2&gt;0)))</f>
        <v>1</v>
      </c>
      <c r="H5" s="68" t="n">
        <f aca="false">IF(OR($A$3=入户维修!$F5,$BN$3=1),0,3-SUMPRODUCT(--(($A$1:$A$3=入户维修!$F5)+$BN$1:$BN$3&gt;0)))</f>
        <v>2</v>
      </c>
      <c r="I5" s="68" t="n">
        <f aca="false">IF(OR($A$4=入户维修!$F5,$BN$4=1),0,4-SUMPRODUCT(--(($A$1:$A$4=入户维修!$F5)+$BN$1:$BN$4&gt;0)))</f>
        <v>3</v>
      </c>
      <c r="J5" s="68" t="n">
        <f aca="false">IF(OR($A$5=入户维修!$F5,$BN$5=1),0,5-SUMPRODUCT(--(($A$1:$A$5=入户维修!$F5)+$BN$1:$BN$5&gt;0)))</f>
        <v>4</v>
      </c>
      <c r="L5" s="0" t="str">
        <f aca="false">IFERROR(INDEX($A$1:$A$5,MATCH(1,$F5:$J5,0)),IF(1=MAX($F5:$J5)+1,"取消",""))</f>
        <v>李师傅</v>
      </c>
      <c r="M5" s="0" t="str">
        <f aca="false">IFERROR(INDEX($A$1:$A$5,MATCH(2,$F5:$J5,0)),IF(2=MAX($F5:$J5)+1,"取消",""))</f>
        <v>王师傅</v>
      </c>
      <c r="N5" s="0" t="str">
        <f aca="false">IFERROR(INDEX($A$1:$A$5,MATCH(3,$F5:$J5,0)),IF(3=MAX($F5:$J5)+1,"取消",""))</f>
        <v>陈师傅</v>
      </c>
      <c r="O5" s="0" t="str">
        <f aca="false">IFERROR(INDEX($A$1:$A$5,MATCH(4,$F5:$J5,0)),IF(4=MAX($F5:$J5)+1,"取消",""))</f>
        <v>刘师傅</v>
      </c>
      <c r="P5" s="0" t="str">
        <f aca="false">IFERROR(INDEX($A$1:$A$5,MATCH(5,$F5:$J5,0)),IF(5=MAX($F5:$J5)+1,"取消",""))</f>
        <v>取消</v>
      </c>
      <c r="Q5" s="0" t="str">
        <f aca="false">IFERROR(INDEX($A$1:$A$5,MATCH(6,$F5:$J5,0)),IF(6=MAX($F5:$J5)+1,"取消",""))</f>
        <v/>
      </c>
      <c r="S5" s="68" t="n">
        <f aca="false">IF(OR($A$1=入户维修!$F5,$A$1=入户维修!$G5,$BN$1=1),0,1-SUMPRODUCT(--(($A$1=入户维修!$F5)+($A$1=入户维修!$G5)+$BN$1&gt;0)))</f>
        <v>0</v>
      </c>
      <c r="T5" s="68" t="n">
        <f aca="false">IF(OR($A$2=入户维修!$F5,$A$2=入户维修!$G5,$BN$2=1),0,2-SUMPRODUCT(--(($A$1:$A$2=入户维修!$F5)+($A$1:$A$2=入户维修!$G5)+$BN$1:$BN$2&gt;0)))</f>
        <v>0</v>
      </c>
      <c r="U5" s="68" t="n">
        <f aca="false">IF(OR($A$3=入户维修!$F5,$A$3=入户维修!$G5,$BN$3=1),0,3-SUMPRODUCT(--(($A$1:$A$3=入户维修!$F5)+($A$1:$A$3=入户维修!$G5)+$BN$1:$BN$3&gt;0)))</f>
        <v>1</v>
      </c>
      <c r="V5" s="68" t="n">
        <f aca="false">IF(OR($A$4=入户维修!$F5,$A$4=入户维修!$G5,$BN$4=1),0,4-SUMPRODUCT(--(($A$1:$A$4=入户维修!$F5)+($A$1:$A$4=入户维修!$G5)+$BN$1:$BN$4&gt;0)))</f>
        <v>2</v>
      </c>
      <c r="W5" s="68" t="n">
        <f aca="false">IF(OR($A$5=入户维修!$F5,$A$5=入户维修!$G5,$BN$5=1),0,5-SUMPRODUCT(--(($A$1:$A$5=入户维修!$F5)+($A$1:$A$5=入户维修!$G5)+$BN$1:$BN$5&gt;0)))</f>
        <v>3</v>
      </c>
      <c r="Y5" s="0" t="str">
        <f aca="false">IFERROR(INDEX($A$1:$A$5,MATCH(1,$S5:$W5,0)),IF(1=MAX($S5:$W5)+1,"取消",""))</f>
        <v>王师傅</v>
      </c>
      <c r="Z5" s="0" t="str">
        <f aca="false">IFERROR(INDEX($A$1:$A$5,MATCH(2,$S5:$W5,0)),IF(2=MAX($S5:$W5)+1,"取消",""))</f>
        <v>陈师傅</v>
      </c>
      <c r="AA5" s="0" t="str">
        <f aca="false">IFERROR(INDEX($A$1:$A$5,MATCH(3,$S5:$W5,0)),IF(3=MAX($S5:$W5)+1,"取消",""))</f>
        <v>刘师傅</v>
      </c>
      <c r="AB5" s="0" t="str">
        <f aca="false">IFERROR(INDEX($A$1:$A$5,MATCH(4,$S5:$W5,0)),IF(4=MAX($S5:$W5)+1,"取消",""))</f>
        <v>取消</v>
      </c>
      <c r="AC5" s="0" t="str">
        <f aca="false">IFERROR(INDEX($A$1:$A$5,MATCH(5,$S5:$W5,0)),IF(5=MAX($S5:$W5)+1,"取消",""))</f>
        <v/>
      </c>
      <c r="AD5" s="0" t="str">
        <f aca="false">IFERROR(INDEX($A$1:$A$5,MATCH(6,$S5:$W5,0)),IF(6=MAX($S5:$W5)+1,"取消",""))</f>
        <v/>
      </c>
      <c r="AF5" s="68" t="n">
        <f aca="false">IF(OR($A$1=公区维修!$F5,$BN$1=1),0,1-SUMPRODUCT(--(($A$1=公区维修!$F5)+$BN$1&gt;0)))</f>
        <v>0</v>
      </c>
      <c r="AG5" s="68" t="n">
        <f aca="false">IF(OR($A$2=公区维修!$F5,$BN$2=1),0,2-SUMPRODUCT(--(($A$1:$A$2=公区维修!$F5)+$BN$1:$BN$2&gt;0)))</f>
        <v>1</v>
      </c>
      <c r="AH5" s="68" t="n">
        <f aca="false">IF(OR($A$3=公区维修!$F5,$BN$3=1),0,3-SUMPRODUCT(--(($A$1:$A$3=公区维修!$F5)+$BN$1:$BN$3&gt;0)))</f>
        <v>2</v>
      </c>
      <c r="AI5" s="68" t="n">
        <f aca="false">IF(OR($A$4=公区维修!$F5,$BN$4=1),0,4-SUMPRODUCT(--(($A$1:$A$4=公区维修!$F5)+$BN$1:$BN$4&gt;0)))</f>
        <v>3</v>
      </c>
      <c r="AJ5" s="68" t="n">
        <f aca="false">IF(OR($A$5=公区维修!$F5,$BN$5=1),0,5-SUMPRODUCT(--(($A$1:$A$5=公区维修!$F5)+$BN$1:$BN$5&gt;0)))</f>
        <v>4</v>
      </c>
      <c r="AL5" s="0" t="str">
        <f aca="false">IFERROR(INDEX($A$1:$A$5,MATCH(1,$AF5:$AJ5,0)),IF(1=MAX($AF5:$AJ5)+1,"取消",""))</f>
        <v>李师傅</v>
      </c>
      <c r="AM5" s="0" t="str">
        <f aca="false">IFERROR(INDEX($A$1:$A$5,MATCH(2,$AF5:$AJ5,0)),IF(2=MAX($AF5:$AJ5)+1,"取消",""))</f>
        <v>王师傅</v>
      </c>
      <c r="AN5" s="0" t="str">
        <f aca="false">IFERROR(INDEX($A$1:$A$5,MATCH(3,$AF5:$AJ5,0)),IF(3=MAX($AF5:$AJ5)+1,"取消",""))</f>
        <v>陈师傅</v>
      </c>
      <c r="AO5" s="0" t="str">
        <f aca="false">IFERROR(INDEX($A$1:$A$5,MATCH(4,$AF5:$AJ5,0)),IF(4=MAX($AF5:$AJ5)+1,"取消",""))</f>
        <v>刘师傅</v>
      </c>
      <c r="AP5" s="0" t="str">
        <f aca="false">IFERROR(INDEX($A$1:$A$5,MATCH(5,$AF5:$AJ5,0)),IF(5=MAX($AF5:$AJ5)+1,"取消",""))</f>
        <v>取消</v>
      </c>
      <c r="AQ5" s="0" t="str">
        <f aca="false">IFERROR(INDEX($A$1:$A$5,MATCH(6,$AF5:$AJ5,0)),IF(6=MAX($AF5:$AJ5)+1,"取消",""))</f>
        <v/>
      </c>
      <c r="AS5" s="68" t="n">
        <f aca="false">IF(OR($A$1=公区维修!$F5,$A$1=公区维修!$G5,$BN$1=1),0,1-SUMPRODUCT(--(($A$1=公区维修!$F5)+($A$1=公区维修!$G5)+$BN$1&gt;0)))</f>
        <v>0</v>
      </c>
      <c r="AT5" s="68" t="n">
        <f aca="false">IF(OR($A$2=公区维修!$F5,$A$2=公区维修!$G5,$BN$2=1),0,2-SUMPRODUCT(--(($A$1:$A$2=公区维修!$F5)+($A$1:$A$2=公区维修!$G5)+$BN$1:$BN$2&gt;0)))</f>
        <v>1</v>
      </c>
      <c r="AU5" s="68" t="n">
        <f aca="false">IF(OR($A$3=公区维修!$F5,$A$3=公区维修!$G5,$BN$3=1),0,3-SUMPRODUCT(--(($A$1:$A$3=公区维修!$F5)+($A$1:$A$3=公区维修!$G5)+$BN$1:$BN$3&gt;0)))</f>
        <v>2</v>
      </c>
      <c r="AV5" s="68" t="n">
        <f aca="false">IF(OR($A$4=公区维修!$F5,$A$4=公区维修!$G5,$BN$4=1),0,4-SUMPRODUCT(--(($A$1:$A$4=公区维修!$F5)+($A$1:$A$4=公区维修!$G5)+$BN$1:$BN$4&gt;0)))</f>
        <v>3</v>
      </c>
      <c r="AW5" s="68" t="n">
        <f aca="false">IF(OR($A$5=公区维修!$F5,$A$5=公区维修!$G5,$BN$5=1),0,5-SUMPRODUCT(--(($A$1:$A$5=公区维修!$F5)+($A$1:$A$5=公区维修!$G5)+$BN$1:$BN$5&gt;0)))</f>
        <v>4</v>
      </c>
      <c r="AY5" s="0" t="str">
        <f aca="false">IFERROR(INDEX($A$1:$A$5,MATCH(1,$AS5:$AW5,0)),IF(1=MAX($AS5:$AW5)+1,"取消",""))</f>
        <v>李师傅</v>
      </c>
      <c r="AZ5" s="0" t="str">
        <f aca="false">IFERROR(INDEX($A$1:$A$5,MATCH(2,$AS5:$AW5,0)),IF(2=MAX($AS5:$AW5)+1,"取消",""))</f>
        <v>王师傅</v>
      </c>
      <c r="BA5" s="0" t="str">
        <f aca="false">IFERROR(INDEX($A$1:$A$5,MATCH(3,$AS5:$AW5,0)),IF(3=MAX($AS5:$AW5)+1,"取消",""))</f>
        <v>陈师傅</v>
      </c>
      <c r="BB5" s="0" t="str">
        <f aca="false">IFERROR(INDEX($A$1:$A$5,MATCH(4,$AS5:$AW5,0)),IF(4=MAX($AS5:$AW5)+1,"取消",""))</f>
        <v>刘师傅</v>
      </c>
      <c r="BC5" s="0" t="str">
        <f aca="false">IFERROR(INDEX($A$1:$A$5,MATCH(5,$AS5:$AW5,0)),IF(5=MAX($AS5:$AW5)+1,"取消",""))</f>
        <v>取消</v>
      </c>
      <c r="BD5" s="0" t="str">
        <f aca="false">IFERROR(INDEX($A$1:$A$5,MATCH(6,$AS5:$AW5,0)),IF(6=MAX($AS5:$AW5)+1,"取消",""))</f>
        <v/>
      </c>
      <c r="BF5" s="68" t="s">
        <v>34</v>
      </c>
      <c r="BG5" s="0" t="str">
        <f aca="false">IFERROR(INDEX($A$1:$A$5,MATCH(5,$BQ$1:$BQ$5,0)),IF(5=MAX($BQ$1:$BQ$5)+1,"取消",""))</f>
        <v>取消</v>
      </c>
      <c r="BN5" s="68" t="n">
        <f aca="false">IF(入户维修!N$3="休息",1,0)</f>
        <v>0</v>
      </c>
      <c r="BO5" s="68" t="n">
        <f aca="false">IF(AND($B5=1,$BN5=0),1,0)</f>
        <v>1</v>
      </c>
      <c r="BP5" s="68" t="n">
        <f aca="false">IF(AND($B5=0,$BN5=0),1,0)</f>
        <v>0</v>
      </c>
      <c r="BQ5" s="68" t="n">
        <f aca="false">IF($BN5=1,0,5-SUM($BN$1:$BN5))</f>
        <v>4</v>
      </c>
      <c r="BR5" s="68" t="n">
        <f aca="false">COUNTIFS(入户维修!$F$5:$F$404,$A5,入户维修!$E$5:$E$404,"?*",入户维修!$B$5:$B$404,"&gt;="&amp;辅助数据!$BH$1,入户维修!$B$5:$B$404,"&lt;="&amp;辅助数据!$BI$1)+COUNTIFS(入户维修!$G$5:$G$404,$A5,入户维修!$E$5:$E$404,"?*",入户维修!$B$5:$B$404,"&gt;="&amp;辅助数据!$BH$1,入户维修!$B$5:$B$404,"&lt;="&amp;辅助数据!$BI$1)+COUNTIFS(入户维修!$H$5:$H$404,$A5,入户维修!$E$5:$E$404,"?*",入户维修!$B$5:$B$404,"&gt;="&amp;辅助数据!$BH$1,入户维修!$B$5:$B$404,"&lt;="&amp;辅助数据!$BI$1)+COUNTIFS(公区维修!$F$5:$F$404,$A5,公区维修!$E$5:$E$404,"?*",公区维修!$B$5:$B$404,"&gt;="&amp;辅助数据!$BH$1,公区维修!$B$5:$B$404,"&lt;="&amp;辅助数据!$BI$1)+COUNTIFS(公区维修!$G$5:$G$404,$A5,公区维修!$E$5:$E$404,"?*",公区维修!$B$5:$B$404,"&gt;="&amp;辅助数据!$BH$1,公区维修!$B$5:$B$404,"&lt;="&amp;辅助数据!$BI$1)+COUNTIFS(公区维修!$H$5:$H$404,$A5,公区维修!$E$5:$E$404,"?*",公区维修!$B$5:$B$404,"&gt;="&amp;辅助数据!$BH$1,公区维修!$B$5:$B$404,"&lt;="&amp;辅助数据!$BI$1)</f>
        <v>0</v>
      </c>
      <c r="BS5" s="68" t="n">
        <f aca="false">COUNTIFS(入户维修!$F$5:$F$404,$A5,入户维修!$K$5:$K$404,"已完成",入户维修!$B$5:$B$404,"&gt;="&amp;辅助数据!$BH$1,入户维修!$B$5:$B$404,"&lt;="&amp;辅助数据!$BI$1)+COUNTIFS(入户维修!$G$5:$G$404,$A5,入户维修!$K$5:$K$404,"已完成",入户维修!$B$5:$B$404,"&gt;="&amp;辅助数据!$BH$1,入户维修!$B$5:$B$404,"&lt;="&amp;辅助数据!$BI$1)+COUNTIFS(入户维修!$H$5:$H$404,$A5,入户维修!$K$5:$K$404,"已完成",入户维修!$B$5:$B$404,"&gt;="&amp;辅助数据!$BH$1,入户维修!$B$5:$B$404,"&lt;="&amp;辅助数据!$BI$1)+COUNTIFS(公区维修!$F$5:$F$404,$A5,公区维修!$K$5:$K$404,"已完成",公区维修!$B$5:$B$404,"&gt;="&amp;辅助数据!$BH$1,公区维修!$B$5:$B$404,"&lt;="&amp;辅助数据!$BI$1)+COUNTIFS(公区维修!$G$5:$G$404,$A5,公区维修!$K$5:$K$404,"已完成",公区维修!$B$5:$B$404,"&gt;="&amp;辅助数据!$BH$1,公区维修!$B$5:$B$404,"&lt;="&amp;辅助数据!$BI$1)+COUNTIFS(公区维修!$H$5:$H$404,$A5,公区维修!$K$5:$K$404,"已完成",公区维修!$B$5:$B$404,"&gt;="&amp;辅助数据!$BH$1,公区维修!$B$5:$B$404,"&lt;="&amp;辅助数据!$BI$1)</f>
        <v>0</v>
      </c>
      <c r="BT5" s="68" t="n">
        <f aca="false">COUNTIFS(入户维修!$F$5:$F$404,$A5,入户维修!$K$5:$K$404,"跟进中",入户维修!$B$5:$B$404,"&gt;="&amp;辅助数据!$BH$1,入户维修!$B$5:$B$404,"&lt;="&amp;辅助数据!$BI$1)+COUNTIFS(入户维修!$G$5:$G$404,$A5,入户维修!$K$5:$K$404,"跟进中",入户维修!$B$5:$B$404,"&gt;="&amp;辅助数据!$BH$1,入户维修!$B$5:$B$404,"&lt;="&amp;辅助数据!$BI$1)+COUNTIFS(入户维修!$H$5:$H$404,$A5,入户维修!$K$5:$K$404,"跟进中",入户维修!$B$5:$B$404,"&gt;="&amp;辅助数据!$BH$1,入户维修!$B$5:$B$404,"&lt;="&amp;辅助数据!$BI$1)+COUNTIFS(公区维修!$F$5:$F$404,$A5,公区维修!$K$5:$K$404,"跟进中",公区维修!$B$5:$B$404,"&gt;="&amp;辅助数据!$BH$1,公区维修!$B$5:$B$404,"&lt;="&amp;辅助数据!$BI$1)+COUNTIFS(公区维修!$G$5:$G$404,$A5,公区维修!$K$5:$K$404,"跟进中",公区维修!$B$5:$B$404,"&gt;="&amp;辅助数据!$BH$1,公区维修!$B$5:$B$404,"&lt;="&amp;辅助数据!$BI$1)+COUNTIFS(公区维修!$H$5:$H$404,$A5,公区维修!$K$5:$K$404,"跟进中",公区维修!$B$5:$B$404,"&gt;="&amp;辅助数据!$BH$1,公区维修!$B$5:$B$404,"&lt;="&amp;辅助数据!$BI$1)</f>
        <v>0</v>
      </c>
      <c r="BU5" s="68" t="n">
        <f aca="false">COUNTIFS(入户维修!$F$5:$F$404,$A5,入户维修!$O$5:$O$404,"非常满意",入户维修!$B$5:$B$404,"&gt;="&amp;辅助数据!$BH$1,入户维修!$B$5:$B$404,"&lt;="&amp;辅助数据!$BI$1)+COUNTIFS(入户维修!$G$5:$G$404,$A5,入户维修!$O$5:$O$404,"非常满意",入户维修!$B$5:$B$404,"&gt;="&amp;辅助数据!$BH$1,入户维修!$B$5:$B$404,"&lt;="&amp;辅助数据!$BI$1)+COUNTIFS(入户维修!$H$5:$H$404,$A5,入户维修!$O$5:$O$404,"非常满意",入户维修!$B$5:$B$404,"&gt;="&amp;辅助数据!$BH$1,入户维修!$B$5:$B$404,"&lt;="&amp;辅助数据!$BI$1)+COUNTIFS(公区维修!$F$5:$F$404,$A5,公区维修!$N$5:$N$404,"非常满意",公区维修!$B$5:$B$404,"&gt;="&amp;辅助数据!$BH$1,公区维修!$B$5:$B$404,"&lt;="&amp;辅助数据!$BI$1)+COUNTIFS(公区维修!$G$5:$G$404,$A5,公区维修!$N$5:$N$404,"非常满意",公区维修!$B$5:$B$404,"&gt;="&amp;辅助数据!$BH$1,公区维修!$B$5:$B$404,"&lt;="&amp;辅助数据!$BI$1)+COUNTIFS(公区维修!$H$5:$H$404,$A5,公区维修!$N$5:$N$404,"非常满意",公区维修!$B$5:$B$404,"&gt;="&amp;辅助数据!$BH$1,公区维修!$B$5:$B$404,"&lt;="&amp;辅助数据!$BI$1)</f>
        <v>0</v>
      </c>
      <c r="BV5" s="68" t="n">
        <f aca="false">COUNTIFS(入户维修!$F$5:$F$404,$A5,入户维修!$O$5:$O$404,"满意",入户维修!$B$5:$B$404,"&gt;="&amp;辅助数据!$BH$1,入户维修!$B$5:$B$404,"&lt;="&amp;辅助数据!$BI$1)+COUNTIFS(入户维修!$G$5:$G$404,$A5,入户维修!$O$5:$O$404,"满意",入户维修!$B$5:$B$404,"&gt;="&amp;辅助数据!$BH$1,入户维修!$B$5:$B$404,"&lt;="&amp;辅助数据!$BI$1)+COUNTIFS(入户维修!$H$5:$H$404,$A5,入户维修!$O$5:$O$404,"满意",入户维修!$B$5:$B$404,"&gt;="&amp;辅助数据!$BH$1,入户维修!$B$5:$B$404,"&lt;="&amp;辅助数据!$BI$1)+COUNTIFS(公区维修!$F$5:$F$404,$A5,公区维修!$N$5:$N$404,"满意",公区维修!$B$5:$B$404,"&gt;="&amp;辅助数据!$BH$1,公区维修!$B$5:$B$404,"&lt;="&amp;辅助数据!$BI$1)+COUNTIFS(公区维修!$G$5:$G$404,$A5,公区维修!$N$5:$N$404,"满意",公区维修!$B$5:$B$404,"&gt;="&amp;辅助数据!$BH$1,公区维修!$B$5:$B$404,"&lt;="&amp;辅助数据!$BI$1)+COUNTIFS(公区维修!$H$5:$H$404,$A5,公区维修!$N$5:$N$404,"满意",公区维修!$B$5:$B$404,"&gt;="&amp;辅助数据!$BH$1,公区维修!$B$5:$B$404,"&lt;="&amp;辅助数据!$BI$1)</f>
        <v>0</v>
      </c>
      <c r="BW5" s="68" t="n">
        <f aca="false">COUNTIFS(入户维修!$F$5:$F$404,$A5,入户维修!$O$5:$O$404,"一般",入户维修!$B$5:$B$404,"&gt;="&amp;辅助数据!$BH$1,入户维修!$B$5:$B$404,"&lt;="&amp;辅助数据!$BI$1)+COUNTIFS(入户维修!$G$5:$G$404,$A5,入户维修!$O$5:$O$404,"一般",入户维修!$B$5:$B$404,"&gt;="&amp;辅助数据!$BH$1,入户维修!$B$5:$B$404,"&lt;="&amp;辅助数据!$BI$1)+COUNTIFS(入户维修!$H$5:$H$404,$A5,入户维修!$O$5:$O$404,"一般",入户维修!$B$5:$B$404,"&gt;="&amp;辅助数据!$BH$1,入户维修!$B$5:$B$404,"&lt;="&amp;辅助数据!$BI$1)+COUNTIFS(公区维修!$F$5:$F$404,$A5,公区维修!$N$5:$N$404,"一般",公区维修!$B$5:$B$404,"&gt;="&amp;辅助数据!$BH$1,公区维修!$B$5:$B$404,"&lt;="&amp;辅助数据!$BI$1)+COUNTIFS(公区维修!$G$5:$G$404,$A5,公区维修!$N$5:$N$404,"一般",公区维修!$B$5:$B$404,"&gt;="&amp;辅助数据!$BH$1,公区维修!$B$5:$B$404,"&lt;="&amp;辅助数据!$BI$1)+COUNTIFS(公区维修!$H$5:$H$404,$A5,公区维修!$N$5:$N$404,"一般",公区维修!$B$5:$B$404,"&gt;="&amp;辅助数据!$BH$1,公区维修!$B$5:$B$404,"&lt;="&amp;辅助数据!$BI$1)</f>
        <v>0</v>
      </c>
      <c r="BX5" s="68" t="n">
        <f aca="false">COUNTIFS(入户维修!$F$5:$F$404,$A5,入户维修!$O$5:$O$404,"不满意",入户维修!$B$5:$B$404,"&gt;="&amp;辅助数据!$BH$1,入户维修!$B$5:$B$404,"&lt;="&amp;辅助数据!$BI$1)+COUNTIFS(入户维修!$G$5:$G$404,$A5,入户维修!$O$5:$O$404,"不满意",入户维修!$B$5:$B$404,"&gt;="&amp;辅助数据!$BH$1,入户维修!$B$5:$B$404,"&lt;="&amp;辅助数据!$BI$1)+COUNTIFS(入户维修!$H$5:$H$404,$A5,入户维修!$O$5:$O$404,"不满意",入户维修!$B$5:$B$404,"&gt;="&amp;辅助数据!$BH$1,入户维修!$B$5:$B$404,"&lt;="&amp;辅助数据!$BI$1)+COUNTIFS(公区维修!$F$5:$F$404,$A5,公区维修!$N$5:$N$404,"不满意",公区维修!$B$5:$B$404,"&gt;="&amp;辅助数据!$BH$1,公区维修!$B$5:$B$404,"&lt;="&amp;辅助数据!$BI$1)+COUNTIFS(公区维修!$G$5:$G$404,$A5,公区维修!$N$5:$N$404,"不满意",公区维修!$B$5:$B$404,"&gt;="&amp;辅助数据!$BH$1,公区维修!$B$5:$B$404,"&lt;="&amp;辅助数据!$BI$1)+COUNTIFS(公区维修!$H$5:$H$404,$A5,公区维修!$N$5:$N$404,"不满意",公区维修!$B$5:$B$404,"&gt;="&amp;辅助数据!$BH$1,公区维修!$B$5:$B$404,"&lt;="&amp;辅助数据!$BI$1)</f>
        <v>0</v>
      </c>
      <c r="BY5" s="68" t="n">
        <f aca="false">SUM($BU5:$BX5)</f>
        <v>0</v>
      </c>
      <c r="BZ5" s="68" t="n">
        <f aca="false">$BS5+$BR5/1000</f>
        <v>0</v>
      </c>
      <c r="CA5" s="68" t="n">
        <f aca="false">RANK($BZ5,$BZ$1:$BZ$5)+COUNTIF($BZ$1:$BZ5,$BZ5)-1</f>
        <v>5</v>
      </c>
      <c r="CB5" s="68" t="n">
        <f aca="false">IF($BY5=0,-1,($BU5*100+$BV5*80+$BW5*60)/$BY5+$BY5/1000)</f>
        <v>-1</v>
      </c>
      <c r="CC5" s="68" t="n">
        <f aca="false">RANK($CB5,$CB$1:$CB$5)+COUNTIF($CB$1:$CB5,$CB5)-1</f>
        <v>5</v>
      </c>
      <c r="CD5" s="68" t="n">
        <f aca="false">COUNTIFS(入户维修!$F$5:$F$404,$A5,入户维修!$E$5:$E$404,"?*",入户维修!$B$5:$B$404,"&gt;="&amp;辅助数据!$BH$2,入户维修!$B$5:$B$404,"&lt;="&amp;辅助数据!$BI$2)+COUNTIFS(入户维修!$G$5:$G$404,$A5,入户维修!$E$5:$E$404,"?*",入户维修!$B$5:$B$404,"&gt;="&amp;辅助数据!$BH$2,入户维修!$B$5:$B$404,"&lt;="&amp;辅助数据!$BI$2)+COUNTIFS(入户维修!$H$5:$H$404,$A5,入户维修!$E$5:$E$404,"?*",入户维修!$B$5:$B$404,"&gt;="&amp;辅助数据!$BH$2,入户维修!$B$5:$B$404,"&lt;="&amp;辅助数据!$BI$2)+COUNTIFS(公区维修!$F$5:$F$404,$A5,公区维修!$E$5:$E$404,"?*",公区维修!$B$5:$B$404,"&gt;="&amp;辅助数据!$BH$2,公区维修!$B$5:$B$404,"&lt;="&amp;辅助数据!$BI$2)+COUNTIFS(公区维修!$G$5:$G$404,$A5,公区维修!$E$5:$E$404,"?*",公区维修!$B$5:$B$404,"&gt;="&amp;辅助数据!$BH$2,公区维修!$B$5:$B$404,"&lt;="&amp;辅助数据!$BI$2)+COUNTIFS(公区维修!$H$5:$H$404,$A5,公区维修!$E$5:$E$404,"?*",公区维修!$B$5:$B$404,"&gt;="&amp;辅助数据!$BH$2,公区维修!$B$5:$B$404,"&lt;="&amp;辅助数据!$BI$2)</f>
        <v>2</v>
      </c>
      <c r="CE5" s="68" t="n">
        <f aca="false">COUNTIFS(入户维修!$F$5:$F$404,$A5,入户维修!$K$5:$K$404,"已完成",入户维修!$B$5:$B$404,"&gt;="&amp;辅助数据!$BH$2,入户维修!$B$5:$B$404,"&lt;="&amp;辅助数据!$BI$2)+COUNTIFS(入户维修!$G$5:$G$404,$A5,入户维修!$K$5:$K$404,"已完成",入户维修!$B$5:$B$404,"&gt;="&amp;辅助数据!$BH$2,入户维修!$B$5:$B$404,"&lt;="&amp;辅助数据!$BI$2)+COUNTIFS(入户维修!$H$5:$H$404,$A5,入户维修!$K$5:$K$404,"已完成",入户维修!$B$5:$B$404,"&gt;="&amp;辅助数据!$BH$2,入户维修!$B$5:$B$404,"&lt;="&amp;辅助数据!$BI$2)+COUNTIFS(公区维修!$F$5:$F$404,$A5,公区维修!$K$5:$K$404,"已完成",公区维修!$B$5:$B$404,"&gt;="&amp;辅助数据!$BH$2,公区维修!$B$5:$B$404,"&lt;="&amp;辅助数据!$BI$2)+COUNTIFS(公区维修!$G$5:$G$404,$A5,公区维修!$K$5:$K$404,"已完成",公区维修!$B$5:$B$404,"&gt;="&amp;辅助数据!$BH$2,公区维修!$B$5:$B$404,"&lt;="&amp;辅助数据!$BI$2)+COUNTIFS(公区维修!$H$5:$H$404,$A5,公区维修!$K$5:$K$404,"已完成",公区维修!$B$5:$B$404,"&gt;="&amp;辅助数据!$BH$2,公区维修!$B$5:$B$404,"&lt;="&amp;辅助数据!$BI$2)</f>
        <v>2</v>
      </c>
      <c r="CF5" s="68" t="n">
        <f aca="false">COUNTIFS(入户维修!$F$5:$F$404,$A5,入户维修!$K$5:$K$404,"跟进中",入户维修!$B$5:$B$404,"&gt;="&amp;辅助数据!$BH$2,入户维修!$B$5:$B$404,"&lt;="&amp;辅助数据!$BI$2)+COUNTIFS(入户维修!$G$5:$G$404,$A5,入户维修!$K$5:$K$404,"跟进中",入户维修!$B$5:$B$404,"&gt;="&amp;辅助数据!$BH$2,入户维修!$B$5:$B$404,"&lt;="&amp;辅助数据!$BI$2)+COUNTIFS(入户维修!$H$5:$H$404,$A5,入户维修!$K$5:$K$404,"跟进中",入户维修!$B$5:$B$404,"&gt;="&amp;辅助数据!$BH$2,入户维修!$B$5:$B$404,"&lt;="&amp;辅助数据!$BI$2)+COUNTIFS(公区维修!$F$5:$F$404,$A5,公区维修!$K$5:$K$404,"跟进中",公区维修!$B$5:$B$404,"&gt;="&amp;辅助数据!$BH$2,公区维修!$B$5:$B$404,"&lt;="&amp;辅助数据!$BI$2)+COUNTIFS(公区维修!$G$5:$G$404,$A5,公区维修!$K$5:$K$404,"跟进中",公区维修!$B$5:$B$404,"&gt;="&amp;辅助数据!$BH$2,公区维修!$B$5:$B$404,"&lt;="&amp;辅助数据!$BI$2)+COUNTIFS(公区维修!$H$5:$H$404,$A5,公区维修!$K$5:$K$404,"跟进中",公区维修!$B$5:$B$404,"&gt;="&amp;辅助数据!$BH$2,公区维修!$B$5:$B$404,"&lt;="&amp;辅助数据!$BI$2)</f>
        <v>0</v>
      </c>
      <c r="CG5" s="68" t="n">
        <f aca="false">COUNTIFS(入户维修!$F$5:$F$404,$A5,入户维修!$O$5:$O$404,"非常满意",入户维修!$B$5:$B$404,"&gt;="&amp;辅助数据!$BH$2,入户维修!$B$5:$B$404,"&lt;="&amp;辅助数据!$BI$2)+COUNTIFS(入户维修!$G$5:$G$404,$A5,入户维修!$O$5:$O$404,"非常满意",入户维修!$B$5:$B$404,"&gt;="&amp;辅助数据!$BH$2,入户维修!$B$5:$B$404,"&lt;="&amp;辅助数据!$BI$2)+COUNTIFS(入户维修!$H$5:$H$404,$A5,入户维修!$O$5:$O$404,"非常满意",入户维修!$B$5:$B$404,"&gt;="&amp;辅助数据!$BH$2,入户维修!$B$5:$B$404,"&lt;="&amp;辅助数据!$BI$2)+COUNTIFS(公区维修!$F$5:$F$404,$A5,公区维修!$N$5:$N$404,"非常满意",公区维修!$B$5:$B$404,"&gt;="&amp;辅助数据!$BH$2,公区维修!$B$5:$B$404,"&lt;="&amp;辅助数据!$BI$2)+COUNTIFS(公区维修!$G$5:$G$404,$A5,公区维修!$N$5:$N$404,"非常满意",公区维修!$B$5:$B$404,"&gt;="&amp;辅助数据!$BH$2,公区维修!$B$5:$B$404,"&lt;="&amp;辅助数据!$BI$2)+COUNTIFS(公区维修!$H$5:$H$404,$A5,公区维修!$N$5:$N$404,"非常满意",公区维修!$B$5:$B$404,"&gt;="&amp;辅助数据!$BH$2,公区维修!$B$5:$B$404,"&lt;="&amp;辅助数据!$BI$2)</f>
        <v>2</v>
      </c>
      <c r="CH5" s="68" t="n">
        <f aca="false">COUNTIFS(入户维修!$F$5:$F$404,$A5,入户维修!$O$5:$O$404,"满意",入户维修!$B$5:$B$404,"&gt;="&amp;辅助数据!$BH$2,入户维修!$B$5:$B$404,"&lt;="&amp;辅助数据!$BI$2)+COUNTIFS(入户维修!$G$5:$G$404,$A5,入户维修!$O$5:$O$404,"满意",入户维修!$B$5:$B$404,"&gt;="&amp;辅助数据!$BH$2,入户维修!$B$5:$B$404,"&lt;="&amp;辅助数据!$BI$2)+COUNTIFS(入户维修!$H$5:$H$404,$A5,入户维修!$O$5:$O$404,"满意",入户维修!$B$5:$B$404,"&gt;="&amp;辅助数据!$BH$2,入户维修!$B$5:$B$404,"&lt;="&amp;辅助数据!$BI$2)+COUNTIFS(公区维修!$F$5:$F$404,$A5,公区维修!$N$5:$N$404,"满意",公区维修!$B$5:$B$404,"&gt;="&amp;辅助数据!$BH$2,公区维修!$B$5:$B$404,"&lt;="&amp;辅助数据!$BI$2)+COUNTIFS(公区维修!$G$5:$G$404,$A5,公区维修!$N$5:$N$404,"满意",公区维修!$B$5:$B$404,"&gt;="&amp;辅助数据!$BH$2,公区维修!$B$5:$B$404,"&lt;="&amp;辅助数据!$BI$2)+COUNTIFS(公区维修!$H$5:$H$404,$A5,公区维修!$N$5:$N$404,"满意",公区维修!$B$5:$B$404,"&gt;="&amp;辅助数据!$BH$2,公区维修!$B$5:$B$404,"&lt;="&amp;辅助数据!$BI$2)</f>
        <v>0</v>
      </c>
      <c r="CI5" s="68" t="n">
        <f aca="false">COUNTIFS(入户维修!$F$5:$F$404,$A5,入户维修!$O$5:$O$404,"一般",入户维修!$B$5:$B$404,"&gt;="&amp;辅助数据!$BH$2,入户维修!$B$5:$B$404,"&lt;="&amp;辅助数据!$BI$2)+COUNTIFS(入户维修!$G$5:$G$404,$A5,入户维修!$O$5:$O$404,"一般",入户维修!$B$5:$B$404,"&gt;="&amp;辅助数据!$BH$2,入户维修!$B$5:$B$404,"&lt;="&amp;辅助数据!$BI$2)+COUNTIFS(入户维修!$H$5:$H$404,$A5,入户维修!$O$5:$O$404,"一般",入户维修!$B$5:$B$404,"&gt;="&amp;辅助数据!$BH$2,入户维修!$B$5:$B$404,"&lt;="&amp;辅助数据!$BI$2)+COUNTIFS(公区维修!$F$5:$F$404,$A5,公区维修!$N$5:$N$404,"一般",公区维修!$B$5:$B$404,"&gt;="&amp;辅助数据!$BH$2,公区维修!$B$5:$B$404,"&lt;="&amp;辅助数据!$BI$2)+COUNTIFS(公区维修!$G$5:$G$404,$A5,公区维修!$N$5:$N$404,"一般",公区维修!$B$5:$B$404,"&gt;="&amp;辅助数据!$BH$2,公区维修!$B$5:$B$404,"&lt;="&amp;辅助数据!$BI$2)+COUNTIFS(公区维修!$H$5:$H$404,$A5,公区维修!$N$5:$N$404,"一般",公区维修!$B$5:$B$404,"&gt;="&amp;辅助数据!$BH$2,公区维修!$B$5:$B$404,"&lt;="&amp;辅助数据!$BI$2)</f>
        <v>0</v>
      </c>
      <c r="CJ5" s="68" t="n">
        <f aca="false">COUNTIFS(入户维修!$F$5:$F$404,$A5,入户维修!$O$5:$O$404,"不满意",入户维修!$B$5:$B$404,"&gt;="&amp;辅助数据!$BH$2,入户维修!$B$5:$B$404,"&lt;="&amp;辅助数据!$BI$2)+COUNTIFS(入户维修!$G$5:$G$404,$A5,入户维修!$O$5:$O$404,"不满意",入户维修!$B$5:$B$404,"&gt;="&amp;辅助数据!$BH$2,入户维修!$B$5:$B$404,"&lt;="&amp;辅助数据!$BI$2)+COUNTIFS(入户维修!$H$5:$H$404,$A5,入户维修!$O$5:$O$404,"不满意",入户维修!$B$5:$B$404,"&gt;="&amp;辅助数据!$BH$2,入户维修!$B$5:$B$404,"&lt;="&amp;辅助数据!$BI$2)+COUNTIFS(公区维修!$F$5:$F$404,$A5,公区维修!$N$5:$N$404,"不满意",公区维修!$B$5:$B$404,"&gt;="&amp;辅助数据!$BH$2,公区维修!$B$5:$B$404,"&lt;="&amp;辅助数据!$BI$2)+COUNTIFS(公区维修!$G$5:$G$404,$A5,公区维修!$N$5:$N$404,"不满意",公区维修!$B$5:$B$404,"&gt;="&amp;辅助数据!$BH$2,公区维修!$B$5:$B$404,"&lt;="&amp;辅助数据!$BI$2)+COUNTIFS(公区维修!$H$5:$H$404,$A5,公区维修!$N$5:$N$404,"不满意",公区维修!$B$5:$B$404,"&gt;="&amp;辅助数据!$BH$2,公区维修!$B$5:$B$404,"&lt;="&amp;辅助数据!$BI$2)</f>
        <v>0</v>
      </c>
      <c r="CK5" s="68" t="n">
        <f aca="false">SUM($CG5:$CJ5)</f>
        <v>2</v>
      </c>
      <c r="CL5" s="68" t="n">
        <f aca="false">$CE5+$CD5/1000</f>
        <v>2.002</v>
      </c>
      <c r="CM5" s="68" t="n">
        <f aca="false">RANK($CL5,$CL$1:$CL$5)+COUNTIF($CL$1:$CL5,$CL5)-1</f>
        <v>3</v>
      </c>
      <c r="CN5" s="68" t="n">
        <f aca="false">IF($CK5=0,-1,($CG5*100+$CH5*80+$CI5*60)/$CK5+$CK5/1000)</f>
        <v>100.002</v>
      </c>
      <c r="CO5" s="68" t="n">
        <f aca="false">RANK($CN5,$CN$1:$CN$5)+COUNTIF($CN$1:$CN5,$CN5)-1</f>
        <v>1</v>
      </c>
      <c r="CP5" s="68" t="n">
        <f aca="false">COUNTIFS(入户维修!$F$5:$F$404,$A5,入户维修!$E$5:$E$404,"?*",入户维修!$B$5:$B$404,"&gt;="&amp;辅助数据!$BH$3,入户维修!$B$5:$B$404,"&lt;="&amp;辅助数据!$BI$3)+COUNTIFS(入户维修!$G$5:$G$404,$A5,入户维修!$E$5:$E$404,"?*",入户维修!$B$5:$B$404,"&gt;="&amp;辅助数据!$BH$3,入户维修!$B$5:$B$404,"&lt;="&amp;辅助数据!$BI$3)+COUNTIFS(入户维修!$H$5:$H$404,$A5,入户维修!$E$5:$E$404,"?*",入户维修!$B$5:$B$404,"&gt;="&amp;辅助数据!$BH$3,入户维修!$B$5:$B$404,"&lt;="&amp;辅助数据!$BI$3)+COUNTIFS(公区维修!$F$5:$F$404,$A5,公区维修!$E$5:$E$404,"?*",公区维修!$B$5:$B$404,"&gt;="&amp;辅助数据!$BH$3,公区维修!$B$5:$B$404,"&lt;="&amp;辅助数据!$BI$3)+COUNTIFS(公区维修!$G$5:$G$404,$A5,公区维修!$E$5:$E$404,"?*",公区维修!$B$5:$B$404,"&gt;="&amp;辅助数据!$BH$3,公区维修!$B$5:$B$404,"&lt;="&amp;辅助数据!$BI$3)+COUNTIFS(公区维修!$H$5:$H$404,$A5,公区维修!$E$5:$E$404,"?*",公区维修!$B$5:$B$404,"&gt;="&amp;辅助数据!$BH$3,公区维修!$B$5:$B$404,"&lt;="&amp;辅助数据!$BI$3)</f>
        <v>6</v>
      </c>
      <c r="CQ5" s="68" t="n">
        <f aca="false">COUNTIFS(入户维修!$F$5:$F$404,$A5,入户维修!$K$5:$K$404,"已完成",入户维修!$B$5:$B$404,"&gt;="&amp;辅助数据!$BH$3,入户维修!$B$5:$B$404,"&lt;="&amp;辅助数据!$BI$3)+COUNTIFS(入户维修!$G$5:$G$404,$A5,入户维修!$K$5:$K$404,"已完成",入户维修!$B$5:$B$404,"&gt;="&amp;辅助数据!$BH$3,入户维修!$B$5:$B$404,"&lt;="&amp;辅助数据!$BI$3)+COUNTIFS(入户维修!$H$5:$H$404,$A5,入户维修!$K$5:$K$404,"已完成",入户维修!$B$5:$B$404,"&gt;="&amp;辅助数据!$BH$3,入户维修!$B$5:$B$404,"&lt;="&amp;辅助数据!$BI$3)+COUNTIFS(公区维修!$F$5:$F$404,$A5,公区维修!$K$5:$K$404,"已完成",公区维修!$B$5:$B$404,"&gt;="&amp;辅助数据!$BH$3,公区维修!$B$5:$B$404,"&lt;="&amp;辅助数据!$BI$3)+COUNTIFS(公区维修!$G$5:$G$404,$A5,公区维修!$K$5:$K$404,"已完成",公区维修!$B$5:$B$404,"&gt;="&amp;辅助数据!$BH$3,公区维修!$B$5:$B$404,"&lt;="&amp;辅助数据!$BI$3)+COUNTIFS(公区维修!$H$5:$H$404,$A5,公区维修!$K$5:$K$404,"已完成",公区维修!$B$5:$B$404,"&gt;="&amp;辅助数据!$BH$3,公区维修!$B$5:$B$404,"&lt;="&amp;辅助数据!$BI$3)</f>
        <v>6</v>
      </c>
      <c r="CR5" s="68" t="n">
        <f aca="false">COUNTIFS(入户维修!$F$5:$F$404,$A5,入户维修!$K$5:$K$404,"跟进中",入户维修!$B$5:$B$404,"&gt;="&amp;辅助数据!$BH$3,入户维修!$B$5:$B$404,"&lt;="&amp;辅助数据!$BI$3)+COUNTIFS(入户维修!$G$5:$G$404,$A5,入户维修!$K$5:$K$404,"跟进中",入户维修!$B$5:$B$404,"&gt;="&amp;辅助数据!$BH$3,入户维修!$B$5:$B$404,"&lt;="&amp;辅助数据!$BI$3)+COUNTIFS(入户维修!$H$5:$H$404,$A5,入户维修!$K$5:$K$404,"跟进中",入户维修!$B$5:$B$404,"&gt;="&amp;辅助数据!$BH$3,入户维修!$B$5:$B$404,"&lt;="&amp;辅助数据!$BI$3)+COUNTIFS(公区维修!$F$5:$F$404,$A5,公区维修!$K$5:$K$404,"跟进中",公区维修!$B$5:$B$404,"&gt;="&amp;辅助数据!$BH$3,公区维修!$B$5:$B$404,"&lt;="&amp;辅助数据!$BI$3)+COUNTIFS(公区维修!$G$5:$G$404,$A5,公区维修!$K$5:$K$404,"跟进中",公区维修!$B$5:$B$404,"&gt;="&amp;辅助数据!$BH$3,公区维修!$B$5:$B$404,"&lt;="&amp;辅助数据!$BI$3)+COUNTIFS(公区维修!$H$5:$H$404,$A5,公区维修!$K$5:$K$404,"跟进中",公区维修!$B$5:$B$404,"&gt;="&amp;辅助数据!$BH$3,公区维修!$B$5:$B$404,"&lt;="&amp;辅助数据!$BI$3)</f>
        <v>0</v>
      </c>
      <c r="CS5" s="68" t="n">
        <f aca="false">COUNTIFS(入户维修!$F$5:$F$404,$A5,入户维修!$O$5:$O$404,"非常满意",入户维修!$B$5:$B$404,"&gt;="&amp;辅助数据!$BH$3,入户维修!$B$5:$B$404,"&lt;="&amp;辅助数据!$BI$3)+COUNTIFS(入户维修!$G$5:$G$404,$A5,入户维修!$O$5:$O$404,"非常满意",入户维修!$B$5:$B$404,"&gt;="&amp;辅助数据!$BH$3,入户维修!$B$5:$B$404,"&lt;="&amp;辅助数据!$BI$3)+COUNTIFS(入户维修!$H$5:$H$404,$A5,入户维修!$O$5:$O$404,"非常满意",入户维修!$B$5:$B$404,"&gt;="&amp;辅助数据!$BH$3,入户维修!$B$5:$B$404,"&lt;="&amp;辅助数据!$BI$3)+COUNTIFS(公区维修!$F$5:$F$404,$A5,公区维修!$N$5:$N$404,"非常满意",公区维修!$B$5:$B$404,"&gt;="&amp;辅助数据!$BH$3,公区维修!$B$5:$B$404,"&lt;="&amp;辅助数据!$BI$3)+COUNTIFS(公区维修!$G$5:$G$404,$A5,公区维修!$N$5:$N$404,"非常满意",公区维修!$B$5:$B$404,"&gt;="&amp;辅助数据!$BH$3,公区维修!$B$5:$B$404,"&lt;="&amp;辅助数据!$BI$3)+COUNTIFS(公区维修!$H$5:$H$404,$A5,公区维修!$N$5:$N$404,"非常满意",公区维修!$B$5:$B$404,"&gt;="&amp;辅助数据!$BH$3,公区维修!$B$5:$B$404,"&lt;="&amp;辅助数据!$BI$3)</f>
        <v>5</v>
      </c>
      <c r="CT5" s="68" t="n">
        <f aca="false">COUNTIFS(入户维修!$F$5:$F$404,$A5,入户维修!$O$5:$O$404,"满意",入户维修!$B$5:$B$404,"&gt;="&amp;辅助数据!$BH$3,入户维修!$B$5:$B$404,"&lt;="&amp;辅助数据!$BI$3)+COUNTIFS(入户维修!$G$5:$G$404,$A5,入户维修!$O$5:$O$404,"满意",入户维修!$B$5:$B$404,"&gt;="&amp;辅助数据!$BH$3,入户维修!$B$5:$B$404,"&lt;="&amp;辅助数据!$BI$3)+COUNTIFS(入户维修!$H$5:$H$404,$A5,入户维修!$O$5:$O$404,"满意",入户维修!$B$5:$B$404,"&gt;="&amp;辅助数据!$BH$3,入户维修!$B$5:$B$404,"&lt;="&amp;辅助数据!$BI$3)+COUNTIFS(公区维修!$F$5:$F$404,$A5,公区维修!$N$5:$N$404,"满意",公区维修!$B$5:$B$404,"&gt;="&amp;辅助数据!$BH$3,公区维修!$B$5:$B$404,"&lt;="&amp;辅助数据!$BI$3)+COUNTIFS(公区维修!$G$5:$G$404,$A5,公区维修!$N$5:$N$404,"满意",公区维修!$B$5:$B$404,"&gt;="&amp;辅助数据!$BH$3,公区维修!$B$5:$B$404,"&lt;="&amp;辅助数据!$BI$3)+COUNTIFS(公区维修!$H$5:$H$404,$A5,公区维修!$N$5:$N$404,"满意",公区维修!$B$5:$B$404,"&gt;="&amp;辅助数据!$BH$3,公区维修!$B$5:$B$404,"&lt;="&amp;辅助数据!$BI$3)</f>
        <v>0</v>
      </c>
      <c r="CU5" s="68" t="n">
        <f aca="false">COUNTIFS(入户维修!$F$5:$F$404,$A5,入户维修!$O$5:$O$404,"一般",入户维修!$B$5:$B$404,"&gt;="&amp;辅助数据!$BH$3,入户维修!$B$5:$B$404,"&lt;="&amp;辅助数据!$BI$3)+COUNTIFS(入户维修!$G$5:$G$404,$A5,入户维修!$O$5:$O$404,"一般",入户维修!$B$5:$B$404,"&gt;="&amp;辅助数据!$BH$3,入户维修!$B$5:$B$404,"&lt;="&amp;辅助数据!$BI$3)+COUNTIFS(入户维修!$H$5:$H$404,$A5,入户维修!$O$5:$O$404,"一般",入户维修!$B$5:$B$404,"&gt;="&amp;辅助数据!$BH$3,入户维修!$B$5:$B$404,"&lt;="&amp;辅助数据!$BI$3)+COUNTIFS(公区维修!$F$5:$F$404,$A5,公区维修!$N$5:$N$404,"一般",公区维修!$B$5:$B$404,"&gt;="&amp;辅助数据!$BH$3,公区维修!$B$5:$B$404,"&lt;="&amp;辅助数据!$BI$3)+COUNTIFS(公区维修!$G$5:$G$404,$A5,公区维修!$N$5:$N$404,"一般",公区维修!$B$5:$B$404,"&gt;="&amp;辅助数据!$BH$3,公区维修!$B$5:$B$404,"&lt;="&amp;辅助数据!$BI$3)+COUNTIFS(公区维修!$H$5:$H$404,$A5,公区维修!$N$5:$N$404,"一般",公区维修!$B$5:$B$404,"&gt;="&amp;辅助数据!$BH$3,公区维修!$B$5:$B$404,"&lt;="&amp;辅助数据!$BI$3)</f>
        <v>0</v>
      </c>
      <c r="CV5" s="68" t="n">
        <f aca="false">COUNTIFS(入户维修!$F$5:$F$404,$A5,入户维修!$O$5:$O$404,"不满意",入户维修!$B$5:$B$404,"&gt;="&amp;辅助数据!$BH$3,入户维修!$B$5:$B$404,"&lt;="&amp;辅助数据!$BI$3)+COUNTIFS(入户维修!$G$5:$G$404,$A5,入户维修!$O$5:$O$404,"不满意",入户维修!$B$5:$B$404,"&gt;="&amp;辅助数据!$BH$3,入户维修!$B$5:$B$404,"&lt;="&amp;辅助数据!$BI$3)+COUNTIFS(入户维修!$H$5:$H$404,$A5,入户维修!$O$5:$O$404,"不满意",入户维修!$B$5:$B$404,"&gt;="&amp;辅助数据!$BH$3,入户维修!$B$5:$B$404,"&lt;="&amp;辅助数据!$BI$3)+COUNTIFS(公区维修!$F$5:$F$404,$A5,公区维修!$N$5:$N$404,"不满意",公区维修!$B$5:$B$404,"&gt;="&amp;辅助数据!$BH$3,公区维修!$B$5:$B$404,"&lt;="&amp;辅助数据!$BI$3)+COUNTIFS(公区维修!$G$5:$G$404,$A5,公区维修!$N$5:$N$404,"不满意",公区维修!$B$5:$B$404,"&gt;="&amp;辅助数据!$BH$3,公区维修!$B$5:$B$404,"&lt;="&amp;辅助数据!$BI$3)+COUNTIFS(公区维修!$H$5:$H$404,$A5,公区维修!$N$5:$N$404,"不满意",公区维修!$B$5:$B$404,"&gt;="&amp;辅助数据!$BH$3,公区维修!$B$5:$B$404,"&lt;="&amp;辅助数据!$BI$3)</f>
        <v>0</v>
      </c>
      <c r="CW5" s="68" t="n">
        <f aca="false">SUM($CS5:$CV5)</f>
        <v>5</v>
      </c>
      <c r="CX5" s="68" t="n">
        <f aca="false">$CQ5+$CP5/1000</f>
        <v>6.006</v>
      </c>
      <c r="CY5" s="68" t="n">
        <f aca="false">RANK($CX5,$CX$1:$CX$5)+COUNTIF($CX$1:$CX5,$CX5)-1</f>
        <v>3</v>
      </c>
      <c r="CZ5" s="68" t="n">
        <f aca="false">IF($CW5=0,-1,($CS5*100+$CT5*80+$CU5*60)/$CW5+$CW5/1000)</f>
        <v>100.005</v>
      </c>
      <c r="DA5" s="68" t="n">
        <f aca="false">RANK($CZ5,$CZ$1:$CZ$5)+COUNTIF($CZ$1:$CZ5,$CZ5)-1</f>
        <v>1</v>
      </c>
      <c r="DB5" s="68" t="e">
        <f aca="false">COUNTIFS(入户维修!$F$5:$F$404,$A5,入户维修!$E$5:$E$404,"?*",入户维修!$B$5:$B$404,"&gt;="&amp;辅助数据!$BJ$1,入户维修!$B$5:$B$404,"&lt;="&amp;辅助数据!$BK$1)+COUNTIFS(入户维修!$G$5:$G$404,$A5,入户维修!$E$5:$E$404,"?*",入户维修!$B$5:$B$404,"&gt;="&amp;辅助数据!$BJ$1,入户维修!$B$5:$B$404,"&lt;="&amp;辅助数据!$BK$1)+COUNTIFS(入户维修!$H$5:$H$404,$A5,入户维修!$E$5:$E$404,"?*",入户维修!$B$5:$B$404,"&gt;="&amp;辅助数据!$BJ$1,入户维修!$B$5:$B$404,"&lt;="&amp;辅助数据!$BK$1)</f>
        <v>#REF!</v>
      </c>
      <c r="DC5" s="68" t="e">
        <f aca="false">COUNTIFS(入户维修!$F$5:$F$404,$A5,入户维修!$K$5:$K$404,"已完成",入户维修!$B$5:$B$404,"&gt;="&amp;辅助数据!$BJ$1,入户维修!$B$5:$B$404,"&lt;="&amp;辅助数据!$BK$1)+COUNTIFS(入户维修!$G$5:$G$404,$A5,入户维修!$K$5:$K$404,"已完成",入户维修!$B$5:$B$404,"&gt;="&amp;辅助数据!$BJ$1,入户维修!$B$5:$B$404,"&lt;="&amp;辅助数据!$BK$1)+COUNTIFS(入户维修!$H$5:$H$404,$A5,入户维修!$K$5:$K$404,"已完成",入户维修!$B$5:$B$404,"&gt;="&amp;辅助数据!$BJ$1,入户维修!$B$5:$B$404,"&lt;="&amp;辅助数据!$BK$1)</f>
        <v>#REF!</v>
      </c>
      <c r="DD5" s="68" t="e">
        <f aca="false">COUNTIFS(入户维修!$F$5:$F$404,$A5,入户维修!$K$5:$K$404,"跟进中",入户维修!$B$5:$B$404,"&gt;="&amp;辅助数据!$BJ$1,入户维修!$B$5:$B$404,"&lt;="&amp;辅助数据!$BK$1)+COUNTIFS(入户维修!$G$5:$G$404,$A5,入户维修!$K$5:$K$404,"跟进中",入户维修!$B$5:$B$404,"&gt;="&amp;辅助数据!$BJ$1,入户维修!$B$5:$B$404,"&lt;="&amp;辅助数据!$BK$1)+COUNTIFS(入户维修!$H$5:$H$404,$A5,入户维修!$K$5:$K$404,"跟进中",入户维修!$B$5:$B$404,"&gt;="&amp;辅助数据!$BJ$1,入户维修!$B$5:$B$404,"&lt;="&amp;辅助数据!$BK$1)</f>
        <v>#REF!</v>
      </c>
      <c r="DE5" s="68" t="e">
        <f aca="false">COUNTIFS(入户维修!$F$5:$F$404,$A5,入户维修!$O$5:$O$404,"非常满意",入户维修!$B$5:$B$404,"&gt;="&amp;辅助数据!$BJ$1,入户维修!$B$5:$B$404,"&lt;="&amp;辅助数据!$BK$1)+COUNTIFS(入户维修!$G$5:$G$404,$A5,入户维修!$O$5:$O$404,"非常满意",入户维修!$B$5:$B$404,"&gt;="&amp;辅助数据!$BJ$1,入户维修!$B$5:$B$404,"&lt;="&amp;辅助数据!$BK$1)+COUNTIFS(入户维修!$H$5:$H$404,$A5,入户维修!$O$5:$O$404,"非常满意",入户维修!$B$5:$B$404,"&gt;="&amp;辅助数据!$BJ$1,入户维修!$B$5:$B$404,"&lt;="&amp;辅助数据!$BK$1)</f>
        <v>#REF!</v>
      </c>
      <c r="DF5" s="68" t="e">
        <f aca="false">COUNTIFS(入户维修!$F$5:$F$404,$A5,入户维修!$O$5:$O$404,"满意",入户维修!$B$5:$B$404,"&gt;="&amp;辅助数据!$BJ$1,入户维修!$B$5:$B$404,"&lt;="&amp;辅助数据!$BK$1)+COUNTIFS(入户维修!$G$5:$G$404,$A5,入户维修!$O$5:$O$404,"满意",入户维修!$B$5:$B$404,"&gt;="&amp;辅助数据!$BJ$1,入户维修!$B$5:$B$404,"&lt;="&amp;辅助数据!$BK$1)+COUNTIFS(入户维修!$H$5:$H$404,$A5,入户维修!$O$5:$O$404,"满意",入户维修!$B$5:$B$404,"&gt;="&amp;辅助数据!$BJ$1,入户维修!$B$5:$B$404,"&lt;="&amp;辅助数据!$BK$1)</f>
        <v>#REF!</v>
      </c>
      <c r="DG5" s="68" t="e">
        <f aca="false">COUNTIFS(入户维修!$F$5:$F$404,$A5,入户维修!$O$5:$O$404,"一般",入户维修!$B$5:$B$404,"&gt;="&amp;辅助数据!$BJ$1,入户维修!$B$5:$B$404,"&lt;="&amp;辅助数据!$BK$1)+COUNTIFS(入户维修!$G$5:$G$404,$A5,入户维修!$O$5:$O$404,"一般",入户维修!$B$5:$B$404,"&gt;="&amp;辅助数据!$BJ$1,入户维修!$B$5:$B$404,"&lt;="&amp;辅助数据!$BK$1)+COUNTIFS(入户维修!$H$5:$H$404,$A5,入户维修!$O$5:$O$404,"一般",入户维修!$B$5:$B$404,"&gt;="&amp;辅助数据!$BJ$1,入户维修!$B$5:$B$404,"&lt;="&amp;辅助数据!$BK$1)</f>
        <v>#REF!</v>
      </c>
      <c r="DH5" s="68" t="e">
        <f aca="false">COUNTIFS(入户维修!$F$5:$F$404,$A5,入户维修!$O$5:$O$404,"不满意",入户维修!$B$5:$B$404,"&gt;="&amp;辅助数据!$BJ$1,入户维修!$B$5:$B$404,"&lt;="&amp;辅助数据!$BK$1)+COUNTIFS(入户维修!$G$5:$G$404,$A5,入户维修!$O$5:$O$404,"不满意",入户维修!$B$5:$B$404,"&gt;="&amp;辅助数据!$BJ$1,入户维修!$B$5:$B$404,"&lt;="&amp;辅助数据!$BK$1)+COUNTIFS(入户维修!$H$5:$H$404,$A5,入户维修!$O$5:$O$404,"不满意",入户维修!$B$5:$B$404,"&gt;="&amp;辅助数据!$BJ$1,入户维修!$B$5:$B$404,"&lt;="&amp;辅助数据!$BK$1)</f>
        <v>#REF!</v>
      </c>
      <c r="DI5" s="68" t="e">
        <f aca="false">SUM($DE5:$DH5)</f>
        <v>#REF!</v>
      </c>
      <c r="DJ5" s="68" t="e">
        <f aca="false">$DC5+$DB5/1000</f>
        <v>#REF!</v>
      </c>
      <c r="DK5" s="68" t="e">
        <f aca="false">RANK($DJ5,$DJ$1:$DJ$5)+COUNTIF($DJ$1:$DJ5,$DJ5)-1</f>
        <v>#REF!</v>
      </c>
      <c r="DL5" s="68" t="e">
        <f aca="false">IF($DI5=0,-1,($DE5*100+$DF5*80+$DG5*60)/$DI5+$DI5/1000)</f>
        <v>#REF!</v>
      </c>
      <c r="DM5" s="68" t="e">
        <f aca="false">RANK($DL5,$DL$1:$DL$5)+COUNTIF($DL$1:$DL5,$DL5)-1</f>
        <v>#REF!</v>
      </c>
      <c r="DN5" s="68" t="e">
        <f aca="false">COUNTIFS(入户维修!$F$5:$F$404,$A5,入户维修!$E$5:$E$404,"?*",入户维修!$B$5:$B$404,"&gt;="&amp;辅助数据!$BJ$2,入户维修!$B$5:$B$404,"&lt;="&amp;辅助数据!$BK$2)+COUNTIFS(入户维修!$G$5:$G$404,$A5,入户维修!$E$5:$E$404,"?*",入户维修!$B$5:$B$404,"&gt;="&amp;辅助数据!$BJ$2,入户维修!$B$5:$B$404,"&lt;="&amp;辅助数据!$BK$2)+COUNTIFS(入户维修!$H$5:$H$404,$A5,入户维修!$E$5:$E$404,"?*",入户维修!$B$5:$B$404,"&gt;="&amp;辅助数据!$BJ$2,入户维修!$B$5:$B$404,"&lt;="&amp;辅助数据!$BK$2)</f>
        <v>#REF!</v>
      </c>
      <c r="DO5" s="68" t="e">
        <f aca="false">COUNTIFS(入户维修!$F$5:$F$404,$A5,入户维修!$K$5:$K$404,"已完成",入户维修!$B$5:$B$404,"&gt;="&amp;辅助数据!$BJ$2,入户维修!$B$5:$B$404,"&lt;="&amp;辅助数据!$BK$2)+COUNTIFS(入户维修!$G$5:$G$404,$A5,入户维修!$K$5:$K$404,"已完成",入户维修!$B$5:$B$404,"&gt;="&amp;辅助数据!$BJ$2,入户维修!$B$5:$B$404,"&lt;="&amp;辅助数据!$BK$2)+COUNTIFS(入户维修!$H$5:$H$404,$A5,入户维修!$K$5:$K$404,"已完成",入户维修!$B$5:$B$404,"&gt;="&amp;辅助数据!$BJ$2,入户维修!$B$5:$B$404,"&lt;="&amp;辅助数据!$BK$2)</f>
        <v>#REF!</v>
      </c>
      <c r="DP5" s="68" t="e">
        <f aca="false">COUNTIFS(入户维修!$F$5:$F$404,$A5,入户维修!$K$5:$K$404,"跟进中",入户维修!$B$5:$B$404,"&gt;="&amp;辅助数据!$BJ$2,入户维修!$B$5:$B$404,"&lt;="&amp;辅助数据!$BK$2)+COUNTIFS(入户维修!$G$5:$G$404,$A5,入户维修!$K$5:$K$404,"跟进中",入户维修!$B$5:$B$404,"&gt;="&amp;辅助数据!$BJ$2,入户维修!$B$5:$B$404,"&lt;="&amp;辅助数据!$BK$2)+COUNTIFS(入户维修!$H$5:$H$404,$A5,入户维修!$K$5:$K$404,"跟进中",入户维修!$B$5:$B$404,"&gt;="&amp;辅助数据!$BJ$2,入户维修!$B$5:$B$404,"&lt;="&amp;辅助数据!$BK$2)</f>
        <v>#REF!</v>
      </c>
      <c r="DQ5" s="68" t="e">
        <f aca="false">COUNTIFS(入户维修!$F$5:$F$404,$A5,入户维修!$O$5:$O$404,"非常满意",入户维修!$B$5:$B$404,"&gt;="&amp;辅助数据!$BJ$2,入户维修!$B$5:$B$404,"&lt;="&amp;辅助数据!$BK$2)+COUNTIFS(入户维修!$G$5:$G$404,$A5,入户维修!$O$5:$O$404,"非常满意",入户维修!$B$5:$B$404,"&gt;="&amp;辅助数据!$BJ$2,入户维修!$B$5:$B$404,"&lt;="&amp;辅助数据!$BK$2)+COUNTIFS(入户维修!$H$5:$H$404,$A5,入户维修!$O$5:$O$404,"非常满意",入户维修!$B$5:$B$404,"&gt;="&amp;辅助数据!$BJ$2,入户维修!$B$5:$B$404,"&lt;="&amp;辅助数据!$BK$2)</f>
        <v>#REF!</v>
      </c>
      <c r="DR5" s="68" t="e">
        <f aca="false">COUNTIFS(入户维修!$F$5:$F$404,$A5,入户维修!$O$5:$O$404,"满意",入户维修!$B$5:$B$404,"&gt;="&amp;辅助数据!$BJ$2,入户维修!$B$5:$B$404,"&lt;="&amp;辅助数据!$BK$2)+COUNTIFS(入户维修!$G$5:$G$404,$A5,入户维修!$O$5:$O$404,"满意",入户维修!$B$5:$B$404,"&gt;="&amp;辅助数据!$BJ$2,入户维修!$B$5:$B$404,"&lt;="&amp;辅助数据!$BK$2)+COUNTIFS(入户维修!$H$5:$H$404,$A5,入户维修!$O$5:$O$404,"满意",入户维修!$B$5:$B$404,"&gt;="&amp;辅助数据!$BJ$2,入户维修!$B$5:$B$404,"&lt;="&amp;辅助数据!$BK$2)</f>
        <v>#REF!</v>
      </c>
      <c r="DS5" s="68" t="e">
        <f aca="false">COUNTIFS(入户维修!$F$5:$F$404,$A5,入户维修!$O$5:$O$404,"一般",入户维修!$B$5:$B$404,"&gt;="&amp;辅助数据!$BJ$2,入户维修!$B$5:$B$404,"&lt;="&amp;辅助数据!$BK$2)+COUNTIFS(入户维修!$G$5:$G$404,$A5,入户维修!$O$5:$O$404,"一般",入户维修!$B$5:$B$404,"&gt;="&amp;辅助数据!$BJ$2,入户维修!$B$5:$B$404,"&lt;="&amp;辅助数据!$BK$2)+COUNTIFS(入户维修!$H$5:$H$404,$A5,入户维修!$O$5:$O$404,"一般",入户维修!$B$5:$B$404,"&gt;="&amp;辅助数据!$BJ$2,入户维修!$B$5:$B$404,"&lt;="&amp;辅助数据!$BK$2)</f>
        <v>#REF!</v>
      </c>
      <c r="DT5" s="68" t="e">
        <f aca="false">COUNTIFS(入户维修!$F$5:$F$404,$A5,入户维修!$O$5:$O$404,"不满意",入户维修!$B$5:$B$404,"&gt;="&amp;辅助数据!$BJ$2,入户维修!$B$5:$B$404,"&lt;="&amp;辅助数据!$BK$2)+COUNTIFS(入户维修!$G$5:$G$404,$A5,入户维修!$O$5:$O$404,"不满意",入户维修!$B$5:$B$404,"&gt;="&amp;辅助数据!$BJ$2,入户维修!$B$5:$B$404,"&lt;="&amp;辅助数据!$BK$2)+COUNTIFS(入户维修!$H$5:$H$404,$A5,入户维修!$O$5:$O$404,"不满意",入户维修!$B$5:$B$404,"&gt;="&amp;辅助数据!$BJ$2,入户维修!$B$5:$B$404,"&lt;="&amp;辅助数据!$BK$2)</f>
        <v>#REF!</v>
      </c>
      <c r="DU5" s="68" t="e">
        <f aca="false">SUM($DQ5:$DT5)</f>
        <v>#REF!</v>
      </c>
      <c r="DV5" s="68" t="e">
        <f aca="false">$DO5+$DN5/1000</f>
        <v>#REF!</v>
      </c>
      <c r="DW5" s="68" t="e">
        <f aca="false">RANK($DV5,$DV$1:$DV$5)+COUNTIF($DV$1:$DV5,$DV5)-1</f>
        <v>#REF!</v>
      </c>
      <c r="DX5" s="68" t="e">
        <f aca="false">IF($DU5=0,-1,($DQ5*100+$DR5*80+$DS5*60)/$DU5+$DU5/1000)</f>
        <v>#REF!</v>
      </c>
      <c r="DY5" s="68" t="e">
        <f aca="false">RANK($DX5,$DX$1:$DX$5)+COUNTIF($DX$1:$DX5,$DX5)-1</f>
        <v>#REF!</v>
      </c>
      <c r="DZ5" s="68" t="e">
        <f aca="false">COUNTIFS(入户维修!$F$5:$F$404,$A5,入户维修!$E$5:$E$404,"?*",入户维修!$B$5:$B$404,"&gt;="&amp;辅助数据!$BJ$3,入户维修!$B$5:$B$404,"&lt;="&amp;辅助数据!$BK$3)+COUNTIFS(入户维修!$G$5:$G$404,$A5,入户维修!$E$5:$E$404,"?*",入户维修!$B$5:$B$404,"&gt;="&amp;辅助数据!$BJ$3,入户维修!$B$5:$B$404,"&lt;="&amp;辅助数据!$BK$3)+COUNTIFS(入户维修!$H$5:$H$404,$A5,入户维修!$E$5:$E$404,"?*",入户维修!$B$5:$B$404,"&gt;="&amp;辅助数据!$BJ$3,入户维修!$B$5:$B$404,"&lt;="&amp;辅助数据!$BK$3)</f>
        <v>#REF!</v>
      </c>
      <c r="EA5" s="68" t="e">
        <f aca="false">COUNTIFS(入户维修!$F$5:$F$404,$A5,入户维修!$K$5:$K$404,"已完成",入户维修!$B$5:$B$404,"&gt;="&amp;辅助数据!$BJ$3,入户维修!$B$5:$B$404,"&lt;="&amp;辅助数据!$BK$3)+COUNTIFS(入户维修!$G$5:$G$404,$A5,入户维修!$K$5:$K$404,"已完成",入户维修!$B$5:$B$404,"&gt;="&amp;辅助数据!$BJ$3,入户维修!$B$5:$B$404,"&lt;="&amp;辅助数据!$BK$3)+COUNTIFS(入户维修!$H$5:$H$404,$A5,入户维修!$K$5:$K$404,"已完成",入户维修!$B$5:$B$404,"&gt;="&amp;辅助数据!$BJ$3,入户维修!$B$5:$B$404,"&lt;="&amp;辅助数据!$BK$3)</f>
        <v>#REF!</v>
      </c>
      <c r="EB5" s="68" t="e">
        <f aca="false">COUNTIFS(入户维修!$F$5:$F$404,$A5,入户维修!$K$5:$K$404,"跟进中",入户维修!$B$5:$B$404,"&gt;="&amp;辅助数据!$BJ$3,入户维修!$B$5:$B$404,"&lt;="&amp;辅助数据!$BK$3)+COUNTIFS(入户维修!$G$5:$G$404,$A5,入户维修!$K$5:$K$404,"跟进中",入户维修!$B$5:$B$404,"&gt;="&amp;辅助数据!$BJ$3,入户维修!$B$5:$B$404,"&lt;="&amp;辅助数据!$BK$3)+COUNTIFS(入户维修!$H$5:$H$404,$A5,入户维修!$K$5:$K$404,"跟进中",入户维修!$B$5:$B$404,"&gt;="&amp;辅助数据!$BJ$3,入户维修!$B$5:$B$404,"&lt;="&amp;辅助数据!$BK$3)</f>
        <v>#REF!</v>
      </c>
      <c r="EC5" s="68" t="e">
        <f aca="false">COUNTIFS(入户维修!$F$5:$F$404,$A5,入户维修!$O$5:$O$404,"非常满意",入户维修!$B$5:$B$404,"&gt;="&amp;辅助数据!$BJ$3,入户维修!$B$5:$B$404,"&lt;="&amp;辅助数据!$BK$3)+COUNTIFS(入户维修!$G$5:$G$404,$A5,入户维修!$O$5:$O$404,"非常满意",入户维修!$B$5:$B$404,"&gt;="&amp;辅助数据!$BJ$3,入户维修!$B$5:$B$404,"&lt;="&amp;辅助数据!$BK$3)+COUNTIFS(入户维修!$H$5:$H$404,$A5,入户维修!$O$5:$O$404,"非常满意",入户维修!$B$5:$B$404,"&gt;="&amp;辅助数据!$BJ$3,入户维修!$B$5:$B$404,"&lt;="&amp;辅助数据!$BK$3)</f>
        <v>#REF!</v>
      </c>
      <c r="ED5" s="68" t="e">
        <f aca="false">COUNTIFS(入户维修!$F$5:$F$404,$A5,入户维修!$O$5:$O$404,"满意",入户维修!$B$5:$B$404,"&gt;="&amp;辅助数据!$BJ$3,入户维修!$B$5:$B$404,"&lt;="&amp;辅助数据!$BK$3)+COUNTIFS(入户维修!$G$5:$G$404,$A5,入户维修!$O$5:$O$404,"满意",入户维修!$B$5:$B$404,"&gt;="&amp;辅助数据!$BJ$3,入户维修!$B$5:$B$404,"&lt;="&amp;辅助数据!$BK$3)+COUNTIFS(入户维修!$H$5:$H$404,$A5,入户维修!$O$5:$O$404,"满意",入户维修!$B$5:$B$404,"&gt;="&amp;辅助数据!$BJ$3,入户维修!$B$5:$B$404,"&lt;="&amp;辅助数据!$BK$3)</f>
        <v>#REF!</v>
      </c>
      <c r="EE5" s="68" t="e">
        <f aca="false">COUNTIFS(入户维修!$F$5:$F$404,$A5,入户维修!$O$5:$O$404,"一般",入户维修!$B$5:$B$404,"&gt;="&amp;辅助数据!$BJ$3,入户维修!$B$5:$B$404,"&lt;="&amp;辅助数据!$BK$3)+COUNTIFS(入户维修!$G$5:$G$404,$A5,入户维修!$O$5:$O$404,"一般",入户维修!$B$5:$B$404,"&gt;="&amp;辅助数据!$BJ$3,入户维修!$B$5:$B$404,"&lt;="&amp;辅助数据!$BK$3)+COUNTIFS(入户维修!$H$5:$H$404,$A5,入户维修!$O$5:$O$404,"一般",入户维修!$B$5:$B$404,"&gt;="&amp;辅助数据!$BJ$3,入户维修!$B$5:$B$404,"&lt;="&amp;辅助数据!$BK$3)</f>
        <v>#REF!</v>
      </c>
      <c r="EF5" s="68" t="e">
        <f aca="false">COUNTIFS(入户维修!$F$5:$F$404,$A5,入户维修!$O$5:$O$404,"不满意",入户维修!$B$5:$B$404,"&gt;="&amp;辅助数据!$BJ$3,入户维修!$B$5:$B$404,"&lt;="&amp;辅助数据!$BK$3)+COUNTIFS(入户维修!$G$5:$G$404,$A5,入户维修!$O$5:$O$404,"不满意",入户维修!$B$5:$B$404,"&gt;="&amp;辅助数据!$BJ$3,入户维修!$B$5:$B$404,"&lt;="&amp;辅助数据!$BK$3)+COUNTIFS(入户维修!$H$5:$H$404,$A5,入户维修!$O$5:$O$404,"不满意",入户维修!$B$5:$B$404,"&gt;="&amp;辅助数据!$BJ$3,入户维修!$B$5:$B$404,"&lt;="&amp;辅助数据!$BK$3)</f>
        <v>#REF!</v>
      </c>
      <c r="EG5" s="68" t="e">
        <f aca="false">SUM($EC5:$EF5)</f>
        <v>#REF!</v>
      </c>
      <c r="EH5" s="68" t="e">
        <f aca="false">$EA5+$DZ5/1000</f>
        <v>#REF!</v>
      </c>
      <c r="EI5" s="68" t="e">
        <f aca="false">RANK($EH5,$EH$1:$EH$5)+COUNTIF($EH$1:$EH5,$EH5)-1</f>
        <v>#REF!</v>
      </c>
      <c r="EJ5" s="68" t="e">
        <f aca="false">IF($EG5=0,-1,($EC5*100+$ED5*80+$EE5*60)/$EG5+$EG5/1000)</f>
        <v>#REF!</v>
      </c>
      <c r="EK5" s="68" t="e">
        <f aca="false">RANK($EJ5,$EJ$1:$EJ$5)+COUNTIF($EJ$1:$EJ5,$EJ5)-1</f>
        <v>#REF!</v>
      </c>
      <c r="EL5" s="68" t="e">
        <f aca="false">COUNTIFS(公区维修!$F$5:$F$404,$A5,公区维修!$E$5:$E$404,"?*",公区维修!$B$5:$B$404,"&gt;="&amp;辅助数据!$BL$1,公区维修!$B$5:$B$404,"&lt;="&amp;辅助数据!$BM$1)+COUNTIFS(公区维修!$G$5:$G$404,$A5,公区维修!$E$5:$E$404,"?*",公区维修!$B$5:$B$404,"&gt;="&amp;辅助数据!$BL$1,公区维修!$B$5:$B$404,"&lt;="&amp;辅助数据!$BM$1)+COUNTIFS(公区维修!$H$5:$H$404,$A5,公区维修!$E$5:$E$404,"?*",公区维修!$B$5:$B$404,"&gt;="&amp;辅助数据!$BL$1,公区维修!$B$5:$B$404,"&lt;="&amp;辅助数据!$BM$1)</f>
        <v>#REF!</v>
      </c>
      <c r="EM5" s="68" t="e">
        <f aca="false">COUNTIFS(公区维修!$F$5:$F$404,$A5,公区维修!$K$5:$K$404,"已完成",公区维修!$B$5:$B$404,"&gt;="&amp;辅助数据!$BL$1,公区维修!$B$5:$B$404,"&lt;="&amp;辅助数据!$BM$1)+COUNTIFS(公区维修!$G$5:$G$404,$A5,公区维修!$K$5:$K$404,"已完成",公区维修!$B$5:$B$404,"&gt;="&amp;辅助数据!$BL$1,公区维修!$B$5:$B$404,"&lt;="&amp;辅助数据!$BM$1)+COUNTIFS(公区维修!$H$5:$H$404,$A5,公区维修!$K$5:$K$404,"已完成",公区维修!$B$5:$B$404,"&gt;="&amp;辅助数据!$BL$1,公区维修!$B$5:$B$404,"&lt;="&amp;辅助数据!$BM$1)</f>
        <v>#REF!</v>
      </c>
      <c r="EN5" s="68" t="e">
        <f aca="false">COUNTIFS(公区维修!$F$5:$F$404,$A5,公区维修!$K$5:$K$404,"跟进中",公区维修!$B$5:$B$404,"&gt;="&amp;辅助数据!$BL$1,公区维修!$B$5:$B$404,"&lt;="&amp;辅助数据!$BM$1)+COUNTIFS(公区维修!$G$5:$G$404,$A5,公区维修!$K$5:$K$404,"跟进中",公区维修!$B$5:$B$404,"&gt;="&amp;辅助数据!$BL$1,公区维修!$B$5:$B$404,"&lt;="&amp;辅助数据!$BM$1)+COUNTIFS(公区维修!$H$5:$H$404,$A5,公区维修!$K$5:$K$404,"跟进中",公区维修!$B$5:$B$404,"&gt;="&amp;辅助数据!$BL$1,公区维修!$B$5:$B$404,"&lt;="&amp;辅助数据!$BM$1)</f>
        <v>#REF!</v>
      </c>
      <c r="EO5" s="68" t="e">
        <f aca="false">COUNTIFS(公区维修!$F$5:$F$404,$A5,公区维修!$N$5:$N$404,"非常满意",公区维修!$B$5:$B$404,"&gt;="&amp;辅助数据!$BL$1,公区维修!$B$5:$B$404,"&lt;="&amp;辅助数据!$BM$1)+COUNTIFS(公区维修!$G$5:$G$404,$A5,公区维修!$N$5:$N$404,"非常满意",公区维修!$B$5:$B$404,"&gt;="&amp;辅助数据!$BL$1,公区维修!$B$5:$B$404,"&lt;="&amp;辅助数据!$BM$1)+COUNTIFS(公区维修!$H$5:$H$404,$A5,公区维修!$N$5:$N$404,"非常满意",公区维修!$B$5:$B$404,"&gt;="&amp;辅助数据!$BL$1,公区维修!$B$5:$B$404,"&lt;="&amp;辅助数据!$BM$1)</f>
        <v>#REF!</v>
      </c>
      <c r="EP5" s="68" t="e">
        <f aca="false">COUNTIFS(公区维修!$F$5:$F$404,$A5,公区维修!$N$5:$N$404,"满意",公区维修!$B$5:$B$404,"&gt;="&amp;辅助数据!$BL$1,公区维修!$B$5:$B$404,"&lt;="&amp;辅助数据!$BM$1)+COUNTIFS(公区维修!$G$5:$G$404,$A5,公区维修!$N$5:$N$404,"满意",公区维修!$B$5:$B$404,"&gt;="&amp;辅助数据!$BL$1,公区维修!$B$5:$B$404,"&lt;="&amp;辅助数据!$BM$1)+COUNTIFS(公区维修!$H$5:$H$404,$A5,公区维修!$N$5:$N$404,"满意",公区维修!$B$5:$B$404,"&gt;="&amp;辅助数据!$BL$1,公区维修!$B$5:$B$404,"&lt;="&amp;辅助数据!$BM$1)</f>
        <v>#REF!</v>
      </c>
      <c r="EQ5" s="68" t="e">
        <f aca="false">COUNTIFS(公区维修!$F$5:$F$404,$A5,公区维修!$N$5:$N$404,"一般",公区维修!$B$5:$B$404,"&gt;="&amp;辅助数据!$BL$1,公区维修!$B$5:$B$404,"&lt;="&amp;辅助数据!$BM$1)+COUNTIFS(公区维修!$G$5:$G$404,$A5,公区维修!$N$5:$N$404,"一般",公区维修!$B$5:$B$404,"&gt;="&amp;辅助数据!$BL$1,公区维修!$B$5:$B$404,"&lt;="&amp;辅助数据!$BM$1)+COUNTIFS(公区维修!$H$5:$H$404,$A5,公区维修!$N$5:$N$404,"一般",公区维修!$B$5:$B$404,"&gt;="&amp;辅助数据!$BL$1,公区维修!$B$5:$B$404,"&lt;="&amp;辅助数据!$BM$1)</f>
        <v>#REF!</v>
      </c>
      <c r="ER5" s="68" t="e">
        <f aca="false">COUNTIFS(公区维修!$F$5:$F$404,$A5,公区维修!$N$5:$N$404,"不满意",公区维修!$B$5:$B$404,"&gt;="&amp;辅助数据!$BL$1,公区维修!$B$5:$B$404,"&lt;="&amp;辅助数据!$BM$1)+COUNTIFS(公区维修!$G$5:$G$404,$A5,公区维修!$N$5:$N$404,"不满意",公区维修!$B$5:$B$404,"&gt;="&amp;辅助数据!$BL$1,公区维修!$B$5:$B$404,"&lt;="&amp;辅助数据!$BM$1)+COUNTIFS(公区维修!$H$5:$H$404,$A5,公区维修!$N$5:$N$404,"不满意",公区维修!$B$5:$B$404,"&gt;="&amp;辅助数据!$BL$1,公区维修!$B$5:$B$404,"&lt;="&amp;辅助数据!$BM$1)</f>
        <v>#REF!</v>
      </c>
      <c r="ES5" s="68" t="e">
        <f aca="false">SUM($EO5:$ER5)</f>
        <v>#REF!</v>
      </c>
      <c r="ET5" s="68" t="e">
        <f aca="false">$EM5+$EL5/1000</f>
        <v>#REF!</v>
      </c>
      <c r="EU5" s="68" t="e">
        <f aca="false">RANK($ET5,$ET$1:$ET$5)+COUNTIF($ET$1:$ET5,$ET5)-1</f>
        <v>#REF!</v>
      </c>
      <c r="EV5" s="68" t="e">
        <f aca="false">IF($ES5=0,-1,($EO5*100+$EP5*80+$EQ5*60)/$ES5+$ES5/1000)</f>
        <v>#REF!</v>
      </c>
      <c r="EW5" s="68" t="e">
        <f aca="false">RANK($EV5,$EV$1:$EV$5)+COUNTIF($EV$1:$EV5,$EV5)-1</f>
        <v>#REF!</v>
      </c>
      <c r="EX5" s="68" t="e">
        <f aca="false">COUNTIFS(公区维修!$F$5:$F$404,$A5,公区维修!$E$5:$E$404,"?*",公区维修!$B$5:$B$404,"&gt;="&amp;辅助数据!$BL$2,公区维修!$B$5:$B$404,"&lt;="&amp;辅助数据!$BM$2)+COUNTIFS(公区维修!$G$5:$G$404,$A5,公区维修!$E$5:$E$404,"?*",公区维修!$B$5:$B$404,"&gt;="&amp;辅助数据!$BL$2,公区维修!$B$5:$B$404,"&lt;="&amp;辅助数据!$BM$2)+COUNTIFS(公区维修!$H$5:$H$404,$A5,公区维修!$E$5:$E$404,"?*",公区维修!$B$5:$B$404,"&gt;="&amp;辅助数据!$BL$2,公区维修!$B$5:$B$404,"&lt;="&amp;辅助数据!$BM$2)</f>
        <v>#REF!</v>
      </c>
      <c r="EY5" s="68" t="e">
        <f aca="false">COUNTIFS(公区维修!$F$5:$F$404,$A5,公区维修!$K$5:$K$404,"已完成",公区维修!$B$5:$B$404,"&gt;="&amp;辅助数据!$BL$2,公区维修!$B$5:$B$404,"&lt;="&amp;辅助数据!$BM$2)+COUNTIFS(公区维修!$G$5:$G$404,$A5,公区维修!$K$5:$K$404,"已完成",公区维修!$B$5:$B$404,"&gt;="&amp;辅助数据!$BL$2,公区维修!$B$5:$B$404,"&lt;="&amp;辅助数据!$BM$2)+COUNTIFS(公区维修!$H$5:$H$404,$A5,公区维修!$K$5:$K$404,"已完成",公区维修!$B$5:$B$404,"&gt;="&amp;辅助数据!$BL$2,公区维修!$B$5:$B$404,"&lt;="&amp;辅助数据!$BM$2)</f>
        <v>#REF!</v>
      </c>
      <c r="EZ5" s="68" t="e">
        <f aca="false">COUNTIFS(公区维修!$F$5:$F$404,$A5,公区维修!$K$5:$K$404,"跟进中",公区维修!$B$5:$B$404,"&gt;="&amp;辅助数据!$BL$2,公区维修!$B$5:$B$404,"&lt;="&amp;辅助数据!$BM$2)+COUNTIFS(公区维修!$G$5:$G$404,$A5,公区维修!$K$5:$K$404,"跟进中",公区维修!$B$5:$B$404,"&gt;="&amp;辅助数据!$BL$2,公区维修!$B$5:$B$404,"&lt;="&amp;辅助数据!$BM$2)+COUNTIFS(公区维修!$H$5:$H$404,$A5,公区维修!$K$5:$K$404,"跟进中",公区维修!$B$5:$B$404,"&gt;="&amp;辅助数据!$BL$2,公区维修!$B$5:$B$404,"&lt;="&amp;辅助数据!$BM$2)</f>
        <v>#REF!</v>
      </c>
      <c r="FA5" s="68" t="e">
        <f aca="false">COUNTIFS(公区维修!$F$5:$F$404,$A5,公区维修!$N$5:$N$404,"非常满意",公区维修!$B$5:$B$404,"&gt;="&amp;辅助数据!$BL$2,公区维修!$B$5:$B$404,"&lt;="&amp;辅助数据!$BM$2)+COUNTIFS(公区维修!$G$5:$G$404,$A5,公区维修!$N$5:$N$404,"非常满意",公区维修!$B$5:$B$404,"&gt;="&amp;辅助数据!$BL$2,公区维修!$B$5:$B$404,"&lt;="&amp;辅助数据!$BM$2)+COUNTIFS(公区维修!$H$5:$H$404,$A5,公区维修!$N$5:$N$404,"非常满意",公区维修!$B$5:$B$404,"&gt;="&amp;辅助数据!$BL$2,公区维修!$B$5:$B$404,"&lt;="&amp;辅助数据!$BM$2)</f>
        <v>#REF!</v>
      </c>
      <c r="FB5" s="68" t="e">
        <f aca="false">COUNTIFS(公区维修!$F$5:$F$404,$A5,公区维修!$N$5:$N$404,"满意",公区维修!$B$5:$B$404,"&gt;="&amp;辅助数据!$BL$2,公区维修!$B$5:$B$404,"&lt;="&amp;辅助数据!$BM$2)+COUNTIFS(公区维修!$G$5:$G$404,$A5,公区维修!$N$5:$N$404,"满意",公区维修!$B$5:$B$404,"&gt;="&amp;辅助数据!$BL$2,公区维修!$B$5:$B$404,"&lt;="&amp;辅助数据!$BM$2)+COUNTIFS(公区维修!$H$5:$H$404,$A5,公区维修!$N$5:$N$404,"满意",公区维修!$B$5:$B$404,"&gt;="&amp;辅助数据!$BL$2,公区维修!$B$5:$B$404,"&lt;="&amp;辅助数据!$BM$2)</f>
        <v>#REF!</v>
      </c>
      <c r="FC5" s="68" t="e">
        <f aca="false">COUNTIFS(公区维修!$F$5:$F$404,$A5,公区维修!$N$5:$N$404,"一般",公区维修!$B$5:$B$404,"&gt;="&amp;辅助数据!$BL$2,公区维修!$B$5:$B$404,"&lt;="&amp;辅助数据!$BM$2)+COUNTIFS(公区维修!$G$5:$G$404,$A5,公区维修!$N$5:$N$404,"一般",公区维修!$B$5:$B$404,"&gt;="&amp;辅助数据!$BL$2,公区维修!$B$5:$B$404,"&lt;="&amp;辅助数据!$BM$2)+COUNTIFS(公区维修!$H$5:$H$404,$A5,公区维修!$N$5:$N$404,"一般",公区维修!$B$5:$B$404,"&gt;="&amp;辅助数据!$BL$2,公区维修!$B$5:$B$404,"&lt;="&amp;辅助数据!$BM$2)</f>
        <v>#REF!</v>
      </c>
      <c r="FD5" s="68" t="e">
        <f aca="false">COUNTIFS(公区维修!$F$5:$F$404,$A5,公区维修!$N$5:$N$404,"不满意",公区维修!$B$5:$B$404,"&gt;="&amp;辅助数据!$BL$2,公区维修!$B$5:$B$404,"&lt;="&amp;辅助数据!$BM$2)+COUNTIFS(公区维修!$G$5:$G$404,$A5,公区维修!$N$5:$N$404,"不满意",公区维修!$B$5:$B$404,"&gt;="&amp;辅助数据!$BL$2,公区维修!$B$5:$B$404,"&lt;="&amp;辅助数据!$BM$2)+COUNTIFS(公区维修!$H$5:$H$404,$A5,公区维修!$N$5:$N$404,"不满意",公区维修!$B$5:$B$404,"&gt;="&amp;辅助数据!$BL$2,公区维修!$B$5:$B$404,"&lt;="&amp;辅助数据!$BM$2)</f>
        <v>#REF!</v>
      </c>
      <c r="FE5" s="68" t="e">
        <f aca="false">SUM($FA5:$FD5)</f>
        <v>#REF!</v>
      </c>
      <c r="FF5" s="68" t="e">
        <f aca="false">$EY5+$EX5/1000</f>
        <v>#REF!</v>
      </c>
      <c r="FG5" s="68" t="e">
        <f aca="false">RANK($FF5,$FF$1:$FF$5)+COUNTIF($FF$1:$FF5,$FF5)-1</f>
        <v>#REF!</v>
      </c>
      <c r="FH5" s="68" t="e">
        <f aca="false">IF($FE5=0,-1,($FA5*100+$FB5*80+$FC5*60)/$FE5+$FE5/1000)</f>
        <v>#REF!</v>
      </c>
      <c r="FI5" s="68" t="e">
        <f aca="false">RANK($FH5,$FH$1:$FH$5)+COUNTIF($FH$1:$FH5,$FH5)-1</f>
        <v>#REF!</v>
      </c>
      <c r="FJ5" s="68" t="e">
        <f aca="false">COUNTIFS(公区维修!$F$5:$F$404,$A5,公区维修!$E$5:$E$404,"?*",公区维修!$B$5:$B$404,"&gt;="&amp;辅助数据!$BL$3,公区维修!$B$5:$B$404,"&lt;="&amp;辅助数据!$BM$3)+COUNTIFS(公区维修!$G$5:$G$404,$A5,公区维修!$E$5:$E$404,"?*",公区维修!$B$5:$B$404,"&gt;="&amp;辅助数据!$BL$3,公区维修!$B$5:$B$404,"&lt;="&amp;辅助数据!$BM$3)+COUNTIFS(公区维修!$H$5:$H$404,$A5,公区维修!$E$5:$E$404,"?*",公区维修!$B$5:$B$404,"&gt;="&amp;辅助数据!$BL$3,公区维修!$B$5:$B$404,"&lt;="&amp;辅助数据!$BM$3)</f>
        <v>#REF!</v>
      </c>
      <c r="FK5" s="68" t="e">
        <f aca="false">COUNTIFS(公区维修!$F$5:$F$404,$A5,公区维修!$K$5:$K$404,"已完成",公区维修!$B$5:$B$404,"&gt;="&amp;辅助数据!$BL$3,公区维修!$B$5:$B$404,"&lt;="&amp;辅助数据!$BM$3)+COUNTIFS(公区维修!$G$5:$G$404,$A5,公区维修!$K$5:$K$404,"已完成",公区维修!$B$5:$B$404,"&gt;="&amp;辅助数据!$BL$3,公区维修!$B$5:$B$404,"&lt;="&amp;辅助数据!$BM$3)+COUNTIFS(公区维修!$H$5:$H$404,$A5,公区维修!$K$5:$K$404,"已完成",公区维修!$B$5:$B$404,"&gt;="&amp;辅助数据!$BL$3,公区维修!$B$5:$B$404,"&lt;="&amp;辅助数据!$BM$3)</f>
        <v>#REF!</v>
      </c>
      <c r="FL5" s="68" t="e">
        <f aca="false">COUNTIFS(公区维修!$F$5:$F$404,$A5,公区维修!$K$5:$K$404,"跟进中",公区维修!$B$5:$B$404,"&gt;="&amp;辅助数据!$BL$3,公区维修!$B$5:$B$404,"&lt;="&amp;辅助数据!$BM$3)+COUNTIFS(公区维修!$G$5:$G$404,$A5,公区维修!$K$5:$K$404,"跟进中",公区维修!$B$5:$B$404,"&gt;="&amp;辅助数据!$BL$3,公区维修!$B$5:$B$404,"&lt;="&amp;辅助数据!$BM$3)+COUNTIFS(公区维修!$H$5:$H$404,$A5,公区维修!$K$5:$K$404,"跟进中",公区维修!$B$5:$B$404,"&gt;="&amp;辅助数据!$BL$3,公区维修!$B$5:$B$404,"&lt;="&amp;辅助数据!$BM$3)</f>
        <v>#REF!</v>
      </c>
      <c r="FM5" s="68" t="e">
        <f aca="false">COUNTIFS(公区维修!$F$5:$F$404,$A5,公区维修!$N$5:$N$404,"非常满意",公区维修!$B$5:$B$404,"&gt;="&amp;辅助数据!$BL$3,公区维修!$B$5:$B$404,"&lt;="&amp;辅助数据!$BM$3)+COUNTIFS(公区维修!$G$5:$G$404,$A5,公区维修!$N$5:$N$404,"非常满意",公区维修!$B$5:$B$404,"&gt;="&amp;辅助数据!$BL$3,公区维修!$B$5:$B$404,"&lt;="&amp;辅助数据!$BM$3)+COUNTIFS(公区维修!$H$5:$H$404,$A5,公区维修!$N$5:$N$404,"非常满意",公区维修!$B$5:$B$404,"&gt;="&amp;辅助数据!$BL$3,公区维修!$B$5:$B$404,"&lt;="&amp;辅助数据!$BM$3)</f>
        <v>#REF!</v>
      </c>
      <c r="FN5" s="68" t="e">
        <f aca="false">COUNTIFS(公区维修!$F$5:$F$404,$A5,公区维修!$N$5:$N$404,"满意",公区维修!$B$5:$B$404,"&gt;="&amp;辅助数据!$BL$3,公区维修!$B$5:$B$404,"&lt;="&amp;辅助数据!$BM$3)+COUNTIFS(公区维修!$G$5:$G$404,$A5,公区维修!$N$5:$N$404,"满意",公区维修!$B$5:$B$404,"&gt;="&amp;辅助数据!$BL$3,公区维修!$B$5:$B$404,"&lt;="&amp;辅助数据!$BM$3)+COUNTIFS(公区维修!$H$5:$H$404,$A5,公区维修!$N$5:$N$404,"满意",公区维修!$B$5:$B$404,"&gt;="&amp;辅助数据!$BL$3,公区维修!$B$5:$B$404,"&lt;="&amp;辅助数据!$BM$3)</f>
        <v>#REF!</v>
      </c>
      <c r="FO5" s="68" t="e">
        <f aca="false">COUNTIFS(公区维修!$F$5:$F$404,$A5,公区维修!$N$5:$N$404,"一般",公区维修!$B$5:$B$404,"&gt;="&amp;辅助数据!$BL$3,公区维修!$B$5:$B$404,"&lt;="&amp;辅助数据!$BM$3)+COUNTIFS(公区维修!$G$5:$G$404,$A5,公区维修!$N$5:$N$404,"一般",公区维修!$B$5:$B$404,"&gt;="&amp;辅助数据!$BL$3,公区维修!$B$5:$B$404,"&lt;="&amp;辅助数据!$BM$3)+COUNTIFS(公区维修!$H$5:$H$404,$A5,公区维修!$N$5:$N$404,"一般",公区维修!$B$5:$B$404,"&gt;="&amp;辅助数据!$BL$3,公区维修!$B$5:$B$404,"&lt;="&amp;辅助数据!$BM$3)</f>
        <v>#REF!</v>
      </c>
      <c r="FP5" s="68" t="e">
        <f aca="false">COUNTIFS(公区维修!$F$5:$F$404,$A5,公区维修!$N$5:$N$404,"不满意",公区维修!$B$5:$B$404,"&gt;="&amp;辅助数据!$BL$3,公区维修!$B$5:$B$404,"&lt;="&amp;辅助数据!$BM$3)+COUNTIFS(公区维修!$G$5:$G$404,$A5,公区维修!$N$5:$N$404,"不满意",公区维修!$B$5:$B$404,"&gt;="&amp;辅助数据!$BL$3,公区维修!$B$5:$B$404,"&lt;="&amp;辅助数据!$BM$3)+COUNTIFS(公区维修!$H$5:$H$404,$A5,公区维修!$N$5:$N$404,"不满意",公区维修!$B$5:$B$404,"&gt;="&amp;辅助数据!$BL$3,公区维修!$B$5:$B$404,"&lt;="&amp;辅助数据!$BM$3)</f>
        <v>#REF!</v>
      </c>
      <c r="FQ5" s="68" t="e">
        <f aca="false">SUM($FM5:$FP5)</f>
        <v>#REF!</v>
      </c>
      <c r="FR5" s="68" t="e">
        <f aca="false">$FK5+$FJ5/1000</f>
        <v>#REF!</v>
      </c>
      <c r="FS5" s="68" t="e">
        <f aca="false">RANK($FR5,$FR$1:$FR$5)+COUNTIF($FR$1:$FR5,$FR5)-1</f>
        <v>#REF!</v>
      </c>
      <c r="FT5" s="68" t="e">
        <f aca="false">IF($FQ5=0,-1,($FM5*100+$FN5*80+$FO5*60)/$FQ5+$FQ5/1000)</f>
        <v>#REF!</v>
      </c>
      <c r="FU5" s="68" t="e">
        <f aca="false">RANK($FT5,$FT$1:$FT$5)+COUNTIF($FT$1:$FT5,$FT5)-1</f>
        <v>#REF!</v>
      </c>
      <c r="FW5" s="0" t="str">
        <f aca="false">IF(AND(单元查询!$D$3&lt;&gt;"",IF(单元查询!$B$3="公区维修",公区维修!$E5&lt;&gt;"",入户维修!$E5&lt;&gt;""),IF(单元查询!$B$3="公区维修",公区维修!$C5,入户维修!$C5)=单元查询!$D$3,OR(单元查询!$F$3="",IF(单元查询!$B$3="公区维修",公区维修!$D5,入户维修!$D5)&amp;""=(单元查询!$F$3)&amp;"")),MAX($FW$4:$FW4)+1,"")</f>
        <v/>
      </c>
      <c r="FY5" s="69" t="n">
        <f aca="false">IFERROR(MATCH(5,$FW$5:$FW$404,0),"")</f>
        <v>21</v>
      </c>
      <c r="GA5" s="69" t="n">
        <f aca="false">COUNTIFS(入户维修!$F$5:$F$404,$A5,入户维修!$K$5:$K$404,"跟进中")+COUNTIFS(入户维修!$G$5:$G$404,$A5,入户维修!$K$5:$K$404,"跟进中")+COUNTIFS(入户维修!$H$5:$H$404,$A5,入户维修!$K$5:$K$404,"跟进中")</f>
        <v>1</v>
      </c>
      <c r="GB5" s="69" t="n">
        <f aca="false">COUNTIFS(公区维修!$F$5:$F$404,$A5,公区维修!$K$5:$K$404,"跟进中")+COUNTIFS(公区维修!$G$5:$G$404,$A5,公区维修!$K$5:$K$404,"跟进中")+COUNTIFS(公区维修!$H$5:$H$404,$A5,公区维修!$K$5:$K$404,"跟进中")</f>
        <v>2</v>
      </c>
    </row>
    <row r="6" customFormat="false" ht="15" hidden="false" customHeight="true" outlineLevel="0" collapsed="false">
      <c r="F6" s="0" t="n">
        <f aca="false">IF(OR($A$1=入户维修!$F6,$BN$1=1),0,1-SUMPRODUCT(--(($A$1=入户维修!$F6)+$BN$1&gt;0)))</f>
        <v>0</v>
      </c>
      <c r="G6" s="0" t="n">
        <f aca="false">IF(OR($A$2=入户维修!$F6,$BN$2=1),0,2-SUMPRODUCT(--(($A$1:$A$2=入户维修!$F6)+$BN$1:$BN$2&gt;0)))</f>
        <v>1</v>
      </c>
      <c r="H6" s="0" t="n">
        <f aca="false">IF(OR($A$3=入户维修!$F6,$BN$3=1),0,3-SUMPRODUCT(--(($A$1:$A$3=入户维修!$F6)+$BN$1:$BN$3&gt;0)))</f>
        <v>2</v>
      </c>
      <c r="I6" s="0" t="n">
        <f aca="false">IF(OR($A$4=入户维修!$F6,$BN$4=1),0,4-SUMPRODUCT(--(($A$1:$A$4=入户维修!$F6)+$BN$1:$BN$4&gt;0)))</f>
        <v>3</v>
      </c>
      <c r="J6" s="0" t="n">
        <f aca="false">IF(OR($A$5=入户维修!$F6,$BN$5=1),0,5-SUMPRODUCT(--(($A$1:$A$5=入户维修!$F6)+$BN$1:$BN$5&gt;0)))</f>
        <v>0</v>
      </c>
      <c r="L6" s="0" t="str">
        <f aca="false">IFERROR(INDEX($A$1:$A$5,MATCH(1,$F6:$J6,0)),IF(1=MAX($F6:$J6)+1,"取消",""))</f>
        <v>李师傅</v>
      </c>
      <c r="M6" s="0" t="str">
        <f aca="false">IFERROR(INDEX($A$1:$A$5,MATCH(2,$F6:$J6,0)),IF(2=MAX($F6:$J6)+1,"取消",""))</f>
        <v>王师傅</v>
      </c>
      <c r="N6" s="0" t="str">
        <f aca="false">IFERROR(INDEX($A$1:$A$5,MATCH(3,$F6:$J6,0)),IF(3=MAX($F6:$J6)+1,"取消",""))</f>
        <v>陈师傅</v>
      </c>
      <c r="O6" s="0" t="str">
        <f aca="false">IFERROR(INDEX($A$1:$A$5,MATCH(4,$F6:$J6,0)),IF(4=MAX($F6:$J6)+1,"取消",""))</f>
        <v>取消</v>
      </c>
      <c r="P6" s="0" t="str">
        <f aca="false">IFERROR(INDEX($A$1:$A$5,MATCH(5,$F6:$J6,0)),IF(5=MAX($F6:$J6)+1,"取消",""))</f>
        <v/>
      </c>
      <c r="Q6" s="0" t="str">
        <f aca="false">IFERROR(INDEX($A$1:$A$5,MATCH(6,$F6:$J6,0)),IF(6=MAX($F6:$J6)+1,"取消",""))</f>
        <v/>
      </c>
      <c r="S6" s="0" t="n">
        <f aca="false">IF(OR($A$1=入户维修!$F6,$A$1=入户维修!$G6,$BN$1=1),0,1-SUMPRODUCT(--(($A$1=入户维修!$F6)+($A$1=入户维修!$G6)+$BN$1&gt;0)))</f>
        <v>0</v>
      </c>
      <c r="T6" s="0" t="n">
        <f aca="false">IF(OR($A$2=入户维修!$F6,$A$2=入户维修!$G6,$BN$2=1),0,2-SUMPRODUCT(--(($A$1:$A$2=入户维修!$F6)+($A$1:$A$2=入户维修!$G6)+$BN$1:$BN$2&gt;0)))</f>
        <v>1</v>
      </c>
      <c r="U6" s="0" t="n">
        <f aca="false">IF(OR($A$3=入户维修!$F6,$A$3=入户维修!$G6,$BN$3=1),0,3-SUMPRODUCT(--(($A$1:$A$3=入户维修!$F6)+($A$1:$A$3=入户维修!$G6)+$BN$1:$BN$3&gt;0)))</f>
        <v>2</v>
      </c>
      <c r="V6" s="0" t="n">
        <f aca="false">IF(OR($A$4=入户维修!$F6,$A$4=入户维修!$G6,$BN$4=1),0,4-SUMPRODUCT(--(($A$1:$A$4=入户维修!$F6)+($A$1:$A$4=入户维修!$G6)+$BN$1:$BN$4&gt;0)))</f>
        <v>3</v>
      </c>
      <c r="W6" s="0" t="n">
        <f aca="false">IF(OR($A$5=入户维修!$F6,$A$5=入户维修!$G6,$BN$5=1),0,5-SUMPRODUCT(--(($A$1:$A$5=入户维修!$F6)+($A$1:$A$5=入户维修!$G6)+$BN$1:$BN$5&gt;0)))</f>
        <v>0</v>
      </c>
      <c r="Y6" s="0" t="str">
        <f aca="false">IFERROR(INDEX($A$1:$A$5,MATCH(1,$S6:$W6,0)),IF(1=MAX($S6:$W6)+1,"取消",""))</f>
        <v>李师傅</v>
      </c>
      <c r="Z6" s="0" t="str">
        <f aca="false">IFERROR(INDEX($A$1:$A$5,MATCH(2,$S6:$W6,0)),IF(2=MAX($S6:$W6)+1,"取消",""))</f>
        <v>王师傅</v>
      </c>
      <c r="AA6" s="0" t="str">
        <f aca="false">IFERROR(INDEX($A$1:$A$5,MATCH(3,$S6:$W6,0)),IF(3=MAX($S6:$W6)+1,"取消",""))</f>
        <v>陈师傅</v>
      </c>
      <c r="AB6" s="0" t="str">
        <f aca="false">IFERROR(INDEX($A$1:$A$5,MATCH(4,$S6:$W6,0)),IF(4=MAX($S6:$W6)+1,"取消",""))</f>
        <v>取消</v>
      </c>
      <c r="AC6" s="0" t="str">
        <f aca="false">IFERROR(INDEX($A$1:$A$5,MATCH(5,$S6:$W6,0)),IF(5=MAX($S6:$W6)+1,"取消",""))</f>
        <v/>
      </c>
      <c r="AD6" s="0" t="str">
        <f aca="false">IFERROR(INDEX($A$1:$A$5,MATCH(6,$S6:$W6,0)),IF(6=MAX($S6:$W6)+1,"取消",""))</f>
        <v/>
      </c>
      <c r="AF6" s="0" t="n">
        <f aca="false">IF(OR($A$1=公区维修!$F6,$BN$1=1),0,1-SUMPRODUCT(--(($A$1=公区维修!$F6)+$BN$1&gt;0)))</f>
        <v>0</v>
      </c>
      <c r="AG6" s="0" t="n">
        <f aca="false">IF(OR($A$2=公区维修!$F6,$BN$2=1),0,2-SUMPRODUCT(--(($A$1:$A$2=公区维修!$F6)+$BN$1:$BN$2&gt;0)))</f>
        <v>1</v>
      </c>
      <c r="AH6" s="0" t="n">
        <f aca="false">IF(OR($A$3=公区维修!$F6,$BN$3=1),0,3-SUMPRODUCT(--(($A$1:$A$3=公区维修!$F6)+$BN$1:$BN$3&gt;0)))</f>
        <v>2</v>
      </c>
      <c r="AI6" s="0" t="n">
        <f aca="false">IF(OR($A$4=公区维修!$F6,$BN$4=1),0,4-SUMPRODUCT(--(($A$1:$A$4=公区维修!$F6)+$BN$1:$BN$4&gt;0)))</f>
        <v>0</v>
      </c>
      <c r="AJ6" s="0" t="n">
        <f aca="false">IF(OR($A$5=公区维修!$F6,$BN$5=1),0,5-SUMPRODUCT(--(($A$1:$A$5=公区维修!$F6)+$BN$1:$BN$5&gt;0)))</f>
        <v>3</v>
      </c>
      <c r="AL6" s="0" t="str">
        <f aca="false">IFERROR(INDEX($A$1:$A$5,MATCH(1,$AF6:$AJ6,0)),IF(1=MAX($AF6:$AJ6)+1,"取消",""))</f>
        <v>李师傅</v>
      </c>
      <c r="AM6" s="0" t="str">
        <f aca="false">IFERROR(INDEX($A$1:$A$5,MATCH(2,$AF6:$AJ6,0)),IF(2=MAX($AF6:$AJ6)+1,"取消",""))</f>
        <v>王师傅</v>
      </c>
      <c r="AN6" s="0" t="str">
        <f aca="false">IFERROR(INDEX($A$1:$A$5,MATCH(3,$AF6:$AJ6,0)),IF(3=MAX($AF6:$AJ6)+1,"取消",""))</f>
        <v>刘师傅</v>
      </c>
      <c r="AO6" s="0" t="str">
        <f aca="false">IFERROR(INDEX($A$1:$A$5,MATCH(4,$AF6:$AJ6,0)),IF(4=MAX($AF6:$AJ6)+1,"取消",""))</f>
        <v>取消</v>
      </c>
      <c r="AP6" s="0" t="str">
        <f aca="false">IFERROR(INDEX($A$1:$A$5,MATCH(5,$AF6:$AJ6,0)),IF(5=MAX($AF6:$AJ6)+1,"取消",""))</f>
        <v/>
      </c>
      <c r="AQ6" s="0" t="str">
        <f aca="false">IFERROR(INDEX($A$1:$A$5,MATCH(6,$AF6:$AJ6,0)),IF(6=MAX($AF6:$AJ6)+1,"取消",""))</f>
        <v/>
      </c>
      <c r="AS6" s="0" t="n">
        <f aca="false">IF(OR($A$1=公区维修!$F6,$A$1=公区维修!$G6,$BN$1=1),0,1-SUMPRODUCT(--(($A$1=公区维修!$F6)+($A$1=公区维修!$G6)+$BN$1&gt;0)))</f>
        <v>0</v>
      </c>
      <c r="AT6" s="0" t="n">
        <f aca="false">IF(OR($A$2=公区维修!$F6,$A$2=公区维修!$G6,$BN$2=1),0,2-SUMPRODUCT(--(($A$1:$A$2=公区维修!$F6)+($A$1:$A$2=公区维修!$G6)+$BN$1:$BN$2&gt;0)))</f>
        <v>1</v>
      </c>
      <c r="AU6" s="0" t="n">
        <f aca="false">IF(OR($A$3=公区维修!$F6,$A$3=公区维修!$G6,$BN$3=1),0,3-SUMPRODUCT(--(($A$1:$A$3=公区维修!$F6)+($A$1:$A$3=公区维修!$G6)+$BN$1:$BN$3&gt;0)))</f>
        <v>0</v>
      </c>
      <c r="AV6" s="0" t="n">
        <f aca="false">IF(OR($A$4=公区维修!$F6,$A$4=公区维修!$G6,$BN$4=1),0,4-SUMPRODUCT(--(($A$1:$A$4=公区维修!$F6)+($A$1:$A$4=公区维修!$G6)+$BN$1:$BN$4&gt;0)))</f>
        <v>0</v>
      </c>
      <c r="AW6" s="0" t="n">
        <f aca="false">IF(OR($A$5=公区维修!$F6,$A$5=公区维修!$G6,$BN$5=1),0,5-SUMPRODUCT(--(($A$1:$A$5=公区维修!$F6)+($A$1:$A$5=公区维修!$G6)+$BN$1:$BN$5&gt;0)))</f>
        <v>2</v>
      </c>
      <c r="AY6" s="0" t="str">
        <f aca="false">IFERROR(INDEX($A$1:$A$5,MATCH(1,$AS6:$AW6,0)),IF(1=MAX($AS6:$AW6)+1,"取消",""))</f>
        <v>李师傅</v>
      </c>
      <c r="AZ6" s="0" t="str">
        <f aca="false">IFERROR(INDEX($A$1:$A$5,MATCH(2,$AS6:$AW6,0)),IF(2=MAX($AS6:$AW6)+1,"取消",""))</f>
        <v>刘师傅</v>
      </c>
      <c r="BA6" s="0" t="str">
        <f aca="false">IFERROR(INDEX($A$1:$A$5,MATCH(3,$AS6:$AW6,0)),IF(3=MAX($AS6:$AW6)+1,"取消",""))</f>
        <v>取消</v>
      </c>
      <c r="BB6" s="0" t="str">
        <f aca="false">IFERROR(INDEX($A$1:$A$5,MATCH(4,$AS6:$AW6,0)),IF(4=MAX($AS6:$AW6)+1,"取消",""))</f>
        <v/>
      </c>
      <c r="BC6" s="0" t="str">
        <f aca="false">IFERROR(INDEX($A$1:$A$5,MATCH(5,$AS6:$AW6,0)),IF(5=MAX($AS6:$AW6)+1,"取消",""))</f>
        <v/>
      </c>
      <c r="BD6" s="0" t="str">
        <f aca="false">IFERROR(INDEX($A$1:$A$5,MATCH(6,$AS6:$AW6,0)),IF(6=MAX($AS6:$AW6)+1,"取消",""))</f>
        <v/>
      </c>
      <c r="BF6" s="68" t="s">
        <v>210</v>
      </c>
      <c r="BG6" s="0" t="str">
        <f aca="false">IFERROR(INDEX($A$1:$A$5,MATCH(6,$BQ$1:$BQ$5,0)),IF(6=MAX($BQ$1:$BQ$5)+1,"取消",""))</f>
        <v/>
      </c>
      <c r="FW6" s="69" t="n">
        <f aca="false">IF(AND(单元查询!$D$3&lt;&gt;"",IF(单元查询!$B$3="公区维修",公区维修!$E6&lt;&gt;"",入户维修!$E6&lt;&gt;""),IF(单元查询!$B$3="公区维修",公区维修!$C6,入户维修!$C6)=单元查询!$D$3,OR(单元查询!$F$3="",IF(单元查询!$B$3="公区维修",公区维修!$D6,入户维修!$D6)&amp;""=(单元查询!$F$3)&amp;"")),MAX($FW$4:$FW5)+1,"")</f>
        <v>1</v>
      </c>
      <c r="FY6" s="69" t="n">
        <f aca="false">IFERROR(MATCH(6,$FW$5:$FW$404,0),"")</f>
        <v>25</v>
      </c>
    </row>
    <row r="7" customFormat="false" ht="16.5" hidden="false" customHeight="true" outlineLevel="0" collapsed="false">
      <c r="A7" s="0" t="s">
        <v>507</v>
      </c>
      <c r="F7" s="0" t="n">
        <f aca="false">IF(OR($A$1=入户维修!$F7,$BN$1=1),0,1-SUMPRODUCT(--(($A$1=入户维修!$F7)+$BN$1&gt;0)))</f>
        <v>0</v>
      </c>
      <c r="G7" s="0" t="n">
        <f aca="false">IF(OR($A$2=入户维修!$F7,$BN$2=1),0,2-SUMPRODUCT(--(($A$1:$A$2=入户维修!$F7)+$BN$1:$BN$2&gt;0)))</f>
        <v>1</v>
      </c>
      <c r="H7" s="0" t="n">
        <f aca="false">IF(OR($A$3=入户维修!$F7,$BN$3=1),0,3-SUMPRODUCT(--(($A$1:$A$3=入户维修!$F7)+$BN$1:$BN$3&gt;0)))</f>
        <v>2</v>
      </c>
      <c r="I7" s="0" t="n">
        <f aca="false">IF(OR($A$4=入户维修!$F7,$BN$4=1),0,4-SUMPRODUCT(--(($A$1:$A$4=入户维修!$F7)+$BN$1:$BN$4&gt;0)))</f>
        <v>3</v>
      </c>
      <c r="J7" s="0" t="n">
        <f aca="false">IF(OR($A$5=入户维修!$F7,$BN$5=1),0,5-SUMPRODUCT(--(($A$1:$A$5=入户维修!$F7)+$BN$1:$BN$5&gt;0)))</f>
        <v>0</v>
      </c>
      <c r="L7" s="0" t="str">
        <f aca="false">IFERROR(INDEX($A$1:$A$5,MATCH(1,$F7:$J7,0)),IF(1=MAX($F7:$J7)+1,"取消",""))</f>
        <v>李师傅</v>
      </c>
      <c r="M7" s="0" t="str">
        <f aca="false">IFERROR(INDEX($A$1:$A$5,MATCH(2,$F7:$J7,0)),IF(2=MAX($F7:$J7)+1,"取消",""))</f>
        <v>王师傅</v>
      </c>
      <c r="N7" s="0" t="str">
        <f aca="false">IFERROR(INDEX($A$1:$A$5,MATCH(3,$F7:$J7,0)),IF(3=MAX($F7:$J7)+1,"取消",""))</f>
        <v>陈师傅</v>
      </c>
      <c r="O7" s="0" t="str">
        <f aca="false">IFERROR(INDEX($A$1:$A$5,MATCH(4,$F7:$J7,0)),IF(4=MAX($F7:$J7)+1,"取消",""))</f>
        <v>取消</v>
      </c>
      <c r="P7" s="0" t="str">
        <f aca="false">IFERROR(INDEX($A$1:$A$5,MATCH(5,$F7:$J7,0)),IF(5=MAX($F7:$J7)+1,"取消",""))</f>
        <v/>
      </c>
      <c r="Q7" s="0" t="str">
        <f aca="false">IFERROR(INDEX($A$1:$A$5,MATCH(6,$F7:$J7,0)),IF(6=MAX($F7:$J7)+1,"取消",""))</f>
        <v/>
      </c>
      <c r="S7" s="0" t="n">
        <f aca="false">IF(OR($A$1=入户维修!$F7,$A$1=入户维修!$G7,$BN$1=1),0,1-SUMPRODUCT(--(($A$1=入户维修!$F7)+($A$1=入户维修!$G7)+$BN$1&gt;0)))</f>
        <v>0</v>
      </c>
      <c r="T7" s="0" t="n">
        <f aca="false">IF(OR($A$2=入户维修!$F7,$A$2=入户维修!$G7,$BN$2=1),0,2-SUMPRODUCT(--(($A$1:$A$2=入户维修!$F7)+($A$1:$A$2=入户维修!$G7)+$BN$1:$BN$2&gt;0)))</f>
        <v>1</v>
      </c>
      <c r="U7" s="0" t="n">
        <f aca="false">IF(OR($A$3=入户维修!$F7,$A$3=入户维修!$G7,$BN$3=1),0,3-SUMPRODUCT(--(($A$1:$A$3=入户维修!$F7)+($A$1:$A$3=入户维修!$G7)+$BN$1:$BN$3&gt;0)))</f>
        <v>2</v>
      </c>
      <c r="V7" s="0" t="n">
        <f aca="false">IF(OR($A$4=入户维修!$F7,$A$4=入户维修!$G7,$BN$4=1),0,4-SUMPRODUCT(--(($A$1:$A$4=入户维修!$F7)+($A$1:$A$4=入户维修!$G7)+$BN$1:$BN$4&gt;0)))</f>
        <v>3</v>
      </c>
      <c r="W7" s="0" t="n">
        <f aca="false">IF(OR($A$5=入户维修!$F7,$A$5=入户维修!$G7,$BN$5=1),0,5-SUMPRODUCT(--(($A$1:$A$5=入户维修!$F7)+($A$1:$A$5=入户维修!$G7)+$BN$1:$BN$5&gt;0)))</f>
        <v>0</v>
      </c>
      <c r="Y7" s="0" t="str">
        <f aca="false">IFERROR(INDEX($A$1:$A$5,MATCH(1,$S7:$W7,0)),IF(1=MAX($S7:$W7)+1,"取消",""))</f>
        <v>李师傅</v>
      </c>
      <c r="Z7" s="0" t="str">
        <f aca="false">IFERROR(INDEX($A$1:$A$5,MATCH(2,$S7:$W7,0)),IF(2=MAX($S7:$W7)+1,"取消",""))</f>
        <v>王师傅</v>
      </c>
      <c r="AA7" s="0" t="str">
        <f aca="false">IFERROR(INDEX($A$1:$A$5,MATCH(3,$S7:$W7,0)),IF(3=MAX($S7:$W7)+1,"取消",""))</f>
        <v>陈师傅</v>
      </c>
      <c r="AB7" s="0" t="str">
        <f aca="false">IFERROR(INDEX($A$1:$A$5,MATCH(4,$S7:$W7,0)),IF(4=MAX($S7:$W7)+1,"取消",""))</f>
        <v>取消</v>
      </c>
      <c r="AC7" s="0" t="str">
        <f aca="false">IFERROR(INDEX($A$1:$A$5,MATCH(5,$S7:$W7,0)),IF(5=MAX($S7:$W7)+1,"取消",""))</f>
        <v/>
      </c>
      <c r="AD7" s="0" t="str">
        <f aca="false">IFERROR(INDEX($A$1:$A$5,MATCH(6,$S7:$W7,0)),IF(6=MAX($S7:$W7)+1,"取消",""))</f>
        <v/>
      </c>
      <c r="AF7" s="0" t="n">
        <f aca="false">IF(OR($A$1=公区维修!$F7,$BN$1=1),0,1-SUMPRODUCT(--(($A$1=公区维修!$F7)+$BN$1&gt;0)))</f>
        <v>0</v>
      </c>
      <c r="AG7" s="0" t="n">
        <f aca="false">IF(OR($A$2=公区维修!$F7,$BN$2=1),0,2-SUMPRODUCT(--(($A$1:$A$2=公区维修!$F7)+$BN$1:$BN$2&gt;0)))</f>
        <v>1</v>
      </c>
      <c r="AH7" s="0" t="n">
        <f aca="false">IF(OR($A$3=公区维修!$F7,$BN$3=1),0,3-SUMPRODUCT(--(($A$1:$A$3=公区维修!$F7)+$BN$1:$BN$3&gt;0)))</f>
        <v>2</v>
      </c>
      <c r="AI7" s="0" t="n">
        <f aca="false">IF(OR($A$4=公区维修!$F7,$BN$4=1),0,4-SUMPRODUCT(--(($A$1:$A$4=公区维修!$F7)+$BN$1:$BN$4&gt;0)))</f>
        <v>0</v>
      </c>
      <c r="AJ7" s="0" t="n">
        <f aca="false">IF(OR($A$5=公区维修!$F7,$BN$5=1),0,5-SUMPRODUCT(--(($A$1:$A$5=公区维修!$F7)+$BN$1:$BN$5&gt;0)))</f>
        <v>3</v>
      </c>
      <c r="AL7" s="0" t="str">
        <f aca="false">IFERROR(INDEX($A$1:$A$5,MATCH(1,$AF7:$AJ7,0)),IF(1=MAX($AF7:$AJ7)+1,"取消",""))</f>
        <v>李师傅</v>
      </c>
      <c r="AM7" s="0" t="str">
        <f aca="false">IFERROR(INDEX($A$1:$A$5,MATCH(2,$AF7:$AJ7,0)),IF(2=MAX($AF7:$AJ7)+1,"取消",""))</f>
        <v>王师傅</v>
      </c>
      <c r="AN7" s="0" t="str">
        <f aca="false">IFERROR(INDEX($A$1:$A$5,MATCH(3,$AF7:$AJ7,0)),IF(3=MAX($AF7:$AJ7)+1,"取消",""))</f>
        <v>刘师傅</v>
      </c>
      <c r="AO7" s="0" t="str">
        <f aca="false">IFERROR(INDEX($A$1:$A$5,MATCH(4,$AF7:$AJ7,0)),IF(4=MAX($AF7:$AJ7)+1,"取消",""))</f>
        <v>取消</v>
      </c>
      <c r="AP7" s="0" t="str">
        <f aca="false">IFERROR(INDEX($A$1:$A$5,MATCH(5,$AF7:$AJ7,0)),IF(5=MAX($AF7:$AJ7)+1,"取消",""))</f>
        <v/>
      </c>
      <c r="AQ7" s="0" t="str">
        <f aca="false">IFERROR(INDEX($A$1:$A$5,MATCH(6,$AF7:$AJ7,0)),IF(6=MAX($AF7:$AJ7)+1,"取消",""))</f>
        <v/>
      </c>
      <c r="AS7" s="0" t="n">
        <f aca="false">IF(OR($A$1=公区维修!$F7,$A$1=公区维修!$G7,$BN$1=1),0,1-SUMPRODUCT(--(($A$1=公区维修!$F7)+($A$1=公区维修!$G7)+$BN$1&gt;0)))</f>
        <v>0</v>
      </c>
      <c r="AT7" s="0" t="n">
        <f aca="false">IF(OR($A$2=公区维修!$F7,$A$2=公区维修!$G7,$BN$2=1),0,2-SUMPRODUCT(--(($A$1:$A$2=公区维修!$F7)+($A$1:$A$2=公区维修!$G7)+$BN$1:$BN$2&gt;0)))</f>
        <v>1</v>
      </c>
      <c r="AU7" s="0" t="n">
        <f aca="false">IF(OR($A$3=公区维修!$F7,$A$3=公区维修!$G7,$BN$3=1),0,3-SUMPRODUCT(--(($A$1:$A$3=公区维修!$F7)+($A$1:$A$3=公区维修!$G7)+$BN$1:$BN$3&gt;0)))</f>
        <v>0</v>
      </c>
      <c r="AV7" s="0" t="n">
        <f aca="false">IF(OR($A$4=公区维修!$F7,$A$4=公区维修!$G7,$BN$4=1),0,4-SUMPRODUCT(--(($A$1:$A$4=公区维修!$F7)+($A$1:$A$4=公区维修!$G7)+$BN$1:$BN$4&gt;0)))</f>
        <v>0</v>
      </c>
      <c r="AW7" s="0" t="n">
        <f aca="false">IF(OR($A$5=公区维修!$F7,$A$5=公区维修!$G7,$BN$5=1),0,5-SUMPRODUCT(--(($A$1:$A$5=公区维修!$F7)+($A$1:$A$5=公区维修!$G7)+$BN$1:$BN$5&gt;0)))</f>
        <v>2</v>
      </c>
      <c r="AY7" s="0" t="str">
        <f aca="false">IFERROR(INDEX($A$1:$A$5,MATCH(1,$AS7:$AW7,0)),IF(1=MAX($AS7:$AW7)+1,"取消",""))</f>
        <v>李师傅</v>
      </c>
      <c r="AZ7" s="0" t="str">
        <f aca="false">IFERROR(INDEX($A$1:$A$5,MATCH(2,$AS7:$AW7,0)),IF(2=MAX($AS7:$AW7)+1,"取消",""))</f>
        <v>刘师傅</v>
      </c>
      <c r="BA7" s="0" t="str">
        <f aca="false">IFERROR(INDEX($A$1:$A$5,MATCH(3,$AS7:$AW7,0)),IF(3=MAX($AS7:$AW7)+1,"取消",""))</f>
        <v>取消</v>
      </c>
      <c r="BB7" s="0" t="str">
        <f aca="false">IFERROR(INDEX($A$1:$A$5,MATCH(4,$AS7:$AW7,0)),IF(4=MAX($AS7:$AW7)+1,"取消",""))</f>
        <v/>
      </c>
      <c r="BC7" s="0" t="str">
        <f aca="false">IFERROR(INDEX($A$1:$A$5,MATCH(5,$AS7:$AW7,0)),IF(5=MAX($AS7:$AW7)+1,"取消",""))</f>
        <v/>
      </c>
      <c r="BD7" s="0" t="str">
        <f aca="false">IFERROR(INDEX($A$1:$A$5,MATCH(6,$AS7:$AW7,0)),IF(6=MAX($AS7:$AW7)+1,"取消",""))</f>
        <v/>
      </c>
      <c r="BG7" s="68" t="s">
        <v>508</v>
      </c>
      <c r="BN7" s="68" t="s">
        <v>509</v>
      </c>
      <c r="BO7" s="68" t="s">
        <v>510</v>
      </c>
      <c r="BP7" s="68" t="s">
        <v>511</v>
      </c>
      <c r="BQ7" s="68" t="s">
        <v>512</v>
      </c>
      <c r="FW7" s="0" t="str">
        <f aca="false">IF(AND(单元查询!$D$3&lt;&gt;"",IF(单元查询!$B$3="公区维修",公区维修!$E7&lt;&gt;"",入户维修!$E7&lt;&gt;""),IF(单元查询!$B$3="公区维修",公区维修!$C7,入户维修!$C7)=单元查询!$D$3,OR(单元查询!$F$3="",IF(单元查询!$B$3="公区维修",公区维修!$D7,入户维修!$D7)&amp;""=(单元查询!$F$3)&amp;"")),MAX($FW$4:$FW6)+1,"")</f>
        <v/>
      </c>
      <c r="FY7" s="69" t="n">
        <f aca="false">IFERROR(MATCH(7,$FW$5:$FW$404,0),"")</f>
        <v>34</v>
      </c>
      <c r="GA7" s="71" t="s">
        <v>513</v>
      </c>
      <c r="GB7" s="71" t="s">
        <v>514</v>
      </c>
    </row>
    <row r="8" customFormat="false" ht="15" hidden="false" customHeight="true" outlineLevel="0" collapsed="false">
      <c r="F8" s="0" t="n">
        <f aca="false">IF(OR($A$1=入户维修!$F8,$BN$1=1),0,1-SUMPRODUCT(--(($A$1=入户维修!$F8)+$BN$1&gt;0)))</f>
        <v>0</v>
      </c>
      <c r="G8" s="0" t="n">
        <f aca="false">IF(OR($A$2=入户维修!$F8,$BN$2=1),0,2-SUMPRODUCT(--(($A$1:$A$2=入户维修!$F8)+$BN$1:$BN$2&gt;0)))</f>
        <v>1</v>
      </c>
      <c r="H8" s="0" t="n">
        <f aca="false">IF(OR($A$3=入户维修!$F8,$BN$3=1),0,3-SUMPRODUCT(--(($A$1:$A$3=入户维修!$F8)+$BN$1:$BN$3&gt;0)))</f>
        <v>2</v>
      </c>
      <c r="I8" s="0" t="n">
        <f aca="false">IF(OR($A$4=入户维修!$F8,$BN$4=1),0,4-SUMPRODUCT(--(($A$1:$A$4=入户维修!$F8)+$BN$1:$BN$4&gt;0)))</f>
        <v>3</v>
      </c>
      <c r="J8" s="0" t="n">
        <f aca="false">IF(OR($A$5=入户维修!$F8,$BN$5=1),0,5-SUMPRODUCT(--(($A$1:$A$5=入户维修!$F8)+$BN$1:$BN$5&gt;0)))</f>
        <v>4</v>
      </c>
      <c r="L8" s="0" t="str">
        <f aca="false">IFERROR(INDEX($A$1:$A$5,MATCH(1,$F8:$J8,0)),IF(1=MAX($F8:$J8)+1,"取消",""))</f>
        <v>李师傅</v>
      </c>
      <c r="M8" s="0" t="str">
        <f aca="false">IFERROR(INDEX($A$1:$A$5,MATCH(2,$F8:$J8,0)),IF(2=MAX($F8:$J8)+1,"取消",""))</f>
        <v>王师傅</v>
      </c>
      <c r="N8" s="0" t="str">
        <f aca="false">IFERROR(INDEX($A$1:$A$5,MATCH(3,$F8:$J8,0)),IF(3=MAX($F8:$J8)+1,"取消",""))</f>
        <v>陈师傅</v>
      </c>
      <c r="O8" s="0" t="str">
        <f aca="false">IFERROR(INDEX($A$1:$A$5,MATCH(4,$F8:$J8,0)),IF(4=MAX($F8:$J8)+1,"取消",""))</f>
        <v>刘师傅</v>
      </c>
      <c r="P8" s="0" t="str">
        <f aca="false">IFERROR(INDEX($A$1:$A$5,MATCH(5,$F8:$J8,0)),IF(5=MAX($F8:$J8)+1,"取消",""))</f>
        <v>取消</v>
      </c>
      <c r="Q8" s="0" t="str">
        <f aca="false">IFERROR(INDEX($A$1:$A$5,MATCH(6,$F8:$J8,0)),IF(6=MAX($F8:$J8)+1,"取消",""))</f>
        <v/>
      </c>
      <c r="S8" s="0" t="n">
        <f aca="false">IF(OR($A$1=入户维修!$F8,$A$1=入户维修!$G8,$BN$1=1),0,1-SUMPRODUCT(--(($A$1=入户维修!$F8)+($A$1=入户维修!$G8)+$BN$1&gt;0)))</f>
        <v>0</v>
      </c>
      <c r="T8" s="0" t="n">
        <f aca="false">IF(OR($A$2=入户维修!$F8,$A$2=入户维修!$G8,$BN$2=1),0,2-SUMPRODUCT(--(($A$1:$A$2=入户维修!$F8)+($A$1:$A$2=入户维修!$G8)+$BN$1:$BN$2&gt;0)))</f>
        <v>1</v>
      </c>
      <c r="U8" s="0" t="n">
        <f aca="false">IF(OR($A$3=入户维修!$F8,$A$3=入户维修!$G8,$BN$3=1),0,3-SUMPRODUCT(--(($A$1:$A$3=入户维修!$F8)+($A$1:$A$3=入户维修!$G8)+$BN$1:$BN$3&gt;0)))</f>
        <v>2</v>
      </c>
      <c r="V8" s="0" t="n">
        <f aca="false">IF(OR($A$4=入户维修!$F8,$A$4=入户维修!$G8,$BN$4=1),0,4-SUMPRODUCT(--(($A$1:$A$4=入户维修!$F8)+($A$1:$A$4=入户维修!$G8)+$BN$1:$BN$4&gt;0)))</f>
        <v>3</v>
      </c>
      <c r="W8" s="0" t="n">
        <f aca="false">IF(OR($A$5=入户维修!$F8,$A$5=入户维修!$G8,$BN$5=1),0,5-SUMPRODUCT(--(($A$1:$A$5=入户维修!$F8)+($A$1:$A$5=入户维修!$G8)+$BN$1:$BN$5&gt;0)))</f>
        <v>4</v>
      </c>
      <c r="Y8" s="0" t="str">
        <f aca="false">IFERROR(INDEX($A$1:$A$5,MATCH(1,$S8:$W8,0)),IF(1=MAX($S8:$W8)+1,"取消",""))</f>
        <v>李师傅</v>
      </c>
      <c r="Z8" s="0" t="str">
        <f aca="false">IFERROR(INDEX($A$1:$A$5,MATCH(2,$S8:$W8,0)),IF(2=MAX($S8:$W8)+1,"取消",""))</f>
        <v>王师傅</v>
      </c>
      <c r="AA8" s="0" t="str">
        <f aca="false">IFERROR(INDEX($A$1:$A$5,MATCH(3,$S8:$W8,0)),IF(3=MAX($S8:$W8)+1,"取消",""))</f>
        <v>陈师傅</v>
      </c>
      <c r="AB8" s="0" t="str">
        <f aca="false">IFERROR(INDEX($A$1:$A$5,MATCH(4,$S8:$W8,0)),IF(4=MAX($S8:$W8)+1,"取消",""))</f>
        <v>刘师傅</v>
      </c>
      <c r="AC8" s="0" t="str">
        <f aca="false">IFERROR(INDEX($A$1:$A$5,MATCH(5,$S8:$W8,0)),IF(5=MAX($S8:$W8)+1,"取消",""))</f>
        <v>取消</v>
      </c>
      <c r="AD8" s="0" t="str">
        <f aca="false">IFERROR(INDEX($A$1:$A$5,MATCH(6,$S8:$W8,0)),IF(6=MAX($S8:$W8)+1,"取消",""))</f>
        <v/>
      </c>
      <c r="AF8" s="0" t="n">
        <f aca="false">IF(OR($A$1=公区维修!$F8,$BN$1=1),0,1-SUMPRODUCT(--(($A$1=公区维修!$F8)+$BN$1&gt;0)))</f>
        <v>0</v>
      </c>
      <c r="AG8" s="0" t="n">
        <f aca="false">IF(OR($A$2=公区维修!$F8,$BN$2=1),0,2-SUMPRODUCT(--(($A$1:$A$2=公区维修!$F8)+$BN$1:$BN$2&gt;0)))</f>
        <v>1</v>
      </c>
      <c r="AH8" s="0" t="n">
        <f aca="false">IF(OR($A$3=公区维修!$F8,$BN$3=1),0,3-SUMPRODUCT(--(($A$1:$A$3=公区维修!$F8)+$BN$1:$BN$3&gt;0)))</f>
        <v>2</v>
      </c>
      <c r="AI8" s="0" t="n">
        <f aca="false">IF(OR($A$4=公区维修!$F8,$BN$4=1),0,4-SUMPRODUCT(--(($A$1:$A$4=公区维修!$F8)+$BN$1:$BN$4&gt;0)))</f>
        <v>0</v>
      </c>
      <c r="AJ8" s="0" t="n">
        <f aca="false">IF(OR($A$5=公区维修!$F8,$BN$5=1),0,5-SUMPRODUCT(--(($A$1:$A$5=公区维修!$F8)+$BN$1:$BN$5&gt;0)))</f>
        <v>3</v>
      </c>
      <c r="AL8" s="0" t="str">
        <f aca="false">IFERROR(INDEX($A$1:$A$5,MATCH(1,$AF8:$AJ8,0)),IF(1=MAX($AF8:$AJ8)+1,"取消",""))</f>
        <v>李师傅</v>
      </c>
      <c r="AM8" s="0" t="str">
        <f aca="false">IFERROR(INDEX($A$1:$A$5,MATCH(2,$AF8:$AJ8,0)),IF(2=MAX($AF8:$AJ8)+1,"取消",""))</f>
        <v>王师傅</v>
      </c>
      <c r="AN8" s="0" t="str">
        <f aca="false">IFERROR(INDEX($A$1:$A$5,MATCH(3,$AF8:$AJ8,0)),IF(3=MAX($AF8:$AJ8)+1,"取消",""))</f>
        <v>刘师傅</v>
      </c>
      <c r="AO8" s="0" t="str">
        <f aca="false">IFERROR(INDEX($A$1:$A$5,MATCH(4,$AF8:$AJ8,0)),IF(4=MAX($AF8:$AJ8)+1,"取消",""))</f>
        <v>取消</v>
      </c>
      <c r="AP8" s="0" t="str">
        <f aca="false">IFERROR(INDEX($A$1:$A$5,MATCH(5,$AF8:$AJ8,0)),IF(5=MAX($AF8:$AJ8)+1,"取消",""))</f>
        <v/>
      </c>
      <c r="AQ8" s="0" t="str">
        <f aca="false">IFERROR(INDEX($A$1:$A$5,MATCH(6,$AF8:$AJ8,0)),IF(6=MAX($AF8:$AJ8)+1,"取消",""))</f>
        <v/>
      </c>
      <c r="AS8" s="0" t="n">
        <f aca="false">IF(OR($A$1=公区维修!$F8,$A$1=公区维修!$G8,$BN$1=1),0,1-SUMPRODUCT(--(($A$1=公区维修!$F8)+($A$1=公区维修!$G8)+$BN$1&gt;0)))</f>
        <v>0</v>
      </c>
      <c r="AT8" s="0" t="n">
        <f aca="false">IF(OR($A$2=公区维修!$F8,$A$2=公区维修!$G8,$BN$2=1),0,2-SUMPRODUCT(--(($A$1:$A$2=公区维修!$F8)+($A$1:$A$2=公区维修!$G8)+$BN$1:$BN$2&gt;0)))</f>
        <v>1</v>
      </c>
      <c r="AU8" s="0" t="n">
        <f aca="false">IF(OR($A$3=公区维修!$F8,$A$3=公区维修!$G8,$BN$3=1),0,3-SUMPRODUCT(--(($A$1:$A$3=公区维修!$F8)+($A$1:$A$3=公区维修!$G8)+$BN$1:$BN$3&gt;0)))</f>
        <v>2</v>
      </c>
      <c r="AV8" s="0" t="n">
        <f aca="false">IF(OR($A$4=公区维修!$F8,$A$4=公区维修!$G8,$BN$4=1),0,4-SUMPRODUCT(--(($A$1:$A$4=公区维修!$F8)+($A$1:$A$4=公区维修!$G8)+$BN$1:$BN$4&gt;0)))</f>
        <v>0</v>
      </c>
      <c r="AW8" s="0" t="n">
        <f aca="false">IF(OR($A$5=公区维修!$F8,$A$5=公区维修!$G8,$BN$5=1),0,5-SUMPRODUCT(--(($A$1:$A$5=公区维修!$F8)+($A$1:$A$5=公区维修!$G8)+$BN$1:$BN$5&gt;0)))</f>
        <v>3</v>
      </c>
      <c r="AY8" s="0" t="str">
        <f aca="false">IFERROR(INDEX($A$1:$A$5,MATCH(1,$AS8:$AW8,0)),IF(1=MAX($AS8:$AW8)+1,"取消",""))</f>
        <v>李师傅</v>
      </c>
      <c r="AZ8" s="0" t="str">
        <f aca="false">IFERROR(INDEX($A$1:$A$5,MATCH(2,$AS8:$AW8,0)),IF(2=MAX($AS8:$AW8)+1,"取消",""))</f>
        <v>王师傅</v>
      </c>
      <c r="BA8" s="0" t="str">
        <f aca="false">IFERROR(INDEX($A$1:$A$5,MATCH(3,$AS8:$AW8,0)),IF(3=MAX($AS8:$AW8)+1,"取消",""))</f>
        <v>刘师傅</v>
      </c>
      <c r="BB8" s="0" t="str">
        <f aca="false">IFERROR(INDEX($A$1:$A$5,MATCH(4,$AS8:$AW8,0)),IF(4=MAX($AS8:$AW8)+1,"取消",""))</f>
        <v>取消</v>
      </c>
      <c r="BC8" s="0" t="str">
        <f aca="false">IFERROR(INDEX($A$1:$A$5,MATCH(5,$AS8:$AW8,0)),IF(5=MAX($AS8:$AW8)+1,"取消",""))</f>
        <v/>
      </c>
      <c r="BD8" s="0" t="str">
        <f aca="false">IFERROR(INDEX($A$1:$A$5,MATCH(6,$AS8:$AW8,0)),IF(6=MAX($AS8:$AW8)+1,"取消",""))</f>
        <v/>
      </c>
      <c r="FW8" s="0" t="str">
        <f aca="false">IF(AND(单元查询!$D$3&lt;&gt;"",IF(单元查询!$B$3="公区维修",公区维修!$E8&lt;&gt;"",入户维修!$E8&lt;&gt;""),IF(单元查询!$B$3="公区维修",公区维修!$C8,入户维修!$C8)=单元查询!$D$3,OR(单元查询!$F$3="",IF(单元查询!$B$3="公区维修",公区维修!$D8,入户维修!$D8)&amp;""=(单元查询!$F$3)&amp;"")),MAX($FW$4:$FW7)+1,"")</f>
        <v/>
      </c>
      <c r="FY8" s="0" t="n">
        <f aca="false">IFERROR(MATCH(8,$FW$5:$FW$404,0),"")</f>
        <v>38</v>
      </c>
    </row>
    <row r="9" customFormat="false" ht="15" hidden="false" customHeight="true" outlineLevel="0" collapsed="false">
      <c r="F9" s="0" t="n">
        <f aca="false">IF(OR($A$1=入户维修!$F9,$BN$1=1),0,1-SUMPRODUCT(--(($A$1=入户维修!$F9)+$BN$1&gt;0)))</f>
        <v>0</v>
      </c>
      <c r="G9" s="0" t="n">
        <f aca="false">IF(OR($A$2=入户维修!$F9,$BN$2=1),0,2-SUMPRODUCT(--(($A$1:$A$2=入户维修!$F9)+$BN$1:$BN$2&gt;0)))</f>
        <v>1</v>
      </c>
      <c r="H9" s="0" t="n">
        <f aca="false">IF(OR($A$3=入户维修!$F9,$BN$3=1),0,3-SUMPRODUCT(--(($A$1:$A$3=入户维修!$F9)+$BN$1:$BN$3&gt;0)))</f>
        <v>2</v>
      </c>
      <c r="I9" s="0" t="n">
        <f aca="false">IF(OR($A$4=入户维修!$F9,$BN$4=1),0,4-SUMPRODUCT(--(($A$1:$A$4=入户维修!$F9)+$BN$1:$BN$4&gt;0)))</f>
        <v>3</v>
      </c>
      <c r="J9" s="0" t="n">
        <f aca="false">IF(OR($A$5=入户维修!$F9,$BN$5=1),0,5-SUMPRODUCT(--(($A$1:$A$5=入户维修!$F9)+$BN$1:$BN$5&gt;0)))</f>
        <v>4</v>
      </c>
      <c r="L9" s="0" t="str">
        <f aca="false">IFERROR(INDEX($A$1:$A$5,MATCH(1,$F9:$J9,0)),IF(1=MAX($F9:$J9)+1,"取消",""))</f>
        <v>李师傅</v>
      </c>
      <c r="M9" s="0" t="str">
        <f aca="false">IFERROR(INDEX($A$1:$A$5,MATCH(2,$F9:$J9,0)),IF(2=MAX($F9:$J9)+1,"取消",""))</f>
        <v>王师傅</v>
      </c>
      <c r="N9" s="0" t="str">
        <f aca="false">IFERROR(INDEX($A$1:$A$5,MATCH(3,$F9:$J9,0)),IF(3=MAX($F9:$J9)+1,"取消",""))</f>
        <v>陈师傅</v>
      </c>
      <c r="O9" s="0" t="str">
        <f aca="false">IFERROR(INDEX($A$1:$A$5,MATCH(4,$F9:$J9,0)),IF(4=MAX($F9:$J9)+1,"取消",""))</f>
        <v>刘师傅</v>
      </c>
      <c r="P9" s="0" t="str">
        <f aca="false">IFERROR(INDEX($A$1:$A$5,MATCH(5,$F9:$J9,0)),IF(5=MAX($F9:$J9)+1,"取消",""))</f>
        <v>取消</v>
      </c>
      <c r="Q9" s="0" t="str">
        <f aca="false">IFERROR(INDEX($A$1:$A$5,MATCH(6,$F9:$J9,0)),IF(6=MAX($F9:$J9)+1,"取消",""))</f>
        <v/>
      </c>
      <c r="S9" s="0" t="n">
        <f aca="false">IF(OR($A$1=入户维修!$F9,$A$1=入户维修!$G9,$BN$1=1),0,1-SUMPRODUCT(--(($A$1=入户维修!$F9)+($A$1=入户维修!$G9)+$BN$1&gt;0)))</f>
        <v>0</v>
      </c>
      <c r="T9" s="0" t="n">
        <f aca="false">IF(OR($A$2=入户维修!$F9,$A$2=入户维修!$G9,$BN$2=1),0,2-SUMPRODUCT(--(($A$1:$A$2=入户维修!$F9)+($A$1:$A$2=入户维修!$G9)+$BN$1:$BN$2&gt;0)))</f>
        <v>1</v>
      </c>
      <c r="U9" s="0" t="n">
        <f aca="false">IF(OR($A$3=入户维修!$F9,$A$3=入户维修!$G9,$BN$3=1),0,3-SUMPRODUCT(--(($A$1:$A$3=入户维修!$F9)+($A$1:$A$3=入户维修!$G9)+$BN$1:$BN$3&gt;0)))</f>
        <v>2</v>
      </c>
      <c r="V9" s="0" t="n">
        <f aca="false">IF(OR($A$4=入户维修!$F9,$A$4=入户维修!$G9,$BN$4=1),0,4-SUMPRODUCT(--(($A$1:$A$4=入户维修!$F9)+($A$1:$A$4=入户维修!$G9)+$BN$1:$BN$4&gt;0)))</f>
        <v>3</v>
      </c>
      <c r="W9" s="0" t="n">
        <f aca="false">IF(OR($A$5=入户维修!$F9,$A$5=入户维修!$G9,$BN$5=1),0,5-SUMPRODUCT(--(($A$1:$A$5=入户维修!$F9)+($A$1:$A$5=入户维修!$G9)+$BN$1:$BN$5&gt;0)))</f>
        <v>4</v>
      </c>
      <c r="Y9" s="0" t="str">
        <f aca="false">IFERROR(INDEX($A$1:$A$5,MATCH(1,$S9:$W9,0)),IF(1=MAX($S9:$W9)+1,"取消",""))</f>
        <v>李师傅</v>
      </c>
      <c r="Z9" s="0" t="str">
        <f aca="false">IFERROR(INDEX($A$1:$A$5,MATCH(2,$S9:$W9,0)),IF(2=MAX($S9:$W9)+1,"取消",""))</f>
        <v>王师傅</v>
      </c>
      <c r="AA9" s="0" t="str">
        <f aca="false">IFERROR(INDEX($A$1:$A$5,MATCH(3,$S9:$W9,0)),IF(3=MAX($S9:$W9)+1,"取消",""))</f>
        <v>陈师傅</v>
      </c>
      <c r="AB9" s="0" t="str">
        <f aca="false">IFERROR(INDEX($A$1:$A$5,MATCH(4,$S9:$W9,0)),IF(4=MAX($S9:$W9)+1,"取消",""))</f>
        <v>刘师傅</v>
      </c>
      <c r="AC9" s="0" t="str">
        <f aca="false">IFERROR(INDEX($A$1:$A$5,MATCH(5,$S9:$W9,0)),IF(5=MAX($S9:$W9)+1,"取消",""))</f>
        <v>取消</v>
      </c>
      <c r="AD9" s="0" t="str">
        <f aca="false">IFERROR(INDEX($A$1:$A$5,MATCH(6,$S9:$W9,0)),IF(6=MAX($S9:$W9)+1,"取消",""))</f>
        <v/>
      </c>
      <c r="AF9" s="0" t="n">
        <f aca="false">IF(OR($A$1=公区维修!$F9,$BN$1=1),0,1-SUMPRODUCT(--(($A$1=公区维修!$F9)+$BN$1&gt;0)))</f>
        <v>0</v>
      </c>
      <c r="AG9" s="0" t="n">
        <f aca="false">IF(OR($A$2=公区维修!$F9,$BN$2=1),0,2-SUMPRODUCT(--(($A$1:$A$2=公区维修!$F9)+$BN$1:$BN$2&gt;0)))</f>
        <v>1</v>
      </c>
      <c r="AH9" s="0" t="n">
        <f aca="false">IF(OR($A$3=公区维修!$F9,$BN$3=1),0,3-SUMPRODUCT(--(($A$1:$A$3=公区维修!$F9)+$BN$1:$BN$3&gt;0)))</f>
        <v>2</v>
      </c>
      <c r="AI9" s="0" t="n">
        <f aca="false">IF(OR($A$4=公区维修!$F9,$BN$4=1),0,4-SUMPRODUCT(--(($A$1:$A$4=公区维修!$F9)+$BN$1:$BN$4&gt;0)))</f>
        <v>3</v>
      </c>
      <c r="AJ9" s="0" t="n">
        <f aca="false">IF(OR($A$5=公区维修!$F9,$BN$5=1),0,5-SUMPRODUCT(--(($A$1:$A$5=公区维修!$F9)+$BN$1:$BN$5&gt;0)))</f>
        <v>0</v>
      </c>
      <c r="AL9" s="0" t="str">
        <f aca="false">IFERROR(INDEX($A$1:$A$5,MATCH(1,$AF9:$AJ9,0)),IF(1=MAX($AF9:$AJ9)+1,"取消",""))</f>
        <v>李师傅</v>
      </c>
      <c r="AM9" s="0" t="str">
        <f aca="false">IFERROR(INDEX($A$1:$A$5,MATCH(2,$AF9:$AJ9,0)),IF(2=MAX($AF9:$AJ9)+1,"取消",""))</f>
        <v>王师傅</v>
      </c>
      <c r="AN9" s="0" t="str">
        <f aca="false">IFERROR(INDEX($A$1:$A$5,MATCH(3,$AF9:$AJ9,0)),IF(3=MAX($AF9:$AJ9)+1,"取消",""))</f>
        <v>陈师傅</v>
      </c>
      <c r="AO9" s="0" t="str">
        <f aca="false">IFERROR(INDEX($A$1:$A$5,MATCH(4,$AF9:$AJ9,0)),IF(4=MAX($AF9:$AJ9)+1,"取消",""))</f>
        <v>取消</v>
      </c>
      <c r="AP9" s="0" t="str">
        <f aca="false">IFERROR(INDEX($A$1:$A$5,MATCH(5,$AF9:$AJ9,0)),IF(5=MAX($AF9:$AJ9)+1,"取消",""))</f>
        <v/>
      </c>
      <c r="AQ9" s="0" t="str">
        <f aca="false">IFERROR(INDEX($A$1:$A$5,MATCH(6,$AF9:$AJ9,0)),IF(6=MAX($AF9:$AJ9)+1,"取消",""))</f>
        <v/>
      </c>
      <c r="AS9" s="0" t="n">
        <f aca="false">IF(OR($A$1=公区维修!$F9,$A$1=公区维修!$G9,$BN$1=1),0,1-SUMPRODUCT(--(($A$1=公区维修!$F9)+($A$1=公区维修!$G9)+$BN$1&gt;0)))</f>
        <v>0</v>
      </c>
      <c r="AT9" s="0" t="n">
        <f aca="false">IF(OR($A$2=公区维修!$F9,$A$2=公区维修!$G9,$BN$2=1),0,2-SUMPRODUCT(--(($A$1:$A$2=公区维修!$F9)+($A$1:$A$2=公区维修!$G9)+$BN$1:$BN$2&gt;0)))</f>
        <v>1</v>
      </c>
      <c r="AU9" s="0" t="n">
        <f aca="false">IF(OR($A$3=公区维修!$F9,$A$3=公区维修!$G9,$BN$3=1),0,3-SUMPRODUCT(--(($A$1:$A$3=公区维修!$F9)+($A$1:$A$3=公区维修!$G9)+$BN$1:$BN$3&gt;0)))</f>
        <v>2</v>
      </c>
      <c r="AV9" s="0" t="n">
        <f aca="false">IF(OR($A$4=公区维修!$F9,$A$4=公区维修!$G9,$BN$4=1),0,4-SUMPRODUCT(--(($A$1:$A$4=公区维修!$F9)+($A$1:$A$4=公区维修!$G9)+$BN$1:$BN$4&gt;0)))</f>
        <v>3</v>
      </c>
      <c r="AW9" s="0" t="n">
        <f aca="false">IF(OR($A$5=公区维修!$F9,$A$5=公区维修!$G9,$BN$5=1),0,5-SUMPRODUCT(--(($A$1:$A$5=公区维修!$F9)+($A$1:$A$5=公区维修!$G9)+$BN$1:$BN$5&gt;0)))</f>
        <v>0</v>
      </c>
      <c r="AY9" s="0" t="str">
        <f aca="false">IFERROR(INDEX($A$1:$A$5,MATCH(1,$AS9:$AW9,0)),IF(1=MAX($AS9:$AW9)+1,"取消",""))</f>
        <v>李师傅</v>
      </c>
      <c r="AZ9" s="0" t="str">
        <f aca="false">IFERROR(INDEX($A$1:$A$5,MATCH(2,$AS9:$AW9,0)),IF(2=MAX($AS9:$AW9)+1,"取消",""))</f>
        <v>王师傅</v>
      </c>
      <c r="BA9" s="0" t="str">
        <f aca="false">IFERROR(INDEX($A$1:$A$5,MATCH(3,$AS9:$AW9,0)),IF(3=MAX($AS9:$AW9)+1,"取消",""))</f>
        <v>陈师傅</v>
      </c>
      <c r="BB9" s="0" t="str">
        <f aca="false">IFERROR(INDEX($A$1:$A$5,MATCH(4,$AS9:$AW9,0)),IF(4=MAX($AS9:$AW9)+1,"取消",""))</f>
        <v>取消</v>
      </c>
      <c r="BC9" s="0" t="str">
        <f aca="false">IFERROR(INDEX($A$1:$A$5,MATCH(5,$AS9:$AW9,0)),IF(5=MAX($AS9:$AW9)+1,"取消",""))</f>
        <v/>
      </c>
      <c r="BD9" s="0" t="str">
        <f aca="false">IFERROR(INDEX($A$1:$A$5,MATCH(6,$AS9:$AW9,0)),IF(6=MAX($AS9:$AW9)+1,"取消",""))</f>
        <v/>
      </c>
      <c r="FW9" s="0" t="n">
        <f aca="false">IF(AND(单元查询!$D$3&lt;&gt;"",IF(单元查询!$B$3="公区维修",公区维修!$E9&lt;&gt;"",入户维修!$E9&lt;&gt;""),IF(单元查询!$B$3="公区维修",公区维修!$C9,入户维修!$C9)=单元查询!$D$3,OR(单元查询!$F$3="",IF(单元查询!$B$3="公区维修",公区维修!$D9,入户维修!$D9)&amp;""=(单元查询!$F$3)&amp;"")),MAX($FW$4:$FW8)+1,"")</f>
        <v>2</v>
      </c>
      <c r="FY9" s="0" t="n">
        <f aca="false">IFERROR(MATCH(9,$FW$5:$FW$404,0),"")</f>
        <v>40</v>
      </c>
    </row>
    <row r="10" customFormat="false" ht="15" hidden="false" customHeight="true" outlineLevel="0" collapsed="false">
      <c r="F10" s="0" t="n">
        <f aca="false">IF(OR($A$1=入户维修!$F10,$BN$1=1),0,1-SUMPRODUCT(--(($A$1=入户维修!$F10)+$BN$1&gt;0)))</f>
        <v>0</v>
      </c>
      <c r="G10" s="0" t="n">
        <f aca="false">IF(OR($A$2=入户维修!$F10,$BN$2=1),0,2-SUMPRODUCT(--(($A$1:$A$2=入户维修!$F10)+$BN$1:$BN$2&gt;0)))</f>
        <v>1</v>
      </c>
      <c r="H10" s="0" t="n">
        <f aca="false">IF(OR($A$3=入户维修!$F10,$BN$3=1),0,3-SUMPRODUCT(--(($A$1:$A$3=入户维修!$F10)+$BN$1:$BN$3&gt;0)))</f>
        <v>2</v>
      </c>
      <c r="I10" s="0" t="n">
        <f aca="false">IF(OR($A$4=入户维修!$F10,$BN$4=1),0,4-SUMPRODUCT(--(($A$1:$A$4=入户维修!$F10)+$BN$1:$BN$4&gt;0)))</f>
        <v>3</v>
      </c>
      <c r="J10" s="0" t="n">
        <f aca="false">IF(OR($A$5=入户维修!$F10,$BN$5=1),0,5-SUMPRODUCT(--(($A$1:$A$5=入户维修!$F10)+$BN$1:$BN$5&gt;0)))</f>
        <v>4</v>
      </c>
      <c r="L10" s="0" t="str">
        <f aca="false">IFERROR(INDEX($A$1:$A$5,MATCH(1,$F10:$J10,0)),IF(1=MAX($F10:$J10)+1,"取消",""))</f>
        <v>李师傅</v>
      </c>
      <c r="M10" s="0" t="str">
        <f aca="false">IFERROR(INDEX($A$1:$A$5,MATCH(2,$F10:$J10,0)),IF(2=MAX($F10:$J10)+1,"取消",""))</f>
        <v>王师傅</v>
      </c>
      <c r="N10" s="0" t="str">
        <f aca="false">IFERROR(INDEX($A$1:$A$5,MATCH(3,$F10:$J10,0)),IF(3=MAX($F10:$J10)+1,"取消",""))</f>
        <v>陈师傅</v>
      </c>
      <c r="O10" s="0" t="str">
        <f aca="false">IFERROR(INDEX($A$1:$A$5,MATCH(4,$F10:$J10,0)),IF(4=MAX($F10:$J10)+1,"取消",""))</f>
        <v>刘师傅</v>
      </c>
      <c r="P10" s="0" t="str">
        <f aca="false">IFERROR(INDEX($A$1:$A$5,MATCH(5,$F10:$J10,0)),IF(5=MAX($F10:$J10)+1,"取消",""))</f>
        <v>取消</v>
      </c>
      <c r="Q10" s="0" t="str">
        <f aca="false">IFERROR(INDEX($A$1:$A$5,MATCH(6,$F10:$J10,0)),IF(6=MAX($F10:$J10)+1,"取消",""))</f>
        <v/>
      </c>
      <c r="S10" s="0" t="n">
        <f aca="false">IF(OR($A$1=入户维修!$F10,$A$1=入户维修!$G10,$BN$1=1),0,1-SUMPRODUCT(--(($A$1=入户维修!$F10)+($A$1=入户维修!$G10)+$BN$1&gt;0)))</f>
        <v>0</v>
      </c>
      <c r="T10" s="0" t="n">
        <f aca="false">IF(OR($A$2=入户维修!$F10,$A$2=入户维修!$G10,$BN$2=1),0,2-SUMPRODUCT(--(($A$1:$A$2=入户维修!$F10)+($A$1:$A$2=入户维修!$G10)+$BN$1:$BN$2&gt;0)))</f>
        <v>1</v>
      </c>
      <c r="U10" s="0" t="n">
        <f aca="false">IF(OR($A$3=入户维修!$F10,$A$3=入户维修!$G10,$BN$3=1),0,3-SUMPRODUCT(--(($A$1:$A$3=入户维修!$F10)+($A$1:$A$3=入户维修!$G10)+$BN$1:$BN$3&gt;0)))</f>
        <v>2</v>
      </c>
      <c r="V10" s="0" t="n">
        <f aca="false">IF(OR($A$4=入户维修!$F10,$A$4=入户维修!$G10,$BN$4=1),0,4-SUMPRODUCT(--(($A$1:$A$4=入户维修!$F10)+($A$1:$A$4=入户维修!$G10)+$BN$1:$BN$4&gt;0)))</f>
        <v>3</v>
      </c>
      <c r="W10" s="0" t="n">
        <f aca="false">IF(OR($A$5=入户维修!$F10,$A$5=入户维修!$G10,$BN$5=1),0,5-SUMPRODUCT(--(($A$1:$A$5=入户维修!$F10)+($A$1:$A$5=入户维修!$G10)+$BN$1:$BN$5&gt;0)))</f>
        <v>4</v>
      </c>
      <c r="Y10" s="0" t="str">
        <f aca="false">IFERROR(INDEX($A$1:$A$5,MATCH(1,$S10:$W10,0)),IF(1=MAX($S10:$W10)+1,"取消",""))</f>
        <v>李师傅</v>
      </c>
      <c r="Z10" s="0" t="str">
        <f aca="false">IFERROR(INDEX($A$1:$A$5,MATCH(2,$S10:$W10,0)),IF(2=MAX($S10:$W10)+1,"取消",""))</f>
        <v>王师傅</v>
      </c>
      <c r="AA10" s="0" t="str">
        <f aca="false">IFERROR(INDEX($A$1:$A$5,MATCH(3,$S10:$W10,0)),IF(3=MAX($S10:$W10)+1,"取消",""))</f>
        <v>陈师傅</v>
      </c>
      <c r="AB10" s="0" t="str">
        <f aca="false">IFERROR(INDEX($A$1:$A$5,MATCH(4,$S10:$W10,0)),IF(4=MAX($S10:$W10)+1,"取消",""))</f>
        <v>刘师傅</v>
      </c>
      <c r="AC10" s="0" t="str">
        <f aca="false">IFERROR(INDEX($A$1:$A$5,MATCH(5,$S10:$W10,0)),IF(5=MAX($S10:$W10)+1,"取消",""))</f>
        <v>取消</v>
      </c>
      <c r="AD10" s="0" t="str">
        <f aca="false">IFERROR(INDEX($A$1:$A$5,MATCH(6,$S10:$W10,0)),IF(6=MAX($S10:$W10)+1,"取消",""))</f>
        <v/>
      </c>
      <c r="AF10" s="0" t="n">
        <f aca="false">IF(OR($A$1=公区维修!$F10,$BN$1=1),0,1-SUMPRODUCT(--(($A$1=公区维修!$F10)+$BN$1&gt;0)))</f>
        <v>0</v>
      </c>
      <c r="AG10" s="0" t="n">
        <f aca="false">IF(OR($A$2=公区维修!$F10,$BN$2=1),0,2-SUMPRODUCT(--(($A$1:$A$2=公区维修!$F10)+$BN$1:$BN$2&gt;0)))</f>
        <v>1</v>
      </c>
      <c r="AH10" s="0" t="n">
        <f aca="false">IF(OR($A$3=公区维修!$F10,$BN$3=1),0,3-SUMPRODUCT(--(($A$1:$A$3=公区维修!$F10)+$BN$1:$BN$3&gt;0)))</f>
        <v>2</v>
      </c>
      <c r="AI10" s="0" t="n">
        <f aca="false">IF(OR($A$4=公区维修!$F10,$BN$4=1),0,4-SUMPRODUCT(--(($A$1:$A$4=公区维修!$F10)+$BN$1:$BN$4&gt;0)))</f>
        <v>0</v>
      </c>
      <c r="AJ10" s="0" t="n">
        <f aca="false">IF(OR($A$5=公区维修!$F10,$BN$5=1),0,5-SUMPRODUCT(--(($A$1:$A$5=公区维修!$F10)+$BN$1:$BN$5&gt;0)))</f>
        <v>3</v>
      </c>
      <c r="AL10" s="0" t="str">
        <f aca="false">IFERROR(INDEX($A$1:$A$5,MATCH(1,$AF10:$AJ10,0)),IF(1=MAX($AF10:$AJ10)+1,"取消",""))</f>
        <v>李师傅</v>
      </c>
      <c r="AM10" s="0" t="str">
        <f aca="false">IFERROR(INDEX($A$1:$A$5,MATCH(2,$AF10:$AJ10,0)),IF(2=MAX($AF10:$AJ10)+1,"取消",""))</f>
        <v>王师傅</v>
      </c>
      <c r="AN10" s="0" t="str">
        <f aca="false">IFERROR(INDEX($A$1:$A$5,MATCH(3,$AF10:$AJ10,0)),IF(3=MAX($AF10:$AJ10)+1,"取消",""))</f>
        <v>刘师傅</v>
      </c>
      <c r="AO10" s="0" t="str">
        <f aca="false">IFERROR(INDEX($A$1:$A$5,MATCH(4,$AF10:$AJ10,0)),IF(4=MAX($AF10:$AJ10)+1,"取消",""))</f>
        <v>取消</v>
      </c>
      <c r="AP10" s="0" t="str">
        <f aca="false">IFERROR(INDEX($A$1:$A$5,MATCH(5,$AF10:$AJ10,0)),IF(5=MAX($AF10:$AJ10)+1,"取消",""))</f>
        <v/>
      </c>
      <c r="AQ10" s="0" t="str">
        <f aca="false">IFERROR(INDEX($A$1:$A$5,MATCH(6,$AF10:$AJ10,0)),IF(6=MAX($AF10:$AJ10)+1,"取消",""))</f>
        <v/>
      </c>
      <c r="AS10" s="0" t="n">
        <f aca="false">IF(OR($A$1=公区维修!$F10,$A$1=公区维修!$G10,$BN$1=1),0,1-SUMPRODUCT(--(($A$1=公区维修!$F10)+($A$1=公区维修!$G10)+$BN$1&gt;0)))</f>
        <v>0</v>
      </c>
      <c r="AT10" s="0" t="n">
        <f aca="false">IF(OR($A$2=公区维修!$F10,$A$2=公区维修!$G10,$BN$2=1),0,2-SUMPRODUCT(--(($A$1:$A$2=公区维修!$F10)+($A$1:$A$2=公区维修!$G10)+$BN$1:$BN$2&gt;0)))</f>
        <v>1</v>
      </c>
      <c r="AU10" s="0" t="n">
        <f aca="false">IF(OR($A$3=公区维修!$F10,$A$3=公区维修!$G10,$BN$3=1),0,3-SUMPRODUCT(--(($A$1:$A$3=公区维修!$F10)+($A$1:$A$3=公区维修!$G10)+$BN$1:$BN$3&gt;0)))</f>
        <v>2</v>
      </c>
      <c r="AV10" s="0" t="n">
        <f aca="false">IF(OR($A$4=公区维修!$F10,$A$4=公区维修!$G10,$BN$4=1),0,4-SUMPRODUCT(--(($A$1:$A$4=公区维修!$F10)+($A$1:$A$4=公区维修!$G10)+$BN$1:$BN$4&gt;0)))</f>
        <v>0</v>
      </c>
      <c r="AW10" s="0" t="n">
        <f aca="false">IF(OR($A$5=公区维修!$F10,$A$5=公区维修!$G10,$BN$5=1),0,5-SUMPRODUCT(--(($A$1:$A$5=公区维修!$F10)+($A$1:$A$5=公区维修!$G10)+$BN$1:$BN$5&gt;0)))</f>
        <v>3</v>
      </c>
      <c r="AY10" s="0" t="str">
        <f aca="false">IFERROR(INDEX($A$1:$A$5,MATCH(1,$AS10:$AW10,0)),IF(1=MAX($AS10:$AW10)+1,"取消",""))</f>
        <v>李师傅</v>
      </c>
      <c r="AZ10" s="0" t="str">
        <f aca="false">IFERROR(INDEX($A$1:$A$5,MATCH(2,$AS10:$AW10,0)),IF(2=MAX($AS10:$AW10)+1,"取消",""))</f>
        <v>王师傅</v>
      </c>
      <c r="BA10" s="0" t="str">
        <f aca="false">IFERROR(INDEX($A$1:$A$5,MATCH(3,$AS10:$AW10,0)),IF(3=MAX($AS10:$AW10)+1,"取消",""))</f>
        <v>刘师傅</v>
      </c>
      <c r="BB10" s="0" t="str">
        <f aca="false">IFERROR(INDEX($A$1:$A$5,MATCH(4,$AS10:$AW10,0)),IF(4=MAX($AS10:$AW10)+1,"取消",""))</f>
        <v>取消</v>
      </c>
      <c r="BC10" s="0" t="str">
        <f aca="false">IFERROR(INDEX($A$1:$A$5,MATCH(5,$AS10:$AW10,0)),IF(5=MAX($AS10:$AW10)+1,"取消",""))</f>
        <v/>
      </c>
      <c r="BD10" s="0" t="str">
        <f aca="false">IFERROR(INDEX($A$1:$A$5,MATCH(6,$AS10:$AW10,0)),IF(6=MAX($AS10:$AW10)+1,"取消",""))</f>
        <v/>
      </c>
      <c r="FW10" s="0" t="n">
        <f aca="false">IF(AND(单元查询!$D$3&lt;&gt;"",IF(单元查询!$B$3="公区维修",公区维修!$E10&lt;&gt;"",入户维修!$E10&lt;&gt;""),IF(单元查询!$B$3="公区维修",公区维修!$C10,入户维修!$C10)=单元查询!$D$3,OR(单元查询!$F$3="",IF(单元查询!$B$3="公区维修",公区维修!$D10,入户维修!$D10)&amp;""=(单元查询!$F$3)&amp;"")),MAX($FW$4:$FW9)+1,"")</f>
        <v>3</v>
      </c>
      <c r="FY10" s="0" t="n">
        <f aca="false">IFERROR(MATCH(10,$FW$5:$FW$404,0),"")</f>
        <v>41</v>
      </c>
    </row>
    <row r="11" customFormat="false" ht="15" hidden="false" customHeight="true" outlineLevel="0" collapsed="false">
      <c r="F11" s="0" t="n">
        <f aca="false">IF(OR($A$1=入户维修!$F11,$BN$1=1),0,1-SUMPRODUCT(--(($A$1=入户维修!$F11)+$BN$1&gt;0)))</f>
        <v>0</v>
      </c>
      <c r="G11" s="0" t="n">
        <f aca="false">IF(OR($A$2=入户维修!$F11,$BN$2=1),0,2-SUMPRODUCT(--(($A$1:$A$2=入户维修!$F11)+$BN$1:$BN$2&gt;0)))</f>
        <v>0</v>
      </c>
      <c r="H11" s="0" t="n">
        <f aca="false">IF(OR($A$3=入户维修!$F11,$BN$3=1),0,3-SUMPRODUCT(--(($A$1:$A$3=入户维修!$F11)+$BN$1:$BN$3&gt;0)))</f>
        <v>1</v>
      </c>
      <c r="I11" s="0" t="n">
        <f aca="false">IF(OR($A$4=入户维修!$F11,$BN$4=1),0,4-SUMPRODUCT(--(($A$1:$A$4=入户维修!$F11)+$BN$1:$BN$4&gt;0)))</f>
        <v>2</v>
      </c>
      <c r="J11" s="0" t="n">
        <f aca="false">IF(OR($A$5=入户维修!$F11,$BN$5=1),0,5-SUMPRODUCT(--(($A$1:$A$5=入户维修!$F11)+$BN$1:$BN$5&gt;0)))</f>
        <v>3</v>
      </c>
      <c r="L11" s="0" t="str">
        <f aca="false">IFERROR(INDEX($A$1:$A$5,MATCH(1,$F11:$J11,0)),IF(1=MAX($F11:$J11)+1,"取消",""))</f>
        <v>王师傅</v>
      </c>
      <c r="M11" s="0" t="str">
        <f aca="false">IFERROR(INDEX($A$1:$A$5,MATCH(2,$F11:$J11,0)),IF(2=MAX($F11:$J11)+1,"取消",""))</f>
        <v>陈师傅</v>
      </c>
      <c r="N11" s="0" t="str">
        <f aca="false">IFERROR(INDEX($A$1:$A$5,MATCH(3,$F11:$J11,0)),IF(3=MAX($F11:$J11)+1,"取消",""))</f>
        <v>刘师傅</v>
      </c>
      <c r="O11" s="0" t="str">
        <f aca="false">IFERROR(INDEX($A$1:$A$5,MATCH(4,$F11:$J11,0)),IF(4=MAX($F11:$J11)+1,"取消",""))</f>
        <v>取消</v>
      </c>
      <c r="P11" s="0" t="str">
        <f aca="false">IFERROR(INDEX($A$1:$A$5,MATCH(5,$F11:$J11,0)),IF(5=MAX($F11:$J11)+1,"取消",""))</f>
        <v/>
      </c>
      <c r="Q11" s="0" t="str">
        <f aca="false">IFERROR(INDEX($A$1:$A$5,MATCH(6,$F11:$J11,0)),IF(6=MAX($F11:$J11)+1,"取消",""))</f>
        <v/>
      </c>
      <c r="S11" s="0" t="n">
        <f aca="false">IF(OR($A$1=入户维修!$F11,$A$1=入户维修!$G11,$BN$1=1),0,1-SUMPRODUCT(--(($A$1=入户维修!$F11)+($A$1=入户维修!$G11)+$BN$1&gt;0)))</f>
        <v>0</v>
      </c>
      <c r="T11" s="0" t="n">
        <f aca="false">IF(OR($A$2=入户维修!$F11,$A$2=入户维修!$G11,$BN$2=1),0,2-SUMPRODUCT(--(($A$1:$A$2=入户维修!$F11)+($A$1:$A$2=入户维修!$G11)+$BN$1:$BN$2&gt;0)))</f>
        <v>0</v>
      </c>
      <c r="U11" s="0" t="n">
        <f aca="false">IF(OR($A$3=入户维修!$F11,$A$3=入户维修!$G11,$BN$3=1),0,3-SUMPRODUCT(--(($A$1:$A$3=入户维修!$F11)+($A$1:$A$3=入户维修!$G11)+$BN$1:$BN$3&gt;0)))</f>
        <v>1</v>
      </c>
      <c r="V11" s="0" t="n">
        <f aca="false">IF(OR($A$4=入户维修!$F11,$A$4=入户维修!$G11,$BN$4=1),0,4-SUMPRODUCT(--(($A$1:$A$4=入户维修!$F11)+($A$1:$A$4=入户维修!$G11)+$BN$1:$BN$4&gt;0)))</f>
        <v>2</v>
      </c>
      <c r="W11" s="0" t="n">
        <f aca="false">IF(OR($A$5=入户维修!$F11,$A$5=入户维修!$G11,$BN$5=1),0,5-SUMPRODUCT(--(($A$1:$A$5=入户维修!$F11)+($A$1:$A$5=入户维修!$G11)+$BN$1:$BN$5&gt;0)))</f>
        <v>3</v>
      </c>
      <c r="Y11" s="0" t="str">
        <f aca="false">IFERROR(INDEX($A$1:$A$5,MATCH(1,$S11:$W11,0)),IF(1=MAX($S11:$W11)+1,"取消",""))</f>
        <v>王师傅</v>
      </c>
      <c r="Z11" s="0" t="str">
        <f aca="false">IFERROR(INDEX($A$1:$A$5,MATCH(2,$S11:$W11,0)),IF(2=MAX($S11:$W11)+1,"取消",""))</f>
        <v>陈师傅</v>
      </c>
      <c r="AA11" s="0" t="str">
        <f aca="false">IFERROR(INDEX($A$1:$A$5,MATCH(3,$S11:$W11,0)),IF(3=MAX($S11:$W11)+1,"取消",""))</f>
        <v>刘师傅</v>
      </c>
      <c r="AB11" s="0" t="str">
        <f aca="false">IFERROR(INDEX($A$1:$A$5,MATCH(4,$S11:$W11,0)),IF(4=MAX($S11:$W11)+1,"取消",""))</f>
        <v>取消</v>
      </c>
      <c r="AC11" s="0" t="str">
        <f aca="false">IFERROR(INDEX($A$1:$A$5,MATCH(5,$S11:$W11,0)),IF(5=MAX($S11:$W11)+1,"取消",""))</f>
        <v/>
      </c>
      <c r="AD11" s="0" t="str">
        <f aca="false">IFERROR(INDEX($A$1:$A$5,MATCH(6,$S11:$W11,0)),IF(6=MAX($S11:$W11)+1,"取消",""))</f>
        <v/>
      </c>
      <c r="AF11" s="0" t="n">
        <f aca="false">IF(OR($A$1=公区维修!$F11,$BN$1=1),0,1-SUMPRODUCT(--(($A$1=公区维修!$F11)+$BN$1&gt;0)))</f>
        <v>0</v>
      </c>
      <c r="AG11" s="0" t="n">
        <f aca="false">IF(OR($A$2=公区维修!$F11,$BN$2=1),0,2-SUMPRODUCT(--(($A$1:$A$2=公区维修!$F11)+$BN$1:$BN$2&gt;0)))</f>
        <v>1</v>
      </c>
      <c r="AH11" s="0" t="n">
        <f aca="false">IF(OR($A$3=公区维修!$F11,$BN$3=1),0,3-SUMPRODUCT(--(($A$1:$A$3=公区维修!$F11)+$BN$1:$BN$3&gt;0)))</f>
        <v>2</v>
      </c>
      <c r="AI11" s="0" t="n">
        <f aca="false">IF(OR($A$4=公区维修!$F11,$BN$4=1),0,4-SUMPRODUCT(--(($A$1:$A$4=公区维修!$F11)+$BN$1:$BN$4&gt;0)))</f>
        <v>3</v>
      </c>
      <c r="AJ11" s="0" t="n">
        <f aca="false">IF(OR($A$5=公区维修!$F11,$BN$5=1),0,5-SUMPRODUCT(--(($A$1:$A$5=公区维修!$F11)+$BN$1:$BN$5&gt;0)))</f>
        <v>4</v>
      </c>
      <c r="AL11" s="0" t="str">
        <f aca="false">IFERROR(INDEX($A$1:$A$5,MATCH(1,$AF11:$AJ11,0)),IF(1=MAX($AF11:$AJ11)+1,"取消",""))</f>
        <v>李师傅</v>
      </c>
      <c r="AM11" s="0" t="str">
        <f aca="false">IFERROR(INDEX($A$1:$A$5,MATCH(2,$AF11:$AJ11,0)),IF(2=MAX($AF11:$AJ11)+1,"取消",""))</f>
        <v>王师傅</v>
      </c>
      <c r="AN11" s="0" t="str">
        <f aca="false">IFERROR(INDEX($A$1:$A$5,MATCH(3,$AF11:$AJ11,0)),IF(3=MAX($AF11:$AJ11)+1,"取消",""))</f>
        <v>陈师傅</v>
      </c>
      <c r="AO11" s="0" t="str">
        <f aca="false">IFERROR(INDEX($A$1:$A$5,MATCH(4,$AF11:$AJ11,0)),IF(4=MAX($AF11:$AJ11)+1,"取消",""))</f>
        <v>刘师傅</v>
      </c>
      <c r="AP11" s="0" t="str">
        <f aca="false">IFERROR(INDEX($A$1:$A$5,MATCH(5,$AF11:$AJ11,0)),IF(5=MAX($AF11:$AJ11)+1,"取消",""))</f>
        <v>取消</v>
      </c>
      <c r="AQ11" s="0" t="str">
        <f aca="false">IFERROR(INDEX($A$1:$A$5,MATCH(6,$AF11:$AJ11,0)),IF(6=MAX($AF11:$AJ11)+1,"取消",""))</f>
        <v/>
      </c>
      <c r="AS11" s="0" t="n">
        <f aca="false">IF(OR($A$1=公区维修!$F11,$A$1=公区维修!$G11,$BN$1=1),0,1-SUMPRODUCT(--(($A$1=公区维修!$F11)+($A$1=公区维修!$G11)+$BN$1&gt;0)))</f>
        <v>0</v>
      </c>
      <c r="AT11" s="0" t="n">
        <f aca="false">IF(OR($A$2=公区维修!$F11,$A$2=公区维修!$G11,$BN$2=1),0,2-SUMPRODUCT(--(($A$1:$A$2=公区维修!$F11)+($A$1:$A$2=公区维修!$G11)+$BN$1:$BN$2&gt;0)))</f>
        <v>1</v>
      </c>
      <c r="AU11" s="0" t="n">
        <f aca="false">IF(OR($A$3=公区维修!$F11,$A$3=公区维修!$G11,$BN$3=1),0,3-SUMPRODUCT(--(($A$1:$A$3=公区维修!$F11)+($A$1:$A$3=公区维修!$G11)+$BN$1:$BN$3&gt;0)))</f>
        <v>2</v>
      </c>
      <c r="AV11" s="0" t="n">
        <f aca="false">IF(OR($A$4=公区维修!$F11,$A$4=公区维修!$G11,$BN$4=1),0,4-SUMPRODUCT(--(($A$1:$A$4=公区维修!$F11)+($A$1:$A$4=公区维修!$G11)+$BN$1:$BN$4&gt;0)))</f>
        <v>3</v>
      </c>
      <c r="AW11" s="0" t="n">
        <f aca="false">IF(OR($A$5=公区维修!$F11,$A$5=公区维修!$G11,$BN$5=1),0,5-SUMPRODUCT(--(($A$1:$A$5=公区维修!$F11)+($A$1:$A$5=公区维修!$G11)+$BN$1:$BN$5&gt;0)))</f>
        <v>4</v>
      </c>
      <c r="AY11" s="0" t="str">
        <f aca="false">IFERROR(INDEX($A$1:$A$5,MATCH(1,$AS11:$AW11,0)),IF(1=MAX($AS11:$AW11)+1,"取消",""))</f>
        <v>李师傅</v>
      </c>
      <c r="AZ11" s="0" t="str">
        <f aca="false">IFERROR(INDEX($A$1:$A$5,MATCH(2,$AS11:$AW11,0)),IF(2=MAX($AS11:$AW11)+1,"取消",""))</f>
        <v>王师傅</v>
      </c>
      <c r="BA11" s="0" t="str">
        <f aca="false">IFERROR(INDEX($A$1:$A$5,MATCH(3,$AS11:$AW11,0)),IF(3=MAX($AS11:$AW11)+1,"取消",""))</f>
        <v>陈师傅</v>
      </c>
      <c r="BB11" s="0" t="str">
        <f aca="false">IFERROR(INDEX($A$1:$A$5,MATCH(4,$AS11:$AW11,0)),IF(4=MAX($AS11:$AW11)+1,"取消",""))</f>
        <v>刘师傅</v>
      </c>
      <c r="BC11" s="0" t="str">
        <f aca="false">IFERROR(INDEX($A$1:$A$5,MATCH(5,$AS11:$AW11,0)),IF(5=MAX($AS11:$AW11)+1,"取消",""))</f>
        <v>取消</v>
      </c>
      <c r="BD11" s="0" t="str">
        <f aca="false">IFERROR(INDEX($A$1:$A$5,MATCH(6,$AS11:$AW11,0)),IF(6=MAX($AS11:$AW11)+1,"取消",""))</f>
        <v/>
      </c>
      <c r="FW11" s="0" t="n">
        <f aca="false">IF(AND(单元查询!$D$3&lt;&gt;"",IF(单元查询!$B$3="公区维修",公区维修!$E11&lt;&gt;"",入户维修!$E11&lt;&gt;""),IF(单元查询!$B$3="公区维修",公区维修!$C11,入户维修!$C11)=单元查询!$D$3,OR(单元查询!$F$3="",IF(单元查询!$B$3="公区维修",公区维修!$D11,入户维修!$D11)&amp;""=(单元查询!$F$3)&amp;"")),MAX($FW$4:$FW10)+1,"")</f>
        <v>4</v>
      </c>
      <c r="FY11" s="0" t="n">
        <f aca="false">IFERROR(MATCH(11,$FW$5:$FW$404,0),"")</f>
        <v>49</v>
      </c>
    </row>
    <row r="12" customFormat="false" ht="15" hidden="false" customHeight="true" outlineLevel="0" collapsed="false">
      <c r="F12" s="0" t="n">
        <f aca="false">IF(OR($A$1=入户维修!$F12,$BN$1=1),0,1-SUMPRODUCT(--(($A$1=入户维修!$F12)+$BN$1&gt;0)))</f>
        <v>0</v>
      </c>
      <c r="G12" s="0" t="n">
        <f aca="false">IF(OR($A$2=入户维修!$F12,$BN$2=1),0,2-SUMPRODUCT(--(($A$1:$A$2=入户维修!$F12)+$BN$1:$BN$2&gt;0)))</f>
        <v>1</v>
      </c>
      <c r="H12" s="0" t="n">
        <f aca="false">IF(OR($A$3=入户维修!$F12,$BN$3=1),0,3-SUMPRODUCT(--(($A$1:$A$3=入户维修!$F12)+$BN$1:$BN$3&gt;0)))</f>
        <v>2</v>
      </c>
      <c r="I12" s="0" t="n">
        <f aca="false">IF(OR($A$4=入户维修!$F12,$BN$4=1),0,4-SUMPRODUCT(--(($A$1:$A$4=入户维修!$F12)+$BN$1:$BN$4&gt;0)))</f>
        <v>3</v>
      </c>
      <c r="J12" s="0" t="n">
        <f aca="false">IF(OR($A$5=入户维修!$F12,$BN$5=1),0,5-SUMPRODUCT(--(($A$1:$A$5=入户维修!$F12)+$BN$1:$BN$5&gt;0)))</f>
        <v>4</v>
      </c>
      <c r="L12" s="0" t="str">
        <f aca="false">IFERROR(INDEX($A$1:$A$5,MATCH(1,$F12:$J12,0)),IF(1=MAX($F12:$J12)+1,"取消",""))</f>
        <v>李师傅</v>
      </c>
      <c r="M12" s="0" t="str">
        <f aca="false">IFERROR(INDEX($A$1:$A$5,MATCH(2,$F12:$J12,0)),IF(2=MAX($F12:$J12)+1,"取消",""))</f>
        <v>王师傅</v>
      </c>
      <c r="N12" s="0" t="str">
        <f aca="false">IFERROR(INDEX($A$1:$A$5,MATCH(3,$F12:$J12,0)),IF(3=MAX($F12:$J12)+1,"取消",""))</f>
        <v>陈师傅</v>
      </c>
      <c r="O12" s="0" t="str">
        <f aca="false">IFERROR(INDEX($A$1:$A$5,MATCH(4,$F12:$J12,0)),IF(4=MAX($F12:$J12)+1,"取消",""))</f>
        <v>刘师傅</v>
      </c>
      <c r="P12" s="0" t="str">
        <f aca="false">IFERROR(INDEX($A$1:$A$5,MATCH(5,$F12:$J12,0)),IF(5=MAX($F12:$J12)+1,"取消",""))</f>
        <v>取消</v>
      </c>
      <c r="Q12" s="0" t="str">
        <f aca="false">IFERROR(INDEX($A$1:$A$5,MATCH(6,$F12:$J12,0)),IF(6=MAX($F12:$J12)+1,"取消",""))</f>
        <v/>
      </c>
      <c r="S12" s="0" t="n">
        <f aca="false">IF(OR($A$1=入户维修!$F12,$A$1=入户维修!$G12,$BN$1=1),0,1-SUMPRODUCT(--(($A$1=入户维修!$F12)+($A$1=入户维修!$G12)+$BN$1&gt;0)))</f>
        <v>0</v>
      </c>
      <c r="T12" s="0" t="n">
        <f aca="false">IF(OR($A$2=入户维修!$F12,$A$2=入户维修!$G12,$BN$2=1),0,2-SUMPRODUCT(--(($A$1:$A$2=入户维修!$F12)+($A$1:$A$2=入户维修!$G12)+$BN$1:$BN$2&gt;0)))</f>
        <v>1</v>
      </c>
      <c r="U12" s="0" t="n">
        <f aca="false">IF(OR($A$3=入户维修!$F12,$A$3=入户维修!$G12,$BN$3=1),0,3-SUMPRODUCT(--(($A$1:$A$3=入户维修!$F12)+($A$1:$A$3=入户维修!$G12)+$BN$1:$BN$3&gt;0)))</f>
        <v>2</v>
      </c>
      <c r="V12" s="0" t="n">
        <f aca="false">IF(OR($A$4=入户维修!$F12,$A$4=入户维修!$G12,$BN$4=1),0,4-SUMPRODUCT(--(($A$1:$A$4=入户维修!$F12)+($A$1:$A$4=入户维修!$G12)+$BN$1:$BN$4&gt;0)))</f>
        <v>3</v>
      </c>
      <c r="W12" s="0" t="n">
        <f aca="false">IF(OR($A$5=入户维修!$F12,$A$5=入户维修!$G12,$BN$5=1),0,5-SUMPRODUCT(--(($A$1:$A$5=入户维修!$F12)+($A$1:$A$5=入户维修!$G12)+$BN$1:$BN$5&gt;0)))</f>
        <v>4</v>
      </c>
      <c r="Y12" s="0" t="str">
        <f aca="false">IFERROR(INDEX($A$1:$A$5,MATCH(1,$S12:$W12,0)),IF(1=MAX($S12:$W12)+1,"取消",""))</f>
        <v>李师傅</v>
      </c>
      <c r="Z12" s="0" t="str">
        <f aca="false">IFERROR(INDEX($A$1:$A$5,MATCH(2,$S12:$W12,0)),IF(2=MAX($S12:$W12)+1,"取消",""))</f>
        <v>王师傅</v>
      </c>
      <c r="AA12" s="0" t="str">
        <f aca="false">IFERROR(INDEX($A$1:$A$5,MATCH(3,$S12:$W12,0)),IF(3=MAX($S12:$W12)+1,"取消",""))</f>
        <v>陈师傅</v>
      </c>
      <c r="AB12" s="0" t="str">
        <f aca="false">IFERROR(INDEX($A$1:$A$5,MATCH(4,$S12:$W12,0)),IF(4=MAX($S12:$W12)+1,"取消",""))</f>
        <v>刘师傅</v>
      </c>
      <c r="AC12" s="0" t="str">
        <f aca="false">IFERROR(INDEX($A$1:$A$5,MATCH(5,$S12:$W12,0)),IF(5=MAX($S12:$W12)+1,"取消",""))</f>
        <v>取消</v>
      </c>
      <c r="AD12" s="0" t="str">
        <f aca="false">IFERROR(INDEX($A$1:$A$5,MATCH(6,$S12:$W12,0)),IF(6=MAX($S12:$W12)+1,"取消",""))</f>
        <v/>
      </c>
      <c r="AF12" s="0" t="n">
        <f aca="false">IF(OR($A$1=公区维修!$F12,$BN$1=1),0,1-SUMPRODUCT(--(($A$1=公区维修!$F12)+$BN$1&gt;0)))</f>
        <v>0</v>
      </c>
      <c r="AG12" s="0" t="n">
        <f aca="false">IF(OR($A$2=公区维修!$F12,$BN$2=1),0,2-SUMPRODUCT(--(($A$1:$A$2=公区维修!$F12)+$BN$1:$BN$2&gt;0)))</f>
        <v>1</v>
      </c>
      <c r="AH12" s="0" t="n">
        <f aca="false">IF(OR($A$3=公区维修!$F12,$BN$3=1),0,3-SUMPRODUCT(--(($A$1:$A$3=公区维修!$F12)+$BN$1:$BN$3&gt;0)))</f>
        <v>2</v>
      </c>
      <c r="AI12" s="0" t="n">
        <f aca="false">IF(OR($A$4=公区维修!$F12,$BN$4=1),0,4-SUMPRODUCT(--(($A$1:$A$4=公区维修!$F12)+$BN$1:$BN$4&gt;0)))</f>
        <v>0</v>
      </c>
      <c r="AJ12" s="0" t="n">
        <f aca="false">IF(OR($A$5=公区维修!$F12,$BN$5=1),0,5-SUMPRODUCT(--(($A$1:$A$5=公区维修!$F12)+$BN$1:$BN$5&gt;0)))</f>
        <v>3</v>
      </c>
      <c r="AL12" s="0" t="str">
        <f aca="false">IFERROR(INDEX($A$1:$A$5,MATCH(1,$AF12:$AJ12,0)),IF(1=MAX($AF12:$AJ12)+1,"取消",""))</f>
        <v>李师傅</v>
      </c>
      <c r="AM12" s="0" t="str">
        <f aca="false">IFERROR(INDEX($A$1:$A$5,MATCH(2,$AF12:$AJ12,0)),IF(2=MAX($AF12:$AJ12)+1,"取消",""))</f>
        <v>王师傅</v>
      </c>
      <c r="AN12" s="0" t="str">
        <f aca="false">IFERROR(INDEX($A$1:$A$5,MATCH(3,$AF12:$AJ12,0)),IF(3=MAX($AF12:$AJ12)+1,"取消",""))</f>
        <v>刘师傅</v>
      </c>
      <c r="AO12" s="0" t="str">
        <f aca="false">IFERROR(INDEX($A$1:$A$5,MATCH(4,$AF12:$AJ12,0)),IF(4=MAX($AF12:$AJ12)+1,"取消",""))</f>
        <v>取消</v>
      </c>
      <c r="AP12" s="0" t="str">
        <f aca="false">IFERROR(INDEX($A$1:$A$5,MATCH(5,$AF12:$AJ12,0)),IF(5=MAX($AF12:$AJ12)+1,"取消",""))</f>
        <v/>
      </c>
      <c r="AQ12" s="0" t="str">
        <f aca="false">IFERROR(INDEX($A$1:$A$5,MATCH(6,$AF12:$AJ12,0)),IF(6=MAX($AF12:$AJ12)+1,"取消",""))</f>
        <v/>
      </c>
      <c r="AS12" s="0" t="n">
        <f aca="false">IF(OR($A$1=公区维修!$F12,$A$1=公区维修!$G12,$BN$1=1),0,1-SUMPRODUCT(--(($A$1=公区维修!$F12)+($A$1=公区维修!$G12)+$BN$1&gt;0)))</f>
        <v>0</v>
      </c>
      <c r="AT12" s="0" t="n">
        <f aca="false">IF(OR($A$2=公区维修!$F12,$A$2=公区维修!$G12,$BN$2=1),0,2-SUMPRODUCT(--(($A$1:$A$2=公区维修!$F12)+($A$1:$A$2=公区维修!$G12)+$BN$1:$BN$2&gt;0)))</f>
        <v>1</v>
      </c>
      <c r="AU12" s="0" t="n">
        <f aca="false">IF(OR($A$3=公区维修!$F12,$A$3=公区维修!$G12,$BN$3=1),0,3-SUMPRODUCT(--(($A$1:$A$3=公区维修!$F12)+($A$1:$A$3=公区维修!$G12)+$BN$1:$BN$3&gt;0)))</f>
        <v>0</v>
      </c>
      <c r="AV12" s="0" t="n">
        <f aca="false">IF(OR($A$4=公区维修!$F12,$A$4=公区维修!$G12,$BN$4=1),0,4-SUMPRODUCT(--(($A$1:$A$4=公区维修!$F12)+($A$1:$A$4=公区维修!$G12)+$BN$1:$BN$4&gt;0)))</f>
        <v>0</v>
      </c>
      <c r="AW12" s="0" t="n">
        <f aca="false">IF(OR($A$5=公区维修!$F12,$A$5=公区维修!$G12,$BN$5=1),0,5-SUMPRODUCT(--(($A$1:$A$5=公区维修!$F12)+($A$1:$A$5=公区维修!$G12)+$BN$1:$BN$5&gt;0)))</f>
        <v>2</v>
      </c>
      <c r="AY12" s="0" t="str">
        <f aca="false">IFERROR(INDEX($A$1:$A$5,MATCH(1,$AS12:$AW12,0)),IF(1=MAX($AS12:$AW12)+1,"取消",""))</f>
        <v>李师傅</v>
      </c>
      <c r="AZ12" s="0" t="str">
        <f aca="false">IFERROR(INDEX($A$1:$A$5,MATCH(2,$AS12:$AW12,0)),IF(2=MAX($AS12:$AW12)+1,"取消",""))</f>
        <v>刘师傅</v>
      </c>
      <c r="BA12" s="0" t="str">
        <f aca="false">IFERROR(INDEX($A$1:$A$5,MATCH(3,$AS12:$AW12,0)),IF(3=MAX($AS12:$AW12)+1,"取消",""))</f>
        <v>取消</v>
      </c>
      <c r="BB12" s="0" t="str">
        <f aca="false">IFERROR(INDEX($A$1:$A$5,MATCH(4,$AS12:$AW12,0)),IF(4=MAX($AS12:$AW12)+1,"取消",""))</f>
        <v/>
      </c>
      <c r="BC12" s="0" t="str">
        <f aca="false">IFERROR(INDEX($A$1:$A$5,MATCH(5,$AS12:$AW12,0)),IF(5=MAX($AS12:$AW12)+1,"取消",""))</f>
        <v/>
      </c>
      <c r="BD12" s="0" t="str">
        <f aca="false">IFERROR(INDEX($A$1:$A$5,MATCH(6,$AS12:$AW12,0)),IF(6=MAX($AS12:$AW12)+1,"取消",""))</f>
        <v/>
      </c>
      <c r="FW12" s="0" t="str">
        <f aca="false">IF(AND(单元查询!$D$3&lt;&gt;"",IF(单元查询!$B$3="公区维修",公区维修!$E12&lt;&gt;"",入户维修!$E12&lt;&gt;""),IF(单元查询!$B$3="公区维修",公区维修!$C12,入户维修!$C12)=单元查询!$D$3,OR(单元查询!$F$3="",IF(单元查询!$B$3="公区维修",公区维修!$D12,入户维修!$D12)&amp;""=(单元查询!$F$3)&amp;"")),MAX($FW$4:$FW11)+1,"")</f>
        <v/>
      </c>
      <c r="FY12" s="0" t="n">
        <f aca="false">IFERROR(MATCH(12,$FW$5:$FW$404,0),"")</f>
        <v>67</v>
      </c>
    </row>
    <row r="13" customFormat="false" ht="15" hidden="false" customHeight="true" outlineLevel="0" collapsed="false">
      <c r="F13" s="0" t="n">
        <f aca="false">IF(OR($A$1=入户维修!$F13,$BN$1=1),0,1-SUMPRODUCT(--(($A$1=入户维修!$F13)+$BN$1&gt;0)))</f>
        <v>0</v>
      </c>
      <c r="G13" s="0" t="n">
        <f aca="false">IF(OR($A$2=入户维修!$F13,$BN$2=1),0,2-SUMPRODUCT(--(($A$1:$A$2=入户维修!$F13)+$BN$1:$BN$2&gt;0)))</f>
        <v>1</v>
      </c>
      <c r="H13" s="0" t="n">
        <f aca="false">IF(OR($A$3=入户维修!$F13,$BN$3=1),0,3-SUMPRODUCT(--(($A$1:$A$3=入户维修!$F13)+$BN$1:$BN$3&gt;0)))</f>
        <v>2</v>
      </c>
      <c r="I13" s="0" t="n">
        <f aca="false">IF(OR($A$4=入户维修!$F13,$BN$4=1),0,4-SUMPRODUCT(--(($A$1:$A$4=入户维修!$F13)+$BN$1:$BN$4&gt;0)))</f>
        <v>3</v>
      </c>
      <c r="J13" s="0" t="n">
        <f aca="false">IF(OR($A$5=入户维修!$F13,$BN$5=1),0,5-SUMPRODUCT(--(($A$1:$A$5=入户维修!$F13)+$BN$1:$BN$5&gt;0)))</f>
        <v>4</v>
      </c>
      <c r="L13" s="0" t="str">
        <f aca="false">IFERROR(INDEX($A$1:$A$5,MATCH(1,$F13:$J13,0)),IF(1=MAX($F13:$J13)+1,"取消",""))</f>
        <v>李师傅</v>
      </c>
      <c r="M13" s="0" t="str">
        <f aca="false">IFERROR(INDEX($A$1:$A$5,MATCH(2,$F13:$J13,0)),IF(2=MAX($F13:$J13)+1,"取消",""))</f>
        <v>王师傅</v>
      </c>
      <c r="N13" s="0" t="str">
        <f aca="false">IFERROR(INDEX($A$1:$A$5,MATCH(3,$F13:$J13,0)),IF(3=MAX($F13:$J13)+1,"取消",""))</f>
        <v>陈师傅</v>
      </c>
      <c r="O13" s="0" t="str">
        <f aca="false">IFERROR(INDEX($A$1:$A$5,MATCH(4,$F13:$J13,0)),IF(4=MAX($F13:$J13)+1,"取消",""))</f>
        <v>刘师傅</v>
      </c>
      <c r="P13" s="0" t="str">
        <f aca="false">IFERROR(INDEX($A$1:$A$5,MATCH(5,$F13:$J13,0)),IF(5=MAX($F13:$J13)+1,"取消",""))</f>
        <v>取消</v>
      </c>
      <c r="Q13" s="0" t="str">
        <f aca="false">IFERROR(INDEX($A$1:$A$5,MATCH(6,$F13:$J13,0)),IF(6=MAX($F13:$J13)+1,"取消",""))</f>
        <v/>
      </c>
      <c r="S13" s="0" t="n">
        <f aca="false">IF(OR($A$1=入户维修!$F13,$A$1=入户维修!$G13,$BN$1=1),0,1-SUMPRODUCT(--(($A$1=入户维修!$F13)+($A$1=入户维修!$G13)+$BN$1&gt;0)))</f>
        <v>0</v>
      </c>
      <c r="T13" s="0" t="n">
        <f aca="false">IF(OR($A$2=入户维修!$F13,$A$2=入户维修!$G13,$BN$2=1),0,2-SUMPRODUCT(--(($A$1:$A$2=入户维修!$F13)+($A$1:$A$2=入户维修!$G13)+$BN$1:$BN$2&gt;0)))</f>
        <v>1</v>
      </c>
      <c r="U13" s="0" t="n">
        <f aca="false">IF(OR($A$3=入户维修!$F13,$A$3=入户维修!$G13,$BN$3=1),0,3-SUMPRODUCT(--(($A$1:$A$3=入户维修!$F13)+($A$1:$A$3=入户维修!$G13)+$BN$1:$BN$3&gt;0)))</f>
        <v>2</v>
      </c>
      <c r="V13" s="0" t="n">
        <f aca="false">IF(OR($A$4=入户维修!$F13,$A$4=入户维修!$G13,$BN$4=1),0,4-SUMPRODUCT(--(($A$1:$A$4=入户维修!$F13)+($A$1:$A$4=入户维修!$G13)+$BN$1:$BN$4&gt;0)))</f>
        <v>3</v>
      </c>
      <c r="W13" s="0" t="n">
        <f aca="false">IF(OR($A$5=入户维修!$F13,$A$5=入户维修!$G13,$BN$5=1),0,5-SUMPRODUCT(--(($A$1:$A$5=入户维修!$F13)+($A$1:$A$5=入户维修!$G13)+$BN$1:$BN$5&gt;0)))</f>
        <v>4</v>
      </c>
      <c r="Y13" s="0" t="str">
        <f aca="false">IFERROR(INDEX($A$1:$A$5,MATCH(1,$S13:$W13,0)),IF(1=MAX($S13:$W13)+1,"取消",""))</f>
        <v>李师傅</v>
      </c>
      <c r="Z13" s="0" t="str">
        <f aca="false">IFERROR(INDEX($A$1:$A$5,MATCH(2,$S13:$W13,0)),IF(2=MAX($S13:$W13)+1,"取消",""))</f>
        <v>王师傅</v>
      </c>
      <c r="AA13" s="0" t="str">
        <f aca="false">IFERROR(INDEX($A$1:$A$5,MATCH(3,$S13:$W13,0)),IF(3=MAX($S13:$W13)+1,"取消",""))</f>
        <v>陈师傅</v>
      </c>
      <c r="AB13" s="0" t="str">
        <f aca="false">IFERROR(INDEX($A$1:$A$5,MATCH(4,$S13:$W13,0)),IF(4=MAX($S13:$W13)+1,"取消",""))</f>
        <v>刘师傅</v>
      </c>
      <c r="AC13" s="0" t="str">
        <f aca="false">IFERROR(INDEX($A$1:$A$5,MATCH(5,$S13:$W13,0)),IF(5=MAX($S13:$W13)+1,"取消",""))</f>
        <v>取消</v>
      </c>
      <c r="AD13" s="0" t="str">
        <f aca="false">IFERROR(INDEX($A$1:$A$5,MATCH(6,$S13:$W13,0)),IF(6=MAX($S13:$W13)+1,"取消",""))</f>
        <v/>
      </c>
      <c r="AF13" s="0" t="n">
        <f aca="false">IF(OR($A$1=公区维修!$F13,$BN$1=1),0,1-SUMPRODUCT(--(($A$1=公区维修!$F13)+$BN$1&gt;0)))</f>
        <v>0</v>
      </c>
      <c r="AG13" s="0" t="n">
        <f aca="false">IF(OR($A$2=公区维修!$F13,$BN$2=1),0,2-SUMPRODUCT(--(($A$1:$A$2=公区维修!$F13)+$BN$1:$BN$2&gt;0)))</f>
        <v>1</v>
      </c>
      <c r="AH13" s="0" t="n">
        <f aca="false">IF(OR($A$3=公区维修!$F13,$BN$3=1),0,3-SUMPRODUCT(--(($A$1:$A$3=公区维修!$F13)+$BN$1:$BN$3&gt;0)))</f>
        <v>2</v>
      </c>
      <c r="AI13" s="0" t="n">
        <f aca="false">IF(OR($A$4=公区维修!$F13,$BN$4=1),0,4-SUMPRODUCT(--(($A$1:$A$4=公区维修!$F13)+$BN$1:$BN$4&gt;0)))</f>
        <v>3</v>
      </c>
      <c r="AJ13" s="0" t="n">
        <f aca="false">IF(OR($A$5=公区维修!$F13,$BN$5=1),0,5-SUMPRODUCT(--(($A$1:$A$5=公区维修!$F13)+$BN$1:$BN$5&gt;0)))</f>
        <v>0</v>
      </c>
      <c r="AL13" s="0" t="str">
        <f aca="false">IFERROR(INDEX($A$1:$A$5,MATCH(1,$AF13:$AJ13,0)),IF(1=MAX($AF13:$AJ13)+1,"取消",""))</f>
        <v>李师傅</v>
      </c>
      <c r="AM13" s="0" t="str">
        <f aca="false">IFERROR(INDEX($A$1:$A$5,MATCH(2,$AF13:$AJ13,0)),IF(2=MAX($AF13:$AJ13)+1,"取消",""))</f>
        <v>王师傅</v>
      </c>
      <c r="AN13" s="0" t="str">
        <f aca="false">IFERROR(INDEX($A$1:$A$5,MATCH(3,$AF13:$AJ13,0)),IF(3=MAX($AF13:$AJ13)+1,"取消",""))</f>
        <v>陈师傅</v>
      </c>
      <c r="AO13" s="0" t="str">
        <f aca="false">IFERROR(INDEX($A$1:$A$5,MATCH(4,$AF13:$AJ13,0)),IF(4=MAX($AF13:$AJ13)+1,"取消",""))</f>
        <v>取消</v>
      </c>
      <c r="AP13" s="0" t="str">
        <f aca="false">IFERROR(INDEX($A$1:$A$5,MATCH(5,$AF13:$AJ13,0)),IF(5=MAX($AF13:$AJ13)+1,"取消",""))</f>
        <v/>
      </c>
      <c r="AQ13" s="0" t="str">
        <f aca="false">IFERROR(INDEX($A$1:$A$5,MATCH(6,$AF13:$AJ13,0)),IF(6=MAX($AF13:$AJ13)+1,"取消",""))</f>
        <v/>
      </c>
      <c r="AS13" s="0" t="n">
        <f aca="false">IF(OR($A$1=公区维修!$F13,$A$1=公区维修!$G13,$BN$1=1),0,1-SUMPRODUCT(--(($A$1=公区维修!$F13)+($A$1=公区维修!$G13)+$BN$1&gt;0)))</f>
        <v>0</v>
      </c>
      <c r="AT13" s="0" t="n">
        <f aca="false">IF(OR($A$2=公区维修!$F13,$A$2=公区维修!$G13,$BN$2=1),0,2-SUMPRODUCT(--(($A$1:$A$2=公区维修!$F13)+($A$1:$A$2=公区维修!$G13)+$BN$1:$BN$2&gt;0)))</f>
        <v>1</v>
      </c>
      <c r="AU13" s="0" t="n">
        <f aca="false">IF(OR($A$3=公区维修!$F13,$A$3=公区维修!$G13,$BN$3=1),0,3-SUMPRODUCT(--(($A$1:$A$3=公区维修!$F13)+($A$1:$A$3=公区维修!$G13)+$BN$1:$BN$3&gt;0)))</f>
        <v>2</v>
      </c>
      <c r="AV13" s="0" t="n">
        <f aca="false">IF(OR($A$4=公区维修!$F13,$A$4=公区维修!$G13,$BN$4=1),0,4-SUMPRODUCT(--(($A$1:$A$4=公区维修!$F13)+($A$1:$A$4=公区维修!$G13)+$BN$1:$BN$4&gt;0)))</f>
        <v>3</v>
      </c>
      <c r="AW13" s="0" t="n">
        <f aca="false">IF(OR($A$5=公区维修!$F13,$A$5=公区维修!$G13,$BN$5=1),0,5-SUMPRODUCT(--(($A$1:$A$5=公区维修!$F13)+($A$1:$A$5=公区维修!$G13)+$BN$1:$BN$5&gt;0)))</f>
        <v>0</v>
      </c>
      <c r="AY13" s="0" t="str">
        <f aca="false">IFERROR(INDEX($A$1:$A$5,MATCH(1,$AS13:$AW13,0)),IF(1=MAX($AS13:$AW13)+1,"取消",""))</f>
        <v>李师傅</v>
      </c>
      <c r="AZ13" s="0" t="str">
        <f aca="false">IFERROR(INDEX($A$1:$A$5,MATCH(2,$AS13:$AW13,0)),IF(2=MAX($AS13:$AW13)+1,"取消",""))</f>
        <v>王师傅</v>
      </c>
      <c r="BA13" s="0" t="str">
        <f aca="false">IFERROR(INDEX($A$1:$A$5,MATCH(3,$AS13:$AW13,0)),IF(3=MAX($AS13:$AW13)+1,"取消",""))</f>
        <v>陈师傅</v>
      </c>
      <c r="BB13" s="0" t="str">
        <f aca="false">IFERROR(INDEX($A$1:$A$5,MATCH(4,$AS13:$AW13,0)),IF(4=MAX($AS13:$AW13)+1,"取消",""))</f>
        <v>取消</v>
      </c>
      <c r="BC13" s="0" t="str">
        <f aca="false">IFERROR(INDEX($A$1:$A$5,MATCH(5,$AS13:$AW13,0)),IF(5=MAX($AS13:$AW13)+1,"取消",""))</f>
        <v/>
      </c>
      <c r="BD13" s="0" t="str">
        <f aca="false">IFERROR(INDEX($A$1:$A$5,MATCH(6,$AS13:$AW13,0)),IF(6=MAX($AS13:$AW13)+1,"取消",""))</f>
        <v/>
      </c>
      <c r="FW13" s="0" t="str">
        <f aca="false">IF(AND(单元查询!$D$3&lt;&gt;"",IF(单元查询!$B$3="公区维修",公区维修!$E13&lt;&gt;"",入户维修!$E13&lt;&gt;""),IF(单元查询!$B$3="公区维修",公区维修!$C13,入户维修!$C13)=单元查询!$D$3,OR(单元查询!$F$3="",IF(单元查询!$B$3="公区维修",公区维修!$D13,入户维修!$D13)&amp;""=(单元查询!$F$3)&amp;"")),MAX($FW$4:$FW12)+1,"")</f>
        <v/>
      </c>
      <c r="FY13" s="0" t="n">
        <f aca="false">IFERROR(MATCH(13,$FW$5:$FW$404,0),"")</f>
        <v>77</v>
      </c>
    </row>
    <row r="14" customFormat="false" ht="15" hidden="false" customHeight="true" outlineLevel="0" collapsed="false">
      <c r="F14" s="0" t="n">
        <f aca="false">IF(OR($A$1=入户维修!$F14,$BN$1=1),0,1-SUMPRODUCT(--(($A$1=入户维修!$F14)+$BN$1&gt;0)))</f>
        <v>0</v>
      </c>
      <c r="G14" s="0" t="n">
        <f aca="false">IF(OR($A$2=入户维修!$F14,$BN$2=1),0,2-SUMPRODUCT(--(($A$1:$A$2=入户维修!$F14)+$BN$1:$BN$2&gt;0)))</f>
        <v>0</v>
      </c>
      <c r="H14" s="0" t="n">
        <f aca="false">IF(OR($A$3=入户维修!$F14,$BN$3=1),0,3-SUMPRODUCT(--(($A$1:$A$3=入户维修!$F14)+$BN$1:$BN$3&gt;0)))</f>
        <v>1</v>
      </c>
      <c r="I14" s="0" t="n">
        <f aca="false">IF(OR($A$4=入户维修!$F14,$BN$4=1),0,4-SUMPRODUCT(--(($A$1:$A$4=入户维修!$F14)+$BN$1:$BN$4&gt;0)))</f>
        <v>2</v>
      </c>
      <c r="J14" s="0" t="n">
        <f aca="false">IF(OR($A$5=入户维修!$F14,$BN$5=1),0,5-SUMPRODUCT(--(($A$1:$A$5=入户维修!$F14)+$BN$1:$BN$5&gt;0)))</f>
        <v>3</v>
      </c>
      <c r="L14" s="0" t="str">
        <f aca="false">IFERROR(INDEX($A$1:$A$5,MATCH(1,$F14:$J14,0)),IF(1=MAX($F14:$J14)+1,"取消",""))</f>
        <v>王师傅</v>
      </c>
      <c r="M14" s="0" t="str">
        <f aca="false">IFERROR(INDEX($A$1:$A$5,MATCH(2,$F14:$J14,0)),IF(2=MAX($F14:$J14)+1,"取消",""))</f>
        <v>陈师傅</v>
      </c>
      <c r="N14" s="0" t="str">
        <f aca="false">IFERROR(INDEX($A$1:$A$5,MATCH(3,$F14:$J14,0)),IF(3=MAX($F14:$J14)+1,"取消",""))</f>
        <v>刘师傅</v>
      </c>
      <c r="O14" s="0" t="str">
        <f aca="false">IFERROR(INDEX($A$1:$A$5,MATCH(4,$F14:$J14,0)),IF(4=MAX($F14:$J14)+1,"取消",""))</f>
        <v>取消</v>
      </c>
      <c r="P14" s="0" t="str">
        <f aca="false">IFERROR(INDEX($A$1:$A$5,MATCH(5,$F14:$J14,0)),IF(5=MAX($F14:$J14)+1,"取消",""))</f>
        <v/>
      </c>
      <c r="Q14" s="0" t="str">
        <f aca="false">IFERROR(INDEX($A$1:$A$5,MATCH(6,$F14:$J14,0)),IF(6=MAX($F14:$J14)+1,"取消",""))</f>
        <v/>
      </c>
      <c r="S14" s="0" t="n">
        <f aca="false">IF(OR($A$1=入户维修!$F14,$A$1=入户维修!$G14,$BN$1=1),0,1-SUMPRODUCT(--(($A$1=入户维修!$F14)+($A$1=入户维修!$G14)+$BN$1&gt;0)))</f>
        <v>0</v>
      </c>
      <c r="T14" s="0" t="n">
        <f aca="false">IF(OR($A$2=入户维修!$F14,$A$2=入户维修!$G14,$BN$2=1),0,2-SUMPRODUCT(--(($A$1:$A$2=入户维修!$F14)+($A$1:$A$2=入户维修!$G14)+$BN$1:$BN$2&gt;0)))</f>
        <v>0</v>
      </c>
      <c r="U14" s="0" t="n">
        <f aca="false">IF(OR($A$3=入户维修!$F14,$A$3=入户维修!$G14,$BN$3=1),0,3-SUMPRODUCT(--(($A$1:$A$3=入户维修!$F14)+($A$1:$A$3=入户维修!$G14)+$BN$1:$BN$3&gt;0)))</f>
        <v>1</v>
      </c>
      <c r="V14" s="0" t="n">
        <f aca="false">IF(OR($A$4=入户维修!$F14,$A$4=入户维修!$G14,$BN$4=1),0,4-SUMPRODUCT(--(($A$1:$A$4=入户维修!$F14)+($A$1:$A$4=入户维修!$G14)+$BN$1:$BN$4&gt;0)))</f>
        <v>2</v>
      </c>
      <c r="W14" s="0" t="n">
        <f aca="false">IF(OR($A$5=入户维修!$F14,$A$5=入户维修!$G14,$BN$5=1),0,5-SUMPRODUCT(--(($A$1:$A$5=入户维修!$F14)+($A$1:$A$5=入户维修!$G14)+$BN$1:$BN$5&gt;0)))</f>
        <v>3</v>
      </c>
      <c r="Y14" s="0" t="str">
        <f aca="false">IFERROR(INDEX($A$1:$A$5,MATCH(1,$S14:$W14,0)),IF(1=MAX($S14:$W14)+1,"取消",""))</f>
        <v>王师傅</v>
      </c>
      <c r="Z14" s="0" t="str">
        <f aca="false">IFERROR(INDEX($A$1:$A$5,MATCH(2,$S14:$W14,0)),IF(2=MAX($S14:$W14)+1,"取消",""))</f>
        <v>陈师傅</v>
      </c>
      <c r="AA14" s="0" t="str">
        <f aca="false">IFERROR(INDEX($A$1:$A$5,MATCH(3,$S14:$W14,0)),IF(3=MAX($S14:$W14)+1,"取消",""))</f>
        <v>刘师傅</v>
      </c>
      <c r="AB14" s="0" t="str">
        <f aca="false">IFERROR(INDEX($A$1:$A$5,MATCH(4,$S14:$W14,0)),IF(4=MAX($S14:$W14)+1,"取消",""))</f>
        <v>取消</v>
      </c>
      <c r="AC14" s="0" t="str">
        <f aca="false">IFERROR(INDEX($A$1:$A$5,MATCH(5,$S14:$W14,0)),IF(5=MAX($S14:$W14)+1,"取消",""))</f>
        <v/>
      </c>
      <c r="AD14" s="0" t="str">
        <f aca="false">IFERROR(INDEX($A$1:$A$5,MATCH(6,$S14:$W14,0)),IF(6=MAX($S14:$W14)+1,"取消",""))</f>
        <v/>
      </c>
      <c r="AF14" s="0" t="n">
        <f aca="false">IF(OR($A$1=公区维修!$F14,$BN$1=1),0,1-SUMPRODUCT(--(($A$1=公区维修!$F14)+$BN$1&gt;0)))</f>
        <v>0</v>
      </c>
      <c r="AG14" s="0" t="n">
        <f aca="false">IF(OR($A$2=公区维修!$F14,$BN$2=1),0,2-SUMPRODUCT(--(($A$1:$A$2=公区维修!$F14)+$BN$1:$BN$2&gt;0)))</f>
        <v>1</v>
      </c>
      <c r="AH14" s="0" t="n">
        <f aca="false">IF(OR($A$3=公区维修!$F14,$BN$3=1),0,3-SUMPRODUCT(--(($A$1:$A$3=公区维修!$F14)+$BN$1:$BN$3&gt;0)))</f>
        <v>2</v>
      </c>
      <c r="AI14" s="0" t="n">
        <f aca="false">IF(OR($A$4=公区维修!$F14,$BN$4=1),0,4-SUMPRODUCT(--(($A$1:$A$4=公区维修!$F14)+$BN$1:$BN$4&gt;0)))</f>
        <v>0</v>
      </c>
      <c r="AJ14" s="0" t="n">
        <f aca="false">IF(OR($A$5=公区维修!$F14,$BN$5=1),0,5-SUMPRODUCT(--(($A$1:$A$5=公区维修!$F14)+$BN$1:$BN$5&gt;0)))</f>
        <v>3</v>
      </c>
      <c r="AL14" s="0" t="str">
        <f aca="false">IFERROR(INDEX($A$1:$A$5,MATCH(1,$AF14:$AJ14,0)),IF(1=MAX($AF14:$AJ14)+1,"取消",""))</f>
        <v>李师傅</v>
      </c>
      <c r="AM14" s="0" t="str">
        <f aca="false">IFERROR(INDEX($A$1:$A$5,MATCH(2,$AF14:$AJ14,0)),IF(2=MAX($AF14:$AJ14)+1,"取消",""))</f>
        <v>王师傅</v>
      </c>
      <c r="AN14" s="0" t="str">
        <f aca="false">IFERROR(INDEX($A$1:$A$5,MATCH(3,$AF14:$AJ14,0)),IF(3=MAX($AF14:$AJ14)+1,"取消",""))</f>
        <v>刘师傅</v>
      </c>
      <c r="AO14" s="0" t="str">
        <f aca="false">IFERROR(INDEX($A$1:$A$5,MATCH(4,$AF14:$AJ14,0)),IF(4=MAX($AF14:$AJ14)+1,"取消",""))</f>
        <v>取消</v>
      </c>
      <c r="AP14" s="0" t="str">
        <f aca="false">IFERROR(INDEX($A$1:$A$5,MATCH(5,$AF14:$AJ14,0)),IF(5=MAX($AF14:$AJ14)+1,"取消",""))</f>
        <v/>
      </c>
      <c r="AQ14" s="0" t="str">
        <f aca="false">IFERROR(INDEX($A$1:$A$5,MATCH(6,$AF14:$AJ14,0)),IF(6=MAX($AF14:$AJ14)+1,"取消",""))</f>
        <v/>
      </c>
      <c r="AS14" s="0" t="n">
        <f aca="false">IF(OR($A$1=公区维修!$F14,$A$1=公区维修!$G14,$BN$1=1),0,1-SUMPRODUCT(--(($A$1=公区维修!$F14)+($A$1=公区维修!$G14)+$BN$1&gt;0)))</f>
        <v>0</v>
      </c>
      <c r="AT14" s="0" t="n">
        <f aca="false">IF(OR($A$2=公区维修!$F14,$A$2=公区维修!$G14,$BN$2=1),0,2-SUMPRODUCT(--(($A$1:$A$2=公区维修!$F14)+($A$1:$A$2=公区维修!$G14)+$BN$1:$BN$2&gt;0)))</f>
        <v>1</v>
      </c>
      <c r="AU14" s="0" t="n">
        <f aca="false">IF(OR($A$3=公区维修!$F14,$A$3=公区维修!$G14,$BN$3=1),0,3-SUMPRODUCT(--(($A$1:$A$3=公区维修!$F14)+($A$1:$A$3=公区维修!$G14)+$BN$1:$BN$3&gt;0)))</f>
        <v>2</v>
      </c>
      <c r="AV14" s="0" t="n">
        <f aca="false">IF(OR($A$4=公区维修!$F14,$A$4=公区维修!$G14,$BN$4=1),0,4-SUMPRODUCT(--(($A$1:$A$4=公区维修!$F14)+($A$1:$A$4=公区维修!$G14)+$BN$1:$BN$4&gt;0)))</f>
        <v>0</v>
      </c>
      <c r="AW14" s="0" t="n">
        <f aca="false">IF(OR($A$5=公区维修!$F14,$A$5=公区维修!$G14,$BN$5=1),0,5-SUMPRODUCT(--(($A$1:$A$5=公区维修!$F14)+($A$1:$A$5=公区维修!$G14)+$BN$1:$BN$5&gt;0)))</f>
        <v>3</v>
      </c>
      <c r="AY14" s="0" t="str">
        <f aca="false">IFERROR(INDEX($A$1:$A$5,MATCH(1,$AS14:$AW14,0)),IF(1=MAX($AS14:$AW14)+1,"取消",""))</f>
        <v>李师傅</v>
      </c>
      <c r="AZ14" s="0" t="str">
        <f aca="false">IFERROR(INDEX($A$1:$A$5,MATCH(2,$AS14:$AW14,0)),IF(2=MAX($AS14:$AW14)+1,"取消",""))</f>
        <v>王师傅</v>
      </c>
      <c r="BA14" s="0" t="str">
        <f aca="false">IFERROR(INDEX($A$1:$A$5,MATCH(3,$AS14:$AW14,0)),IF(3=MAX($AS14:$AW14)+1,"取消",""))</f>
        <v>刘师傅</v>
      </c>
      <c r="BB14" s="0" t="str">
        <f aca="false">IFERROR(INDEX($A$1:$A$5,MATCH(4,$AS14:$AW14,0)),IF(4=MAX($AS14:$AW14)+1,"取消",""))</f>
        <v>取消</v>
      </c>
      <c r="BC14" s="0" t="str">
        <f aca="false">IFERROR(INDEX($A$1:$A$5,MATCH(5,$AS14:$AW14,0)),IF(5=MAX($AS14:$AW14)+1,"取消",""))</f>
        <v/>
      </c>
      <c r="BD14" s="0" t="str">
        <f aca="false">IFERROR(INDEX($A$1:$A$5,MATCH(6,$AS14:$AW14,0)),IF(6=MAX($AS14:$AW14)+1,"取消",""))</f>
        <v/>
      </c>
      <c r="FW14" s="0" t="str">
        <f aca="false">IF(AND(单元查询!$D$3&lt;&gt;"",IF(单元查询!$B$3="公区维修",公区维修!$E14&lt;&gt;"",入户维修!$E14&lt;&gt;""),IF(单元查询!$B$3="公区维修",公区维修!$C14,入户维修!$C14)=单元查询!$D$3,OR(单元查询!$F$3="",IF(单元查询!$B$3="公区维修",公区维修!$D14,入户维修!$D14)&amp;""=(单元查询!$F$3)&amp;"")),MAX($FW$4:$FW13)+1,"")</f>
        <v/>
      </c>
      <c r="FY14" s="0" t="n">
        <f aca="false">IFERROR(MATCH(14,$FW$5:$FW$404,0),"")</f>
        <v>85</v>
      </c>
    </row>
    <row r="15" customFormat="false" ht="15" hidden="false" customHeight="true" outlineLevel="0" collapsed="false">
      <c r="F15" s="0" t="n">
        <f aca="false">IF(OR($A$1=入户维修!$F15,$BN$1=1),0,1-SUMPRODUCT(--(($A$1=入户维修!$F15)+$BN$1&gt;0)))</f>
        <v>0</v>
      </c>
      <c r="G15" s="0" t="n">
        <f aca="false">IF(OR($A$2=入户维修!$F15,$BN$2=1),0,2-SUMPRODUCT(--(($A$1:$A$2=入户维修!$F15)+$BN$1:$BN$2&gt;0)))</f>
        <v>0</v>
      </c>
      <c r="H15" s="0" t="n">
        <f aca="false">IF(OR($A$3=入户维修!$F15,$BN$3=1),0,3-SUMPRODUCT(--(($A$1:$A$3=入户维修!$F15)+$BN$1:$BN$3&gt;0)))</f>
        <v>1</v>
      </c>
      <c r="I15" s="0" t="n">
        <f aca="false">IF(OR($A$4=入户维修!$F15,$BN$4=1),0,4-SUMPRODUCT(--(($A$1:$A$4=入户维修!$F15)+$BN$1:$BN$4&gt;0)))</f>
        <v>2</v>
      </c>
      <c r="J15" s="0" t="n">
        <f aca="false">IF(OR($A$5=入户维修!$F15,$BN$5=1),0,5-SUMPRODUCT(--(($A$1:$A$5=入户维修!$F15)+$BN$1:$BN$5&gt;0)))</f>
        <v>3</v>
      </c>
      <c r="L15" s="0" t="str">
        <f aca="false">IFERROR(INDEX($A$1:$A$5,MATCH(1,$F15:$J15,0)),IF(1=MAX($F15:$J15)+1,"取消",""))</f>
        <v>王师傅</v>
      </c>
      <c r="M15" s="0" t="str">
        <f aca="false">IFERROR(INDEX($A$1:$A$5,MATCH(2,$F15:$J15,0)),IF(2=MAX($F15:$J15)+1,"取消",""))</f>
        <v>陈师傅</v>
      </c>
      <c r="N15" s="0" t="str">
        <f aca="false">IFERROR(INDEX($A$1:$A$5,MATCH(3,$F15:$J15,0)),IF(3=MAX($F15:$J15)+1,"取消",""))</f>
        <v>刘师傅</v>
      </c>
      <c r="O15" s="0" t="str">
        <f aca="false">IFERROR(INDEX($A$1:$A$5,MATCH(4,$F15:$J15,0)),IF(4=MAX($F15:$J15)+1,"取消",""))</f>
        <v>取消</v>
      </c>
      <c r="P15" s="0" t="str">
        <f aca="false">IFERROR(INDEX($A$1:$A$5,MATCH(5,$F15:$J15,0)),IF(5=MAX($F15:$J15)+1,"取消",""))</f>
        <v/>
      </c>
      <c r="Q15" s="0" t="str">
        <f aca="false">IFERROR(INDEX($A$1:$A$5,MATCH(6,$F15:$J15,0)),IF(6=MAX($F15:$J15)+1,"取消",""))</f>
        <v/>
      </c>
      <c r="S15" s="0" t="n">
        <f aca="false">IF(OR($A$1=入户维修!$F15,$A$1=入户维修!$G15,$BN$1=1),0,1-SUMPRODUCT(--(($A$1=入户维修!$F15)+($A$1=入户维修!$G15)+$BN$1&gt;0)))</f>
        <v>0</v>
      </c>
      <c r="T15" s="0" t="n">
        <f aca="false">IF(OR($A$2=入户维修!$F15,$A$2=入户维修!$G15,$BN$2=1),0,2-SUMPRODUCT(--(($A$1:$A$2=入户维修!$F15)+($A$1:$A$2=入户维修!$G15)+$BN$1:$BN$2&gt;0)))</f>
        <v>0</v>
      </c>
      <c r="U15" s="0" t="n">
        <f aca="false">IF(OR($A$3=入户维修!$F15,$A$3=入户维修!$G15,$BN$3=1),0,3-SUMPRODUCT(--(($A$1:$A$3=入户维修!$F15)+($A$1:$A$3=入户维修!$G15)+$BN$1:$BN$3&gt;0)))</f>
        <v>1</v>
      </c>
      <c r="V15" s="0" t="n">
        <f aca="false">IF(OR($A$4=入户维修!$F15,$A$4=入户维修!$G15,$BN$4=1),0,4-SUMPRODUCT(--(($A$1:$A$4=入户维修!$F15)+($A$1:$A$4=入户维修!$G15)+$BN$1:$BN$4&gt;0)))</f>
        <v>2</v>
      </c>
      <c r="W15" s="0" t="n">
        <f aca="false">IF(OR($A$5=入户维修!$F15,$A$5=入户维修!$G15,$BN$5=1),0,5-SUMPRODUCT(--(($A$1:$A$5=入户维修!$F15)+($A$1:$A$5=入户维修!$G15)+$BN$1:$BN$5&gt;0)))</f>
        <v>3</v>
      </c>
      <c r="Y15" s="0" t="str">
        <f aca="false">IFERROR(INDEX($A$1:$A$5,MATCH(1,$S15:$W15,0)),IF(1=MAX($S15:$W15)+1,"取消",""))</f>
        <v>王师傅</v>
      </c>
      <c r="Z15" s="0" t="str">
        <f aca="false">IFERROR(INDEX($A$1:$A$5,MATCH(2,$S15:$W15,0)),IF(2=MAX($S15:$W15)+1,"取消",""))</f>
        <v>陈师傅</v>
      </c>
      <c r="AA15" s="0" t="str">
        <f aca="false">IFERROR(INDEX($A$1:$A$5,MATCH(3,$S15:$W15,0)),IF(3=MAX($S15:$W15)+1,"取消",""))</f>
        <v>刘师傅</v>
      </c>
      <c r="AB15" s="0" t="str">
        <f aca="false">IFERROR(INDEX($A$1:$A$5,MATCH(4,$S15:$W15,0)),IF(4=MAX($S15:$W15)+1,"取消",""))</f>
        <v>取消</v>
      </c>
      <c r="AC15" s="0" t="str">
        <f aca="false">IFERROR(INDEX($A$1:$A$5,MATCH(5,$S15:$W15,0)),IF(5=MAX($S15:$W15)+1,"取消",""))</f>
        <v/>
      </c>
      <c r="AD15" s="0" t="str">
        <f aca="false">IFERROR(INDEX($A$1:$A$5,MATCH(6,$S15:$W15,0)),IF(6=MAX($S15:$W15)+1,"取消",""))</f>
        <v/>
      </c>
      <c r="AF15" s="0" t="n">
        <f aca="false">IF(OR($A$1=公区维修!$F15,$BN$1=1),0,1-SUMPRODUCT(--(($A$1=公区维修!$F15)+$BN$1&gt;0)))</f>
        <v>0</v>
      </c>
      <c r="AG15" s="0" t="n">
        <f aca="false">IF(OR($A$2=公区维修!$F15,$BN$2=1),0,2-SUMPRODUCT(--(($A$1:$A$2=公区维修!$F15)+$BN$1:$BN$2&gt;0)))</f>
        <v>1</v>
      </c>
      <c r="AH15" s="0" t="n">
        <f aca="false">IF(OR($A$3=公区维修!$F15,$BN$3=1),0,3-SUMPRODUCT(--(($A$1:$A$3=公区维修!$F15)+$BN$1:$BN$3&gt;0)))</f>
        <v>2</v>
      </c>
      <c r="AI15" s="0" t="n">
        <f aca="false">IF(OR($A$4=公区维修!$F15,$BN$4=1),0,4-SUMPRODUCT(--(($A$1:$A$4=公区维修!$F15)+$BN$1:$BN$4&gt;0)))</f>
        <v>0</v>
      </c>
      <c r="AJ15" s="0" t="n">
        <f aca="false">IF(OR($A$5=公区维修!$F15,$BN$5=1),0,5-SUMPRODUCT(--(($A$1:$A$5=公区维修!$F15)+$BN$1:$BN$5&gt;0)))</f>
        <v>3</v>
      </c>
      <c r="AL15" s="0" t="str">
        <f aca="false">IFERROR(INDEX($A$1:$A$5,MATCH(1,$AF15:$AJ15,0)),IF(1=MAX($AF15:$AJ15)+1,"取消",""))</f>
        <v>李师傅</v>
      </c>
      <c r="AM15" s="0" t="str">
        <f aca="false">IFERROR(INDEX($A$1:$A$5,MATCH(2,$AF15:$AJ15,0)),IF(2=MAX($AF15:$AJ15)+1,"取消",""))</f>
        <v>王师傅</v>
      </c>
      <c r="AN15" s="0" t="str">
        <f aca="false">IFERROR(INDEX($A$1:$A$5,MATCH(3,$AF15:$AJ15,0)),IF(3=MAX($AF15:$AJ15)+1,"取消",""))</f>
        <v>刘师傅</v>
      </c>
      <c r="AO15" s="0" t="str">
        <f aca="false">IFERROR(INDEX($A$1:$A$5,MATCH(4,$AF15:$AJ15,0)),IF(4=MAX($AF15:$AJ15)+1,"取消",""))</f>
        <v>取消</v>
      </c>
      <c r="AP15" s="0" t="str">
        <f aca="false">IFERROR(INDEX($A$1:$A$5,MATCH(5,$AF15:$AJ15,0)),IF(5=MAX($AF15:$AJ15)+1,"取消",""))</f>
        <v/>
      </c>
      <c r="AQ15" s="0" t="str">
        <f aca="false">IFERROR(INDEX($A$1:$A$5,MATCH(6,$AF15:$AJ15,0)),IF(6=MAX($AF15:$AJ15)+1,"取消",""))</f>
        <v/>
      </c>
      <c r="AS15" s="0" t="n">
        <f aca="false">IF(OR($A$1=公区维修!$F15,$A$1=公区维修!$G15,$BN$1=1),0,1-SUMPRODUCT(--(($A$1=公区维修!$F15)+($A$1=公区维修!$G15)+$BN$1&gt;0)))</f>
        <v>0</v>
      </c>
      <c r="AT15" s="0" t="n">
        <f aca="false">IF(OR($A$2=公区维修!$F15,$A$2=公区维修!$G15,$BN$2=1),0,2-SUMPRODUCT(--(($A$1:$A$2=公区维修!$F15)+($A$1:$A$2=公区维修!$G15)+$BN$1:$BN$2&gt;0)))</f>
        <v>1</v>
      </c>
      <c r="AU15" s="0" t="n">
        <f aca="false">IF(OR($A$3=公区维修!$F15,$A$3=公区维修!$G15,$BN$3=1),0,3-SUMPRODUCT(--(($A$1:$A$3=公区维修!$F15)+($A$1:$A$3=公区维修!$G15)+$BN$1:$BN$3&gt;0)))</f>
        <v>0</v>
      </c>
      <c r="AV15" s="0" t="n">
        <f aca="false">IF(OR($A$4=公区维修!$F15,$A$4=公区维修!$G15,$BN$4=1),0,4-SUMPRODUCT(--(($A$1:$A$4=公区维修!$F15)+($A$1:$A$4=公区维修!$G15)+$BN$1:$BN$4&gt;0)))</f>
        <v>0</v>
      </c>
      <c r="AW15" s="0" t="n">
        <f aca="false">IF(OR($A$5=公区维修!$F15,$A$5=公区维修!$G15,$BN$5=1),0,5-SUMPRODUCT(--(($A$1:$A$5=公区维修!$F15)+($A$1:$A$5=公区维修!$G15)+$BN$1:$BN$5&gt;0)))</f>
        <v>2</v>
      </c>
      <c r="AY15" s="0" t="str">
        <f aca="false">IFERROR(INDEX($A$1:$A$5,MATCH(1,$AS15:$AW15,0)),IF(1=MAX($AS15:$AW15)+1,"取消",""))</f>
        <v>李师傅</v>
      </c>
      <c r="AZ15" s="0" t="str">
        <f aca="false">IFERROR(INDEX($A$1:$A$5,MATCH(2,$AS15:$AW15,0)),IF(2=MAX($AS15:$AW15)+1,"取消",""))</f>
        <v>刘师傅</v>
      </c>
      <c r="BA15" s="0" t="str">
        <f aca="false">IFERROR(INDEX($A$1:$A$5,MATCH(3,$AS15:$AW15,0)),IF(3=MAX($AS15:$AW15)+1,"取消",""))</f>
        <v>取消</v>
      </c>
      <c r="BB15" s="0" t="str">
        <f aca="false">IFERROR(INDEX($A$1:$A$5,MATCH(4,$AS15:$AW15,0)),IF(4=MAX($AS15:$AW15)+1,"取消",""))</f>
        <v/>
      </c>
      <c r="BC15" s="0" t="str">
        <f aca="false">IFERROR(INDEX($A$1:$A$5,MATCH(5,$AS15:$AW15,0)),IF(5=MAX($AS15:$AW15)+1,"取消",""))</f>
        <v/>
      </c>
      <c r="BD15" s="0" t="str">
        <f aca="false">IFERROR(INDEX($A$1:$A$5,MATCH(6,$AS15:$AW15,0)),IF(6=MAX($AS15:$AW15)+1,"取消",""))</f>
        <v/>
      </c>
      <c r="FW15" s="0" t="str">
        <f aca="false">IF(AND(单元查询!$D$3&lt;&gt;"",IF(单元查询!$B$3="公区维修",公区维修!$E15&lt;&gt;"",入户维修!$E15&lt;&gt;""),IF(单元查询!$B$3="公区维修",公区维修!$C15,入户维修!$C15)=单元查询!$D$3,OR(单元查询!$F$3="",IF(单元查询!$B$3="公区维修",公区维修!$D15,入户维修!$D15)&amp;""=(单元查询!$F$3)&amp;"")),MAX($FW$4:$FW14)+1,"")</f>
        <v/>
      </c>
      <c r="FY15" s="0" t="n">
        <f aca="false">IFERROR(MATCH(15,$FW$5:$FW$404,0),"")</f>
        <v>96</v>
      </c>
    </row>
    <row r="16" customFormat="false" ht="15" hidden="false" customHeight="true" outlineLevel="0" collapsed="false">
      <c r="F16" s="0" t="n">
        <f aca="false">IF(OR($A$1=入户维修!$F16,$BN$1=1),0,1-SUMPRODUCT(--(($A$1=入户维修!$F16)+$BN$1&gt;0)))</f>
        <v>0</v>
      </c>
      <c r="G16" s="0" t="n">
        <f aca="false">IF(OR($A$2=入户维修!$F16,$BN$2=1),0,2-SUMPRODUCT(--(($A$1:$A$2=入户维修!$F16)+$BN$1:$BN$2&gt;0)))</f>
        <v>0</v>
      </c>
      <c r="H16" s="0" t="n">
        <f aca="false">IF(OR($A$3=入户维修!$F16,$BN$3=1),0,3-SUMPRODUCT(--(($A$1:$A$3=入户维修!$F16)+$BN$1:$BN$3&gt;0)))</f>
        <v>1</v>
      </c>
      <c r="I16" s="0" t="n">
        <f aca="false">IF(OR($A$4=入户维修!$F16,$BN$4=1),0,4-SUMPRODUCT(--(($A$1:$A$4=入户维修!$F16)+$BN$1:$BN$4&gt;0)))</f>
        <v>2</v>
      </c>
      <c r="J16" s="0" t="n">
        <f aca="false">IF(OR($A$5=入户维修!$F16,$BN$5=1),0,5-SUMPRODUCT(--(($A$1:$A$5=入户维修!$F16)+$BN$1:$BN$5&gt;0)))</f>
        <v>3</v>
      </c>
      <c r="L16" s="0" t="str">
        <f aca="false">IFERROR(INDEX($A$1:$A$5,MATCH(1,$F16:$J16,0)),IF(1=MAX($F16:$J16)+1,"取消",""))</f>
        <v>王师傅</v>
      </c>
      <c r="M16" s="0" t="str">
        <f aca="false">IFERROR(INDEX($A$1:$A$5,MATCH(2,$F16:$J16,0)),IF(2=MAX($F16:$J16)+1,"取消",""))</f>
        <v>陈师傅</v>
      </c>
      <c r="N16" s="0" t="str">
        <f aca="false">IFERROR(INDEX($A$1:$A$5,MATCH(3,$F16:$J16,0)),IF(3=MAX($F16:$J16)+1,"取消",""))</f>
        <v>刘师傅</v>
      </c>
      <c r="O16" s="0" t="str">
        <f aca="false">IFERROR(INDEX($A$1:$A$5,MATCH(4,$F16:$J16,0)),IF(4=MAX($F16:$J16)+1,"取消",""))</f>
        <v>取消</v>
      </c>
      <c r="P16" s="0" t="str">
        <f aca="false">IFERROR(INDEX($A$1:$A$5,MATCH(5,$F16:$J16,0)),IF(5=MAX($F16:$J16)+1,"取消",""))</f>
        <v/>
      </c>
      <c r="Q16" s="0" t="str">
        <f aca="false">IFERROR(INDEX($A$1:$A$5,MATCH(6,$F16:$J16,0)),IF(6=MAX($F16:$J16)+1,"取消",""))</f>
        <v/>
      </c>
      <c r="S16" s="0" t="n">
        <f aca="false">IF(OR($A$1=入户维修!$F16,$A$1=入户维修!$G16,$BN$1=1),0,1-SUMPRODUCT(--(($A$1=入户维修!$F16)+($A$1=入户维修!$G16)+$BN$1&gt;0)))</f>
        <v>0</v>
      </c>
      <c r="T16" s="0" t="n">
        <f aca="false">IF(OR($A$2=入户维修!$F16,$A$2=入户维修!$G16,$BN$2=1),0,2-SUMPRODUCT(--(($A$1:$A$2=入户维修!$F16)+($A$1:$A$2=入户维修!$G16)+$BN$1:$BN$2&gt;0)))</f>
        <v>0</v>
      </c>
      <c r="U16" s="0" t="n">
        <f aca="false">IF(OR($A$3=入户维修!$F16,$A$3=入户维修!$G16,$BN$3=1),0,3-SUMPRODUCT(--(($A$1:$A$3=入户维修!$F16)+($A$1:$A$3=入户维修!$G16)+$BN$1:$BN$3&gt;0)))</f>
        <v>1</v>
      </c>
      <c r="V16" s="0" t="n">
        <f aca="false">IF(OR($A$4=入户维修!$F16,$A$4=入户维修!$G16,$BN$4=1),0,4-SUMPRODUCT(--(($A$1:$A$4=入户维修!$F16)+($A$1:$A$4=入户维修!$G16)+$BN$1:$BN$4&gt;0)))</f>
        <v>2</v>
      </c>
      <c r="W16" s="0" t="n">
        <f aca="false">IF(OR($A$5=入户维修!$F16,$A$5=入户维修!$G16,$BN$5=1),0,5-SUMPRODUCT(--(($A$1:$A$5=入户维修!$F16)+($A$1:$A$5=入户维修!$G16)+$BN$1:$BN$5&gt;0)))</f>
        <v>3</v>
      </c>
      <c r="Y16" s="0" t="str">
        <f aca="false">IFERROR(INDEX($A$1:$A$5,MATCH(1,$S16:$W16,0)),IF(1=MAX($S16:$W16)+1,"取消",""))</f>
        <v>王师傅</v>
      </c>
      <c r="Z16" s="0" t="str">
        <f aca="false">IFERROR(INDEX($A$1:$A$5,MATCH(2,$S16:$W16,0)),IF(2=MAX($S16:$W16)+1,"取消",""))</f>
        <v>陈师傅</v>
      </c>
      <c r="AA16" s="0" t="str">
        <f aca="false">IFERROR(INDEX($A$1:$A$5,MATCH(3,$S16:$W16,0)),IF(3=MAX($S16:$W16)+1,"取消",""))</f>
        <v>刘师傅</v>
      </c>
      <c r="AB16" s="0" t="str">
        <f aca="false">IFERROR(INDEX($A$1:$A$5,MATCH(4,$S16:$W16,0)),IF(4=MAX($S16:$W16)+1,"取消",""))</f>
        <v>取消</v>
      </c>
      <c r="AC16" s="0" t="str">
        <f aca="false">IFERROR(INDEX($A$1:$A$5,MATCH(5,$S16:$W16,0)),IF(5=MAX($S16:$W16)+1,"取消",""))</f>
        <v/>
      </c>
      <c r="AD16" s="0" t="str">
        <f aca="false">IFERROR(INDEX($A$1:$A$5,MATCH(6,$S16:$W16,0)),IF(6=MAX($S16:$W16)+1,"取消",""))</f>
        <v/>
      </c>
      <c r="AF16" s="0" t="n">
        <f aca="false">IF(OR($A$1=公区维修!$F16,$BN$1=1),0,1-SUMPRODUCT(--(($A$1=公区维修!$F16)+$BN$1&gt;0)))</f>
        <v>0</v>
      </c>
      <c r="AG16" s="0" t="n">
        <f aca="false">IF(OR($A$2=公区维修!$F16,$BN$2=1),0,2-SUMPRODUCT(--(($A$1:$A$2=公区维修!$F16)+$BN$1:$BN$2&gt;0)))</f>
        <v>1</v>
      </c>
      <c r="AH16" s="0" t="n">
        <f aca="false">IF(OR($A$3=公区维修!$F16,$BN$3=1),0,3-SUMPRODUCT(--(($A$1:$A$3=公区维修!$F16)+$BN$1:$BN$3&gt;0)))</f>
        <v>2</v>
      </c>
      <c r="AI16" s="0" t="n">
        <f aca="false">IF(OR($A$4=公区维修!$F16,$BN$4=1),0,4-SUMPRODUCT(--(($A$1:$A$4=公区维修!$F16)+$BN$1:$BN$4&gt;0)))</f>
        <v>3</v>
      </c>
      <c r="AJ16" s="0" t="n">
        <f aca="false">IF(OR($A$5=公区维修!$F16,$BN$5=1),0,5-SUMPRODUCT(--(($A$1:$A$5=公区维修!$F16)+$BN$1:$BN$5&gt;0)))</f>
        <v>4</v>
      </c>
      <c r="AL16" s="0" t="str">
        <f aca="false">IFERROR(INDEX($A$1:$A$5,MATCH(1,$AF16:$AJ16,0)),IF(1=MAX($AF16:$AJ16)+1,"取消",""))</f>
        <v>李师傅</v>
      </c>
      <c r="AM16" s="0" t="str">
        <f aca="false">IFERROR(INDEX($A$1:$A$5,MATCH(2,$AF16:$AJ16,0)),IF(2=MAX($AF16:$AJ16)+1,"取消",""))</f>
        <v>王师傅</v>
      </c>
      <c r="AN16" s="0" t="str">
        <f aca="false">IFERROR(INDEX($A$1:$A$5,MATCH(3,$AF16:$AJ16,0)),IF(3=MAX($AF16:$AJ16)+1,"取消",""))</f>
        <v>陈师傅</v>
      </c>
      <c r="AO16" s="0" t="str">
        <f aca="false">IFERROR(INDEX($A$1:$A$5,MATCH(4,$AF16:$AJ16,0)),IF(4=MAX($AF16:$AJ16)+1,"取消",""))</f>
        <v>刘师傅</v>
      </c>
      <c r="AP16" s="0" t="str">
        <f aca="false">IFERROR(INDEX($A$1:$A$5,MATCH(5,$AF16:$AJ16,0)),IF(5=MAX($AF16:$AJ16)+1,"取消",""))</f>
        <v>取消</v>
      </c>
      <c r="AQ16" s="0" t="str">
        <f aca="false">IFERROR(INDEX($A$1:$A$5,MATCH(6,$AF16:$AJ16,0)),IF(6=MAX($AF16:$AJ16)+1,"取消",""))</f>
        <v/>
      </c>
      <c r="AS16" s="0" t="n">
        <f aca="false">IF(OR($A$1=公区维修!$F16,$A$1=公区维修!$G16,$BN$1=1),0,1-SUMPRODUCT(--(($A$1=公区维修!$F16)+($A$1=公区维修!$G16)+$BN$1&gt;0)))</f>
        <v>0</v>
      </c>
      <c r="AT16" s="0" t="n">
        <f aca="false">IF(OR($A$2=公区维修!$F16,$A$2=公区维修!$G16,$BN$2=1),0,2-SUMPRODUCT(--(($A$1:$A$2=公区维修!$F16)+($A$1:$A$2=公区维修!$G16)+$BN$1:$BN$2&gt;0)))</f>
        <v>1</v>
      </c>
      <c r="AU16" s="0" t="n">
        <f aca="false">IF(OR($A$3=公区维修!$F16,$A$3=公区维修!$G16,$BN$3=1),0,3-SUMPRODUCT(--(($A$1:$A$3=公区维修!$F16)+($A$1:$A$3=公区维修!$G16)+$BN$1:$BN$3&gt;0)))</f>
        <v>2</v>
      </c>
      <c r="AV16" s="0" t="n">
        <f aca="false">IF(OR($A$4=公区维修!$F16,$A$4=公区维修!$G16,$BN$4=1),0,4-SUMPRODUCT(--(($A$1:$A$4=公区维修!$F16)+($A$1:$A$4=公区维修!$G16)+$BN$1:$BN$4&gt;0)))</f>
        <v>3</v>
      </c>
      <c r="AW16" s="0" t="n">
        <f aca="false">IF(OR($A$5=公区维修!$F16,$A$5=公区维修!$G16,$BN$5=1),0,5-SUMPRODUCT(--(($A$1:$A$5=公区维修!$F16)+($A$1:$A$5=公区维修!$G16)+$BN$1:$BN$5&gt;0)))</f>
        <v>4</v>
      </c>
      <c r="AY16" s="0" t="str">
        <f aca="false">IFERROR(INDEX($A$1:$A$5,MATCH(1,$AS16:$AW16,0)),IF(1=MAX($AS16:$AW16)+1,"取消",""))</f>
        <v>李师傅</v>
      </c>
      <c r="AZ16" s="0" t="str">
        <f aca="false">IFERROR(INDEX($A$1:$A$5,MATCH(2,$AS16:$AW16,0)),IF(2=MAX($AS16:$AW16)+1,"取消",""))</f>
        <v>王师傅</v>
      </c>
      <c r="BA16" s="0" t="str">
        <f aca="false">IFERROR(INDEX($A$1:$A$5,MATCH(3,$AS16:$AW16,0)),IF(3=MAX($AS16:$AW16)+1,"取消",""))</f>
        <v>陈师傅</v>
      </c>
      <c r="BB16" s="0" t="str">
        <f aca="false">IFERROR(INDEX($A$1:$A$5,MATCH(4,$AS16:$AW16,0)),IF(4=MAX($AS16:$AW16)+1,"取消",""))</f>
        <v>刘师傅</v>
      </c>
      <c r="BC16" s="0" t="str">
        <f aca="false">IFERROR(INDEX($A$1:$A$5,MATCH(5,$AS16:$AW16,0)),IF(5=MAX($AS16:$AW16)+1,"取消",""))</f>
        <v>取消</v>
      </c>
      <c r="BD16" s="0" t="str">
        <f aca="false">IFERROR(INDEX($A$1:$A$5,MATCH(6,$AS16:$AW16,0)),IF(6=MAX($AS16:$AW16)+1,"取消",""))</f>
        <v/>
      </c>
      <c r="FW16" s="0" t="str">
        <f aca="false">IF(AND(单元查询!$D$3&lt;&gt;"",IF(单元查询!$B$3="公区维修",公区维修!$E16&lt;&gt;"",入户维修!$E16&lt;&gt;""),IF(单元查询!$B$3="公区维修",公区维修!$C16,入户维修!$C16)=单元查询!$D$3,OR(单元查询!$F$3="",IF(单元查询!$B$3="公区维修",公区维修!$D16,入户维修!$D16)&amp;""=(单元查询!$F$3)&amp;"")),MAX($FW$4:$FW15)+1,"")</f>
        <v/>
      </c>
      <c r="FY16" s="0" t="n">
        <f aca="false">IFERROR(MATCH(16,$FW$5:$FW$404,0),"")</f>
        <v>106</v>
      </c>
    </row>
    <row r="17" customFormat="false" ht="15" hidden="false" customHeight="true" outlineLevel="0" collapsed="false">
      <c r="F17" s="0" t="n">
        <f aca="false">IF(OR($A$1=入户维修!$F17,$BN$1=1),0,1-SUMPRODUCT(--(($A$1=入户维修!$F17)+$BN$1&gt;0)))</f>
        <v>0</v>
      </c>
      <c r="G17" s="0" t="n">
        <f aca="false">IF(OR($A$2=入户维修!$F17,$BN$2=1),0,2-SUMPRODUCT(--(($A$1:$A$2=入户维修!$F17)+$BN$1:$BN$2&gt;0)))</f>
        <v>1</v>
      </c>
      <c r="H17" s="0" t="n">
        <f aca="false">IF(OR($A$3=入户维修!$F17,$BN$3=1),0,3-SUMPRODUCT(--(($A$1:$A$3=入户维修!$F17)+$BN$1:$BN$3&gt;0)))</f>
        <v>2</v>
      </c>
      <c r="I17" s="0" t="n">
        <f aca="false">IF(OR($A$4=入户维修!$F17,$BN$4=1),0,4-SUMPRODUCT(--(($A$1:$A$4=入户维修!$F17)+$BN$1:$BN$4&gt;0)))</f>
        <v>3</v>
      </c>
      <c r="J17" s="0" t="n">
        <f aca="false">IF(OR($A$5=入户维修!$F17,$BN$5=1),0,5-SUMPRODUCT(--(($A$1:$A$5=入户维修!$F17)+$BN$1:$BN$5&gt;0)))</f>
        <v>0</v>
      </c>
      <c r="L17" s="0" t="str">
        <f aca="false">IFERROR(INDEX($A$1:$A$5,MATCH(1,$F17:$J17,0)),IF(1=MAX($F17:$J17)+1,"取消",""))</f>
        <v>李师傅</v>
      </c>
      <c r="M17" s="0" t="str">
        <f aca="false">IFERROR(INDEX($A$1:$A$5,MATCH(2,$F17:$J17,0)),IF(2=MAX($F17:$J17)+1,"取消",""))</f>
        <v>王师傅</v>
      </c>
      <c r="N17" s="0" t="str">
        <f aca="false">IFERROR(INDEX($A$1:$A$5,MATCH(3,$F17:$J17,0)),IF(3=MAX($F17:$J17)+1,"取消",""))</f>
        <v>陈师傅</v>
      </c>
      <c r="O17" s="0" t="str">
        <f aca="false">IFERROR(INDEX($A$1:$A$5,MATCH(4,$F17:$J17,0)),IF(4=MAX($F17:$J17)+1,"取消",""))</f>
        <v>取消</v>
      </c>
      <c r="P17" s="0" t="str">
        <f aca="false">IFERROR(INDEX($A$1:$A$5,MATCH(5,$F17:$J17,0)),IF(5=MAX($F17:$J17)+1,"取消",""))</f>
        <v/>
      </c>
      <c r="Q17" s="0" t="str">
        <f aca="false">IFERROR(INDEX($A$1:$A$5,MATCH(6,$F17:$J17,0)),IF(6=MAX($F17:$J17)+1,"取消",""))</f>
        <v/>
      </c>
      <c r="S17" s="0" t="n">
        <f aca="false">IF(OR($A$1=入户维修!$F17,$A$1=入户维修!$G17,$BN$1=1),0,1-SUMPRODUCT(--(($A$1=入户维修!$F17)+($A$1=入户维修!$G17)+$BN$1&gt;0)))</f>
        <v>0</v>
      </c>
      <c r="T17" s="0" t="n">
        <f aca="false">IF(OR($A$2=入户维修!$F17,$A$2=入户维修!$G17,$BN$2=1),0,2-SUMPRODUCT(--(($A$1:$A$2=入户维修!$F17)+($A$1:$A$2=入户维修!$G17)+$BN$1:$BN$2&gt;0)))</f>
        <v>1</v>
      </c>
      <c r="U17" s="0" t="n">
        <f aca="false">IF(OR($A$3=入户维修!$F17,$A$3=入户维修!$G17,$BN$3=1),0,3-SUMPRODUCT(--(($A$1:$A$3=入户维修!$F17)+($A$1:$A$3=入户维修!$G17)+$BN$1:$BN$3&gt;0)))</f>
        <v>2</v>
      </c>
      <c r="V17" s="0" t="n">
        <f aca="false">IF(OR($A$4=入户维修!$F17,$A$4=入户维修!$G17,$BN$4=1),0,4-SUMPRODUCT(--(($A$1:$A$4=入户维修!$F17)+($A$1:$A$4=入户维修!$G17)+$BN$1:$BN$4&gt;0)))</f>
        <v>3</v>
      </c>
      <c r="W17" s="0" t="n">
        <f aca="false">IF(OR($A$5=入户维修!$F17,$A$5=入户维修!$G17,$BN$5=1),0,5-SUMPRODUCT(--(($A$1:$A$5=入户维修!$F17)+($A$1:$A$5=入户维修!$G17)+$BN$1:$BN$5&gt;0)))</f>
        <v>0</v>
      </c>
      <c r="Y17" s="0" t="str">
        <f aca="false">IFERROR(INDEX($A$1:$A$5,MATCH(1,$S17:$W17,0)),IF(1=MAX($S17:$W17)+1,"取消",""))</f>
        <v>李师傅</v>
      </c>
      <c r="Z17" s="0" t="str">
        <f aca="false">IFERROR(INDEX($A$1:$A$5,MATCH(2,$S17:$W17,0)),IF(2=MAX($S17:$W17)+1,"取消",""))</f>
        <v>王师傅</v>
      </c>
      <c r="AA17" s="0" t="str">
        <f aca="false">IFERROR(INDEX($A$1:$A$5,MATCH(3,$S17:$W17,0)),IF(3=MAX($S17:$W17)+1,"取消",""))</f>
        <v>陈师傅</v>
      </c>
      <c r="AB17" s="0" t="str">
        <f aca="false">IFERROR(INDEX($A$1:$A$5,MATCH(4,$S17:$W17,0)),IF(4=MAX($S17:$W17)+1,"取消",""))</f>
        <v>取消</v>
      </c>
      <c r="AC17" s="0" t="str">
        <f aca="false">IFERROR(INDEX($A$1:$A$5,MATCH(5,$S17:$W17,0)),IF(5=MAX($S17:$W17)+1,"取消",""))</f>
        <v/>
      </c>
      <c r="AD17" s="0" t="str">
        <f aca="false">IFERROR(INDEX($A$1:$A$5,MATCH(6,$S17:$W17,0)),IF(6=MAX($S17:$W17)+1,"取消",""))</f>
        <v/>
      </c>
      <c r="AF17" s="0" t="n">
        <f aca="false">IF(OR($A$1=公区维修!$F17,$BN$1=1),0,1-SUMPRODUCT(--(($A$1=公区维修!$F17)+$BN$1&gt;0)))</f>
        <v>0</v>
      </c>
      <c r="AG17" s="0" t="n">
        <f aca="false">IF(OR($A$2=公区维修!$F17,$BN$2=1),0,2-SUMPRODUCT(--(($A$1:$A$2=公区维修!$F17)+$BN$1:$BN$2&gt;0)))</f>
        <v>1</v>
      </c>
      <c r="AH17" s="0" t="n">
        <f aca="false">IF(OR($A$3=公区维修!$F17,$BN$3=1),0,3-SUMPRODUCT(--(($A$1:$A$3=公区维修!$F17)+$BN$1:$BN$3&gt;0)))</f>
        <v>2</v>
      </c>
      <c r="AI17" s="0" t="n">
        <f aca="false">IF(OR($A$4=公区维修!$F17,$BN$4=1),0,4-SUMPRODUCT(--(($A$1:$A$4=公区维修!$F17)+$BN$1:$BN$4&gt;0)))</f>
        <v>3</v>
      </c>
      <c r="AJ17" s="0" t="n">
        <f aca="false">IF(OR($A$5=公区维修!$F17,$BN$5=1),0,5-SUMPRODUCT(--(($A$1:$A$5=公区维修!$F17)+$BN$1:$BN$5&gt;0)))</f>
        <v>4</v>
      </c>
      <c r="AL17" s="0" t="str">
        <f aca="false">IFERROR(INDEX($A$1:$A$5,MATCH(1,$AF17:$AJ17,0)),IF(1=MAX($AF17:$AJ17)+1,"取消",""))</f>
        <v>李师傅</v>
      </c>
      <c r="AM17" s="0" t="str">
        <f aca="false">IFERROR(INDEX($A$1:$A$5,MATCH(2,$AF17:$AJ17,0)),IF(2=MAX($AF17:$AJ17)+1,"取消",""))</f>
        <v>王师傅</v>
      </c>
      <c r="AN17" s="0" t="str">
        <f aca="false">IFERROR(INDEX($A$1:$A$5,MATCH(3,$AF17:$AJ17,0)),IF(3=MAX($AF17:$AJ17)+1,"取消",""))</f>
        <v>陈师傅</v>
      </c>
      <c r="AO17" s="0" t="str">
        <f aca="false">IFERROR(INDEX($A$1:$A$5,MATCH(4,$AF17:$AJ17,0)),IF(4=MAX($AF17:$AJ17)+1,"取消",""))</f>
        <v>刘师傅</v>
      </c>
      <c r="AP17" s="0" t="str">
        <f aca="false">IFERROR(INDEX($A$1:$A$5,MATCH(5,$AF17:$AJ17,0)),IF(5=MAX($AF17:$AJ17)+1,"取消",""))</f>
        <v>取消</v>
      </c>
      <c r="AQ17" s="0" t="str">
        <f aca="false">IFERROR(INDEX($A$1:$A$5,MATCH(6,$AF17:$AJ17,0)),IF(6=MAX($AF17:$AJ17)+1,"取消",""))</f>
        <v/>
      </c>
      <c r="AS17" s="0" t="n">
        <f aca="false">IF(OR($A$1=公区维修!$F17,$A$1=公区维修!$G17,$BN$1=1),0,1-SUMPRODUCT(--(($A$1=公区维修!$F17)+($A$1=公区维修!$G17)+$BN$1&gt;0)))</f>
        <v>0</v>
      </c>
      <c r="AT17" s="0" t="n">
        <f aca="false">IF(OR($A$2=公区维修!$F17,$A$2=公区维修!$G17,$BN$2=1),0,2-SUMPRODUCT(--(($A$1:$A$2=公区维修!$F17)+($A$1:$A$2=公区维修!$G17)+$BN$1:$BN$2&gt;0)))</f>
        <v>1</v>
      </c>
      <c r="AU17" s="0" t="n">
        <f aca="false">IF(OR($A$3=公区维修!$F17,$A$3=公区维修!$G17,$BN$3=1),0,3-SUMPRODUCT(--(($A$1:$A$3=公区维修!$F17)+($A$1:$A$3=公区维修!$G17)+$BN$1:$BN$3&gt;0)))</f>
        <v>2</v>
      </c>
      <c r="AV17" s="0" t="n">
        <f aca="false">IF(OR($A$4=公区维修!$F17,$A$4=公区维修!$G17,$BN$4=1),0,4-SUMPRODUCT(--(($A$1:$A$4=公区维修!$F17)+($A$1:$A$4=公区维修!$G17)+$BN$1:$BN$4&gt;0)))</f>
        <v>3</v>
      </c>
      <c r="AW17" s="0" t="n">
        <f aca="false">IF(OR($A$5=公区维修!$F17,$A$5=公区维修!$G17,$BN$5=1),0,5-SUMPRODUCT(--(($A$1:$A$5=公区维修!$F17)+($A$1:$A$5=公区维修!$G17)+$BN$1:$BN$5&gt;0)))</f>
        <v>4</v>
      </c>
      <c r="AY17" s="0" t="str">
        <f aca="false">IFERROR(INDEX($A$1:$A$5,MATCH(1,$AS17:$AW17,0)),IF(1=MAX($AS17:$AW17)+1,"取消",""))</f>
        <v>李师傅</v>
      </c>
      <c r="AZ17" s="0" t="str">
        <f aca="false">IFERROR(INDEX($A$1:$A$5,MATCH(2,$AS17:$AW17,0)),IF(2=MAX($AS17:$AW17)+1,"取消",""))</f>
        <v>王师傅</v>
      </c>
      <c r="BA17" s="0" t="str">
        <f aca="false">IFERROR(INDEX($A$1:$A$5,MATCH(3,$AS17:$AW17,0)),IF(3=MAX($AS17:$AW17)+1,"取消",""))</f>
        <v>陈师傅</v>
      </c>
      <c r="BB17" s="0" t="str">
        <f aca="false">IFERROR(INDEX($A$1:$A$5,MATCH(4,$AS17:$AW17,0)),IF(4=MAX($AS17:$AW17)+1,"取消",""))</f>
        <v>刘师傅</v>
      </c>
      <c r="BC17" s="0" t="str">
        <f aca="false">IFERROR(INDEX($A$1:$A$5,MATCH(5,$AS17:$AW17,0)),IF(5=MAX($AS17:$AW17)+1,"取消",""))</f>
        <v>取消</v>
      </c>
      <c r="BD17" s="0" t="str">
        <f aca="false">IFERROR(INDEX($A$1:$A$5,MATCH(6,$AS17:$AW17,0)),IF(6=MAX($AS17:$AW17)+1,"取消",""))</f>
        <v/>
      </c>
      <c r="FW17" s="0" t="str">
        <f aca="false">IF(AND(单元查询!$D$3&lt;&gt;"",IF(单元查询!$B$3="公区维修",公区维修!$E17&lt;&gt;"",入户维修!$E17&lt;&gt;""),IF(单元查询!$B$3="公区维修",公区维修!$C17,入户维修!$C17)=单元查询!$D$3,OR(单元查询!$F$3="",IF(单元查询!$B$3="公区维修",公区维修!$D17,入户维修!$D17)&amp;""=(单元查询!$F$3)&amp;"")),MAX($FW$4:$FW16)+1,"")</f>
        <v/>
      </c>
      <c r="FY17" s="0" t="n">
        <f aca="false">IFERROR(MATCH(17,$FW$5:$FW$404,0),"")</f>
        <v>116</v>
      </c>
    </row>
    <row r="18" customFormat="false" ht="15" hidden="false" customHeight="true" outlineLevel="0" collapsed="false">
      <c r="F18" s="0" t="n">
        <f aca="false">IF(OR($A$1=入户维修!$F18,$BN$1=1),0,1-SUMPRODUCT(--(($A$1=入户维修!$F18)+$BN$1&gt;0)))</f>
        <v>0</v>
      </c>
      <c r="G18" s="0" t="n">
        <f aca="false">IF(OR($A$2=入户维修!$F18,$BN$2=1),0,2-SUMPRODUCT(--(($A$1:$A$2=入户维修!$F18)+$BN$1:$BN$2&gt;0)))</f>
        <v>0</v>
      </c>
      <c r="H18" s="0" t="n">
        <f aca="false">IF(OR($A$3=入户维修!$F18,$BN$3=1),0,3-SUMPRODUCT(--(($A$1:$A$3=入户维修!$F18)+$BN$1:$BN$3&gt;0)))</f>
        <v>1</v>
      </c>
      <c r="I18" s="0" t="n">
        <f aca="false">IF(OR($A$4=入户维修!$F18,$BN$4=1),0,4-SUMPRODUCT(--(($A$1:$A$4=入户维修!$F18)+$BN$1:$BN$4&gt;0)))</f>
        <v>2</v>
      </c>
      <c r="J18" s="0" t="n">
        <f aca="false">IF(OR($A$5=入户维修!$F18,$BN$5=1),0,5-SUMPRODUCT(--(($A$1:$A$5=入户维修!$F18)+$BN$1:$BN$5&gt;0)))</f>
        <v>3</v>
      </c>
      <c r="L18" s="0" t="str">
        <f aca="false">IFERROR(INDEX($A$1:$A$5,MATCH(1,$F18:$J18,0)),IF(1=MAX($F18:$J18)+1,"取消",""))</f>
        <v>王师傅</v>
      </c>
      <c r="M18" s="0" t="str">
        <f aca="false">IFERROR(INDEX($A$1:$A$5,MATCH(2,$F18:$J18,0)),IF(2=MAX($F18:$J18)+1,"取消",""))</f>
        <v>陈师傅</v>
      </c>
      <c r="N18" s="0" t="str">
        <f aca="false">IFERROR(INDEX($A$1:$A$5,MATCH(3,$F18:$J18,0)),IF(3=MAX($F18:$J18)+1,"取消",""))</f>
        <v>刘师傅</v>
      </c>
      <c r="O18" s="0" t="str">
        <f aca="false">IFERROR(INDEX($A$1:$A$5,MATCH(4,$F18:$J18,0)),IF(4=MAX($F18:$J18)+1,"取消",""))</f>
        <v>取消</v>
      </c>
      <c r="P18" s="0" t="str">
        <f aca="false">IFERROR(INDEX($A$1:$A$5,MATCH(5,$F18:$J18,0)),IF(5=MAX($F18:$J18)+1,"取消",""))</f>
        <v/>
      </c>
      <c r="Q18" s="0" t="str">
        <f aca="false">IFERROR(INDEX($A$1:$A$5,MATCH(6,$F18:$J18,0)),IF(6=MAX($F18:$J18)+1,"取消",""))</f>
        <v/>
      </c>
      <c r="S18" s="0" t="n">
        <f aca="false">IF(OR($A$1=入户维修!$F18,$A$1=入户维修!$G18,$BN$1=1),0,1-SUMPRODUCT(--(($A$1=入户维修!$F18)+($A$1=入户维修!$G18)+$BN$1&gt;0)))</f>
        <v>0</v>
      </c>
      <c r="T18" s="0" t="n">
        <f aca="false">IF(OR($A$2=入户维修!$F18,$A$2=入户维修!$G18,$BN$2=1),0,2-SUMPRODUCT(--(($A$1:$A$2=入户维修!$F18)+($A$1:$A$2=入户维修!$G18)+$BN$1:$BN$2&gt;0)))</f>
        <v>0</v>
      </c>
      <c r="U18" s="0" t="n">
        <f aca="false">IF(OR($A$3=入户维修!$F18,$A$3=入户维修!$G18,$BN$3=1),0,3-SUMPRODUCT(--(($A$1:$A$3=入户维修!$F18)+($A$1:$A$3=入户维修!$G18)+$BN$1:$BN$3&gt;0)))</f>
        <v>1</v>
      </c>
      <c r="V18" s="0" t="n">
        <f aca="false">IF(OR($A$4=入户维修!$F18,$A$4=入户维修!$G18,$BN$4=1),0,4-SUMPRODUCT(--(($A$1:$A$4=入户维修!$F18)+($A$1:$A$4=入户维修!$G18)+$BN$1:$BN$4&gt;0)))</f>
        <v>2</v>
      </c>
      <c r="W18" s="0" t="n">
        <f aca="false">IF(OR($A$5=入户维修!$F18,$A$5=入户维修!$G18,$BN$5=1),0,5-SUMPRODUCT(--(($A$1:$A$5=入户维修!$F18)+($A$1:$A$5=入户维修!$G18)+$BN$1:$BN$5&gt;0)))</f>
        <v>3</v>
      </c>
      <c r="Y18" s="0" t="str">
        <f aca="false">IFERROR(INDEX($A$1:$A$5,MATCH(1,$S18:$W18,0)),IF(1=MAX($S18:$W18)+1,"取消",""))</f>
        <v>王师傅</v>
      </c>
      <c r="Z18" s="0" t="str">
        <f aca="false">IFERROR(INDEX($A$1:$A$5,MATCH(2,$S18:$W18,0)),IF(2=MAX($S18:$W18)+1,"取消",""))</f>
        <v>陈师傅</v>
      </c>
      <c r="AA18" s="0" t="str">
        <f aca="false">IFERROR(INDEX($A$1:$A$5,MATCH(3,$S18:$W18,0)),IF(3=MAX($S18:$W18)+1,"取消",""))</f>
        <v>刘师傅</v>
      </c>
      <c r="AB18" s="0" t="str">
        <f aca="false">IFERROR(INDEX($A$1:$A$5,MATCH(4,$S18:$W18,0)),IF(4=MAX($S18:$W18)+1,"取消",""))</f>
        <v>取消</v>
      </c>
      <c r="AC18" s="0" t="str">
        <f aca="false">IFERROR(INDEX($A$1:$A$5,MATCH(5,$S18:$W18,0)),IF(5=MAX($S18:$W18)+1,"取消",""))</f>
        <v/>
      </c>
      <c r="AD18" s="0" t="str">
        <f aca="false">IFERROR(INDEX($A$1:$A$5,MATCH(6,$S18:$W18,0)),IF(6=MAX($S18:$W18)+1,"取消",""))</f>
        <v/>
      </c>
      <c r="AF18" s="0" t="n">
        <f aca="false">IF(OR($A$1=公区维修!$F18,$BN$1=1),0,1-SUMPRODUCT(--(($A$1=公区维修!$F18)+$BN$1&gt;0)))</f>
        <v>0</v>
      </c>
      <c r="AG18" s="0" t="n">
        <f aca="false">IF(OR($A$2=公区维修!$F18,$BN$2=1),0,2-SUMPRODUCT(--(($A$1:$A$2=公区维修!$F18)+$BN$1:$BN$2&gt;0)))</f>
        <v>1</v>
      </c>
      <c r="AH18" s="0" t="n">
        <f aca="false">IF(OR($A$3=公区维修!$F18,$BN$3=1),0,3-SUMPRODUCT(--(($A$1:$A$3=公区维修!$F18)+$BN$1:$BN$3&gt;0)))</f>
        <v>2</v>
      </c>
      <c r="AI18" s="0" t="n">
        <f aca="false">IF(OR($A$4=公区维修!$F18,$BN$4=1),0,4-SUMPRODUCT(--(($A$1:$A$4=公区维修!$F18)+$BN$1:$BN$4&gt;0)))</f>
        <v>3</v>
      </c>
      <c r="AJ18" s="0" t="n">
        <f aca="false">IF(OR($A$5=公区维修!$F18,$BN$5=1),0,5-SUMPRODUCT(--(($A$1:$A$5=公区维修!$F18)+$BN$1:$BN$5&gt;0)))</f>
        <v>4</v>
      </c>
      <c r="AL18" s="0" t="str">
        <f aca="false">IFERROR(INDEX($A$1:$A$5,MATCH(1,$AF18:$AJ18,0)),IF(1=MAX($AF18:$AJ18)+1,"取消",""))</f>
        <v>李师傅</v>
      </c>
      <c r="AM18" s="0" t="str">
        <f aca="false">IFERROR(INDEX($A$1:$A$5,MATCH(2,$AF18:$AJ18,0)),IF(2=MAX($AF18:$AJ18)+1,"取消",""))</f>
        <v>王师傅</v>
      </c>
      <c r="AN18" s="0" t="str">
        <f aca="false">IFERROR(INDEX($A$1:$A$5,MATCH(3,$AF18:$AJ18,0)),IF(3=MAX($AF18:$AJ18)+1,"取消",""))</f>
        <v>陈师傅</v>
      </c>
      <c r="AO18" s="0" t="str">
        <f aca="false">IFERROR(INDEX($A$1:$A$5,MATCH(4,$AF18:$AJ18,0)),IF(4=MAX($AF18:$AJ18)+1,"取消",""))</f>
        <v>刘师傅</v>
      </c>
      <c r="AP18" s="0" t="str">
        <f aca="false">IFERROR(INDEX($A$1:$A$5,MATCH(5,$AF18:$AJ18,0)),IF(5=MAX($AF18:$AJ18)+1,"取消",""))</f>
        <v>取消</v>
      </c>
      <c r="AQ18" s="0" t="str">
        <f aca="false">IFERROR(INDEX($A$1:$A$5,MATCH(6,$AF18:$AJ18,0)),IF(6=MAX($AF18:$AJ18)+1,"取消",""))</f>
        <v/>
      </c>
      <c r="AS18" s="0" t="n">
        <f aca="false">IF(OR($A$1=公区维修!$F18,$A$1=公区维修!$G18,$BN$1=1),0,1-SUMPRODUCT(--(($A$1=公区维修!$F18)+($A$1=公区维修!$G18)+$BN$1&gt;0)))</f>
        <v>0</v>
      </c>
      <c r="AT18" s="0" t="n">
        <f aca="false">IF(OR($A$2=公区维修!$F18,$A$2=公区维修!$G18,$BN$2=1),0,2-SUMPRODUCT(--(($A$1:$A$2=公区维修!$F18)+($A$1:$A$2=公区维修!$G18)+$BN$1:$BN$2&gt;0)))</f>
        <v>1</v>
      </c>
      <c r="AU18" s="0" t="n">
        <f aca="false">IF(OR($A$3=公区维修!$F18,$A$3=公区维修!$G18,$BN$3=1),0,3-SUMPRODUCT(--(($A$1:$A$3=公区维修!$F18)+($A$1:$A$3=公区维修!$G18)+$BN$1:$BN$3&gt;0)))</f>
        <v>2</v>
      </c>
      <c r="AV18" s="0" t="n">
        <f aca="false">IF(OR($A$4=公区维修!$F18,$A$4=公区维修!$G18,$BN$4=1),0,4-SUMPRODUCT(--(($A$1:$A$4=公区维修!$F18)+($A$1:$A$4=公区维修!$G18)+$BN$1:$BN$4&gt;0)))</f>
        <v>3</v>
      </c>
      <c r="AW18" s="0" t="n">
        <f aca="false">IF(OR($A$5=公区维修!$F18,$A$5=公区维修!$G18,$BN$5=1),0,5-SUMPRODUCT(--(($A$1:$A$5=公区维修!$F18)+($A$1:$A$5=公区维修!$G18)+$BN$1:$BN$5&gt;0)))</f>
        <v>4</v>
      </c>
      <c r="AY18" s="0" t="str">
        <f aca="false">IFERROR(INDEX($A$1:$A$5,MATCH(1,$AS18:$AW18,0)),IF(1=MAX($AS18:$AW18)+1,"取消",""))</f>
        <v>李师傅</v>
      </c>
      <c r="AZ18" s="0" t="str">
        <f aca="false">IFERROR(INDEX($A$1:$A$5,MATCH(2,$AS18:$AW18,0)),IF(2=MAX($AS18:$AW18)+1,"取消",""))</f>
        <v>王师傅</v>
      </c>
      <c r="BA18" s="0" t="str">
        <f aca="false">IFERROR(INDEX($A$1:$A$5,MATCH(3,$AS18:$AW18,0)),IF(3=MAX($AS18:$AW18)+1,"取消",""))</f>
        <v>陈师傅</v>
      </c>
      <c r="BB18" s="0" t="str">
        <f aca="false">IFERROR(INDEX($A$1:$A$5,MATCH(4,$AS18:$AW18,0)),IF(4=MAX($AS18:$AW18)+1,"取消",""))</f>
        <v>刘师傅</v>
      </c>
      <c r="BC18" s="0" t="str">
        <f aca="false">IFERROR(INDEX($A$1:$A$5,MATCH(5,$AS18:$AW18,0)),IF(5=MAX($AS18:$AW18)+1,"取消",""))</f>
        <v>取消</v>
      </c>
      <c r="BD18" s="0" t="str">
        <f aca="false">IFERROR(INDEX($A$1:$A$5,MATCH(6,$AS18:$AW18,0)),IF(6=MAX($AS18:$AW18)+1,"取消",""))</f>
        <v/>
      </c>
      <c r="FW18" s="0" t="str">
        <f aca="false">IF(AND(单元查询!$D$3&lt;&gt;"",IF(单元查询!$B$3="公区维修",公区维修!$E18&lt;&gt;"",入户维修!$E18&lt;&gt;""),IF(单元查询!$B$3="公区维修",公区维修!$C18,入户维修!$C18)=单元查询!$D$3,OR(单元查询!$F$3="",IF(单元查询!$B$3="公区维修",公区维修!$D18,入户维修!$D18)&amp;""=(单元查询!$F$3)&amp;"")),MAX($FW$4:$FW17)+1,"")</f>
        <v/>
      </c>
      <c r="FY18" s="0" t="str">
        <f aca="false">IFERROR(MATCH(18,$FW$5:$FW$404,0),"")</f>
        <v/>
      </c>
    </row>
    <row r="19" customFormat="false" ht="15" hidden="false" customHeight="true" outlineLevel="0" collapsed="false">
      <c r="F19" s="0" t="n">
        <f aca="false">IF(OR($A$1=入户维修!$F19,$BN$1=1),0,1-SUMPRODUCT(--(($A$1=入户维修!$F19)+$BN$1&gt;0)))</f>
        <v>0</v>
      </c>
      <c r="G19" s="0" t="n">
        <f aca="false">IF(OR($A$2=入户维修!$F19,$BN$2=1),0,2-SUMPRODUCT(--(($A$1:$A$2=入户维修!$F19)+$BN$1:$BN$2&gt;0)))</f>
        <v>0</v>
      </c>
      <c r="H19" s="0" t="n">
        <f aca="false">IF(OR($A$3=入户维修!$F19,$BN$3=1),0,3-SUMPRODUCT(--(($A$1:$A$3=入户维修!$F19)+$BN$1:$BN$3&gt;0)))</f>
        <v>1</v>
      </c>
      <c r="I19" s="0" t="n">
        <f aca="false">IF(OR($A$4=入户维修!$F19,$BN$4=1),0,4-SUMPRODUCT(--(($A$1:$A$4=入户维修!$F19)+$BN$1:$BN$4&gt;0)))</f>
        <v>2</v>
      </c>
      <c r="J19" s="0" t="n">
        <f aca="false">IF(OR($A$5=入户维修!$F19,$BN$5=1),0,5-SUMPRODUCT(--(($A$1:$A$5=入户维修!$F19)+$BN$1:$BN$5&gt;0)))</f>
        <v>3</v>
      </c>
      <c r="L19" s="0" t="str">
        <f aca="false">IFERROR(INDEX($A$1:$A$5,MATCH(1,$F19:$J19,0)),IF(1=MAX($F19:$J19)+1,"取消",""))</f>
        <v>王师傅</v>
      </c>
      <c r="M19" s="0" t="str">
        <f aca="false">IFERROR(INDEX($A$1:$A$5,MATCH(2,$F19:$J19,0)),IF(2=MAX($F19:$J19)+1,"取消",""))</f>
        <v>陈师傅</v>
      </c>
      <c r="N19" s="0" t="str">
        <f aca="false">IFERROR(INDEX($A$1:$A$5,MATCH(3,$F19:$J19,0)),IF(3=MAX($F19:$J19)+1,"取消",""))</f>
        <v>刘师傅</v>
      </c>
      <c r="O19" s="0" t="str">
        <f aca="false">IFERROR(INDEX($A$1:$A$5,MATCH(4,$F19:$J19,0)),IF(4=MAX($F19:$J19)+1,"取消",""))</f>
        <v>取消</v>
      </c>
      <c r="P19" s="0" t="str">
        <f aca="false">IFERROR(INDEX($A$1:$A$5,MATCH(5,$F19:$J19,0)),IF(5=MAX($F19:$J19)+1,"取消",""))</f>
        <v/>
      </c>
      <c r="Q19" s="0" t="str">
        <f aca="false">IFERROR(INDEX($A$1:$A$5,MATCH(6,$F19:$J19,0)),IF(6=MAX($F19:$J19)+1,"取消",""))</f>
        <v/>
      </c>
      <c r="S19" s="0" t="n">
        <f aca="false">IF(OR($A$1=入户维修!$F19,$A$1=入户维修!$G19,$BN$1=1),0,1-SUMPRODUCT(--(($A$1=入户维修!$F19)+($A$1=入户维修!$G19)+$BN$1&gt;0)))</f>
        <v>0</v>
      </c>
      <c r="T19" s="0" t="n">
        <f aca="false">IF(OR($A$2=入户维修!$F19,$A$2=入户维修!$G19,$BN$2=1),0,2-SUMPRODUCT(--(($A$1:$A$2=入户维修!$F19)+($A$1:$A$2=入户维修!$G19)+$BN$1:$BN$2&gt;0)))</f>
        <v>0</v>
      </c>
      <c r="U19" s="0" t="n">
        <f aca="false">IF(OR($A$3=入户维修!$F19,$A$3=入户维修!$G19,$BN$3=1),0,3-SUMPRODUCT(--(($A$1:$A$3=入户维修!$F19)+($A$1:$A$3=入户维修!$G19)+$BN$1:$BN$3&gt;0)))</f>
        <v>1</v>
      </c>
      <c r="V19" s="0" t="n">
        <f aca="false">IF(OR($A$4=入户维修!$F19,$A$4=入户维修!$G19,$BN$4=1),0,4-SUMPRODUCT(--(($A$1:$A$4=入户维修!$F19)+($A$1:$A$4=入户维修!$G19)+$BN$1:$BN$4&gt;0)))</f>
        <v>2</v>
      </c>
      <c r="W19" s="0" t="n">
        <f aca="false">IF(OR($A$5=入户维修!$F19,$A$5=入户维修!$G19,$BN$5=1),0,5-SUMPRODUCT(--(($A$1:$A$5=入户维修!$F19)+($A$1:$A$5=入户维修!$G19)+$BN$1:$BN$5&gt;0)))</f>
        <v>3</v>
      </c>
      <c r="Y19" s="0" t="str">
        <f aca="false">IFERROR(INDEX($A$1:$A$5,MATCH(1,$S19:$W19,0)),IF(1=MAX($S19:$W19)+1,"取消",""))</f>
        <v>王师傅</v>
      </c>
      <c r="Z19" s="0" t="str">
        <f aca="false">IFERROR(INDEX($A$1:$A$5,MATCH(2,$S19:$W19,0)),IF(2=MAX($S19:$W19)+1,"取消",""))</f>
        <v>陈师傅</v>
      </c>
      <c r="AA19" s="0" t="str">
        <f aca="false">IFERROR(INDEX($A$1:$A$5,MATCH(3,$S19:$W19,0)),IF(3=MAX($S19:$W19)+1,"取消",""))</f>
        <v>刘师傅</v>
      </c>
      <c r="AB19" s="0" t="str">
        <f aca="false">IFERROR(INDEX($A$1:$A$5,MATCH(4,$S19:$W19,0)),IF(4=MAX($S19:$W19)+1,"取消",""))</f>
        <v>取消</v>
      </c>
      <c r="AC19" s="0" t="str">
        <f aca="false">IFERROR(INDEX($A$1:$A$5,MATCH(5,$S19:$W19,0)),IF(5=MAX($S19:$W19)+1,"取消",""))</f>
        <v/>
      </c>
      <c r="AD19" s="0" t="str">
        <f aca="false">IFERROR(INDEX($A$1:$A$5,MATCH(6,$S19:$W19,0)),IF(6=MAX($S19:$W19)+1,"取消",""))</f>
        <v/>
      </c>
      <c r="AF19" s="0" t="n">
        <f aca="false">IF(OR($A$1=公区维修!$F19,$BN$1=1),0,1-SUMPRODUCT(--(($A$1=公区维修!$F19)+$BN$1&gt;0)))</f>
        <v>0</v>
      </c>
      <c r="AG19" s="0" t="n">
        <f aca="false">IF(OR($A$2=公区维修!$F19,$BN$2=1),0,2-SUMPRODUCT(--(($A$1:$A$2=公区维修!$F19)+$BN$1:$BN$2&gt;0)))</f>
        <v>1</v>
      </c>
      <c r="AH19" s="0" t="n">
        <f aca="false">IF(OR($A$3=公区维修!$F19,$BN$3=1),0,3-SUMPRODUCT(--(($A$1:$A$3=公区维修!$F19)+$BN$1:$BN$3&gt;0)))</f>
        <v>2</v>
      </c>
      <c r="AI19" s="0" t="n">
        <f aca="false">IF(OR($A$4=公区维修!$F19,$BN$4=1),0,4-SUMPRODUCT(--(($A$1:$A$4=公区维修!$F19)+$BN$1:$BN$4&gt;0)))</f>
        <v>3</v>
      </c>
      <c r="AJ19" s="0" t="n">
        <f aca="false">IF(OR($A$5=公区维修!$F19,$BN$5=1),0,5-SUMPRODUCT(--(($A$1:$A$5=公区维修!$F19)+$BN$1:$BN$5&gt;0)))</f>
        <v>4</v>
      </c>
      <c r="AL19" s="0" t="str">
        <f aca="false">IFERROR(INDEX($A$1:$A$5,MATCH(1,$AF19:$AJ19,0)),IF(1=MAX($AF19:$AJ19)+1,"取消",""))</f>
        <v>李师傅</v>
      </c>
      <c r="AM19" s="0" t="str">
        <f aca="false">IFERROR(INDEX($A$1:$A$5,MATCH(2,$AF19:$AJ19,0)),IF(2=MAX($AF19:$AJ19)+1,"取消",""))</f>
        <v>王师傅</v>
      </c>
      <c r="AN19" s="0" t="str">
        <f aca="false">IFERROR(INDEX($A$1:$A$5,MATCH(3,$AF19:$AJ19,0)),IF(3=MAX($AF19:$AJ19)+1,"取消",""))</f>
        <v>陈师傅</v>
      </c>
      <c r="AO19" s="0" t="str">
        <f aca="false">IFERROR(INDEX($A$1:$A$5,MATCH(4,$AF19:$AJ19,0)),IF(4=MAX($AF19:$AJ19)+1,"取消",""))</f>
        <v>刘师傅</v>
      </c>
      <c r="AP19" s="0" t="str">
        <f aca="false">IFERROR(INDEX($A$1:$A$5,MATCH(5,$AF19:$AJ19,0)),IF(5=MAX($AF19:$AJ19)+1,"取消",""))</f>
        <v>取消</v>
      </c>
      <c r="AQ19" s="0" t="str">
        <f aca="false">IFERROR(INDEX($A$1:$A$5,MATCH(6,$AF19:$AJ19,0)),IF(6=MAX($AF19:$AJ19)+1,"取消",""))</f>
        <v/>
      </c>
      <c r="AS19" s="0" t="n">
        <f aca="false">IF(OR($A$1=公区维修!$F19,$A$1=公区维修!$G19,$BN$1=1),0,1-SUMPRODUCT(--(($A$1=公区维修!$F19)+($A$1=公区维修!$G19)+$BN$1&gt;0)))</f>
        <v>0</v>
      </c>
      <c r="AT19" s="0" t="n">
        <f aca="false">IF(OR($A$2=公区维修!$F19,$A$2=公区维修!$G19,$BN$2=1),0,2-SUMPRODUCT(--(($A$1:$A$2=公区维修!$F19)+($A$1:$A$2=公区维修!$G19)+$BN$1:$BN$2&gt;0)))</f>
        <v>1</v>
      </c>
      <c r="AU19" s="0" t="n">
        <f aca="false">IF(OR($A$3=公区维修!$F19,$A$3=公区维修!$G19,$BN$3=1),0,3-SUMPRODUCT(--(($A$1:$A$3=公区维修!$F19)+($A$1:$A$3=公区维修!$G19)+$BN$1:$BN$3&gt;0)))</f>
        <v>2</v>
      </c>
      <c r="AV19" s="0" t="n">
        <f aca="false">IF(OR($A$4=公区维修!$F19,$A$4=公区维修!$G19,$BN$4=1),0,4-SUMPRODUCT(--(($A$1:$A$4=公区维修!$F19)+($A$1:$A$4=公区维修!$G19)+$BN$1:$BN$4&gt;0)))</f>
        <v>3</v>
      </c>
      <c r="AW19" s="0" t="n">
        <f aca="false">IF(OR($A$5=公区维修!$F19,$A$5=公区维修!$G19,$BN$5=1),0,5-SUMPRODUCT(--(($A$1:$A$5=公区维修!$F19)+($A$1:$A$5=公区维修!$G19)+$BN$1:$BN$5&gt;0)))</f>
        <v>4</v>
      </c>
      <c r="AY19" s="0" t="str">
        <f aca="false">IFERROR(INDEX($A$1:$A$5,MATCH(1,$AS19:$AW19,0)),IF(1=MAX($AS19:$AW19)+1,"取消",""))</f>
        <v>李师傅</v>
      </c>
      <c r="AZ19" s="0" t="str">
        <f aca="false">IFERROR(INDEX($A$1:$A$5,MATCH(2,$AS19:$AW19,0)),IF(2=MAX($AS19:$AW19)+1,"取消",""))</f>
        <v>王师傅</v>
      </c>
      <c r="BA19" s="0" t="str">
        <f aca="false">IFERROR(INDEX($A$1:$A$5,MATCH(3,$AS19:$AW19,0)),IF(3=MAX($AS19:$AW19)+1,"取消",""))</f>
        <v>陈师傅</v>
      </c>
      <c r="BB19" s="0" t="str">
        <f aca="false">IFERROR(INDEX($A$1:$A$5,MATCH(4,$AS19:$AW19,0)),IF(4=MAX($AS19:$AW19)+1,"取消",""))</f>
        <v>刘师傅</v>
      </c>
      <c r="BC19" s="0" t="str">
        <f aca="false">IFERROR(INDEX($A$1:$A$5,MATCH(5,$AS19:$AW19,0)),IF(5=MAX($AS19:$AW19)+1,"取消",""))</f>
        <v>取消</v>
      </c>
      <c r="BD19" s="0" t="str">
        <f aca="false">IFERROR(INDEX($A$1:$A$5,MATCH(6,$AS19:$AW19,0)),IF(6=MAX($AS19:$AW19)+1,"取消",""))</f>
        <v/>
      </c>
      <c r="FW19" s="0" t="str">
        <f aca="false">IF(AND(单元查询!$D$3&lt;&gt;"",IF(单元查询!$B$3="公区维修",公区维修!$E19&lt;&gt;"",入户维修!$E19&lt;&gt;""),IF(单元查询!$B$3="公区维修",公区维修!$C19,入户维修!$C19)=单元查询!$D$3,OR(单元查询!$F$3="",IF(单元查询!$B$3="公区维修",公区维修!$D19,入户维修!$D19)&amp;""=(单元查询!$F$3)&amp;"")),MAX($FW$4:$FW18)+1,"")</f>
        <v/>
      </c>
      <c r="FY19" s="0" t="str">
        <f aca="false">IFERROR(MATCH(19,$FW$5:$FW$404,0),"")</f>
        <v/>
      </c>
    </row>
    <row r="20" customFormat="false" ht="15" hidden="false" customHeight="true" outlineLevel="0" collapsed="false">
      <c r="F20" s="0" t="n">
        <f aca="false">IF(OR($A$1=入户维修!$F20,$BN$1=1),0,1-SUMPRODUCT(--(($A$1=入户维修!$F20)+$BN$1&gt;0)))</f>
        <v>0</v>
      </c>
      <c r="G20" s="0" t="n">
        <f aca="false">IF(OR($A$2=入户维修!$F20,$BN$2=1),0,2-SUMPRODUCT(--(($A$1:$A$2=入户维修!$F20)+$BN$1:$BN$2&gt;0)))</f>
        <v>0</v>
      </c>
      <c r="H20" s="0" t="n">
        <f aca="false">IF(OR($A$3=入户维修!$F20,$BN$3=1),0,3-SUMPRODUCT(--(($A$1:$A$3=入户维修!$F20)+$BN$1:$BN$3&gt;0)))</f>
        <v>1</v>
      </c>
      <c r="I20" s="0" t="n">
        <f aca="false">IF(OR($A$4=入户维修!$F20,$BN$4=1),0,4-SUMPRODUCT(--(($A$1:$A$4=入户维修!$F20)+$BN$1:$BN$4&gt;0)))</f>
        <v>2</v>
      </c>
      <c r="J20" s="0" t="n">
        <f aca="false">IF(OR($A$5=入户维修!$F20,$BN$5=1),0,5-SUMPRODUCT(--(($A$1:$A$5=入户维修!$F20)+$BN$1:$BN$5&gt;0)))</f>
        <v>3</v>
      </c>
      <c r="L20" s="0" t="str">
        <f aca="false">IFERROR(INDEX($A$1:$A$5,MATCH(1,$F20:$J20,0)),IF(1=MAX($F20:$J20)+1,"取消",""))</f>
        <v>王师傅</v>
      </c>
      <c r="M20" s="0" t="str">
        <f aca="false">IFERROR(INDEX($A$1:$A$5,MATCH(2,$F20:$J20,0)),IF(2=MAX($F20:$J20)+1,"取消",""))</f>
        <v>陈师傅</v>
      </c>
      <c r="N20" s="0" t="str">
        <f aca="false">IFERROR(INDEX($A$1:$A$5,MATCH(3,$F20:$J20,0)),IF(3=MAX($F20:$J20)+1,"取消",""))</f>
        <v>刘师傅</v>
      </c>
      <c r="O20" s="0" t="str">
        <f aca="false">IFERROR(INDEX($A$1:$A$5,MATCH(4,$F20:$J20,0)),IF(4=MAX($F20:$J20)+1,"取消",""))</f>
        <v>取消</v>
      </c>
      <c r="P20" s="0" t="str">
        <f aca="false">IFERROR(INDEX($A$1:$A$5,MATCH(5,$F20:$J20,0)),IF(5=MAX($F20:$J20)+1,"取消",""))</f>
        <v/>
      </c>
      <c r="Q20" s="0" t="str">
        <f aca="false">IFERROR(INDEX($A$1:$A$5,MATCH(6,$F20:$J20,0)),IF(6=MAX($F20:$J20)+1,"取消",""))</f>
        <v/>
      </c>
      <c r="S20" s="0" t="n">
        <f aca="false">IF(OR($A$1=入户维修!$F20,$A$1=入户维修!$G20,$BN$1=1),0,1-SUMPRODUCT(--(($A$1=入户维修!$F20)+($A$1=入户维修!$G20)+$BN$1&gt;0)))</f>
        <v>0</v>
      </c>
      <c r="T20" s="0" t="n">
        <f aca="false">IF(OR($A$2=入户维修!$F20,$A$2=入户维修!$G20,$BN$2=1),0,2-SUMPRODUCT(--(($A$1:$A$2=入户维修!$F20)+($A$1:$A$2=入户维修!$G20)+$BN$1:$BN$2&gt;0)))</f>
        <v>0</v>
      </c>
      <c r="U20" s="0" t="n">
        <f aca="false">IF(OR($A$3=入户维修!$F20,$A$3=入户维修!$G20,$BN$3=1),0,3-SUMPRODUCT(--(($A$1:$A$3=入户维修!$F20)+($A$1:$A$3=入户维修!$G20)+$BN$1:$BN$3&gt;0)))</f>
        <v>1</v>
      </c>
      <c r="V20" s="0" t="n">
        <f aca="false">IF(OR($A$4=入户维修!$F20,$A$4=入户维修!$G20,$BN$4=1),0,4-SUMPRODUCT(--(($A$1:$A$4=入户维修!$F20)+($A$1:$A$4=入户维修!$G20)+$BN$1:$BN$4&gt;0)))</f>
        <v>2</v>
      </c>
      <c r="W20" s="0" t="n">
        <f aca="false">IF(OR($A$5=入户维修!$F20,$A$5=入户维修!$G20,$BN$5=1),0,5-SUMPRODUCT(--(($A$1:$A$5=入户维修!$F20)+($A$1:$A$5=入户维修!$G20)+$BN$1:$BN$5&gt;0)))</f>
        <v>3</v>
      </c>
      <c r="Y20" s="0" t="str">
        <f aca="false">IFERROR(INDEX($A$1:$A$5,MATCH(1,$S20:$W20,0)),IF(1=MAX($S20:$W20)+1,"取消",""))</f>
        <v>王师傅</v>
      </c>
      <c r="Z20" s="0" t="str">
        <f aca="false">IFERROR(INDEX($A$1:$A$5,MATCH(2,$S20:$W20,0)),IF(2=MAX($S20:$W20)+1,"取消",""))</f>
        <v>陈师傅</v>
      </c>
      <c r="AA20" s="0" t="str">
        <f aca="false">IFERROR(INDEX($A$1:$A$5,MATCH(3,$S20:$W20,0)),IF(3=MAX($S20:$W20)+1,"取消",""))</f>
        <v>刘师傅</v>
      </c>
      <c r="AB20" s="0" t="str">
        <f aca="false">IFERROR(INDEX($A$1:$A$5,MATCH(4,$S20:$W20,0)),IF(4=MAX($S20:$W20)+1,"取消",""))</f>
        <v>取消</v>
      </c>
      <c r="AC20" s="0" t="str">
        <f aca="false">IFERROR(INDEX($A$1:$A$5,MATCH(5,$S20:$W20,0)),IF(5=MAX($S20:$W20)+1,"取消",""))</f>
        <v/>
      </c>
      <c r="AD20" s="0" t="str">
        <f aca="false">IFERROR(INDEX($A$1:$A$5,MATCH(6,$S20:$W20,0)),IF(6=MAX($S20:$W20)+1,"取消",""))</f>
        <v/>
      </c>
      <c r="AF20" s="0" t="n">
        <f aca="false">IF(OR($A$1=公区维修!$F20,$BN$1=1),0,1-SUMPRODUCT(--(($A$1=公区维修!$F20)+$BN$1&gt;0)))</f>
        <v>0</v>
      </c>
      <c r="AG20" s="0" t="n">
        <f aca="false">IF(OR($A$2=公区维修!$F20,$BN$2=1),0,2-SUMPRODUCT(--(($A$1:$A$2=公区维修!$F20)+$BN$1:$BN$2&gt;0)))</f>
        <v>1</v>
      </c>
      <c r="AH20" s="0" t="n">
        <f aca="false">IF(OR($A$3=公区维修!$F20,$BN$3=1),0,3-SUMPRODUCT(--(($A$1:$A$3=公区维修!$F20)+$BN$1:$BN$3&gt;0)))</f>
        <v>2</v>
      </c>
      <c r="AI20" s="0" t="n">
        <f aca="false">IF(OR($A$4=公区维修!$F20,$BN$4=1),0,4-SUMPRODUCT(--(($A$1:$A$4=公区维修!$F20)+$BN$1:$BN$4&gt;0)))</f>
        <v>3</v>
      </c>
      <c r="AJ20" s="0" t="n">
        <f aca="false">IF(OR($A$5=公区维修!$F20,$BN$5=1),0,5-SUMPRODUCT(--(($A$1:$A$5=公区维修!$F20)+$BN$1:$BN$5&gt;0)))</f>
        <v>4</v>
      </c>
      <c r="AL20" s="0" t="str">
        <f aca="false">IFERROR(INDEX($A$1:$A$5,MATCH(1,$AF20:$AJ20,0)),IF(1=MAX($AF20:$AJ20)+1,"取消",""))</f>
        <v>李师傅</v>
      </c>
      <c r="AM20" s="0" t="str">
        <f aca="false">IFERROR(INDEX($A$1:$A$5,MATCH(2,$AF20:$AJ20,0)),IF(2=MAX($AF20:$AJ20)+1,"取消",""))</f>
        <v>王师傅</v>
      </c>
      <c r="AN20" s="0" t="str">
        <f aca="false">IFERROR(INDEX($A$1:$A$5,MATCH(3,$AF20:$AJ20,0)),IF(3=MAX($AF20:$AJ20)+1,"取消",""))</f>
        <v>陈师傅</v>
      </c>
      <c r="AO20" s="0" t="str">
        <f aca="false">IFERROR(INDEX($A$1:$A$5,MATCH(4,$AF20:$AJ20,0)),IF(4=MAX($AF20:$AJ20)+1,"取消",""))</f>
        <v>刘师傅</v>
      </c>
      <c r="AP20" s="0" t="str">
        <f aca="false">IFERROR(INDEX($A$1:$A$5,MATCH(5,$AF20:$AJ20,0)),IF(5=MAX($AF20:$AJ20)+1,"取消",""))</f>
        <v>取消</v>
      </c>
      <c r="AQ20" s="0" t="str">
        <f aca="false">IFERROR(INDEX($A$1:$A$5,MATCH(6,$AF20:$AJ20,0)),IF(6=MAX($AF20:$AJ20)+1,"取消",""))</f>
        <v/>
      </c>
      <c r="AS20" s="0" t="n">
        <f aca="false">IF(OR($A$1=公区维修!$F20,$A$1=公区维修!$G20,$BN$1=1),0,1-SUMPRODUCT(--(($A$1=公区维修!$F20)+($A$1=公区维修!$G20)+$BN$1&gt;0)))</f>
        <v>0</v>
      </c>
      <c r="AT20" s="0" t="n">
        <f aca="false">IF(OR($A$2=公区维修!$F20,$A$2=公区维修!$G20,$BN$2=1),0,2-SUMPRODUCT(--(($A$1:$A$2=公区维修!$F20)+($A$1:$A$2=公区维修!$G20)+$BN$1:$BN$2&gt;0)))</f>
        <v>1</v>
      </c>
      <c r="AU20" s="0" t="n">
        <f aca="false">IF(OR($A$3=公区维修!$F20,$A$3=公区维修!$G20,$BN$3=1),0,3-SUMPRODUCT(--(($A$1:$A$3=公区维修!$F20)+($A$1:$A$3=公区维修!$G20)+$BN$1:$BN$3&gt;0)))</f>
        <v>2</v>
      </c>
      <c r="AV20" s="0" t="n">
        <f aca="false">IF(OR($A$4=公区维修!$F20,$A$4=公区维修!$G20,$BN$4=1),0,4-SUMPRODUCT(--(($A$1:$A$4=公区维修!$F20)+($A$1:$A$4=公区维修!$G20)+$BN$1:$BN$4&gt;0)))</f>
        <v>3</v>
      </c>
      <c r="AW20" s="0" t="n">
        <f aca="false">IF(OR($A$5=公区维修!$F20,$A$5=公区维修!$G20,$BN$5=1),0,5-SUMPRODUCT(--(($A$1:$A$5=公区维修!$F20)+($A$1:$A$5=公区维修!$G20)+$BN$1:$BN$5&gt;0)))</f>
        <v>4</v>
      </c>
      <c r="AY20" s="0" t="str">
        <f aca="false">IFERROR(INDEX($A$1:$A$5,MATCH(1,$AS20:$AW20,0)),IF(1=MAX($AS20:$AW20)+1,"取消",""))</f>
        <v>李师傅</v>
      </c>
      <c r="AZ20" s="0" t="str">
        <f aca="false">IFERROR(INDEX($A$1:$A$5,MATCH(2,$AS20:$AW20,0)),IF(2=MAX($AS20:$AW20)+1,"取消",""))</f>
        <v>王师傅</v>
      </c>
      <c r="BA20" s="0" t="str">
        <f aca="false">IFERROR(INDEX($A$1:$A$5,MATCH(3,$AS20:$AW20,0)),IF(3=MAX($AS20:$AW20)+1,"取消",""))</f>
        <v>陈师傅</v>
      </c>
      <c r="BB20" s="0" t="str">
        <f aca="false">IFERROR(INDEX($A$1:$A$5,MATCH(4,$AS20:$AW20,0)),IF(4=MAX($AS20:$AW20)+1,"取消",""))</f>
        <v>刘师傅</v>
      </c>
      <c r="BC20" s="0" t="str">
        <f aca="false">IFERROR(INDEX($A$1:$A$5,MATCH(5,$AS20:$AW20,0)),IF(5=MAX($AS20:$AW20)+1,"取消",""))</f>
        <v>取消</v>
      </c>
      <c r="BD20" s="0" t="str">
        <f aca="false">IFERROR(INDEX($A$1:$A$5,MATCH(6,$AS20:$AW20,0)),IF(6=MAX($AS20:$AW20)+1,"取消",""))</f>
        <v/>
      </c>
      <c r="FW20" s="0" t="str">
        <f aca="false">IF(AND(单元查询!$D$3&lt;&gt;"",IF(单元查询!$B$3="公区维修",公区维修!$E20&lt;&gt;"",入户维修!$E20&lt;&gt;""),IF(单元查询!$B$3="公区维修",公区维修!$C20,入户维修!$C20)=单元查询!$D$3,OR(单元查询!$F$3="",IF(单元查询!$B$3="公区维修",公区维修!$D20,入户维修!$D20)&amp;""=(单元查询!$F$3)&amp;"")),MAX($FW$4:$FW19)+1,"")</f>
        <v/>
      </c>
      <c r="FY20" s="0" t="str">
        <f aca="false">IFERROR(MATCH(20,$FW$5:$FW$404,0),"")</f>
        <v/>
      </c>
    </row>
    <row r="21" customFormat="false" ht="15" hidden="false" customHeight="true" outlineLevel="0" collapsed="false">
      <c r="F21" s="0" t="n">
        <f aca="false">IF(OR($A$1=入户维修!$F21,$BN$1=1),0,1-SUMPRODUCT(--(($A$1=入户维修!$F21)+$BN$1&gt;0)))</f>
        <v>0</v>
      </c>
      <c r="G21" s="0" t="n">
        <f aca="false">IF(OR($A$2=入户维修!$F21,$BN$2=1),0,2-SUMPRODUCT(--(($A$1:$A$2=入户维修!$F21)+$BN$1:$BN$2&gt;0)))</f>
        <v>0</v>
      </c>
      <c r="H21" s="0" t="n">
        <f aca="false">IF(OR($A$3=入户维修!$F21,$BN$3=1),0,3-SUMPRODUCT(--(($A$1:$A$3=入户维修!$F21)+$BN$1:$BN$3&gt;0)))</f>
        <v>1</v>
      </c>
      <c r="I21" s="0" t="n">
        <f aca="false">IF(OR($A$4=入户维修!$F21,$BN$4=1),0,4-SUMPRODUCT(--(($A$1:$A$4=入户维修!$F21)+$BN$1:$BN$4&gt;0)))</f>
        <v>2</v>
      </c>
      <c r="J21" s="0" t="n">
        <f aca="false">IF(OR($A$5=入户维修!$F21,$BN$5=1),0,5-SUMPRODUCT(--(($A$1:$A$5=入户维修!$F21)+$BN$1:$BN$5&gt;0)))</f>
        <v>3</v>
      </c>
      <c r="L21" s="0" t="str">
        <f aca="false">IFERROR(INDEX($A$1:$A$5,MATCH(1,$F21:$J21,0)),IF(1=MAX($F21:$J21)+1,"取消",""))</f>
        <v>王师傅</v>
      </c>
      <c r="M21" s="0" t="str">
        <f aca="false">IFERROR(INDEX($A$1:$A$5,MATCH(2,$F21:$J21,0)),IF(2=MAX($F21:$J21)+1,"取消",""))</f>
        <v>陈师傅</v>
      </c>
      <c r="N21" s="0" t="str">
        <f aca="false">IFERROR(INDEX($A$1:$A$5,MATCH(3,$F21:$J21,0)),IF(3=MAX($F21:$J21)+1,"取消",""))</f>
        <v>刘师傅</v>
      </c>
      <c r="O21" s="0" t="str">
        <f aca="false">IFERROR(INDEX($A$1:$A$5,MATCH(4,$F21:$J21,0)),IF(4=MAX($F21:$J21)+1,"取消",""))</f>
        <v>取消</v>
      </c>
      <c r="P21" s="0" t="str">
        <f aca="false">IFERROR(INDEX($A$1:$A$5,MATCH(5,$F21:$J21,0)),IF(5=MAX($F21:$J21)+1,"取消",""))</f>
        <v/>
      </c>
      <c r="Q21" s="0" t="str">
        <f aca="false">IFERROR(INDEX($A$1:$A$5,MATCH(6,$F21:$J21,0)),IF(6=MAX($F21:$J21)+1,"取消",""))</f>
        <v/>
      </c>
      <c r="S21" s="0" t="n">
        <f aca="false">IF(OR($A$1=入户维修!$F21,$A$1=入户维修!$G21,$BN$1=1),0,1-SUMPRODUCT(--(($A$1=入户维修!$F21)+($A$1=入户维修!$G21)+$BN$1&gt;0)))</f>
        <v>0</v>
      </c>
      <c r="T21" s="0" t="n">
        <f aca="false">IF(OR($A$2=入户维修!$F21,$A$2=入户维修!$G21,$BN$2=1),0,2-SUMPRODUCT(--(($A$1:$A$2=入户维修!$F21)+($A$1:$A$2=入户维修!$G21)+$BN$1:$BN$2&gt;0)))</f>
        <v>0</v>
      </c>
      <c r="U21" s="0" t="n">
        <f aca="false">IF(OR($A$3=入户维修!$F21,$A$3=入户维修!$G21,$BN$3=1),0,3-SUMPRODUCT(--(($A$1:$A$3=入户维修!$F21)+($A$1:$A$3=入户维修!$G21)+$BN$1:$BN$3&gt;0)))</f>
        <v>1</v>
      </c>
      <c r="V21" s="0" t="n">
        <f aca="false">IF(OR($A$4=入户维修!$F21,$A$4=入户维修!$G21,$BN$4=1),0,4-SUMPRODUCT(--(($A$1:$A$4=入户维修!$F21)+($A$1:$A$4=入户维修!$G21)+$BN$1:$BN$4&gt;0)))</f>
        <v>2</v>
      </c>
      <c r="W21" s="0" t="n">
        <f aca="false">IF(OR($A$5=入户维修!$F21,$A$5=入户维修!$G21,$BN$5=1),0,5-SUMPRODUCT(--(($A$1:$A$5=入户维修!$F21)+($A$1:$A$5=入户维修!$G21)+$BN$1:$BN$5&gt;0)))</f>
        <v>3</v>
      </c>
      <c r="Y21" s="0" t="str">
        <f aca="false">IFERROR(INDEX($A$1:$A$5,MATCH(1,$S21:$W21,0)),IF(1=MAX($S21:$W21)+1,"取消",""))</f>
        <v>王师傅</v>
      </c>
      <c r="Z21" s="0" t="str">
        <f aca="false">IFERROR(INDEX($A$1:$A$5,MATCH(2,$S21:$W21,0)),IF(2=MAX($S21:$W21)+1,"取消",""))</f>
        <v>陈师傅</v>
      </c>
      <c r="AA21" s="0" t="str">
        <f aca="false">IFERROR(INDEX($A$1:$A$5,MATCH(3,$S21:$W21,0)),IF(3=MAX($S21:$W21)+1,"取消",""))</f>
        <v>刘师傅</v>
      </c>
      <c r="AB21" s="0" t="str">
        <f aca="false">IFERROR(INDEX($A$1:$A$5,MATCH(4,$S21:$W21,0)),IF(4=MAX($S21:$W21)+1,"取消",""))</f>
        <v>取消</v>
      </c>
      <c r="AC21" s="0" t="str">
        <f aca="false">IFERROR(INDEX($A$1:$A$5,MATCH(5,$S21:$W21,0)),IF(5=MAX($S21:$W21)+1,"取消",""))</f>
        <v/>
      </c>
      <c r="AD21" s="0" t="str">
        <f aca="false">IFERROR(INDEX($A$1:$A$5,MATCH(6,$S21:$W21,0)),IF(6=MAX($S21:$W21)+1,"取消",""))</f>
        <v/>
      </c>
      <c r="AF21" s="0" t="n">
        <f aca="false">IF(OR($A$1=公区维修!$F21,$BN$1=1),0,1-SUMPRODUCT(--(($A$1=公区维修!$F21)+$BN$1&gt;0)))</f>
        <v>0</v>
      </c>
      <c r="AG21" s="0" t="n">
        <f aca="false">IF(OR($A$2=公区维修!$F21,$BN$2=1),0,2-SUMPRODUCT(--(($A$1:$A$2=公区维修!$F21)+$BN$1:$BN$2&gt;0)))</f>
        <v>1</v>
      </c>
      <c r="AH21" s="0" t="n">
        <f aca="false">IF(OR($A$3=公区维修!$F21,$BN$3=1),0,3-SUMPRODUCT(--(($A$1:$A$3=公区维修!$F21)+$BN$1:$BN$3&gt;0)))</f>
        <v>2</v>
      </c>
      <c r="AI21" s="0" t="n">
        <f aca="false">IF(OR($A$4=公区维修!$F21,$BN$4=1),0,4-SUMPRODUCT(--(($A$1:$A$4=公区维修!$F21)+$BN$1:$BN$4&gt;0)))</f>
        <v>0</v>
      </c>
      <c r="AJ21" s="0" t="n">
        <f aca="false">IF(OR($A$5=公区维修!$F21,$BN$5=1),0,5-SUMPRODUCT(--(($A$1:$A$5=公区维修!$F21)+$BN$1:$BN$5&gt;0)))</f>
        <v>3</v>
      </c>
      <c r="AL21" s="0" t="str">
        <f aca="false">IFERROR(INDEX($A$1:$A$5,MATCH(1,$AF21:$AJ21,0)),IF(1=MAX($AF21:$AJ21)+1,"取消",""))</f>
        <v>李师傅</v>
      </c>
      <c r="AM21" s="0" t="str">
        <f aca="false">IFERROR(INDEX($A$1:$A$5,MATCH(2,$AF21:$AJ21,0)),IF(2=MAX($AF21:$AJ21)+1,"取消",""))</f>
        <v>王师傅</v>
      </c>
      <c r="AN21" s="0" t="str">
        <f aca="false">IFERROR(INDEX($A$1:$A$5,MATCH(3,$AF21:$AJ21,0)),IF(3=MAX($AF21:$AJ21)+1,"取消",""))</f>
        <v>刘师傅</v>
      </c>
      <c r="AO21" s="0" t="str">
        <f aca="false">IFERROR(INDEX($A$1:$A$5,MATCH(4,$AF21:$AJ21,0)),IF(4=MAX($AF21:$AJ21)+1,"取消",""))</f>
        <v>取消</v>
      </c>
      <c r="AP21" s="0" t="str">
        <f aca="false">IFERROR(INDEX($A$1:$A$5,MATCH(5,$AF21:$AJ21,0)),IF(5=MAX($AF21:$AJ21)+1,"取消",""))</f>
        <v/>
      </c>
      <c r="AQ21" s="0" t="str">
        <f aca="false">IFERROR(INDEX($A$1:$A$5,MATCH(6,$AF21:$AJ21,0)),IF(6=MAX($AF21:$AJ21)+1,"取消",""))</f>
        <v/>
      </c>
      <c r="AS21" s="0" t="n">
        <f aca="false">IF(OR($A$1=公区维修!$F21,$A$1=公区维修!$G21,$BN$1=1),0,1-SUMPRODUCT(--(($A$1=公区维修!$F21)+($A$1=公区维修!$G21)+$BN$1&gt;0)))</f>
        <v>0</v>
      </c>
      <c r="AT21" s="0" t="n">
        <f aca="false">IF(OR($A$2=公区维修!$F21,$A$2=公区维修!$G21,$BN$2=1),0,2-SUMPRODUCT(--(($A$1:$A$2=公区维修!$F21)+($A$1:$A$2=公区维修!$G21)+$BN$1:$BN$2&gt;0)))</f>
        <v>1</v>
      </c>
      <c r="AU21" s="0" t="n">
        <f aca="false">IF(OR($A$3=公区维修!$F21,$A$3=公区维修!$G21,$BN$3=1),0,3-SUMPRODUCT(--(($A$1:$A$3=公区维修!$F21)+($A$1:$A$3=公区维修!$G21)+$BN$1:$BN$3&gt;0)))</f>
        <v>2</v>
      </c>
      <c r="AV21" s="0" t="n">
        <f aca="false">IF(OR($A$4=公区维修!$F21,$A$4=公区维修!$G21,$BN$4=1),0,4-SUMPRODUCT(--(($A$1:$A$4=公区维修!$F21)+($A$1:$A$4=公区维修!$G21)+$BN$1:$BN$4&gt;0)))</f>
        <v>0</v>
      </c>
      <c r="AW21" s="0" t="n">
        <f aca="false">IF(OR($A$5=公区维修!$F21,$A$5=公区维修!$G21,$BN$5=1),0,5-SUMPRODUCT(--(($A$1:$A$5=公区维修!$F21)+($A$1:$A$5=公区维修!$G21)+$BN$1:$BN$5&gt;0)))</f>
        <v>3</v>
      </c>
      <c r="AY21" s="0" t="str">
        <f aca="false">IFERROR(INDEX($A$1:$A$5,MATCH(1,$AS21:$AW21,0)),IF(1=MAX($AS21:$AW21)+1,"取消",""))</f>
        <v>李师傅</v>
      </c>
      <c r="AZ21" s="0" t="str">
        <f aca="false">IFERROR(INDEX($A$1:$A$5,MATCH(2,$AS21:$AW21,0)),IF(2=MAX($AS21:$AW21)+1,"取消",""))</f>
        <v>王师傅</v>
      </c>
      <c r="BA21" s="0" t="str">
        <f aca="false">IFERROR(INDEX($A$1:$A$5,MATCH(3,$AS21:$AW21,0)),IF(3=MAX($AS21:$AW21)+1,"取消",""))</f>
        <v>刘师傅</v>
      </c>
      <c r="BB21" s="0" t="str">
        <f aca="false">IFERROR(INDEX($A$1:$A$5,MATCH(4,$AS21:$AW21,0)),IF(4=MAX($AS21:$AW21)+1,"取消",""))</f>
        <v>取消</v>
      </c>
      <c r="BC21" s="0" t="str">
        <f aca="false">IFERROR(INDEX($A$1:$A$5,MATCH(5,$AS21:$AW21,0)),IF(5=MAX($AS21:$AW21)+1,"取消",""))</f>
        <v/>
      </c>
      <c r="BD21" s="0" t="str">
        <f aca="false">IFERROR(INDEX($A$1:$A$5,MATCH(6,$AS21:$AW21,0)),IF(6=MAX($AS21:$AW21)+1,"取消",""))</f>
        <v/>
      </c>
      <c r="FW21" s="0" t="str">
        <f aca="false">IF(AND(单元查询!$D$3&lt;&gt;"",IF(单元查询!$B$3="公区维修",公区维修!$E21&lt;&gt;"",入户维修!$E21&lt;&gt;""),IF(单元查询!$B$3="公区维修",公区维修!$C21,入户维修!$C21)=单元查询!$D$3,OR(单元查询!$F$3="",IF(单元查询!$B$3="公区维修",公区维修!$D21,入户维修!$D21)&amp;""=(单元查询!$F$3)&amp;"")),MAX($FW$4:$FW20)+1,"")</f>
        <v/>
      </c>
      <c r="FY21" s="0" t="str">
        <f aca="false">IFERROR(MATCH(21,$FW$5:$FW$404,0),"")</f>
        <v/>
      </c>
    </row>
    <row r="22" customFormat="false" ht="15" hidden="false" customHeight="true" outlineLevel="0" collapsed="false">
      <c r="F22" s="0" t="n">
        <f aca="false">IF(OR($A$1=入户维修!$F22,$BN$1=1),0,1-SUMPRODUCT(--(($A$1=入户维修!$F22)+$BN$1&gt;0)))</f>
        <v>0</v>
      </c>
      <c r="G22" s="0" t="n">
        <f aca="false">IF(OR($A$2=入户维修!$F22,$BN$2=1),0,2-SUMPRODUCT(--(($A$1:$A$2=入户维修!$F22)+$BN$1:$BN$2&gt;0)))</f>
        <v>1</v>
      </c>
      <c r="H22" s="0" t="n">
        <f aca="false">IF(OR($A$3=入户维修!$F22,$BN$3=1),0,3-SUMPRODUCT(--(($A$1:$A$3=入户维修!$F22)+$BN$1:$BN$3&gt;0)))</f>
        <v>2</v>
      </c>
      <c r="I22" s="0" t="n">
        <f aca="false">IF(OR($A$4=入户维修!$F22,$BN$4=1),0,4-SUMPRODUCT(--(($A$1:$A$4=入户维修!$F22)+$BN$1:$BN$4&gt;0)))</f>
        <v>0</v>
      </c>
      <c r="J22" s="0" t="n">
        <f aca="false">IF(OR($A$5=入户维修!$F22,$BN$5=1),0,5-SUMPRODUCT(--(($A$1:$A$5=入户维修!$F22)+$BN$1:$BN$5&gt;0)))</f>
        <v>3</v>
      </c>
      <c r="L22" s="0" t="str">
        <f aca="false">IFERROR(INDEX($A$1:$A$5,MATCH(1,$F22:$J22,0)),IF(1=MAX($F22:$J22)+1,"取消",""))</f>
        <v>李师傅</v>
      </c>
      <c r="M22" s="0" t="str">
        <f aca="false">IFERROR(INDEX($A$1:$A$5,MATCH(2,$F22:$J22,0)),IF(2=MAX($F22:$J22)+1,"取消",""))</f>
        <v>王师傅</v>
      </c>
      <c r="N22" s="0" t="str">
        <f aca="false">IFERROR(INDEX($A$1:$A$5,MATCH(3,$F22:$J22,0)),IF(3=MAX($F22:$J22)+1,"取消",""))</f>
        <v>刘师傅</v>
      </c>
      <c r="O22" s="0" t="str">
        <f aca="false">IFERROR(INDEX($A$1:$A$5,MATCH(4,$F22:$J22,0)),IF(4=MAX($F22:$J22)+1,"取消",""))</f>
        <v>取消</v>
      </c>
      <c r="P22" s="0" t="str">
        <f aca="false">IFERROR(INDEX($A$1:$A$5,MATCH(5,$F22:$J22,0)),IF(5=MAX($F22:$J22)+1,"取消",""))</f>
        <v/>
      </c>
      <c r="Q22" s="0" t="str">
        <f aca="false">IFERROR(INDEX($A$1:$A$5,MATCH(6,$F22:$J22,0)),IF(6=MAX($F22:$J22)+1,"取消",""))</f>
        <v/>
      </c>
      <c r="S22" s="0" t="n">
        <f aca="false">IF(OR($A$1=入户维修!$F22,$A$1=入户维修!$G22,$BN$1=1),0,1-SUMPRODUCT(--(($A$1=入户维修!$F22)+($A$1=入户维修!$G22)+$BN$1&gt;0)))</f>
        <v>0</v>
      </c>
      <c r="T22" s="0" t="n">
        <f aca="false">IF(OR($A$2=入户维修!$F22,$A$2=入户维修!$G22,$BN$2=1),0,2-SUMPRODUCT(--(($A$1:$A$2=入户维修!$F22)+($A$1:$A$2=入户维修!$G22)+$BN$1:$BN$2&gt;0)))</f>
        <v>1</v>
      </c>
      <c r="U22" s="0" t="n">
        <f aca="false">IF(OR($A$3=入户维修!$F22,$A$3=入户维修!$G22,$BN$3=1),0,3-SUMPRODUCT(--(($A$1:$A$3=入户维修!$F22)+($A$1:$A$3=入户维修!$G22)+$BN$1:$BN$3&gt;0)))</f>
        <v>2</v>
      </c>
      <c r="V22" s="0" t="n">
        <f aca="false">IF(OR($A$4=入户维修!$F22,$A$4=入户维修!$G22,$BN$4=1),0,4-SUMPRODUCT(--(($A$1:$A$4=入户维修!$F22)+($A$1:$A$4=入户维修!$G22)+$BN$1:$BN$4&gt;0)))</f>
        <v>0</v>
      </c>
      <c r="W22" s="0" t="n">
        <f aca="false">IF(OR($A$5=入户维修!$F22,$A$5=入户维修!$G22,$BN$5=1),0,5-SUMPRODUCT(--(($A$1:$A$5=入户维修!$F22)+($A$1:$A$5=入户维修!$G22)+$BN$1:$BN$5&gt;0)))</f>
        <v>3</v>
      </c>
      <c r="Y22" s="0" t="str">
        <f aca="false">IFERROR(INDEX($A$1:$A$5,MATCH(1,$S22:$W22,0)),IF(1=MAX($S22:$W22)+1,"取消",""))</f>
        <v>李师傅</v>
      </c>
      <c r="Z22" s="0" t="str">
        <f aca="false">IFERROR(INDEX($A$1:$A$5,MATCH(2,$S22:$W22,0)),IF(2=MAX($S22:$W22)+1,"取消",""))</f>
        <v>王师傅</v>
      </c>
      <c r="AA22" s="0" t="str">
        <f aca="false">IFERROR(INDEX($A$1:$A$5,MATCH(3,$S22:$W22,0)),IF(3=MAX($S22:$W22)+1,"取消",""))</f>
        <v>刘师傅</v>
      </c>
      <c r="AB22" s="0" t="str">
        <f aca="false">IFERROR(INDEX($A$1:$A$5,MATCH(4,$S22:$W22,0)),IF(4=MAX($S22:$W22)+1,"取消",""))</f>
        <v>取消</v>
      </c>
      <c r="AC22" s="0" t="str">
        <f aca="false">IFERROR(INDEX($A$1:$A$5,MATCH(5,$S22:$W22,0)),IF(5=MAX($S22:$W22)+1,"取消",""))</f>
        <v/>
      </c>
      <c r="AD22" s="0" t="str">
        <f aca="false">IFERROR(INDEX($A$1:$A$5,MATCH(6,$S22:$W22,0)),IF(6=MAX($S22:$W22)+1,"取消",""))</f>
        <v/>
      </c>
      <c r="AF22" s="0" t="n">
        <f aca="false">IF(OR($A$1=公区维修!$F22,$BN$1=1),0,1-SUMPRODUCT(--(($A$1=公区维修!$F22)+$BN$1&gt;0)))</f>
        <v>0</v>
      </c>
      <c r="AG22" s="0" t="n">
        <f aca="false">IF(OR($A$2=公区维修!$F22,$BN$2=1),0,2-SUMPRODUCT(--(($A$1:$A$2=公区维修!$F22)+$BN$1:$BN$2&gt;0)))</f>
        <v>1</v>
      </c>
      <c r="AH22" s="0" t="n">
        <f aca="false">IF(OR($A$3=公区维修!$F22,$BN$3=1),0,3-SUMPRODUCT(--(($A$1:$A$3=公区维修!$F22)+$BN$1:$BN$3&gt;0)))</f>
        <v>2</v>
      </c>
      <c r="AI22" s="0" t="n">
        <f aca="false">IF(OR($A$4=公区维修!$F22,$BN$4=1),0,4-SUMPRODUCT(--(($A$1:$A$4=公区维修!$F22)+$BN$1:$BN$4&gt;0)))</f>
        <v>3</v>
      </c>
      <c r="AJ22" s="0" t="n">
        <f aca="false">IF(OR($A$5=公区维修!$F22,$BN$5=1),0,5-SUMPRODUCT(--(($A$1:$A$5=公区维修!$F22)+$BN$1:$BN$5&gt;0)))</f>
        <v>4</v>
      </c>
      <c r="AL22" s="0" t="str">
        <f aca="false">IFERROR(INDEX($A$1:$A$5,MATCH(1,$AF22:$AJ22,0)),IF(1=MAX($AF22:$AJ22)+1,"取消",""))</f>
        <v>李师傅</v>
      </c>
      <c r="AM22" s="0" t="str">
        <f aca="false">IFERROR(INDEX($A$1:$A$5,MATCH(2,$AF22:$AJ22,0)),IF(2=MAX($AF22:$AJ22)+1,"取消",""))</f>
        <v>王师傅</v>
      </c>
      <c r="AN22" s="0" t="str">
        <f aca="false">IFERROR(INDEX($A$1:$A$5,MATCH(3,$AF22:$AJ22,0)),IF(3=MAX($AF22:$AJ22)+1,"取消",""))</f>
        <v>陈师傅</v>
      </c>
      <c r="AO22" s="0" t="str">
        <f aca="false">IFERROR(INDEX($A$1:$A$5,MATCH(4,$AF22:$AJ22,0)),IF(4=MAX($AF22:$AJ22)+1,"取消",""))</f>
        <v>刘师傅</v>
      </c>
      <c r="AP22" s="0" t="str">
        <f aca="false">IFERROR(INDEX($A$1:$A$5,MATCH(5,$AF22:$AJ22,0)),IF(5=MAX($AF22:$AJ22)+1,"取消",""))</f>
        <v>取消</v>
      </c>
      <c r="AQ22" s="0" t="str">
        <f aca="false">IFERROR(INDEX($A$1:$A$5,MATCH(6,$AF22:$AJ22,0)),IF(6=MAX($AF22:$AJ22)+1,"取消",""))</f>
        <v/>
      </c>
      <c r="AS22" s="0" t="n">
        <f aca="false">IF(OR($A$1=公区维修!$F22,$A$1=公区维修!$G22,$BN$1=1),0,1-SUMPRODUCT(--(($A$1=公区维修!$F22)+($A$1=公区维修!$G22)+$BN$1&gt;0)))</f>
        <v>0</v>
      </c>
      <c r="AT22" s="0" t="n">
        <f aca="false">IF(OR($A$2=公区维修!$F22,$A$2=公区维修!$G22,$BN$2=1),0,2-SUMPRODUCT(--(($A$1:$A$2=公区维修!$F22)+($A$1:$A$2=公区维修!$G22)+$BN$1:$BN$2&gt;0)))</f>
        <v>1</v>
      </c>
      <c r="AU22" s="0" t="n">
        <f aca="false">IF(OR($A$3=公区维修!$F22,$A$3=公区维修!$G22,$BN$3=1),0,3-SUMPRODUCT(--(($A$1:$A$3=公区维修!$F22)+($A$1:$A$3=公区维修!$G22)+$BN$1:$BN$3&gt;0)))</f>
        <v>2</v>
      </c>
      <c r="AV22" s="0" t="n">
        <f aca="false">IF(OR($A$4=公区维修!$F22,$A$4=公区维修!$G22,$BN$4=1),0,4-SUMPRODUCT(--(($A$1:$A$4=公区维修!$F22)+($A$1:$A$4=公区维修!$G22)+$BN$1:$BN$4&gt;0)))</f>
        <v>3</v>
      </c>
      <c r="AW22" s="0" t="n">
        <f aca="false">IF(OR($A$5=公区维修!$F22,$A$5=公区维修!$G22,$BN$5=1),0,5-SUMPRODUCT(--(($A$1:$A$5=公区维修!$F22)+($A$1:$A$5=公区维修!$G22)+$BN$1:$BN$5&gt;0)))</f>
        <v>4</v>
      </c>
      <c r="AY22" s="0" t="str">
        <f aca="false">IFERROR(INDEX($A$1:$A$5,MATCH(1,$AS22:$AW22,0)),IF(1=MAX($AS22:$AW22)+1,"取消",""))</f>
        <v>李师傅</v>
      </c>
      <c r="AZ22" s="0" t="str">
        <f aca="false">IFERROR(INDEX($A$1:$A$5,MATCH(2,$AS22:$AW22,0)),IF(2=MAX($AS22:$AW22)+1,"取消",""))</f>
        <v>王师傅</v>
      </c>
      <c r="BA22" s="0" t="str">
        <f aca="false">IFERROR(INDEX($A$1:$A$5,MATCH(3,$AS22:$AW22,0)),IF(3=MAX($AS22:$AW22)+1,"取消",""))</f>
        <v>陈师傅</v>
      </c>
      <c r="BB22" s="0" t="str">
        <f aca="false">IFERROR(INDEX($A$1:$A$5,MATCH(4,$AS22:$AW22,0)),IF(4=MAX($AS22:$AW22)+1,"取消",""))</f>
        <v>刘师傅</v>
      </c>
      <c r="BC22" s="0" t="str">
        <f aca="false">IFERROR(INDEX($A$1:$A$5,MATCH(5,$AS22:$AW22,0)),IF(5=MAX($AS22:$AW22)+1,"取消",""))</f>
        <v>取消</v>
      </c>
      <c r="BD22" s="0" t="str">
        <f aca="false">IFERROR(INDEX($A$1:$A$5,MATCH(6,$AS22:$AW22,0)),IF(6=MAX($AS22:$AW22)+1,"取消",""))</f>
        <v/>
      </c>
      <c r="FW22" s="0" t="str">
        <f aca="false">IF(AND(单元查询!$D$3&lt;&gt;"",IF(单元查询!$B$3="公区维修",公区维修!$E22&lt;&gt;"",入户维修!$E22&lt;&gt;""),IF(单元查询!$B$3="公区维修",公区维修!$C22,入户维修!$C22)=单元查询!$D$3,OR(单元查询!$F$3="",IF(单元查询!$B$3="公区维修",公区维修!$D22,入户维修!$D22)&amp;""=(单元查询!$F$3)&amp;"")),MAX($FW$4:$FW21)+1,"")</f>
        <v/>
      </c>
      <c r="FY22" s="0" t="str">
        <f aca="false">IFERROR(MATCH(22,$FW$5:$FW$404,0),"")</f>
        <v/>
      </c>
    </row>
    <row r="23" customFormat="false" ht="15" hidden="false" customHeight="true" outlineLevel="0" collapsed="false">
      <c r="F23" s="0" t="n">
        <f aca="false">IF(OR($A$1=入户维修!$F23,$BN$1=1),0,1-SUMPRODUCT(--(($A$1=入户维修!$F23)+$BN$1&gt;0)))</f>
        <v>0</v>
      </c>
      <c r="G23" s="0" t="n">
        <f aca="false">IF(OR($A$2=入户维修!$F23,$BN$2=1),0,2-SUMPRODUCT(--(($A$1:$A$2=入户维修!$F23)+$BN$1:$BN$2&gt;0)))</f>
        <v>1</v>
      </c>
      <c r="H23" s="0" t="n">
        <f aca="false">IF(OR($A$3=入户维修!$F23,$BN$3=1),0,3-SUMPRODUCT(--(($A$1:$A$3=入户维修!$F23)+$BN$1:$BN$3&gt;0)))</f>
        <v>2</v>
      </c>
      <c r="I23" s="0" t="n">
        <f aca="false">IF(OR($A$4=入户维修!$F23,$BN$4=1),0,4-SUMPRODUCT(--(($A$1:$A$4=入户维修!$F23)+$BN$1:$BN$4&gt;0)))</f>
        <v>3</v>
      </c>
      <c r="J23" s="0" t="n">
        <f aca="false">IF(OR($A$5=入户维修!$F23,$BN$5=1),0,5-SUMPRODUCT(--(($A$1:$A$5=入户维修!$F23)+$BN$1:$BN$5&gt;0)))</f>
        <v>4</v>
      </c>
      <c r="L23" s="0" t="str">
        <f aca="false">IFERROR(INDEX($A$1:$A$5,MATCH(1,$F23:$J23,0)),IF(1=MAX($F23:$J23)+1,"取消",""))</f>
        <v>李师傅</v>
      </c>
      <c r="M23" s="0" t="str">
        <f aca="false">IFERROR(INDEX($A$1:$A$5,MATCH(2,$F23:$J23,0)),IF(2=MAX($F23:$J23)+1,"取消",""))</f>
        <v>王师傅</v>
      </c>
      <c r="N23" s="0" t="str">
        <f aca="false">IFERROR(INDEX($A$1:$A$5,MATCH(3,$F23:$J23,0)),IF(3=MAX($F23:$J23)+1,"取消",""))</f>
        <v>陈师傅</v>
      </c>
      <c r="O23" s="0" t="str">
        <f aca="false">IFERROR(INDEX($A$1:$A$5,MATCH(4,$F23:$J23,0)),IF(4=MAX($F23:$J23)+1,"取消",""))</f>
        <v>刘师傅</v>
      </c>
      <c r="P23" s="0" t="str">
        <f aca="false">IFERROR(INDEX($A$1:$A$5,MATCH(5,$F23:$J23,0)),IF(5=MAX($F23:$J23)+1,"取消",""))</f>
        <v>取消</v>
      </c>
      <c r="Q23" s="0" t="str">
        <f aca="false">IFERROR(INDEX($A$1:$A$5,MATCH(6,$F23:$J23,0)),IF(6=MAX($F23:$J23)+1,"取消",""))</f>
        <v/>
      </c>
      <c r="S23" s="0" t="n">
        <f aca="false">IF(OR($A$1=入户维修!$F23,$A$1=入户维修!$G23,$BN$1=1),0,1-SUMPRODUCT(--(($A$1=入户维修!$F23)+($A$1=入户维修!$G23)+$BN$1&gt;0)))</f>
        <v>0</v>
      </c>
      <c r="T23" s="0" t="n">
        <f aca="false">IF(OR($A$2=入户维修!$F23,$A$2=入户维修!$G23,$BN$2=1),0,2-SUMPRODUCT(--(($A$1:$A$2=入户维修!$F23)+($A$1:$A$2=入户维修!$G23)+$BN$1:$BN$2&gt;0)))</f>
        <v>1</v>
      </c>
      <c r="U23" s="0" t="n">
        <f aca="false">IF(OR($A$3=入户维修!$F23,$A$3=入户维修!$G23,$BN$3=1),0,3-SUMPRODUCT(--(($A$1:$A$3=入户维修!$F23)+($A$1:$A$3=入户维修!$G23)+$BN$1:$BN$3&gt;0)))</f>
        <v>2</v>
      </c>
      <c r="V23" s="0" t="n">
        <f aca="false">IF(OR($A$4=入户维修!$F23,$A$4=入户维修!$G23,$BN$4=1),0,4-SUMPRODUCT(--(($A$1:$A$4=入户维修!$F23)+($A$1:$A$4=入户维修!$G23)+$BN$1:$BN$4&gt;0)))</f>
        <v>3</v>
      </c>
      <c r="W23" s="0" t="n">
        <f aca="false">IF(OR($A$5=入户维修!$F23,$A$5=入户维修!$G23,$BN$5=1),0,5-SUMPRODUCT(--(($A$1:$A$5=入户维修!$F23)+($A$1:$A$5=入户维修!$G23)+$BN$1:$BN$5&gt;0)))</f>
        <v>4</v>
      </c>
      <c r="Y23" s="0" t="str">
        <f aca="false">IFERROR(INDEX($A$1:$A$5,MATCH(1,$S23:$W23,0)),IF(1=MAX($S23:$W23)+1,"取消",""))</f>
        <v>李师傅</v>
      </c>
      <c r="Z23" s="0" t="str">
        <f aca="false">IFERROR(INDEX($A$1:$A$5,MATCH(2,$S23:$W23,0)),IF(2=MAX($S23:$W23)+1,"取消",""))</f>
        <v>王师傅</v>
      </c>
      <c r="AA23" s="0" t="str">
        <f aca="false">IFERROR(INDEX($A$1:$A$5,MATCH(3,$S23:$W23,0)),IF(3=MAX($S23:$W23)+1,"取消",""))</f>
        <v>陈师傅</v>
      </c>
      <c r="AB23" s="0" t="str">
        <f aca="false">IFERROR(INDEX($A$1:$A$5,MATCH(4,$S23:$W23,0)),IF(4=MAX($S23:$W23)+1,"取消",""))</f>
        <v>刘师傅</v>
      </c>
      <c r="AC23" s="0" t="str">
        <f aca="false">IFERROR(INDEX($A$1:$A$5,MATCH(5,$S23:$W23,0)),IF(5=MAX($S23:$W23)+1,"取消",""))</f>
        <v>取消</v>
      </c>
      <c r="AD23" s="0" t="str">
        <f aca="false">IFERROR(INDEX($A$1:$A$5,MATCH(6,$S23:$W23,0)),IF(6=MAX($S23:$W23)+1,"取消",""))</f>
        <v/>
      </c>
      <c r="AF23" s="0" t="n">
        <f aca="false">IF(OR($A$1=公区维修!$F23,$BN$1=1),0,1-SUMPRODUCT(--(($A$1=公区维修!$F23)+$BN$1&gt;0)))</f>
        <v>0</v>
      </c>
      <c r="AG23" s="0" t="n">
        <f aca="false">IF(OR($A$2=公区维修!$F23,$BN$2=1),0,2-SUMPRODUCT(--(($A$1:$A$2=公区维修!$F23)+$BN$1:$BN$2&gt;0)))</f>
        <v>1</v>
      </c>
      <c r="AH23" s="0" t="n">
        <f aca="false">IF(OR($A$3=公区维修!$F23,$BN$3=1),0,3-SUMPRODUCT(--(($A$1:$A$3=公区维修!$F23)+$BN$1:$BN$3&gt;0)))</f>
        <v>2</v>
      </c>
      <c r="AI23" s="0" t="n">
        <f aca="false">IF(OR($A$4=公区维修!$F23,$BN$4=1),0,4-SUMPRODUCT(--(($A$1:$A$4=公区维修!$F23)+$BN$1:$BN$4&gt;0)))</f>
        <v>3</v>
      </c>
      <c r="AJ23" s="0" t="n">
        <f aca="false">IF(OR($A$5=公区维修!$F23,$BN$5=1),0,5-SUMPRODUCT(--(($A$1:$A$5=公区维修!$F23)+$BN$1:$BN$5&gt;0)))</f>
        <v>0</v>
      </c>
      <c r="AL23" s="0" t="str">
        <f aca="false">IFERROR(INDEX($A$1:$A$5,MATCH(1,$AF23:$AJ23,0)),IF(1=MAX($AF23:$AJ23)+1,"取消",""))</f>
        <v>李师傅</v>
      </c>
      <c r="AM23" s="0" t="str">
        <f aca="false">IFERROR(INDEX($A$1:$A$5,MATCH(2,$AF23:$AJ23,0)),IF(2=MAX($AF23:$AJ23)+1,"取消",""))</f>
        <v>王师傅</v>
      </c>
      <c r="AN23" s="0" t="str">
        <f aca="false">IFERROR(INDEX($A$1:$A$5,MATCH(3,$AF23:$AJ23,0)),IF(3=MAX($AF23:$AJ23)+1,"取消",""))</f>
        <v>陈师傅</v>
      </c>
      <c r="AO23" s="0" t="str">
        <f aca="false">IFERROR(INDEX($A$1:$A$5,MATCH(4,$AF23:$AJ23,0)),IF(4=MAX($AF23:$AJ23)+1,"取消",""))</f>
        <v>取消</v>
      </c>
      <c r="AP23" s="0" t="str">
        <f aca="false">IFERROR(INDEX($A$1:$A$5,MATCH(5,$AF23:$AJ23,0)),IF(5=MAX($AF23:$AJ23)+1,"取消",""))</f>
        <v/>
      </c>
      <c r="AQ23" s="0" t="str">
        <f aca="false">IFERROR(INDEX($A$1:$A$5,MATCH(6,$AF23:$AJ23,0)),IF(6=MAX($AF23:$AJ23)+1,"取消",""))</f>
        <v/>
      </c>
      <c r="AS23" s="0" t="n">
        <f aca="false">IF(OR($A$1=公区维修!$F23,$A$1=公区维修!$G23,$BN$1=1),0,1-SUMPRODUCT(--(($A$1=公区维修!$F23)+($A$1=公区维修!$G23)+$BN$1&gt;0)))</f>
        <v>0</v>
      </c>
      <c r="AT23" s="0" t="n">
        <f aca="false">IF(OR($A$2=公区维修!$F23,$A$2=公区维修!$G23,$BN$2=1),0,2-SUMPRODUCT(--(($A$1:$A$2=公区维修!$F23)+($A$1:$A$2=公区维修!$G23)+$BN$1:$BN$2&gt;0)))</f>
        <v>1</v>
      </c>
      <c r="AU23" s="0" t="n">
        <f aca="false">IF(OR($A$3=公区维修!$F23,$A$3=公区维修!$G23,$BN$3=1),0,3-SUMPRODUCT(--(($A$1:$A$3=公区维修!$F23)+($A$1:$A$3=公区维修!$G23)+$BN$1:$BN$3&gt;0)))</f>
        <v>2</v>
      </c>
      <c r="AV23" s="0" t="n">
        <f aca="false">IF(OR($A$4=公区维修!$F23,$A$4=公区维修!$G23,$BN$4=1),0,4-SUMPRODUCT(--(($A$1:$A$4=公区维修!$F23)+($A$1:$A$4=公区维修!$G23)+$BN$1:$BN$4&gt;0)))</f>
        <v>3</v>
      </c>
      <c r="AW23" s="0" t="n">
        <f aca="false">IF(OR($A$5=公区维修!$F23,$A$5=公区维修!$G23,$BN$5=1),0,5-SUMPRODUCT(--(($A$1:$A$5=公区维修!$F23)+($A$1:$A$5=公区维修!$G23)+$BN$1:$BN$5&gt;0)))</f>
        <v>0</v>
      </c>
      <c r="AY23" s="0" t="str">
        <f aca="false">IFERROR(INDEX($A$1:$A$5,MATCH(1,$AS23:$AW23,0)),IF(1=MAX($AS23:$AW23)+1,"取消",""))</f>
        <v>李师傅</v>
      </c>
      <c r="AZ23" s="0" t="str">
        <f aca="false">IFERROR(INDEX($A$1:$A$5,MATCH(2,$AS23:$AW23,0)),IF(2=MAX($AS23:$AW23)+1,"取消",""))</f>
        <v>王师傅</v>
      </c>
      <c r="BA23" s="0" t="str">
        <f aca="false">IFERROR(INDEX($A$1:$A$5,MATCH(3,$AS23:$AW23,0)),IF(3=MAX($AS23:$AW23)+1,"取消",""))</f>
        <v>陈师傅</v>
      </c>
      <c r="BB23" s="0" t="str">
        <f aca="false">IFERROR(INDEX($A$1:$A$5,MATCH(4,$AS23:$AW23,0)),IF(4=MAX($AS23:$AW23)+1,"取消",""))</f>
        <v>取消</v>
      </c>
      <c r="BC23" s="0" t="str">
        <f aca="false">IFERROR(INDEX($A$1:$A$5,MATCH(5,$AS23:$AW23,0)),IF(5=MAX($AS23:$AW23)+1,"取消",""))</f>
        <v/>
      </c>
      <c r="BD23" s="0" t="str">
        <f aca="false">IFERROR(INDEX($A$1:$A$5,MATCH(6,$AS23:$AW23,0)),IF(6=MAX($AS23:$AW23)+1,"取消",""))</f>
        <v/>
      </c>
      <c r="FW23" s="0" t="str">
        <f aca="false">IF(AND(单元查询!$D$3&lt;&gt;"",IF(单元查询!$B$3="公区维修",公区维修!$E23&lt;&gt;"",入户维修!$E23&lt;&gt;""),IF(单元查询!$B$3="公区维修",公区维修!$C23,入户维修!$C23)=单元查询!$D$3,OR(单元查询!$F$3="",IF(单元查询!$B$3="公区维修",公区维修!$D23,入户维修!$D23)&amp;""=(单元查询!$F$3)&amp;"")),MAX($FW$4:$FW22)+1,"")</f>
        <v/>
      </c>
      <c r="FY23" s="0" t="str">
        <f aca="false">IFERROR(MATCH(23,$FW$5:$FW$404,0),"")</f>
        <v/>
      </c>
    </row>
    <row r="24" customFormat="false" ht="15" hidden="false" customHeight="true" outlineLevel="0" collapsed="false">
      <c r="F24" s="0" t="n">
        <f aca="false">IF(OR($A$1=入户维修!$F24,$BN$1=1),0,1-SUMPRODUCT(--(($A$1=入户维修!$F24)+$BN$1&gt;0)))</f>
        <v>0</v>
      </c>
      <c r="G24" s="0" t="n">
        <f aca="false">IF(OR($A$2=入户维修!$F24,$BN$2=1),0,2-SUMPRODUCT(--(($A$1:$A$2=入户维修!$F24)+$BN$1:$BN$2&gt;0)))</f>
        <v>0</v>
      </c>
      <c r="H24" s="0" t="n">
        <f aca="false">IF(OR($A$3=入户维修!$F24,$BN$3=1),0,3-SUMPRODUCT(--(($A$1:$A$3=入户维修!$F24)+$BN$1:$BN$3&gt;0)))</f>
        <v>1</v>
      </c>
      <c r="I24" s="0" t="n">
        <f aca="false">IF(OR($A$4=入户维修!$F24,$BN$4=1),0,4-SUMPRODUCT(--(($A$1:$A$4=入户维修!$F24)+$BN$1:$BN$4&gt;0)))</f>
        <v>2</v>
      </c>
      <c r="J24" s="0" t="n">
        <f aca="false">IF(OR($A$5=入户维修!$F24,$BN$5=1),0,5-SUMPRODUCT(--(($A$1:$A$5=入户维修!$F24)+$BN$1:$BN$5&gt;0)))</f>
        <v>3</v>
      </c>
      <c r="L24" s="0" t="str">
        <f aca="false">IFERROR(INDEX($A$1:$A$5,MATCH(1,$F24:$J24,0)),IF(1=MAX($F24:$J24)+1,"取消",""))</f>
        <v>王师傅</v>
      </c>
      <c r="M24" s="0" t="str">
        <f aca="false">IFERROR(INDEX($A$1:$A$5,MATCH(2,$F24:$J24,0)),IF(2=MAX($F24:$J24)+1,"取消",""))</f>
        <v>陈师傅</v>
      </c>
      <c r="N24" s="0" t="str">
        <f aca="false">IFERROR(INDEX($A$1:$A$5,MATCH(3,$F24:$J24,0)),IF(3=MAX($F24:$J24)+1,"取消",""))</f>
        <v>刘师傅</v>
      </c>
      <c r="O24" s="0" t="str">
        <f aca="false">IFERROR(INDEX($A$1:$A$5,MATCH(4,$F24:$J24,0)),IF(4=MAX($F24:$J24)+1,"取消",""))</f>
        <v>取消</v>
      </c>
      <c r="P24" s="0" t="str">
        <f aca="false">IFERROR(INDEX($A$1:$A$5,MATCH(5,$F24:$J24,0)),IF(5=MAX($F24:$J24)+1,"取消",""))</f>
        <v/>
      </c>
      <c r="Q24" s="0" t="str">
        <f aca="false">IFERROR(INDEX($A$1:$A$5,MATCH(6,$F24:$J24,0)),IF(6=MAX($F24:$J24)+1,"取消",""))</f>
        <v/>
      </c>
      <c r="S24" s="0" t="n">
        <f aca="false">IF(OR($A$1=入户维修!$F24,$A$1=入户维修!$G24,$BN$1=1),0,1-SUMPRODUCT(--(($A$1=入户维修!$F24)+($A$1=入户维修!$G24)+$BN$1&gt;0)))</f>
        <v>0</v>
      </c>
      <c r="T24" s="0" t="n">
        <f aca="false">IF(OR($A$2=入户维修!$F24,$A$2=入户维修!$G24,$BN$2=1),0,2-SUMPRODUCT(--(($A$1:$A$2=入户维修!$F24)+($A$1:$A$2=入户维修!$G24)+$BN$1:$BN$2&gt;0)))</f>
        <v>0</v>
      </c>
      <c r="U24" s="0" t="n">
        <f aca="false">IF(OR($A$3=入户维修!$F24,$A$3=入户维修!$G24,$BN$3=1),0,3-SUMPRODUCT(--(($A$1:$A$3=入户维修!$F24)+($A$1:$A$3=入户维修!$G24)+$BN$1:$BN$3&gt;0)))</f>
        <v>1</v>
      </c>
      <c r="V24" s="0" t="n">
        <f aca="false">IF(OR($A$4=入户维修!$F24,$A$4=入户维修!$G24,$BN$4=1),0,4-SUMPRODUCT(--(($A$1:$A$4=入户维修!$F24)+($A$1:$A$4=入户维修!$G24)+$BN$1:$BN$4&gt;0)))</f>
        <v>2</v>
      </c>
      <c r="W24" s="0" t="n">
        <f aca="false">IF(OR($A$5=入户维修!$F24,$A$5=入户维修!$G24,$BN$5=1),0,5-SUMPRODUCT(--(($A$1:$A$5=入户维修!$F24)+($A$1:$A$5=入户维修!$G24)+$BN$1:$BN$5&gt;0)))</f>
        <v>3</v>
      </c>
      <c r="Y24" s="0" t="str">
        <f aca="false">IFERROR(INDEX($A$1:$A$5,MATCH(1,$S24:$W24,0)),IF(1=MAX($S24:$W24)+1,"取消",""))</f>
        <v>王师傅</v>
      </c>
      <c r="Z24" s="0" t="str">
        <f aca="false">IFERROR(INDEX($A$1:$A$5,MATCH(2,$S24:$W24,0)),IF(2=MAX($S24:$W24)+1,"取消",""))</f>
        <v>陈师傅</v>
      </c>
      <c r="AA24" s="0" t="str">
        <f aca="false">IFERROR(INDEX($A$1:$A$5,MATCH(3,$S24:$W24,0)),IF(3=MAX($S24:$W24)+1,"取消",""))</f>
        <v>刘师傅</v>
      </c>
      <c r="AB24" s="0" t="str">
        <f aca="false">IFERROR(INDEX($A$1:$A$5,MATCH(4,$S24:$W24,0)),IF(4=MAX($S24:$W24)+1,"取消",""))</f>
        <v>取消</v>
      </c>
      <c r="AC24" s="0" t="str">
        <f aca="false">IFERROR(INDEX($A$1:$A$5,MATCH(5,$S24:$W24,0)),IF(5=MAX($S24:$W24)+1,"取消",""))</f>
        <v/>
      </c>
      <c r="AD24" s="0" t="str">
        <f aca="false">IFERROR(INDEX($A$1:$A$5,MATCH(6,$S24:$W24,0)),IF(6=MAX($S24:$W24)+1,"取消",""))</f>
        <v/>
      </c>
      <c r="AF24" s="0" t="n">
        <f aca="false">IF(OR($A$1=公区维修!$F24,$BN$1=1),0,1-SUMPRODUCT(--(($A$1=公区维修!$F24)+$BN$1&gt;0)))</f>
        <v>0</v>
      </c>
      <c r="AG24" s="0" t="n">
        <f aca="false">IF(OR($A$2=公区维修!$F24,$BN$2=1),0,2-SUMPRODUCT(--(($A$1:$A$2=公区维修!$F24)+$BN$1:$BN$2&gt;0)))</f>
        <v>1</v>
      </c>
      <c r="AH24" s="0" t="n">
        <f aca="false">IF(OR($A$3=公区维修!$F24,$BN$3=1),0,3-SUMPRODUCT(--(($A$1:$A$3=公区维修!$F24)+$BN$1:$BN$3&gt;0)))</f>
        <v>2</v>
      </c>
      <c r="AI24" s="0" t="n">
        <f aca="false">IF(OR($A$4=公区维修!$F24,$BN$4=1),0,4-SUMPRODUCT(--(($A$1:$A$4=公区维修!$F24)+$BN$1:$BN$4&gt;0)))</f>
        <v>3</v>
      </c>
      <c r="AJ24" s="0" t="n">
        <f aca="false">IF(OR($A$5=公区维修!$F24,$BN$5=1),0,5-SUMPRODUCT(--(($A$1:$A$5=公区维修!$F24)+$BN$1:$BN$5&gt;0)))</f>
        <v>4</v>
      </c>
      <c r="AL24" s="0" t="str">
        <f aca="false">IFERROR(INDEX($A$1:$A$5,MATCH(1,$AF24:$AJ24,0)),IF(1=MAX($AF24:$AJ24)+1,"取消",""))</f>
        <v>李师傅</v>
      </c>
      <c r="AM24" s="0" t="str">
        <f aca="false">IFERROR(INDEX($A$1:$A$5,MATCH(2,$AF24:$AJ24,0)),IF(2=MAX($AF24:$AJ24)+1,"取消",""))</f>
        <v>王师傅</v>
      </c>
      <c r="AN24" s="0" t="str">
        <f aca="false">IFERROR(INDEX($A$1:$A$5,MATCH(3,$AF24:$AJ24,0)),IF(3=MAX($AF24:$AJ24)+1,"取消",""))</f>
        <v>陈师傅</v>
      </c>
      <c r="AO24" s="0" t="str">
        <f aca="false">IFERROR(INDEX($A$1:$A$5,MATCH(4,$AF24:$AJ24,0)),IF(4=MAX($AF24:$AJ24)+1,"取消",""))</f>
        <v>刘师傅</v>
      </c>
      <c r="AP24" s="0" t="str">
        <f aca="false">IFERROR(INDEX($A$1:$A$5,MATCH(5,$AF24:$AJ24,0)),IF(5=MAX($AF24:$AJ24)+1,"取消",""))</f>
        <v>取消</v>
      </c>
      <c r="AQ24" s="0" t="str">
        <f aca="false">IFERROR(INDEX($A$1:$A$5,MATCH(6,$AF24:$AJ24,0)),IF(6=MAX($AF24:$AJ24)+1,"取消",""))</f>
        <v/>
      </c>
      <c r="AS24" s="0" t="n">
        <f aca="false">IF(OR($A$1=公区维修!$F24,$A$1=公区维修!$G24,$BN$1=1),0,1-SUMPRODUCT(--(($A$1=公区维修!$F24)+($A$1=公区维修!$G24)+$BN$1&gt;0)))</f>
        <v>0</v>
      </c>
      <c r="AT24" s="0" t="n">
        <f aca="false">IF(OR($A$2=公区维修!$F24,$A$2=公区维修!$G24,$BN$2=1),0,2-SUMPRODUCT(--(($A$1:$A$2=公区维修!$F24)+($A$1:$A$2=公区维修!$G24)+$BN$1:$BN$2&gt;0)))</f>
        <v>1</v>
      </c>
      <c r="AU24" s="0" t="n">
        <f aca="false">IF(OR($A$3=公区维修!$F24,$A$3=公区维修!$G24,$BN$3=1),0,3-SUMPRODUCT(--(($A$1:$A$3=公区维修!$F24)+($A$1:$A$3=公区维修!$G24)+$BN$1:$BN$3&gt;0)))</f>
        <v>2</v>
      </c>
      <c r="AV24" s="0" t="n">
        <f aca="false">IF(OR($A$4=公区维修!$F24,$A$4=公区维修!$G24,$BN$4=1),0,4-SUMPRODUCT(--(($A$1:$A$4=公区维修!$F24)+($A$1:$A$4=公区维修!$G24)+$BN$1:$BN$4&gt;0)))</f>
        <v>3</v>
      </c>
      <c r="AW24" s="0" t="n">
        <f aca="false">IF(OR($A$5=公区维修!$F24,$A$5=公区维修!$G24,$BN$5=1),0,5-SUMPRODUCT(--(($A$1:$A$5=公区维修!$F24)+($A$1:$A$5=公区维修!$G24)+$BN$1:$BN$5&gt;0)))</f>
        <v>4</v>
      </c>
      <c r="AY24" s="0" t="str">
        <f aca="false">IFERROR(INDEX($A$1:$A$5,MATCH(1,$AS24:$AW24,0)),IF(1=MAX($AS24:$AW24)+1,"取消",""))</f>
        <v>李师傅</v>
      </c>
      <c r="AZ24" s="0" t="str">
        <f aca="false">IFERROR(INDEX($A$1:$A$5,MATCH(2,$AS24:$AW24,0)),IF(2=MAX($AS24:$AW24)+1,"取消",""))</f>
        <v>王师傅</v>
      </c>
      <c r="BA24" s="0" t="str">
        <f aca="false">IFERROR(INDEX($A$1:$A$5,MATCH(3,$AS24:$AW24,0)),IF(3=MAX($AS24:$AW24)+1,"取消",""))</f>
        <v>陈师傅</v>
      </c>
      <c r="BB24" s="0" t="str">
        <f aca="false">IFERROR(INDEX($A$1:$A$5,MATCH(4,$AS24:$AW24,0)),IF(4=MAX($AS24:$AW24)+1,"取消",""))</f>
        <v>刘师傅</v>
      </c>
      <c r="BC24" s="0" t="str">
        <f aca="false">IFERROR(INDEX($A$1:$A$5,MATCH(5,$AS24:$AW24,0)),IF(5=MAX($AS24:$AW24)+1,"取消",""))</f>
        <v>取消</v>
      </c>
      <c r="BD24" s="0" t="str">
        <f aca="false">IFERROR(INDEX($A$1:$A$5,MATCH(6,$AS24:$AW24,0)),IF(6=MAX($AS24:$AW24)+1,"取消",""))</f>
        <v/>
      </c>
      <c r="FW24" s="0" t="str">
        <f aca="false">IF(AND(单元查询!$D$3&lt;&gt;"",IF(单元查询!$B$3="公区维修",公区维修!$E24&lt;&gt;"",入户维修!$E24&lt;&gt;""),IF(单元查询!$B$3="公区维修",公区维修!$C24,入户维修!$C24)=单元查询!$D$3,OR(单元查询!$F$3="",IF(单元查询!$B$3="公区维修",公区维修!$D24,入户维修!$D24)&amp;""=(单元查询!$F$3)&amp;"")),MAX($FW$4:$FW23)+1,"")</f>
        <v/>
      </c>
      <c r="FY24" s="0" t="str">
        <f aca="false">IFERROR(MATCH(24,$FW$5:$FW$404,0),"")</f>
        <v/>
      </c>
    </row>
    <row r="25" customFormat="false" ht="15" hidden="false" customHeight="true" outlineLevel="0" collapsed="false">
      <c r="F25" s="0" t="n">
        <f aca="false">IF(OR($A$1=入户维修!$F25,$BN$1=1),0,1-SUMPRODUCT(--(($A$1=入户维修!$F25)+$BN$1&gt;0)))</f>
        <v>0</v>
      </c>
      <c r="G25" s="0" t="n">
        <f aca="false">IF(OR($A$2=入户维修!$F25,$BN$2=1),0,2-SUMPRODUCT(--(($A$1:$A$2=入户维修!$F25)+$BN$1:$BN$2&gt;0)))</f>
        <v>1</v>
      </c>
      <c r="H25" s="0" t="n">
        <f aca="false">IF(OR($A$3=入户维修!$F25,$BN$3=1),0,3-SUMPRODUCT(--(($A$1:$A$3=入户维修!$F25)+$BN$1:$BN$3&gt;0)))</f>
        <v>2</v>
      </c>
      <c r="I25" s="0" t="n">
        <f aca="false">IF(OR($A$4=入户维修!$F25,$BN$4=1),0,4-SUMPRODUCT(--(($A$1:$A$4=入户维修!$F25)+$BN$1:$BN$4&gt;0)))</f>
        <v>3</v>
      </c>
      <c r="J25" s="0" t="n">
        <f aca="false">IF(OR($A$5=入户维修!$F25,$BN$5=1),0,5-SUMPRODUCT(--(($A$1:$A$5=入户维修!$F25)+$BN$1:$BN$5&gt;0)))</f>
        <v>4</v>
      </c>
      <c r="L25" s="0" t="str">
        <f aca="false">IFERROR(INDEX($A$1:$A$5,MATCH(1,$F25:$J25,0)),IF(1=MAX($F25:$J25)+1,"取消",""))</f>
        <v>李师傅</v>
      </c>
      <c r="M25" s="0" t="str">
        <f aca="false">IFERROR(INDEX($A$1:$A$5,MATCH(2,$F25:$J25,0)),IF(2=MAX($F25:$J25)+1,"取消",""))</f>
        <v>王师傅</v>
      </c>
      <c r="N25" s="0" t="str">
        <f aca="false">IFERROR(INDEX($A$1:$A$5,MATCH(3,$F25:$J25,0)),IF(3=MAX($F25:$J25)+1,"取消",""))</f>
        <v>陈师傅</v>
      </c>
      <c r="O25" s="0" t="str">
        <f aca="false">IFERROR(INDEX($A$1:$A$5,MATCH(4,$F25:$J25,0)),IF(4=MAX($F25:$J25)+1,"取消",""))</f>
        <v>刘师傅</v>
      </c>
      <c r="P25" s="0" t="str">
        <f aca="false">IFERROR(INDEX($A$1:$A$5,MATCH(5,$F25:$J25,0)),IF(5=MAX($F25:$J25)+1,"取消",""))</f>
        <v>取消</v>
      </c>
      <c r="Q25" s="0" t="str">
        <f aca="false">IFERROR(INDEX($A$1:$A$5,MATCH(6,$F25:$J25,0)),IF(6=MAX($F25:$J25)+1,"取消",""))</f>
        <v/>
      </c>
      <c r="S25" s="0" t="n">
        <f aca="false">IF(OR($A$1=入户维修!$F25,$A$1=入户维修!$G25,$BN$1=1),0,1-SUMPRODUCT(--(($A$1=入户维修!$F25)+($A$1=入户维修!$G25)+$BN$1&gt;0)))</f>
        <v>0</v>
      </c>
      <c r="T25" s="0" t="n">
        <f aca="false">IF(OR($A$2=入户维修!$F25,$A$2=入户维修!$G25,$BN$2=1),0,2-SUMPRODUCT(--(($A$1:$A$2=入户维修!$F25)+($A$1:$A$2=入户维修!$G25)+$BN$1:$BN$2&gt;0)))</f>
        <v>1</v>
      </c>
      <c r="U25" s="0" t="n">
        <f aca="false">IF(OR($A$3=入户维修!$F25,$A$3=入户维修!$G25,$BN$3=1),0,3-SUMPRODUCT(--(($A$1:$A$3=入户维修!$F25)+($A$1:$A$3=入户维修!$G25)+$BN$1:$BN$3&gt;0)))</f>
        <v>2</v>
      </c>
      <c r="V25" s="0" t="n">
        <f aca="false">IF(OR($A$4=入户维修!$F25,$A$4=入户维修!$G25,$BN$4=1),0,4-SUMPRODUCT(--(($A$1:$A$4=入户维修!$F25)+($A$1:$A$4=入户维修!$G25)+$BN$1:$BN$4&gt;0)))</f>
        <v>3</v>
      </c>
      <c r="W25" s="0" t="n">
        <f aca="false">IF(OR($A$5=入户维修!$F25,$A$5=入户维修!$G25,$BN$5=1),0,5-SUMPRODUCT(--(($A$1:$A$5=入户维修!$F25)+($A$1:$A$5=入户维修!$G25)+$BN$1:$BN$5&gt;0)))</f>
        <v>4</v>
      </c>
      <c r="Y25" s="0" t="str">
        <f aca="false">IFERROR(INDEX($A$1:$A$5,MATCH(1,$S25:$W25,0)),IF(1=MAX($S25:$W25)+1,"取消",""))</f>
        <v>李师傅</v>
      </c>
      <c r="Z25" s="0" t="str">
        <f aca="false">IFERROR(INDEX($A$1:$A$5,MATCH(2,$S25:$W25,0)),IF(2=MAX($S25:$W25)+1,"取消",""))</f>
        <v>王师傅</v>
      </c>
      <c r="AA25" s="0" t="str">
        <f aca="false">IFERROR(INDEX($A$1:$A$5,MATCH(3,$S25:$W25,0)),IF(3=MAX($S25:$W25)+1,"取消",""))</f>
        <v>陈师傅</v>
      </c>
      <c r="AB25" s="0" t="str">
        <f aca="false">IFERROR(INDEX($A$1:$A$5,MATCH(4,$S25:$W25,0)),IF(4=MAX($S25:$W25)+1,"取消",""))</f>
        <v>刘师傅</v>
      </c>
      <c r="AC25" s="0" t="str">
        <f aca="false">IFERROR(INDEX($A$1:$A$5,MATCH(5,$S25:$W25,0)),IF(5=MAX($S25:$W25)+1,"取消",""))</f>
        <v>取消</v>
      </c>
      <c r="AD25" s="0" t="str">
        <f aca="false">IFERROR(INDEX($A$1:$A$5,MATCH(6,$S25:$W25,0)),IF(6=MAX($S25:$W25)+1,"取消",""))</f>
        <v/>
      </c>
      <c r="AF25" s="0" t="n">
        <f aca="false">IF(OR($A$1=公区维修!$F25,$BN$1=1),0,1-SUMPRODUCT(--(($A$1=公区维修!$F25)+$BN$1&gt;0)))</f>
        <v>0</v>
      </c>
      <c r="AG25" s="0" t="n">
        <f aca="false">IF(OR($A$2=公区维修!$F25,$BN$2=1),0,2-SUMPRODUCT(--(($A$1:$A$2=公区维修!$F25)+$BN$1:$BN$2&gt;0)))</f>
        <v>1</v>
      </c>
      <c r="AH25" s="0" t="n">
        <f aca="false">IF(OR($A$3=公区维修!$F25,$BN$3=1),0,3-SUMPRODUCT(--(($A$1:$A$3=公区维修!$F25)+$BN$1:$BN$3&gt;0)))</f>
        <v>2</v>
      </c>
      <c r="AI25" s="0" t="n">
        <f aca="false">IF(OR($A$4=公区维修!$F25,$BN$4=1),0,4-SUMPRODUCT(--(($A$1:$A$4=公区维修!$F25)+$BN$1:$BN$4&gt;0)))</f>
        <v>3</v>
      </c>
      <c r="AJ25" s="0" t="n">
        <f aca="false">IF(OR($A$5=公区维修!$F25,$BN$5=1),0,5-SUMPRODUCT(--(($A$1:$A$5=公区维修!$F25)+$BN$1:$BN$5&gt;0)))</f>
        <v>4</v>
      </c>
      <c r="AL25" s="0" t="str">
        <f aca="false">IFERROR(INDEX($A$1:$A$5,MATCH(1,$AF25:$AJ25,0)),IF(1=MAX($AF25:$AJ25)+1,"取消",""))</f>
        <v>李师傅</v>
      </c>
      <c r="AM25" s="0" t="str">
        <f aca="false">IFERROR(INDEX($A$1:$A$5,MATCH(2,$AF25:$AJ25,0)),IF(2=MAX($AF25:$AJ25)+1,"取消",""))</f>
        <v>王师傅</v>
      </c>
      <c r="AN25" s="0" t="str">
        <f aca="false">IFERROR(INDEX($A$1:$A$5,MATCH(3,$AF25:$AJ25,0)),IF(3=MAX($AF25:$AJ25)+1,"取消",""))</f>
        <v>陈师傅</v>
      </c>
      <c r="AO25" s="0" t="str">
        <f aca="false">IFERROR(INDEX($A$1:$A$5,MATCH(4,$AF25:$AJ25,0)),IF(4=MAX($AF25:$AJ25)+1,"取消",""))</f>
        <v>刘师傅</v>
      </c>
      <c r="AP25" s="0" t="str">
        <f aca="false">IFERROR(INDEX($A$1:$A$5,MATCH(5,$AF25:$AJ25,0)),IF(5=MAX($AF25:$AJ25)+1,"取消",""))</f>
        <v>取消</v>
      </c>
      <c r="AQ25" s="0" t="str">
        <f aca="false">IFERROR(INDEX($A$1:$A$5,MATCH(6,$AF25:$AJ25,0)),IF(6=MAX($AF25:$AJ25)+1,"取消",""))</f>
        <v/>
      </c>
      <c r="AS25" s="0" t="n">
        <f aca="false">IF(OR($A$1=公区维修!$F25,$A$1=公区维修!$G25,$BN$1=1),0,1-SUMPRODUCT(--(($A$1=公区维修!$F25)+($A$1=公区维修!$G25)+$BN$1&gt;0)))</f>
        <v>0</v>
      </c>
      <c r="AT25" s="0" t="n">
        <f aca="false">IF(OR($A$2=公区维修!$F25,$A$2=公区维修!$G25,$BN$2=1),0,2-SUMPRODUCT(--(($A$1:$A$2=公区维修!$F25)+($A$1:$A$2=公区维修!$G25)+$BN$1:$BN$2&gt;0)))</f>
        <v>1</v>
      </c>
      <c r="AU25" s="0" t="n">
        <f aca="false">IF(OR($A$3=公区维修!$F25,$A$3=公区维修!$G25,$BN$3=1),0,3-SUMPRODUCT(--(($A$1:$A$3=公区维修!$F25)+($A$1:$A$3=公区维修!$G25)+$BN$1:$BN$3&gt;0)))</f>
        <v>2</v>
      </c>
      <c r="AV25" s="0" t="n">
        <f aca="false">IF(OR($A$4=公区维修!$F25,$A$4=公区维修!$G25,$BN$4=1),0,4-SUMPRODUCT(--(($A$1:$A$4=公区维修!$F25)+($A$1:$A$4=公区维修!$G25)+$BN$1:$BN$4&gt;0)))</f>
        <v>3</v>
      </c>
      <c r="AW25" s="0" t="n">
        <f aca="false">IF(OR($A$5=公区维修!$F25,$A$5=公区维修!$G25,$BN$5=1),0,5-SUMPRODUCT(--(($A$1:$A$5=公区维修!$F25)+($A$1:$A$5=公区维修!$G25)+$BN$1:$BN$5&gt;0)))</f>
        <v>4</v>
      </c>
      <c r="AY25" s="0" t="str">
        <f aca="false">IFERROR(INDEX($A$1:$A$5,MATCH(1,$AS25:$AW25,0)),IF(1=MAX($AS25:$AW25)+1,"取消",""))</f>
        <v>李师傅</v>
      </c>
      <c r="AZ25" s="0" t="str">
        <f aca="false">IFERROR(INDEX($A$1:$A$5,MATCH(2,$AS25:$AW25,0)),IF(2=MAX($AS25:$AW25)+1,"取消",""))</f>
        <v>王师傅</v>
      </c>
      <c r="BA25" s="0" t="str">
        <f aca="false">IFERROR(INDEX($A$1:$A$5,MATCH(3,$AS25:$AW25,0)),IF(3=MAX($AS25:$AW25)+1,"取消",""))</f>
        <v>陈师傅</v>
      </c>
      <c r="BB25" s="0" t="str">
        <f aca="false">IFERROR(INDEX($A$1:$A$5,MATCH(4,$AS25:$AW25,0)),IF(4=MAX($AS25:$AW25)+1,"取消",""))</f>
        <v>刘师傅</v>
      </c>
      <c r="BC25" s="0" t="str">
        <f aca="false">IFERROR(INDEX($A$1:$A$5,MATCH(5,$AS25:$AW25,0)),IF(5=MAX($AS25:$AW25)+1,"取消",""))</f>
        <v>取消</v>
      </c>
      <c r="BD25" s="0" t="str">
        <f aca="false">IFERROR(INDEX($A$1:$A$5,MATCH(6,$AS25:$AW25,0)),IF(6=MAX($AS25:$AW25)+1,"取消",""))</f>
        <v/>
      </c>
      <c r="FW25" s="0" t="n">
        <f aca="false">IF(AND(单元查询!$D$3&lt;&gt;"",IF(单元查询!$B$3="公区维修",公区维修!$E25&lt;&gt;"",入户维修!$E25&lt;&gt;""),IF(单元查询!$B$3="公区维修",公区维修!$C25,入户维修!$C25)=单元查询!$D$3,OR(单元查询!$F$3="",IF(单元查询!$B$3="公区维修",公区维修!$D25,入户维修!$D25)&amp;""=(单元查询!$F$3)&amp;"")),MAX($FW$4:$FW24)+1,"")</f>
        <v>5</v>
      </c>
      <c r="FY25" s="0" t="str">
        <f aca="false">IFERROR(MATCH(25,$FW$5:$FW$404,0),"")</f>
        <v/>
      </c>
    </row>
    <row r="26" customFormat="false" ht="15" hidden="false" customHeight="true" outlineLevel="0" collapsed="false">
      <c r="F26" s="0" t="n">
        <f aca="false">IF(OR($A$1=入户维修!$F26,$BN$1=1),0,1-SUMPRODUCT(--(($A$1=入户维修!$F26)+$BN$1&gt;0)))</f>
        <v>0</v>
      </c>
      <c r="G26" s="0" t="n">
        <f aca="false">IF(OR($A$2=入户维修!$F26,$BN$2=1),0,2-SUMPRODUCT(--(($A$1:$A$2=入户维修!$F26)+$BN$1:$BN$2&gt;0)))</f>
        <v>1</v>
      </c>
      <c r="H26" s="0" t="n">
        <f aca="false">IF(OR($A$3=入户维修!$F26,$BN$3=1),0,3-SUMPRODUCT(--(($A$1:$A$3=入户维修!$F26)+$BN$1:$BN$3&gt;0)))</f>
        <v>2</v>
      </c>
      <c r="I26" s="0" t="n">
        <f aca="false">IF(OR($A$4=入户维修!$F26,$BN$4=1),0,4-SUMPRODUCT(--(($A$1:$A$4=入户维修!$F26)+$BN$1:$BN$4&gt;0)))</f>
        <v>3</v>
      </c>
      <c r="J26" s="0" t="n">
        <f aca="false">IF(OR($A$5=入户维修!$F26,$BN$5=1),0,5-SUMPRODUCT(--(($A$1:$A$5=入户维修!$F26)+$BN$1:$BN$5&gt;0)))</f>
        <v>4</v>
      </c>
      <c r="L26" s="0" t="str">
        <f aca="false">IFERROR(INDEX($A$1:$A$5,MATCH(1,$F26:$J26,0)),IF(1=MAX($F26:$J26)+1,"取消",""))</f>
        <v>李师傅</v>
      </c>
      <c r="M26" s="0" t="str">
        <f aca="false">IFERROR(INDEX($A$1:$A$5,MATCH(2,$F26:$J26,0)),IF(2=MAX($F26:$J26)+1,"取消",""))</f>
        <v>王师傅</v>
      </c>
      <c r="N26" s="0" t="str">
        <f aca="false">IFERROR(INDEX($A$1:$A$5,MATCH(3,$F26:$J26,0)),IF(3=MAX($F26:$J26)+1,"取消",""))</f>
        <v>陈师傅</v>
      </c>
      <c r="O26" s="0" t="str">
        <f aca="false">IFERROR(INDEX($A$1:$A$5,MATCH(4,$F26:$J26,0)),IF(4=MAX($F26:$J26)+1,"取消",""))</f>
        <v>刘师傅</v>
      </c>
      <c r="P26" s="0" t="str">
        <f aca="false">IFERROR(INDEX($A$1:$A$5,MATCH(5,$F26:$J26,0)),IF(5=MAX($F26:$J26)+1,"取消",""))</f>
        <v>取消</v>
      </c>
      <c r="Q26" s="0" t="str">
        <f aca="false">IFERROR(INDEX($A$1:$A$5,MATCH(6,$F26:$J26,0)),IF(6=MAX($F26:$J26)+1,"取消",""))</f>
        <v/>
      </c>
      <c r="S26" s="0" t="n">
        <f aca="false">IF(OR($A$1=入户维修!$F26,$A$1=入户维修!$G26,$BN$1=1),0,1-SUMPRODUCT(--(($A$1=入户维修!$F26)+($A$1=入户维修!$G26)+$BN$1&gt;0)))</f>
        <v>0</v>
      </c>
      <c r="T26" s="0" t="n">
        <f aca="false">IF(OR($A$2=入户维修!$F26,$A$2=入户维修!$G26,$BN$2=1),0,2-SUMPRODUCT(--(($A$1:$A$2=入户维修!$F26)+($A$1:$A$2=入户维修!$G26)+$BN$1:$BN$2&gt;0)))</f>
        <v>1</v>
      </c>
      <c r="U26" s="0" t="n">
        <f aca="false">IF(OR($A$3=入户维修!$F26,$A$3=入户维修!$G26,$BN$3=1),0,3-SUMPRODUCT(--(($A$1:$A$3=入户维修!$F26)+($A$1:$A$3=入户维修!$G26)+$BN$1:$BN$3&gt;0)))</f>
        <v>2</v>
      </c>
      <c r="V26" s="0" t="n">
        <f aca="false">IF(OR($A$4=入户维修!$F26,$A$4=入户维修!$G26,$BN$4=1),0,4-SUMPRODUCT(--(($A$1:$A$4=入户维修!$F26)+($A$1:$A$4=入户维修!$G26)+$BN$1:$BN$4&gt;0)))</f>
        <v>3</v>
      </c>
      <c r="W26" s="0" t="n">
        <f aca="false">IF(OR($A$5=入户维修!$F26,$A$5=入户维修!$G26,$BN$5=1),0,5-SUMPRODUCT(--(($A$1:$A$5=入户维修!$F26)+($A$1:$A$5=入户维修!$G26)+$BN$1:$BN$5&gt;0)))</f>
        <v>4</v>
      </c>
      <c r="Y26" s="0" t="str">
        <f aca="false">IFERROR(INDEX($A$1:$A$5,MATCH(1,$S26:$W26,0)),IF(1=MAX($S26:$W26)+1,"取消",""))</f>
        <v>李师傅</v>
      </c>
      <c r="Z26" s="0" t="str">
        <f aca="false">IFERROR(INDEX($A$1:$A$5,MATCH(2,$S26:$W26,0)),IF(2=MAX($S26:$W26)+1,"取消",""))</f>
        <v>王师傅</v>
      </c>
      <c r="AA26" s="0" t="str">
        <f aca="false">IFERROR(INDEX($A$1:$A$5,MATCH(3,$S26:$W26,0)),IF(3=MAX($S26:$W26)+1,"取消",""))</f>
        <v>陈师傅</v>
      </c>
      <c r="AB26" s="0" t="str">
        <f aca="false">IFERROR(INDEX($A$1:$A$5,MATCH(4,$S26:$W26,0)),IF(4=MAX($S26:$W26)+1,"取消",""))</f>
        <v>刘师傅</v>
      </c>
      <c r="AC26" s="0" t="str">
        <f aca="false">IFERROR(INDEX($A$1:$A$5,MATCH(5,$S26:$W26,0)),IF(5=MAX($S26:$W26)+1,"取消",""))</f>
        <v>取消</v>
      </c>
      <c r="AD26" s="0" t="str">
        <f aca="false">IFERROR(INDEX($A$1:$A$5,MATCH(6,$S26:$W26,0)),IF(6=MAX($S26:$W26)+1,"取消",""))</f>
        <v/>
      </c>
      <c r="AF26" s="0" t="n">
        <f aca="false">IF(OR($A$1=公区维修!$F26,$BN$1=1),0,1-SUMPRODUCT(--(($A$1=公区维修!$F26)+$BN$1&gt;0)))</f>
        <v>0</v>
      </c>
      <c r="AG26" s="0" t="n">
        <f aca="false">IF(OR($A$2=公区维修!$F26,$BN$2=1),0,2-SUMPRODUCT(--(($A$1:$A$2=公区维修!$F26)+$BN$1:$BN$2&gt;0)))</f>
        <v>1</v>
      </c>
      <c r="AH26" s="0" t="n">
        <f aca="false">IF(OR($A$3=公区维修!$F26,$BN$3=1),0,3-SUMPRODUCT(--(($A$1:$A$3=公区维修!$F26)+$BN$1:$BN$3&gt;0)))</f>
        <v>2</v>
      </c>
      <c r="AI26" s="0" t="n">
        <f aca="false">IF(OR($A$4=公区维修!$F26,$BN$4=1),0,4-SUMPRODUCT(--(($A$1:$A$4=公区维修!$F26)+$BN$1:$BN$4&gt;0)))</f>
        <v>3</v>
      </c>
      <c r="AJ26" s="0" t="n">
        <f aca="false">IF(OR($A$5=公区维修!$F26,$BN$5=1),0,5-SUMPRODUCT(--(($A$1:$A$5=公区维修!$F26)+$BN$1:$BN$5&gt;0)))</f>
        <v>4</v>
      </c>
      <c r="AL26" s="0" t="str">
        <f aca="false">IFERROR(INDEX($A$1:$A$5,MATCH(1,$AF26:$AJ26,0)),IF(1=MAX($AF26:$AJ26)+1,"取消",""))</f>
        <v>李师傅</v>
      </c>
      <c r="AM26" s="0" t="str">
        <f aca="false">IFERROR(INDEX($A$1:$A$5,MATCH(2,$AF26:$AJ26,0)),IF(2=MAX($AF26:$AJ26)+1,"取消",""))</f>
        <v>王师傅</v>
      </c>
      <c r="AN26" s="0" t="str">
        <f aca="false">IFERROR(INDEX($A$1:$A$5,MATCH(3,$AF26:$AJ26,0)),IF(3=MAX($AF26:$AJ26)+1,"取消",""))</f>
        <v>陈师傅</v>
      </c>
      <c r="AO26" s="0" t="str">
        <f aca="false">IFERROR(INDEX($A$1:$A$5,MATCH(4,$AF26:$AJ26,0)),IF(4=MAX($AF26:$AJ26)+1,"取消",""))</f>
        <v>刘师傅</v>
      </c>
      <c r="AP26" s="0" t="str">
        <f aca="false">IFERROR(INDEX($A$1:$A$5,MATCH(5,$AF26:$AJ26,0)),IF(5=MAX($AF26:$AJ26)+1,"取消",""))</f>
        <v>取消</v>
      </c>
      <c r="AQ26" s="0" t="str">
        <f aca="false">IFERROR(INDEX($A$1:$A$5,MATCH(6,$AF26:$AJ26,0)),IF(6=MAX($AF26:$AJ26)+1,"取消",""))</f>
        <v/>
      </c>
      <c r="AS26" s="0" t="n">
        <f aca="false">IF(OR($A$1=公区维修!$F26,$A$1=公区维修!$G26,$BN$1=1),0,1-SUMPRODUCT(--(($A$1=公区维修!$F26)+($A$1=公区维修!$G26)+$BN$1&gt;0)))</f>
        <v>0</v>
      </c>
      <c r="AT26" s="0" t="n">
        <f aca="false">IF(OR($A$2=公区维修!$F26,$A$2=公区维修!$G26,$BN$2=1),0,2-SUMPRODUCT(--(($A$1:$A$2=公区维修!$F26)+($A$1:$A$2=公区维修!$G26)+$BN$1:$BN$2&gt;0)))</f>
        <v>1</v>
      </c>
      <c r="AU26" s="0" t="n">
        <f aca="false">IF(OR($A$3=公区维修!$F26,$A$3=公区维修!$G26,$BN$3=1),0,3-SUMPRODUCT(--(($A$1:$A$3=公区维修!$F26)+($A$1:$A$3=公区维修!$G26)+$BN$1:$BN$3&gt;0)))</f>
        <v>2</v>
      </c>
      <c r="AV26" s="0" t="n">
        <f aca="false">IF(OR($A$4=公区维修!$F26,$A$4=公区维修!$G26,$BN$4=1),0,4-SUMPRODUCT(--(($A$1:$A$4=公区维修!$F26)+($A$1:$A$4=公区维修!$G26)+$BN$1:$BN$4&gt;0)))</f>
        <v>3</v>
      </c>
      <c r="AW26" s="0" t="n">
        <f aca="false">IF(OR($A$5=公区维修!$F26,$A$5=公区维修!$G26,$BN$5=1),0,5-SUMPRODUCT(--(($A$1:$A$5=公区维修!$F26)+($A$1:$A$5=公区维修!$G26)+$BN$1:$BN$5&gt;0)))</f>
        <v>4</v>
      </c>
      <c r="AY26" s="0" t="str">
        <f aca="false">IFERROR(INDEX($A$1:$A$5,MATCH(1,$AS26:$AW26,0)),IF(1=MAX($AS26:$AW26)+1,"取消",""))</f>
        <v>李师傅</v>
      </c>
      <c r="AZ26" s="0" t="str">
        <f aca="false">IFERROR(INDEX($A$1:$A$5,MATCH(2,$AS26:$AW26,0)),IF(2=MAX($AS26:$AW26)+1,"取消",""))</f>
        <v>王师傅</v>
      </c>
      <c r="BA26" s="0" t="str">
        <f aca="false">IFERROR(INDEX($A$1:$A$5,MATCH(3,$AS26:$AW26,0)),IF(3=MAX($AS26:$AW26)+1,"取消",""))</f>
        <v>陈师傅</v>
      </c>
      <c r="BB26" s="0" t="str">
        <f aca="false">IFERROR(INDEX($A$1:$A$5,MATCH(4,$AS26:$AW26,0)),IF(4=MAX($AS26:$AW26)+1,"取消",""))</f>
        <v>刘师傅</v>
      </c>
      <c r="BC26" s="0" t="str">
        <f aca="false">IFERROR(INDEX($A$1:$A$5,MATCH(5,$AS26:$AW26,0)),IF(5=MAX($AS26:$AW26)+1,"取消",""))</f>
        <v>取消</v>
      </c>
      <c r="BD26" s="0" t="str">
        <f aca="false">IFERROR(INDEX($A$1:$A$5,MATCH(6,$AS26:$AW26,0)),IF(6=MAX($AS26:$AW26)+1,"取消",""))</f>
        <v/>
      </c>
      <c r="FW26" s="0" t="str">
        <f aca="false">IF(AND(单元查询!$D$3&lt;&gt;"",IF(单元查询!$B$3="公区维修",公区维修!$E26&lt;&gt;"",入户维修!$E26&lt;&gt;""),IF(单元查询!$B$3="公区维修",公区维修!$C26,入户维修!$C26)=单元查询!$D$3,OR(单元查询!$F$3="",IF(单元查询!$B$3="公区维修",公区维修!$D26,入户维修!$D26)&amp;""=(单元查询!$F$3)&amp;"")),MAX($FW$4:$FW25)+1,"")</f>
        <v/>
      </c>
    </row>
    <row r="27" customFormat="false" ht="15" hidden="false" customHeight="true" outlineLevel="0" collapsed="false">
      <c r="F27" s="0" t="n">
        <f aca="false">IF(OR($A$1=入户维修!$F27,$BN$1=1),0,1-SUMPRODUCT(--(($A$1=入户维修!$F27)+$BN$1&gt;0)))</f>
        <v>0</v>
      </c>
      <c r="G27" s="0" t="n">
        <f aca="false">IF(OR($A$2=入户维修!$F27,$BN$2=1),0,2-SUMPRODUCT(--(($A$1:$A$2=入户维修!$F27)+$BN$1:$BN$2&gt;0)))</f>
        <v>0</v>
      </c>
      <c r="H27" s="0" t="n">
        <f aca="false">IF(OR($A$3=入户维修!$F27,$BN$3=1),0,3-SUMPRODUCT(--(($A$1:$A$3=入户维修!$F27)+$BN$1:$BN$3&gt;0)))</f>
        <v>1</v>
      </c>
      <c r="I27" s="0" t="n">
        <f aca="false">IF(OR($A$4=入户维修!$F27,$BN$4=1),0,4-SUMPRODUCT(--(($A$1:$A$4=入户维修!$F27)+$BN$1:$BN$4&gt;0)))</f>
        <v>2</v>
      </c>
      <c r="J27" s="0" t="n">
        <f aca="false">IF(OR($A$5=入户维修!$F27,$BN$5=1),0,5-SUMPRODUCT(--(($A$1:$A$5=入户维修!$F27)+$BN$1:$BN$5&gt;0)))</f>
        <v>3</v>
      </c>
      <c r="L27" s="0" t="str">
        <f aca="false">IFERROR(INDEX($A$1:$A$5,MATCH(1,$F27:$J27,0)),IF(1=MAX($F27:$J27)+1,"取消",""))</f>
        <v>王师傅</v>
      </c>
      <c r="M27" s="0" t="str">
        <f aca="false">IFERROR(INDEX($A$1:$A$5,MATCH(2,$F27:$J27,0)),IF(2=MAX($F27:$J27)+1,"取消",""))</f>
        <v>陈师傅</v>
      </c>
      <c r="N27" s="0" t="str">
        <f aca="false">IFERROR(INDEX($A$1:$A$5,MATCH(3,$F27:$J27,0)),IF(3=MAX($F27:$J27)+1,"取消",""))</f>
        <v>刘师傅</v>
      </c>
      <c r="O27" s="0" t="str">
        <f aca="false">IFERROR(INDEX($A$1:$A$5,MATCH(4,$F27:$J27,0)),IF(4=MAX($F27:$J27)+1,"取消",""))</f>
        <v>取消</v>
      </c>
      <c r="P27" s="0" t="str">
        <f aca="false">IFERROR(INDEX($A$1:$A$5,MATCH(5,$F27:$J27,0)),IF(5=MAX($F27:$J27)+1,"取消",""))</f>
        <v/>
      </c>
      <c r="Q27" s="0" t="str">
        <f aca="false">IFERROR(INDEX($A$1:$A$5,MATCH(6,$F27:$J27,0)),IF(6=MAX($F27:$J27)+1,"取消",""))</f>
        <v/>
      </c>
      <c r="S27" s="0" t="n">
        <f aca="false">IF(OR($A$1=入户维修!$F27,$A$1=入户维修!$G27,$BN$1=1),0,1-SUMPRODUCT(--(($A$1=入户维修!$F27)+($A$1=入户维修!$G27)+$BN$1&gt;0)))</f>
        <v>0</v>
      </c>
      <c r="T27" s="0" t="n">
        <f aca="false">IF(OR($A$2=入户维修!$F27,$A$2=入户维修!$G27,$BN$2=1),0,2-SUMPRODUCT(--(($A$1:$A$2=入户维修!$F27)+($A$1:$A$2=入户维修!$G27)+$BN$1:$BN$2&gt;0)))</f>
        <v>0</v>
      </c>
      <c r="U27" s="0" t="n">
        <f aca="false">IF(OR($A$3=入户维修!$F27,$A$3=入户维修!$G27,$BN$3=1),0,3-SUMPRODUCT(--(($A$1:$A$3=入户维修!$F27)+($A$1:$A$3=入户维修!$G27)+$BN$1:$BN$3&gt;0)))</f>
        <v>1</v>
      </c>
      <c r="V27" s="0" t="n">
        <f aca="false">IF(OR($A$4=入户维修!$F27,$A$4=入户维修!$G27,$BN$4=1),0,4-SUMPRODUCT(--(($A$1:$A$4=入户维修!$F27)+($A$1:$A$4=入户维修!$G27)+$BN$1:$BN$4&gt;0)))</f>
        <v>2</v>
      </c>
      <c r="W27" s="0" t="n">
        <f aca="false">IF(OR($A$5=入户维修!$F27,$A$5=入户维修!$G27,$BN$5=1),0,5-SUMPRODUCT(--(($A$1:$A$5=入户维修!$F27)+($A$1:$A$5=入户维修!$G27)+$BN$1:$BN$5&gt;0)))</f>
        <v>3</v>
      </c>
      <c r="Y27" s="0" t="str">
        <f aca="false">IFERROR(INDEX($A$1:$A$5,MATCH(1,$S27:$W27,0)),IF(1=MAX($S27:$W27)+1,"取消",""))</f>
        <v>王师傅</v>
      </c>
      <c r="Z27" s="0" t="str">
        <f aca="false">IFERROR(INDEX($A$1:$A$5,MATCH(2,$S27:$W27,0)),IF(2=MAX($S27:$W27)+1,"取消",""))</f>
        <v>陈师傅</v>
      </c>
      <c r="AA27" s="0" t="str">
        <f aca="false">IFERROR(INDEX($A$1:$A$5,MATCH(3,$S27:$W27,0)),IF(3=MAX($S27:$W27)+1,"取消",""))</f>
        <v>刘师傅</v>
      </c>
      <c r="AB27" s="0" t="str">
        <f aca="false">IFERROR(INDEX($A$1:$A$5,MATCH(4,$S27:$W27,0)),IF(4=MAX($S27:$W27)+1,"取消",""))</f>
        <v>取消</v>
      </c>
      <c r="AC27" s="0" t="str">
        <f aca="false">IFERROR(INDEX($A$1:$A$5,MATCH(5,$S27:$W27,0)),IF(5=MAX($S27:$W27)+1,"取消",""))</f>
        <v/>
      </c>
      <c r="AD27" s="0" t="str">
        <f aca="false">IFERROR(INDEX($A$1:$A$5,MATCH(6,$S27:$W27,0)),IF(6=MAX($S27:$W27)+1,"取消",""))</f>
        <v/>
      </c>
      <c r="AF27" s="0" t="n">
        <f aca="false">IF(OR($A$1=公区维修!$F27,$BN$1=1),0,1-SUMPRODUCT(--(($A$1=公区维修!$F27)+$BN$1&gt;0)))</f>
        <v>0</v>
      </c>
      <c r="AG27" s="0" t="n">
        <f aca="false">IF(OR($A$2=公区维修!$F27,$BN$2=1),0,2-SUMPRODUCT(--(($A$1:$A$2=公区维修!$F27)+$BN$1:$BN$2&gt;0)))</f>
        <v>1</v>
      </c>
      <c r="AH27" s="0" t="n">
        <f aca="false">IF(OR($A$3=公区维修!$F27,$BN$3=1),0,3-SUMPRODUCT(--(($A$1:$A$3=公区维修!$F27)+$BN$1:$BN$3&gt;0)))</f>
        <v>2</v>
      </c>
      <c r="AI27" s="0" t="n">
        <f aca="false">IF(OR($A$4=公区维修!$F27,$BN$4=1),0,4-SUMPRODUCT(--(($A$1:$A$4=公区维修!$F27)+$BN$1:$BN$4&gt;0)))</f>
        <v>3</v>
      </c>
      <c r="AJ27" s="0" t="n">
        <f aca="false">IF(OR($A$5=公区维修!$F27,$BN$5=1),0,5-SUMPRODUCT(--(($A$1:$A$5=公区维修!$F27)+$BN$1:$BN$5&gt;0)))</f>
        <v>4</v>
      </c>
      <c r="AL27" s="0" t="str">
        <f aca="false">IFERROR(INDEX($A$1:$A$5,MATCH(1,$AF27:$AJ27,0)),IF(1=MAX($AF27:$AJ27)+1,"取消",""))</f>
        <v>李师傅</v>
      </c>
      <c r="AM27" s="0" t="str">
        <f aca="false">IFERROR(INDEX($A$1:$A$5,MATCH(2,$AF27:$AJ27,0)),IF(2=MAX($AF27:$AJ27)+1,"取消",""))</f>
        <v>王师傅</v>
      </c>
      <c r="AN27" s="0" t="str">
        <f aca="false">IFERROR(INDEX($A$1:$A$5,MATCH(3,$AF27:$AJ27,0)),IF(3=MAX($AF27:$AJ27)+1,"取消",""))</f>
        <v>陈师傅</v>
      </c>
      <c r="AO27" s="0" t="str">
        <f aca="false">IFERROR(INDEX($A$1:$A$5,MATCH(4,$AF27:$AJ27,0)),IF(4=MAX($AF27:$AJ27)+1,"取消",""))</f>
        <v>刘师傅</v>
      </c>
      <c r="AP27" s="0" t="str">
        <f aca="false">IFERROR(INDEX($A$1:$A$5,MATCH(5,$AF27:$AJ27,0)),IF(5=MAX($AF27:$AJ27)+1,"取消",""))</f>
        <v>取消</v>
      </c>
      <c r="AQ27" s="0" t="str">
        <f aca="false">IFERROR(INDEX($A$1:$A$5,MATCH(6,$AF27:$AJ27,0)),IF(6=MAX($AF27:$AJ27)+1,"取消",""))</f>
        <v/>
      </c>
      <c r="AS27" s="0" t="n">
        <f aca="false">IF(OR($A$1=公区维修!$F27,$A$1=公区维修!$G27,$BN$1=1),0,1-SUMPRODUCT(--(($A$1=公区维修!$F27)+($A$1=公区维修!$G27)+$BN$1&gt;0)))</f>
        <v>0</v>
      </c>
      <c r="AT27" s="0" t="n">
        <f aca="false">IF(OR($A$2=公区维修!$F27,$A$2=公区维修!$G27,$BN$2=1),0,2-SUMPRODUCT(--(($A$1:$A$2=公区维修!$F27)+($A$1:$A$2=公区维修!$G27)+$BN$1:$BN$2&gt;0)))</f>
        <v>1</v>
      </c>
      <c r="AU27" s="0" t="n">
        <f aca="false">IF(OR($A$3=公区维修!$F27,$A$3=公区维修!$G27,$BN$3=1),0,3-SUMPRODUCT(--(($A$1:$A$3=公区维修!$F27)+($A$1:$A$3=公区维修!$G27)+$BN$1:$BN$3&gt;0)))</f>
        <v>2</v>
      </c>
      <c r="AV27" s="0" t="n">
        <f aca="false">IF(OR($A$4=公区维修!$F27,$A$4=公区维修!$G27,$BN$4=1),0,4-SUMPRODUCT(--(($A$1:$A$4=公区维修!$F27)+($A$1:$A$4=公区维修!$G27)+$BN$1:$BN$4&gt;0)))</f>
        <v>3</v>
      </c>
      <c r="AW27" s="0" t="n">
        <f aca="false">IF(OR($A$5=公区维修!$F27,$A$5=公区维修!$G27,$BN$5=1),0,5-SUMPRODUCT(--(($A$1:$A$5=公区维修!$F27)+($A$1:$A$5=公区维修!$G27)+$BN$1:$BN$5&gt;0)))</f>
        <v>4</v>
      </c>
      <c r="AY27" s="0" t="str">
        <f aca="false">IFERROR(INDEX($A$1:$A$5,MATCH(1,$AS27:$AW27,0)),IF(1=MAX($AS27:$AW27)+1,"取消",""))</f>
        <v>李师傅</v>
      </c>
      <c r="AZ27" s="0" t="str">
        <f aca="false">IFERROR(INDEX($A$1:$A$5,MATCH(2,$AS27:$AW27,0)),IF(2=MAX($AS27:$AW27)+1,"取消",""))</f>
        <v>王师傅</v>
      </c>
      <c r="BA27" s="0" t="str">
        <f aca="false">IFERROR(INDEX($A$1:$A$5,MATCH(3,$AS27:$AW27,0)),IF(3=MAX($AS27:$AW27)+1,"取消",""))</f>
        <v>陈师傅</v>
      </c>
      <c r="BB27" s="0" t="str">
        <f aca="false">IFERROR(INDEX($A$1:$A$5,MATCH(4,$AS27:$AW27,0)),IF(4=MAX($AS27:$AW27)+1,"取消",""))</f>
        <v>刘师傅</v>
      </c>
      <c r="BC27" s="0" t="str">
        <f aca="false">IFERROR(INDEX($A$1:$A$5,MATCH(5,$AS27:$AW27,0)),IF(5=MAX($AS27:$AW27)+1,"取消",""))</f>
        <v>取消</v>
      </c>
      <c r="BD27" s="0" t="str">
        <f aca="false">IFERROR(INDEX($A$1:$A$5,MATCH(6,$AS27:$AW27,0)),IF(6=MAX($AS27:$AW27)+1,"取消",""))</f>
        <v/>
      </c>
      <c r="FW27" s="0" t="str">
        <f aca="false">IF(AND(单元查询!$D$3&lt;&gt;"",IF(单元查询!$B$3="公区维修",公区维修!$E27&lt;&gt;"",入户维修!$E27&lt;&gt;""),IF(单元查询!$B$3="公区维修",公区维修!$C27,入户维修!$C27)=单元查询!$D$3,OR(单元查询!$F$3="",IF(单元查询!$B$3="公区维修",公区维修!$D27,入户维修!$D27)&amp;""=(单元查询!$F$3)&amp;"")),MAX($FW$4:$FW26)+1,"")</f>
        <v/>
      </c>
    </row>
    <row r="28" customFormat="false" ht="15" hidden="false" customHeight="true" outlineLevel="0" collapsed="false">
      <c r="F28" s="0" t="n">
        <f aca="false">IF(OR($A$1=入户维修!$F28,$BN$1=1),0,1-SUMPRODUCT(--(($A$1=入户维修!$F28)+$BN$1&gt;0)))</f>
        <v>0</v>
      </c>
      <c r="G28" s="0" t="n">
        <f aca="false">IF(OR($A$2=入户维修!$F28,$BN$2=1),0,2-SUMPRODUCT(--(($A$1:$A$2=入户维修!$F28)+$BN$1:$BN$2&gt;0)))</f>
        <v>0</v>
      </c>
      <c r="H28" s="0" t="n">
        <f aca="false">IF(OR($A$3=入户维修!$F28,$BN$3=1),0,3-SUMPRODUCT(--(($A$1:$A$3=入户维修!$F28)+$BN$1:$BN$3&gt;0)))</f>
        <v>1</v>
      </c>
      <c r="I28" s="0" t="n">
        <f aca="false">IF(OR($A$4=入户维修!$F28,$BN$4=1),0,4-SUMPRODUCT(--(($A$1:$A$4=入户维修!$F28)+$BN$1:$BN$4&gt;0)))</f>
        <v>2</v>
      </c>
      <c r="J28" s="0" t="n">
        <f aca="false">IF(OR($A$5=入户维修!$F28,$BN$5=1),0,5-SUMPRODUCT(--(($A$1:$A$5=入户维修!$F28)+$BN$1:$BN$5&gt;0)))</f>
        <v>3</v>
      </c>
      <c r="L28" s="0" t="str">
        <f aca="false">IFERROR(INDEX($A$1:$A$5,MATCH(1,$F28:$J28,0)),IF(1=MAX($F28:$J28)+1,"取消",""))</f>
        <v>王师傅</v>
      </c>
      <c r="M28" s="0" t="str">
        <f aca="false">IFERROR(INDEX($A$1:$A$5,MATCH(2,$F28:$J28,0)),IF(2=MAX($F28:$J28)+1,"取消",""))</f>
        <v>陈师傅</v>
      </c>
      <c r="N28" s="0" t="str">
        <f aca="false">IFERROR(INDEX($A$1:$A$5,MATCH(3,$F28:$J28,0)),IF(3=MAX($F28:$J28)+1,"取消",""))</f>
        <v>刘师傅</v>
      </c>
      <c r="O28" s="0" t="str">
        <f aca="false">IFERROR(INDEX($A$1:$A$5,MATCH(4,$F28:$J28,0)),IF(4=MAX($F28:$J28)+1,"取消",""))</f>
        <v>取消</v>
      </c>
      <c r="P28" s="0" t="str">
        <f aca="false">IFERROR(INDEX($A$1:$A$5,MATCH(5,$F28:$J28,0)),IF(5=MAX($F28:$J28)+1,"取消",""))</f>
        <v/>
      </c>
      <c r="Q28" s="0" t="str">
        <f aca="false">IFERROR(INDEX($A$1:$A$5,MATCH(6,$F28:$J28,0)),IF(6=MAX($F28:$J28)+1,"取消",""))</f>
        <v/>
      </c>
      <c r="S28" s="0" t="n">
        <f aca="false">IF(OR($A$1=入户维修!$F28,$A$1=入户维修!$G28,$BN$1=1),0,1-SUMPRODUCT(--(($A$1=入户维修!$F28)+($A$1=入户维修!$G28)+$BN$1&gt;0)))</f>
        <v>0</v>
      </c>
      <c r="T28" s="0" t="n">
        <f aca="false">IF(OR($A$2=入户维修!$F28,$A$2=入户维修!$G28,$BN$2=1),0,2-SUMPRODUCT(--(($A$1:$A$2=入户维修!$F28)+($A$1:$A$2=入户维修!$G28)+$BN$1:$BN$2&gt;0)))</f>
        <v>0</v>
      </c>
      <c r="U28" s="0" t="n">
        <f aca="false">IF(OR($A$3=入户维修!$F28,$A$3=入户维修!$G28,$BN$3=1),0,3-SUMPRODUCT(--(($A$1:$A$3=入户维修!$F28)+($A$1:$A$3=入户维修!$G28)+$BN$1:$BN$3&gt;0)))</f>
        <v>1</v>
      </c>
      <c r="V28" s="0" t="n">
        <f aca="false">IF(OR($A$4=入户维修!$F28,$A$4=入户维修!$G28,$BN$4=1),0,4-SUMPRODUCT(--(($A$1:$A$4=入户维修!$F28)+($A$1:$A$4=入户维修!$G28)+$BN$1:$BN$4&gt;0)))</f>
        <v>2</v>
      </c>
      <c r="W28" s="0" t="n">
        <f aca="false">IF(OR($A$5=入户维修!$F28,$A$5=入户维修!$G28,$BN$5=1),0,5-SUMPRODUCT(--(($A$1:$A$5=入户维修!$F28)+($A$1:$A$5=入户维修!$G28)+$BN$1:$BN$5&gt;0)))</f>
        <v>3</v>
      </c>
      <c r="Y28" s="0" t="str">
        <f aca="false">IFERROR(INDEX($A$1:$A$5,MATCH(1,$S28:$W28,0)),IF(1=MAX($S28:$W28)+1,"取消",""))</f>
        <v>王师傅</v>
      </c>
      <c r="Z28" s="0" t="str">
        <f aca="false">IFERROR(INDEX($A$1:$A$5,MATCH(2,$S28:$W28,0)),IF(2=MAX($S28:$W28)+1,"取消",""))</f>
        <v>陈师傅</v>
      </c>
      <c r="AA28" s="0" t="str">
        <f aca="false">IFERROR(INDEX($A$1:$A$5,MATCH(3,$S28:$W28,0)),IF(3=MAX($S28:$W28)+1,"取消",""))</f>
        <v>刘师傅</v>
      </c>
      <c r="AB28" s="0" t="str">
        <f aca="false">IFERROR(INDEX($A$1:$A$5,MATCH(4,$S28:$W28,0)),IF(4=MAX($S28:$W28)+1,"取消",""))</f>
        <v>取消</v>
      </c>
      <c r="AC28" s="0" t="str">
        <f aca="false">IFERROR(INDEX($A$1:$A$5,MATCH(5,$S28:$W28,0)),IF(5=MAX($S28:$W28)+1,"取消",""))</f>
        <v/>
      </c>
      <c r="AD28" s="0" t="str">
        <f aca="false">IFERROR(INDEX($A$1:$A$5,MATCH(6,$S28:$W28,0)),IF(6=MAX($S28:$W28)+1,"取消",""))</f>
        <v/>
      </c>
      <c r="AF28" s="0" t="n">
        <f aca="false">IF(OR($A$1=公区维修!$F28,$BN$1=1),0,1-SUMPRODUCT(--(($A$1=公区维修!$F28)+$BN$1&gt;0)))</f>
        <v>0</v>
      </c>
      <c r="AG28" s="0" t="n">
        <f aca="false">IF(OR($A$2=公区维修!$F28,$BN$2=1),0,2-SUMPRODUCT(--(($A$1:$A$2=公区维修!$F28)+$BN$1:$BN$2&gt;0)))</f>
        <v>1</v>
      </c>
      <c r="AH28" s="0" t="n">
        <f aca="false">IF(OR($A$3=公区维修!$F28,$BN$3=1),0,3-SUMPRODUCT(--(($A$1:$A$3=公区维修!$F28)+$BN$1:$BN$3&gt;0)))</f>
        <v>2</v>
      </c>
      <c r="AI28" s="0" t="n">
        <f aca="false">IF(OR($A$4=公区维修!$F28,$BN$4=1),0,4-SUMPRODUCT(--(($A$1:$A$4=公区维修!$F28)+$BN$1:$BN$4&gt;0)))</f>
        <v>3</v>
      </c>
      <c r="AJ28" s="0" t="n">
        <f aca="false">IF(OR($A$5=公区维修!$F28,$BN$5=1),0,5-SUMPRODUCT(--(($A$1:$A$5=公区维修!$F28)+$BN$1:$BN$5&gt;0)))</f>
        <v>4</v>
      </c>
      <c r="AL28" s="0" t="str">
        <f aca="false">IFERROR(INDEX($A$1:$A$5,MATCH(1,$AF28:$AJ28,0)),IF(1=MAX($AF28:$AJ28)+1,"取消",""))</f>
        <v>李师傅</v>
      </c>
      <c r="AM28" s="0" t="str">
        <f aca="false">IFERROR(INDEX($A$1:$A$5,MATCH(2,$AF28:$AJ28,0)),IF(2=MAX($AF28:$AJ28)+1,"取消",""))</f>
        <v>王师傅</v>
      </c>
      <c r="AN28" s="0" t="str">
        <f aca="false">IFERROR(INDEX($A$1:$A$5,MATCH(3,$AF28:$AJ28,0)),IF(3=MAX($AF28:$AJ28)+1,"取消",""))</f>
        <v>陈师傅</v>
      </c>
      <c r="AO28" s="0" t="str">
        <f aca="false">IFERROR(INDEX($A$1:$A$5,MATCH(4,$AF28:$AJ28,0)),IF(4=MAX($AF28:$AJ28)+1,"取消",""))</f>
        <v>刘师傅</v>
      </c>
      <c r="AP28" s="0" t="str">
        <f aca="false">IFERROR(INDEX($A$1:$A$5,MATCH(5,$AF28:$AJ28,0)),IF(5=MAX($AF28:$AJ28)+1,"取消",""))</f>
        <v>取消</v>
      </c>
      <c r="AQ28" s="0" t="str">
        <f aca="false">IFERROR(INDEX($A$1:$A$5,MATCH(6,$AF28:$AJ28,0)),IF(6=MAX($AF28:$AJ28)+1,"取消",""))</f>
        <v/>
      </c>
      <c r="AS28" s="0" t="n">
        <f aca="false">IF(OR($A$1=公区维修!$F28,$A$1=公区维修!$G28,$BN$1=1),0,1-SUMPRODUCT(--(($A$1=公区维修!$F28)+($A$1=公区维修!$G28)+$BN$1&gt;0)))</f>
        <v>0</v>
      </c>
      <c r="AT28" s="0" t="n">
        <f aca="false">IF(OR($A$2=公区维修!$F28,$A$2=公区维修!$G28,$BN$2=1),0,2-SUMPRODUCT(--(($A$1:$A$2=公区维修!$F28)+($A$1:$A$2=公区维修!$G28)+$BN$1:$BN$2&gt;0)))</f>
        <v>1</v>
      </c>
      <c r="AU28" s="0" t="n">
        <f aca="false">IF(OR($A$3=公区维修!$F28,$A$3=公区维修!$G28,$BN$3=1),0,3-SUMPRODUCT(--(($A$1:$A$3=公区维修!$F28)+($A$1:$A$3=公区维修!$G28)+$BN$1:$BN$3&gt;0)))</f>
        <v>2</v>
      </c>
      <c r="AV28" s="0" t="n">
        <f aca="false">IF(OR($A$4=公区维修!$F28,$A$4=公区维修!$G28,$BN$4=1),0,4-SUMPRODUCT(--(($A$1:$A$4=公区维修!$F28)+($A$1:$A$4=公区维修!$G28)+$BN$1:$BN$4&gt;0)))</f>
        <v>3</v>
      </c>
      <c r="AW28" s="0" t="n">
        <f aca="false">IF(OR($A$5=公区维修!$F28,$A$5=公区维修!$G28,$BN$5=1),0,5-SUMPRODUCT(--(($A$1:$A$5=公区维修!$F28)+($A$1:$A$5=公区维修!$G28)+$BN$1:$BN$5&gt;0)))</f>
        <v>4</v>
      </c>
      <c r="AY28" s="0" t="str">
        <f aca="false">IFERROR(INDEX($A$1:$A$5,MATCH(1,$AS28:$AW28,0)),IF(1=MAX($AS28:$AW28)+1,"取消",""))</f>
        <v>李师傅</v>
      </c>
      <c r="AZ28" s="0" t="str">
        <f aca="false">IFERROR(INDEX($A$1:$A$5,MATCH(2,$AS28:$AW28,0)),IF(2=MAX($AS28:$AW28)+1,"取消",""))</f>
        <v>王师傅</v>
      </c>
      <c r="BA28" s="0" t="str">
        <f aca="false">IFERROR(INDEX($A$1:$A$5,MATCH(3,$AS28:$AW28,0)),IF(3=MAX($AS28:$AW28)+1,"取消",""))</f>
        <v>陈师傅</v>
      </c>
      <c r="BB28" s="0" t="str">
        <f aca="false">IFERROR(INDEX($A$1:$A$5,MATCH(4,$AS28:$AW28,0)),IF(4=MAX($AS28:$AW28)+1,"取消",""))</f>
        <v>刘师傅</v>
      </c>
      <c r="BC28" s="0" t="str">
        <f aca="false">IFERROR(INDEX($A$1:$A$5,MATCH(5,$AS28:$AW28,0)),IF(5=MAX($AS28:$AW28)+1,"取消",""))</f>
        <v>取消</v>
      </c>
      <c r="BD28" s="0" t="str">
        <f aca="false">IFERROR(INDEX($A$1:$A$5,MATCH(6,$AS28:$AW28,0)),IF(6=MAX($AS28:$AW28)+1,"取消",""))</f>
        <v/>
      </c>
      <c r="FW28" s="0" t="str">
        <f aca="false">IF(AND(单元查询!$D$3&lt;&gt;"",IF(单元查询!$B$3="公区维修",公区维修!$E28&lt;&gt;"",入户维修!$E28&lt;&gt;""),IF(单元查询!$B$3="公区维修",公区维修!$C28,入户维修!$C28)=单元查询!$D$3,OR(单元查询!$F$3="",IF(单元查询!$B$3="公区维修",公区维修!$D28,入户维修!$D28)&amp;""=(单元查询!$F$3)&amp;"")),MAX($FW$4:$FW27)+1,"")</f>
        <v/>
      </c>
    </row>
    <row r="29" customFormat="false" ht="15" hidden="false" customHeight="true" outlineLevel="0" collapsed="false">
      <c r="F29" s="0" t="n">
        <f aca="false">IF(OR($A$1=入户维修!$F29,$BN$1=1),0,1-SUMPRODUCT(--(($A$1=入户维修!$F29)+$BN$1&gt;0)))</f>
        <v>0</v>
      </c>
      <c r="G29" s="0" t="n">
        <f aca="false">IF(OR($A$2=入户维修!$F29,$BN$2=1),0,2-SUMPRODUCT(--(($A$1:$A$2=入户维修!$F29)+$BN$1:$BN$2&gt;0)))</f>
        <v>0</v>
      </c>
      <c r="H29" s="0" t="n">
        <f aca="false">IF(OR($A$3=入户维修!$F29,$BN$3=1),0,3-SUMPRODUCT(--(($A$1:$A$3=入户维修!$F29)+$BN$1:$BN$3&gt;0)))</f>
        <v>1</v>
      </c>
      <c r="I29" s="0" t="n">
        <f aca="false">IF(OR($A$4=入户维修!$F29,$BN$4=1),0,4-SUMPRODUCT(--(($A$1:$A$4=入户维修!$F29)+$BN$1:$BN$4&gt;0)))</f>
        <v>2</v>
      </c>
      <c r="J29" s="0" t="n">
        <f aca="false">IF(OR($A$5=入户维修!$F29,$BN$5=1),0,5-SUMPRODUCT(--(($A$1:$A$5=入户维修!$F29)+$BN$1:$BN$5&gt;0)))</f>
        <v>3</v>
      </c>
      <c r="L29" s="0" t="str">
        <f aca="false">IFERROR(INDEX($A$1:$A$5,MATCH(1,$F29:$J29,0)),IF(1=MAX($F29:$J29)+1,"取消",""))</f>
        <v>王师傅</v>
      </c>
      <c r="M29" s="0" t="str">
        <f aca="false">IFERROR(INDEX($A$1:$A$5,MATCH(2,$F29:$J29,0)),IF(2=MAX($F29:$J29)+1,"取消",""))</f>
        <v>陈师傅</v>
      </c>
      <c r="N29" s="0" t="str">
        <f aca="false">IFERROR(INDEX($A$1:$A$5,MATCH(3,$F29:$J29,0)),IF(3=MAX($F29:$J29)+1,"取消",""))</f>
        <v>刘师傅</v>
      </c>
      <c r="O29" s="0" t="str">
        <f aca="false">IFERROR(INDEX($A$1:$A$5,MATCH(4,$F29:$J29,0)),IF(4=MAX($F29:$J29)+1,"取消",""))</f>
        <v>取消</v>
      </c>
      <c r="P29" s="0" t="str">
        <f aca="false">IFERROR(INDEX($A$1:$A$5,MATCH(5,$F29:$J29,0)),IF(5=MAX($F29:$J29)+1,"取消",""))</f>
        <v/>
      </c>
      <c r="Q29" s="0" t="str">
        <f aca="false">IFERROR(INDEX($A$1:$A$5,MATCH(6,$F29:$J29,0)),IF(6=MAX($F29:$J29)+1,"取消",""))</f>
        <v/>
      </c>
      <c r="S29" s="0" t="n">
        <f aca="false">IF(OR($A$1=入户维修!$F29,$A$1=入户维修!$G29,$BN$1=1),0,1-SUMPRODUCT(--(($A$1=入户维修!$F29)+($A$1=入户维修!$G29)+$BN$1&gt;0)))</f>
        <v>0</v>
      </c>
      <c r="T29" s="0" t="n">
        <f aca="false">IF(OR($A$2=入户维修!$F29,$A$2=入户维修!$G29,$BN$2=1),0,2-SUMPRODUCT(--(($A$1:$A$2=入户维修!$F29)+($A$1:$A$2=入户维修!$G29)+$BN$1:$BN$2&gt;0)))</f>
        <v>0</v>
      </c>
      <c r="U29" s="0" t="n">
        <f aca="false">IF(OR($A$3=入户维修!$F29,$A$3=入户维修!$G29,$BN$3=1),0,3-SUMPRODUCT(--(($A$1:$A$3=入户维修!$F29)+($A$1:$A$3=入户维修!$G29)+$BN$1:$BN$3&gt;0)))</f>
        <v>1</v>
      </c>
      <c r="V29" s="0" t="n">
        <f aca="false">IF(OR($A$4=入户维修!$F29,$A$4=入户维修!$G29,$BN$4=1),0,4-SUMPRODUCT(--(($A$1:$A$4=入户维修!$F29)+($A$1:$A$4=入户维修!$G29)+$BN$1:$BN$4&gt;0)))</f>
        <v>2</v>
      </c>
      <c r="W29" s="0" t="n">
        <f aca="false">IF(OR($A$5=入户维修!$F29,$A$5=入户维修!$G29,$BN$5=1),0,5-SUMPRODUCT(--(($A$1:$A$5=入户维修!$F29)+($A$1:$A$5=入户维修!$G29)+$BN$1:$BN$5&gt;0)))</f>
        <v>3</v>
      </c>
      <c r="Y29" s="0" t="str">
        <f aca="false">IFERROR(INDEX($A$1:$A$5,MATCH(1,$S29:$W29,0)),IF(1=MAX($S29:$W29)+1,"取消",""))</f>
        <v>王师傅</v>
      </c>
      <c r="Z29" s="0" t="str">
        <f aca="false">IFERROR(INDEX($A$1:$A$5,MATCH(2,$S29:$W29,0)),IF(2=MAX($S29:$W29)+1,"取消",""))</f>
        <v>陈师傅</v>
      </c>
      <c r="AA29" s="0" t="str">
        <f aca="false">IFERROR(INDEX($A$1:$A$5,MATCH(3,$S29:$W29,0)),IF(3=MAX($S29:$W29)+1,"取消",""))</f>
        <v>刘师傅</v>
      </c>
      <c r="AB29" s="0" t="str">
        <f aca="false">IFERROR(INDEX($A$1:$A$5,MATCH(4,$S29:$W29,0)),IF(4=MAX($S29:$W29)+1,"取消",""))</f>
        <v>取消</v>
      </c>
      <c r="AC29" s="0" t="str">
        <f aca="false">IFERROR(INDEX($A$1:$A$5,MATCH(5,$S29:$W29,0)),IF(5=MAX($S29:$W29)+1,"取消",""))</f>
        <v/>
      </c>
      <c r="AD29" s="0" t="str">
        <f aca="false">IFERROR(INDEX($A$1:$A$5,MATCH(6,$S29:$W29,0)),IF(6=MAX($S29:$W29)+1,"取消",""))</f>
        <v/>
      </c>
      <c r="AF29" s="0" t="n">
        <f aca="false">IF(OR($A$1=公区维修!$F29,$BN$1=1),0,1-SUMPRODUCT(--(($A$1=公区维修!$F29)+$BN$1&gt;0)))</f>
        <v>0</v>
      </c>
      <c r="AG29" s="0" t="n">
        <f aca="false">IF(OR($A$2=公区维修!$F29,$BN$2=1),0,2-SUMPRODUCT(--(($A$1:$A$2=公区维修!$F29)+$BN$1:$BN$2&gt;0)))</f>
        <v>1</v>
      </c>
      <c r="AH29" s="0" t="n">
        <f aca="false">IF(OR($A$3=公区维修!$F29,$BN$3=1),0,3-SUMPRODUCT(--(($A$1:$A$3=公区维修!$F29)+$BN$1:$BN$3&gt;0)))</f>
        <v>2</v>
      </c>
      <c r="AI29" s="0" t="n">
        <f aca="false">IF(OR($A$4=公区维修!$F29,$BN$4=1),0,4-SUMPRODUCT(--(($A$1:$A$4=公区维修!$F29)+$BN$1:$BN$4&gt;0)))</f>
        <v>3</v>
      </c>
      <c r="AJ29" s="0" t="n">
        <f aca="false">IF(OR($A$5=公区维修!$F29,$BN$5=1),0,5-SUMPRODUCT(--(($A$1:$A$5=公区维修!$F29)+$BN$1:$BN$5&gt;0)))</f>
        <v>4</v>
      </c>
      <c r="AL29" s="0" t="str">
        <f aca="false">IFERROR(INDEX($A$1:$A$5,MATCH(1,$AF29:$AJ29,0)),IF(1=MAX($AF29:$AJ29)+1,"取消",""))</f>
        <v>李师傅</v>
      </c>
      <c r="AM29" s="0" t="str">
        <f aca="false">IFERROR(INDEX($A$1:$A$5,MATCH(2,$AF29:$AJ29,0)),IF(2=MAX($AF29:$AJ29)+1,"取消",""))</f>
        <v>王师傅</v>
      </c>
      <c r="AN29" s="0" t="str">
        <f aca="false">IFERROR(INDEX($A$1:$A$5,MATCH(3,$AF29:$AJ29,0)),IF(3=MAX($AF29:$AJ29)+1,"取消",""))</f>
        <v>陈师傅</v>
      </c>
      <c r="AO29" s="0" t="str">
        <f aca="false">IFERROR(INDEX($A$1:$A$5,MATCH(4,$AF29:$AJ29,0)),IF(4=MAX($AF29:$AJ29)+1,"取消",""))</f>
        <v>刘师傅</v>
      </c>
      <c r="AP29" s="0" t="str">
        <f aca="false">IFERROR(INDEX($A$1:$A$5,MATCH(5,$AF29:$AJ29,0)),IF(5=MAX($AF29:$AJ29)+1,"取消",""))</f>
        <v>取消</v>
      </c>
      <c r="AQ29" s="0" t="str">
        <f aca="false">IFERROR(INDEX($A$1:$A$5,MATCH(6,$AF29:$AJ29,0)),IF(6=MAX($AF29:$AJ29)+1,"取消",""))</f>
        <v/>
      </c>
      <c r="AS29" s="0" t="n">
        <f aca="false">IF(OR($A$1=公区维修!$F29,$A$1=公区维修!$G29,$BN$1=1),0,1-SUMPRODUCT(--(($A$1=公区维修!$F29)+($A$1=公区维修!$G29)+$BN$1&gt;0)))</f>
        <v>0</v>
      </c>
      <c r="AT29" s="0" t="n">
        <f aca="false">IF(OR($A$2=公区维修!$F29,$A$2=公区维修!$G29,$BN$2=1),0,2-SUMPRODUCT(--(($A$1:$A$2=公区维修!$F29)+($A$1:$A$2=公区维修!$G29)+$BN$1:$BN$2&gt;0)))</f>
        <v>1</v>
      </c>
      <c r="AU29" s="0" t="n">
        <f aca="false">IF(OR($A$3=公区维修!$F29,$A$3=公区维修!$G29,$BN$3=1),0,3-SUMPRODUCT(--(($A$1:$A$3=公区维修!$F29)+($A$1:$A$3=公区维修!$G29)+$BN$1:$BN$3&gt;0)))</f>
        <v>2</v>
      </c>
      <c r="AV29" s="0" t="n">
        <f aca="false">IF(OR($A$4=公区维修!$F29,$A$4=公区维修!$G29,$BN$4=1),0,4-SUMPRODUCT(--(($A$1:$A$4=公区维修!$F29)+($A$1:$A$4=公区维修!$G29)+$BN$1:$BN$4&gt;0)))</f>
        <v>3</v>
      </c>
      <c r="AW29" s="0" t="n">
        <f aca="false">IF(OR($A$5=公区维修!$F29,$A$5=公区维修!$G29,$BN$5=1),0,5-SUMPRODUCT(--(($A$1:$A$5=公区维修!$F29)+($A$1:$A$5=公区维修!$G29)+$BN$1:$BN$5&gt;0)))</f>
        <v>4</v>
      </c>
      <c r="AY29" s="0" t="str">
        <f aca="false">IFERROR(INDEX($A$1:$A$5,MATCH(1,$AS29:$AW29,0)),IF(1=MAX($AS29:$AW29)+1,"取消",""))</f>
        <v>李师傅</v>
      </c>
      <c r="AZ29" s="0" t="str">
        <f aca="false">IFERROR(INDEX($A$1:$A$5,MATCH(2,$AS29:$AW29,0)),IF(2=MAX($AS29:$AW29)+1,"取消",""))</f>
        <v>王师傅</v>
      </c>
      <c r="BA29" s="0" t="str">
        <f aca="false">IFERROR(INDEX($A$1:$A$5,MATCH(3,$AS29:$AW29,0)),IF(3=MAX($AS29:$AW29)+1,"取消",""))</f>
        <v>陈师傅</v>
      </c>
      <c r="BB29" s="0" t="str">
        <f aca="false">IFERROR(INDEX($A$1:$A$5,MATCH(4,$AS29:$AW29,0)),IF(4=MAX($AS29:$AW29)+1,"取消",""))</f>
        <v>刘师傅</v>
      </c>
      <c r="BC29" s="0" t="str">
        <f aca="false">IFERROR(INDEX($A$1:$A$5,MATCH(5,$AS29:$AW29,0)),IF(5=MAX($AS29:$AW29)+1,"取消",""))</f>
        <v>取消</v>
      </c>
      <c r="BD29" s="0" t="str">
        <f aca="false">IFERROR(INDEX($A$1:$A$5,MATCH(6,$AS29:$AW29,0)),IF(6=MAX($AS29:$AW29)+1,"取消",""))</f>
        <v/>
      </c>
      <c r="FW29" s="0" t="n">
        <f aca="false">IF(AND(单元查询!$D$3&lt;&gt;"",IF(单元查询!$B$3="公区维修",公区维修!$E29&lt;&gt;"",入户维修!$E29&lt;&gt;""),IF(单元查询!$B$3="公区维修",公区维修!$C29,入户维修!$C29)=单元查询!$D$3,OR(单元查询!$F$3="",IF(单元查询!$B$3="公区维修",公区维修!$D29,入户维修!$D29)&amp;""=(单元查询!$F$3)&amp;"")),MAX($FW$4:$FW28)+1,"")</f>
        <v>6</v>
      </c>
    </row>
    <row r="30" customFormat="false" ht="15" hidden="false" customHeight="true" outlineLevel="0" collapsed="false">
      <c r="F30" s="0" t="n">
        <f aca="false">IF(OR($A$1=入户维修!$F30,$BN$1=1),0,1-SUMPRODUCT(--(($A$1=入户维修!$F30)+$BN$1&gt;0)))</f>
        <v>0</v>
      </c>
      <c r="G30" s="0" t="n">
        <f aca="false">IF(OR($A$2=入户维修!$F30,$BN$2=1),0,2-SUMPRODUCT(--(($A$1:$A$2=入户维修!$F30)+$BN$1:$BN$2&gt;0)))</f>
        <v>1</v>
      </c>
      <c r="H30" s="0" t="n">
        <f aca="false">IF(OR($A$3=入户维修!$F30,$BN$3=1),0,3-SUMPRODUCT(--(($A$1:$A$3=入户维修!$F30)+$BN$1:$BN$3&gt;0)))</f>
        <v>2</v>
      </c>
      <c r="I30" s="0" t="n">
        <f aca="false">IF(OR($A$4=入户维修!$F30,$BN$4=1),0,4-SUMPRODUCT(--(($A$1:$A$4=入户维修!$F30)+$BN$1:$BN$4&gt;0)))</f>
        <v>3</v>
      </c>
      <c r="J30" s="0" t="n">
        <f aca="false">IF(OR($A$5=入户维修!$F30,$BN$5=1),0,5-SUMPRODUCT(--(($A$1:$A$5=入户维修!$F30)+$BN$1:$BN$5&gt;0)))</f>
        <v>4</v>
      </c>
      <c r="L30" s="0" t="str">
        <f aca="false">IFERROR(INDEX($A$1:$A$5,MATCH(1,$F30:$J30,0)),IF(1=MAX($F30:$J30)+1,"取消",""))</f>
        <v>李师傅</v>
      </c>
      <c r="M30" s="0" t="str">
        <f aca="false">IFERROR(INDEX($A$1:$A$5,MATCH(2,$F30:$J30,0)),IF(2=MAX($F30:$J30)+1,"取消",""))</f>
        <v>王师傅</v>
      </c>
      <c r="N30" s="0" t="str">
        <f aca="false">IFERROR(INDEX($A$1:$A$5,MATCH(3,$F30:$J30,0)),IF(3=MAX($F30:$J30)+1,"取消",""))</f>
        <v>陈师傅</v>
      </c>
      <c r="O30" s="0" t="str">
        <f aca="false">IFERROR(INDEX($A$1:$A$5,MATCH(4,$F30:$J30,0)),IF(4=MAX($F30:$J30)+1,"取消",""))</f>
        <v>刘师傅</v>
      </c>
      <c r="P30" s="0" t="str">
        <f aca="false">IFERROR(INDEX($A$1:$A$5,MATCH(5,$F30:$J30,0)),IF(5=MAX($F30:$J30)+1,"取消",""))</f>
        <v>取消</v>
      </c>
      <c r="Q30" s="0" t="str">
        <f aca="false">IFERROR(INDEX($A$1:$A$5,MATCH(6,$F30:$J30,0)),IF(6=MAX($F30:$J30)+1,"取消",""))</f>
        <v/>
      </c>
      <c r="S30" s="0" t="n">
        <f aca="false">IF(OR($A$1=入户维修!$F30,$A$1=入户维修!$G30,$BN$1=1),0,1-SUMPRODUCT(--(($A$1=入户维修!$F30)+($A$1=入户维修!$G30)+$BN$1&gt;0)))</f>
        <v>0</v>
      </c>
      <c r="T30" s="0" t="n">
        <f aca="false">IF(OR($A$2=入户维修!$F30,$A$2=入户维修!$G30,$BN$2=1),0,2-SUMPRODUCT(--(($A$1:$A$2=入户维修!$F30)+($A$1:$A$2=入户维修!$G30)+$BN$1:$BN$2&gt;0)))</f>
        <v>1</v>
      </c>
      <c r="U30" s="0" t="n">
        <f aca="false">IF(OR($A$3=入户维修!$F30,$A$3=入户维修!$G30,$BN$3=1),0,3-SUMPRODUCT(--(($A$1:$A$3=入户维修!$F30)+($A$1:$A$3=入户维修!$G30)+$BN$1:$BN$3&gt;0)))</f>
        <v>2</v>
      </c>
      <c r="V30" s="0" t="n">
        <f aca="false">IF(OR($A$4=入户维修!$F30,$A$4=入户维修!$G30,$BN$4=1),0,4-SUMPRODUCT(--(($A$1:$A$4=入户维修!$F30)+($A$1:$A$4=入户维修!$G30)+$BN$1:$BN$4&gt;0)))</f>
        <v>3</v>
      </c>
      <c r="W30" s="0" t="n">
        <f aca="false">IF(OR($A$5=入户维修!$F30,$A$5=入户维修!$G30,$BN$5=1),0,5-SUMPRODUCT(--(($A$1:$A$5=入户维修!$F30)+($A$1:$A$5=入户维修!$G30)+$BN$1:$BN$5&gt;0)))</f>
        <v>4</v>
      </c>
      <c r="Y30" s="0" t="str">
        <f aca="false">IFERROR(INDEX($A$1:$A$5,MATCH(1,$S30:$W30,0)),IF(1=MAX($S30:$W30)+1,"取消",""))</f>
        <v>李师傅</v>
      </c>
      <c r="Z30" s="0" t="str">
        <f aca="false">IFERROR(INDEX($A$1:$A$5,MATCH(2,$S30:$W30,0)),IF(2=MAX($S30:$W30)+1,"取消",""))</f>
        <v>王师傅</v>
      </c>
      <c r="AA30" s="0" t="str">
        <f aca="false">IFERROR(INDEX($A$1:$A$5,MATCH(3,$S30:$W30,0)),IF(3=MAX($S30:$W30)+1,"取消",""))</f>
        <v>陈师傅</v>
      </c>
      <c r="AB30" s="0" t="str">
        <f aca="false">IFERROR(INDEX($A$1:$A$5,MATCH(4,$S30:$W30,0)),IF(4=MAX($S30:$W30)+1,"取消",""))</f>
        <v>刘师傅</v>
      </c>
      <c r="AC30" s="0" t="str">
        <f aca="false">IFERROR(INDEX($A$1:$A$5,MATCH(5,$S30:$W30,0)),IF(5=MAX($S30:$W30)+1,"取消",""))</f>
        <v>取消</v>
      </c>
      <c r="AD30" s="0" t="str">
        <f aca="false">IFERROR(INDEX($A$1:$A$5,MATCH(6,$S30:$W30,0)),IF(6=MAX($S30:$W30)+1,"取消",""))</f>
        <v/>
      </c>
      <c r="AF30" s="0" t="n">
        <f aca="false">IF(OR($A$1=公区维修!$F30,$BN$1=1),0,1-SUMPRODUCT(--(($A$1=公区维修!$F30)+$BN$1&gt;0)))</f>
        <v>0</v>
      </c>
      <c r="AG30" s="0" t="n">
        <f aca="false">IF(OR($A$2=公区维修!$F30,$BN$2=1),0,2-SUMPRODUCT(--(($A$1:$A$2=公区维修!$F30)+$BN$1:$BN$2&gt;0)))</f>
        <v>1</v>
      </c>
      <c r="AH30" s="0" t="n">
        <f aca="false">IF(OR($A$3=公区维修!$F30,$BN$3=1),0,3-SUMPRODUCT(--(($A$1:$A$3=公区维修!$F30)+$BN$1:$BN$3&gt;0)))</f>
        <v>2</v>
      </c>
      <c r="AI30" s="0" t="n">
        <f aca="false">IF(OR($A$4=公区维修!$F30,$BN$4=1),0,4-SUMPRODUCT(--(($A$1:$A$4=公区维修!$F30)+$BN$1:$BN$4&gt;0)))</f>
        <v>3</v>
      </c>
      <c r="AJ30" s="0" t="n">
        <f aca="false">IF(OR($A$5=公区维修!$F30,$BN$5=1),0,5-SUMPRODUCT(--(($A$1:$A$5=公区维修!$F30)+$BN$1:$BN$5&gt;0)))</f>
        <v>4</v>
      </c>
      <c r="AL30" s="0" t="str">
        <f aca="false">IFERROR(INDEX($A$1:$A$5,MATCH(1,$AF30:$AJ30,0)),IF(1=MAX($AF30:$AJ30)+1,"取消",""))</f>
        <v>李师傅</v>
      </c>
      <c r="AM30" s="0" t="str">
        <f aca="false">IFERROR(INDEX($A$1:$A$5,MATCH(2,$AF30:$AJ30,0)),IF(2=MAX($AF30:$AJ30)+1,"取消",""))</f>
        <v>王师傅</v>
      </c>
      <c r="AN30" s="0" t="str">
        <f aca="false">IFERROR(INDEX($A$1:$A$5,MATCH(3,$AF30:$AJ30,0)),IF(3=MAX($AF30:$AJ30)+1,"取消",""))</f>
        <v>陈师傅</v>
      </c>
      <c r="AO30" s="0" t="str">
        <f aca="false">IFERROR(INDEX($A$1:$A$5,MATCH(4,$AF30:$AJ30,0)),IF(4=MAX($AF30:$AJ30)+1,"取消",""))</f>
        <v>刘师傅</v>
      </c>
      <c r="AP30" s="0" t="str">
        <f aca="false">IFERROR(INDEX($A$1:$A$5,MATCH(5,$AF30:$AJ30,0)),IF(5=MAX($AF30:$AJ30)+1,"取消",""))</f>
        <v>取消</v>
      </c>
      <c r="AQ30" s="0" t="str">
        <f aca="false">IFERROR(INDEX($A$1:$A$5,MATCH(6,$AF30:$AJ30,0)),IF(6=MAX($AF30:$AJ30)+1,"取消",""))</f>
        <v/>
      </c>
      <c r="AS30" s="0" t="n">
        <f aca="false">IF(OR($A$1=公区维修!$F30,$A$1=公区维修!$G30,$BN$1=1),0,1-SUMPRODUCT(--(($A$1=公区维修!$F30)+($A$1=公区维修!$G30)+$BN$1&gt;0)))</f>
        <v>0</v>
      </c>
      <c r="AT30" s="0" t="n">
        <f aca="false">IF(OR($A$2=公区维修!$F30,$A$2=公区维修!$G30,$BN$2=1),0,2-SUMPRODUCT(--(($A$1:$A$2=公区维修!$F30)+($A$1:$A$2=公区维修!$G30)+$BN$1:$BN$2&gt;0)))</f>
        <v>1</v>
      </c>
      <c r="AU30" s="0" t="n">
        <f aca="false">IF(OR($A$3=公区维修!$F30,$A$3=公区维修!$G30,$BN$3=1),0,3-SUMPRODUCT(--(($A$1:$A$3=公区维修!$F30)+($A$1:$A$3=公区维修!$G30)+$BN$1:$BN$3&gt;0)))</f>
        <v>2</v>
      </c>
      <c r="AV30" s="0" t="n">
        <f aca="false">IF(OR($A$4=公区维修!$F30,$A$4=公区维修!$G30,$BN$4=1),0,4-SUMPRODUCT(--(($A$1:$A$4=公区维修!$F30)+($A$1:$A$4=公区维修!$G30)+$BN$1:$BN$4&gt;0)))</f>
        <v>3</v>
      </c>
      <c r="AW30" s="0" t="n">
        <f aca="false">IF(OR($A$5=公区维修!$F30,$A$5=公区维修!$G30,$BN$5=1),0,5-SUMPRODUCT(--(($A$1:$A$5=公区维修!$F30)+($A$1:$A$5=公区维修!$G30)+$BN$1:$BN$5&gt;0)))</f>
        <v>4</v>
      </c>
      <c r="AY30" s="0" t="str">
        <f aca="false">IFERROR(INDEX($A$1:$A$5,MATCH(1,$AS30:$AW30,0)),IF(1=MAX($AS30:$AW30)+1,"取消",""))</f>
        <v>李师傅</v>
      </c>
      <c r="AZ30" s="0" t="str">
        <f aca="false">IFERROR(INDEX($A$1:$A$5,MATCH(2,$AS30:$AW30,0)),IF(2=MAX($AS30:$AW30)+1,"取消",""))</f>
        <v>王师傅</v>
      </c>
      <c r="BA30" s="0" t="str">
        <f aca="false">IFERROR(INDEX($A$1:$A$5,MATCH(3,$AS30:$AW30,0)),IF(3=MAX($AS30:$AW30)+1,"取消",""))</f>
        <v>陈师傅</v>
      </c>
      <c r="BB30" s="0" t="str">
        <f aca="false">IFERROR(INDEX($A$1:$A$5,MATCH(4,$AS30:$AW30,0)),IF(4=MAX($AS30:$AW30)+1,"取消",""))</f>
        <v>刘师傅</v>
      </c>
      <c r="BC30" s="0" t="str">
        <f aca="false">IFERROR(INDEX($A$1:$A$5,MATCH(5,$AS30:$AW30,0)),IF(5=MAX($AS30:$AW30)+1,"取消",""))</f>
        <v>取消</v>
      </c>
      <c r="BD30" s="0" t="str">
        <f aca="false">IFERROR(INDEX($A$1:$A$5,MATCH(6,$AS30:$AW30,0)),IF(6=MAX($AS30:$AW30)+1,"取消",""))</f>
        <v/>
      </c>
      <c r="FW30" s="0" t="str">
        <f aca="false">IF(AND(单元查询!$D$3&lt;&gt;"",IF(单元查询!$B$3="公区维修",公区维修!$E30&lt;&gt;"",入户维修!$E30&lt;&gt;""),IF(单元查询!$B$3="公区维修",公区维修!$C30,入户维修!$C30)=单元查询!$D$3,OR(单元查询!$F$3="",IF(单元查询!$B$3="公区维修",公区维修!$D30,入户维修!$D30)&amp;""=(单元查询!$F$3)&amp;"")),MAX($FW$4:$FW29)+1,"")</f>
        <v/>
      </c>
    </row>
    <row r="31" customFormat="false" ht="15" hidden="false" customHeight="true" outlineLevel="0" collapsed="false">
      <c r="F31" s="0" t="n">
        <f aca="false">IF(OR($A$1=入户维修!$F31,$BN$1=1),0,1-SUMPRODUCT(--(($A$1=入户维修!$F31)+$BN$1&gt;0)))</f>
        <v>0</v>
      </c>
      <c r="G31" s="0" t="n">
        <f aca="false">IF(OR($A$2=入户维修!$F31,$BN$2=1),0,2-SUMPRODUCT(--(($A$1:$A$2=入户维修!$F31)+$BN$1:$BN$2&gt;0)))</f>
        <v>0</v>
      </c>
      <c r="H31" s="0" t="n">
        <f aca="false">IF(OR($A$3=入户维修!$F31,$BN$3=1),0,3-SUMPRODUCT(--(($A$1:$A$3=入户维修!$F31)+$BN$1:$BN$3&gt;0)))</f>
        <v>1</v>
      </c>
      <c r="I31" s="0" t="n">
        <f aca="false">IF(OR($A$4=入户维修!$F31,$BN$4=1),0,4-SUMPRODUCT(--(($A$1:$A$4=入户维修!$F31)+$BN$1:$BN$4&gt;0)))</f>
        <v>2</v>
      </c>
      <c r="J31" s="0" t="n">
        <f aca="false">IF(OR($A$5=入户维修!$F31,$BN$5=1),0,5-SUMPRODUCT(--(($A$1:$A$5=入户维修!$F31)+$BN$1:$BN$5&gt;0)))</f>
        <v>3</v>
      </c>
      <c r="L31" s="0" t="str">
        <f aca="false">IFERROR(INDEX($A$1:$A$5,MATCH(1,$F31:$J31,0)),IF(1=MAX($F31:$J31)+1,"取消",""))</f>
        <v>王师傅</v>
      </c>
      <c r="M31" s="0" t="str">
        <f aca="false">IFERROR(INDEX($A$1:$A$5,MATCH(2,$F31:$J31,0)),IF(2=MAX($F31:$J31)+1,"取消",""))</f>
        <v>陈师傅</v>
      </c>
      <c r="N31" s="0" t="str">
        <f aca="false">IFERROR(INDEX($A$1:$A$5,MATCH(3,$F31:$J31,0)),IF(3=MAX($F31:$J31)+1,"取消",""))</f>
        <v>刘师傅</v>
      </c>
      <c r="O31" s="0" t="str">
        <f aca="false">IFERROR(INDEX($A$1:$A$5,MATCH(4,$F31:$J31,0)),IF(4=MAX($F31:$J31)+1,"取消",""))</f>
        <v>取消</v>
      </c>
      <c r="P31" s="0" t="str">
        <f aca="false">IFERROR(INDEX($A$1:$A$5,MATCH(5,$F31:$J31,0)),IF(5=MAX($F31:$J31)+1,"取消",""))</f>
        <v/>
      </c>
      <c r="Q31" s="0" t="str">
        <f aca="false">IFERROR(INDEX($A$1:$A$5,MATCH(6,$F31:$J31,0)),IF(6=MAX($F31:$J31)+1,"取消",""))</f>
        <v/>
      </c>
      <c r="S31" s="0" t="n">
        <f aca="false">IF(OR($A$1=入户维修!$F31,$A$1=入户维修!$G31,$BN$1=1),0,1-SUMPRODUCT(--(($A$1=入户维修!$F31)+($A$1=入户维修!$G31)+$BN$1&gt;0)))</f>
        <v>0</v>
      </c>
      <c r="T31" s="0" t="n">
        <f aca="false">IF(OR($A$2=入户维修!$F31,$A$2=入户维修!$G31,$BN$2=1),0,2-SUMPRODUCT(--(($A$1:$A$2=入户维修!$F31)+($A$1:$A$2=入户维修!$G31)+$BN$1:$BN$2&gt;0)))</f>
        <v>0</v>
      </c>
      <c r="U31" s="0" t="n">
        <f aca="false">IF(OR($A$3=入户维修!$F31,$A$3=入户维修!$G31,$BN$3=1),0,3-SUMPRODUCT(--(($A$1:$A$3=入户维修!$F31)+($A$1:$A$3=入户维修!$G31)+$BN$1:$BN$3&gt;0)))</f>
        <v>1</v>
      </c>
      <c r="V31" s="0" t="n">
        <f aca="false">IF(OR($A$4=入户维修!$F31,$A$4=入户维修!$G31,$BN$4=1),0,4-SUMPRODUCT(--(($A$1:$A$4=入户维修!$F31)+($A$1:$A$4=入户维修!$G31)+$BN$1:$BN$4&gt;0)))</f>
        <v>2</v>
      </c>
      <c r="W31" s="0" t="n">
        <f aca="false">IF(OR($A$5=入户维修!$F31,$A$5=入户维修!$G31,$BN$5=1),0,5-SUMPRODUCT(--(($A$1:$A$5=入户维修!$F31)+($A$1:$A$5=入户维修!$G31)+$BN$1:$BN$5&gt;0)))</f>
        <v>3</v>
      </c>
      <c r="Y31" s="0" t="str">
        <f aca="false">IFERROR(INDEX($A$1:$A$5,MATCH(1,$S31:$W31,0)),IF(1=MAX($S31:$W31)+1,"取消",""))</f>
        <v>王师傅</v>
      </c>
      <c r="Z31" s="0" t="str">
        <f aca="false">IFERROR(INDEX($A$1:$A$5,MATCH(2,$S31:$W31,0)),IF(2=MAX($S31:$W31)+1,"取消",""))</f>
        <v>陈师傅</v>
      </c>
      <c r="AA31" s="0" t="str">
        <f aca="false">IFERROR(INDEX($A$1:$A$5,MATCH(3,$S31:$W31,0)),IF(3=MAX($S31:$W31)+1,"取消",""))</f>
        <v>刘师傅</v>
      </c>
      <c r="AB31" s="0" t="str">
        <f aca="false">IFERROR(INDEX($A$1:$A$5,MATCH(4,$S31:$W31,0)),IF(4=MAX($S31:$W31)+1,"取消",""))</f>
        <v>取消</v>
      </c>
      <c r="AC31" s="0" t="str">
        <f aca="false">IFERROR(INDEX($A$1:$A$5,MATCH(5,$S31:$W31,0)),IF(5=MAX($S31:$W31)+1,"取消",""))</f>
        <v/>
      </c>
      <c r="AD31" s="0" t="str">
        <f aca="false">IFERROR(INDEX($A$1:$A$5,MATCH(6,$S31:$W31,0)),IF(6=MAX($S31:$W31)+1,"取消",""))</f>
        <v/>
      </c>
      <c r="AF31" s="0" t="n">
        <f aca="false">IF(OR($A$1=公区维修!$F31,$BN$1=1),0,1-SUMPRODUCT(--(($A$1=公区维修!$F31)+$BN$1&gt;0)))</f>
        <v>0</v>
      </c>
      <c r="AG31" s="0" t="n">
        <f aca="false">IF(OR($A$2=公区维修!$F31,$BN$2=1),0,2-SUMPRODUCT(--(($A$1:$A$2=公区维修!$F31)+$BN$1:$BN$2&gt;0)))</f>
        <v>1</v>
      </c>
      <c r="AH31" s="0" t="n">
        <f aca="false">IF(OR($A$3=公区维修!$F31,$BN$3=1),0,3-SUMPRODUCT(--(($A$1:$A$3=公区维修!$F31)+$BN$1:$BN$3&gt;0)))</f>
        <v>2</v>
      </c>
      <c r="AI31" s="0" t="n">
        <f aca="false">IF(OR($A$4=公区维修!$F31,$BN$4=1),0,4-SUMPRODUCT(--(($A$1:$A$4=公区维修!$F31)+$BN$1:$BN$4&gt;0)))</f>
        <v>3</v>
      </c>
      <c r="AJ31" s="0" t="n">
        <f aca="false">IF(OR($A$5=公区维修!$F31,$BN$5=1),0,5-SUMPRODUCT(--(($A$1:$A$5=公区维修!$F31)+$BN$1:$BN$5&gt;0)))</f>
        <v>4</v>
      </c>
      <c r="AL31" s="0" t="str">
        <f aca="false">IFERROR(INDEX($A$1:$A$5,MATCH(1,$AF31:$AJ31,0)),IF(1=MAX($AF31:$AJ31)+1,"取消",""))</f>
        <v>李师傅</v>
      </c>
      <c r="AM31" s="0" t="str">
        <f aca="false">IFERROR(INDEX($A$1:$A$5,MATCH(2,$AF31:$AJ31,0)),IF(2=MAX($AF31:$AJ31)+1,"取消",""))</f>
        <v>王师傅</v>
      </c>
      <c r="AN31" s="0" t="str">
        <f aca="false">IFERROR(INDEX($A$1:$A$5,MATCH(3,$AF31:$AJ31,0)),IF(3=MAX($AF31:$AJ31)+1,"取消",""))</f>
        <v>陈师傅</v>
      </c>
      <c r="AO31" s="0" t="str">
        <f aca="false">IFERROR(INDEX($A$1:$A$5,MATCH(4,$AF31:$AJ31,0)),IF(4=MAX($AF31:$AJ31)+1,"取消",""))</f>
        <v>刘师傅</v>
      </c>
      <c r="AP31" s="0" t="str">
        <f aca="false">IFERROR(INDEX($A$1:$A$5,MATCH(5,$AF31:$AJ31,0)),IF(5=MAX($AF31:$AJ31)+1,"取消",""))</f>
        <v>取消</v>
      </c>
      <c r="AQ31" s="0" t="str">
        <f aca="false">IFERROR(INDEX($A$1:$A$5,MATCH(6,$AF31:$AJ31,0)),IF(6=MAX($AF31:$AJ31)+1,"取消",""))</f>
        <v/>
      </c>
      <c r="AS31" s="0" t="n">
        <f aca="false">IF(OR($A$1=公区维修!$F31,$A$1=公区维修!$G31,$BN$1=1),0,1-SUMPRODUCT(--(($A$1=公区维修!$F31)+($A$1=公区维修!$G31)+$BN$1&gt;0)))</f>
        <v>0</v>
      </c>
      <c r="AT31" s="0" t="n">
        <f aca="false">IF(OR($A$2=公区维修!$F31,$A$2=公区维修!$G31,$BN$2=1),0,2-SUMPRODUCT(--(($A$1:$A$2=公区维修!$F31)+($A$1:$A$2=公区维修!$G31)+$BN$1:$BN$2&gt;0)))</f>
        <v>1</v>
      </c>
      <c r="AU31" s="0" t="n">
        <f aca="false">IF(OR($A$3=公区维修!$F31,$A$3=公区维修!$G31,$BN$3=1),0,3-SUMPRODUCT(--(($A$1:$A$3=公区维修!$F31)+($A$1:$A$3=公区维修!$G31)+$BN$1:$BN$3&gt;0)))</f>
        <v>2</v>
      </c>
      <c r="AV31" s="0" t="n">
        <f aca="false">IF(OR($A$4=公区维修!$F31,$A$4=公区维修!$G31,$BN$4=1),0,4-SUMPRODUCT(--(($A$1:$A$4=公区维修!$F31)+($A$1:$A$4=公区维修!$G31)+$BN$1:$BN$4&gt;0)))</f>
        <v>3</v>
      </c>
      <c r="AW31" s="0" t="n">
        <f aca="false">IF(OR($A$5=公区维修!$F31,$A$5=公区维修!$G31,$BN$5=1),0,5-SUMPRODUCT(--(($A$1:$A$5=公区维修!$F31)+($A$1:$A$5=公区维修!$G31)+$BN$1:$BN$5&gt;0)))</f>
        <v>4</v>
      </c>
      <c r="AY31" s="0" t="str">
        <f aca="false">IFERROR(INDEX($A$1:$A$5,MATCH(1,$AS31:$AW31,0)),IF(1=MAX($AS31:$AW31)+1,"取消",""))</f>
        <v>李师傅</v>
      </c>
      <c r="AZ31" s="0" t="str">
        <f aca="false">IFERROR(INDEX($A$1:$A$5,MATCH(2,$AS31:$AW31,0)),IF(2=MAX($AS31:$AW31)+1,"取消",""))</f>
        <v>王师傅</v>
      </c>
      <c r="BA31" s="0" t="str">
        <f aca="false">IFERROR(INDEX($A$1:$A$5,MATCH(3,$AS31:$AW31,0)),IF(3=MAX($AS31:$AW31)+1,"取消",""))</f>
        <v>陈师傅</v>
      </c>
      <c r="BB31" s="0" t="str">
        <f aca="false">IFERROR(INDEX($A$1:$A$5,MATCH(4,$AS31:$AW31,0)),IF(4=MAX($AS31:$AW31)+1,"取消",""))</f>
        <v>刘师傅</v>
      </c>
      <c r="BC31" s="0" t="str">
        <f aca="false">IFERROR(INDEX($A$1:$A$5,MATCH(5,$AS31:$AW31,0)),IF(5=MAX($AS31:$AW31)+1,"取消",""))</f>
        <v>取消</v>
      </c>
      <c r="BD31" s="0" t="str">
        <f aca="false">IFERROR(INDEX($A$1:$A$5,MATCH(6,$AS31:$AW31,0)),IF(6=MAX($AS31:$AW31)+1,"取消",""))</f>
        <v/>
      </c>
      <c r="FW31" s="0" t="str">
        <f aca="false">IF(AND(单元查询!$D$3&lt;&gt;"",IF(单元查询!$B$3="公区维修",公区维修!$E31&lt;&gt;"",入户维修!$E31&lt;&gt;""),IF(单元查询!$B$3="公区维修",公区维修!$C31,入户维修!$C31)=单元查询!$D$3,OR(单元查询!$F$3="",IF(单元查询!$B$3="公区维修",公区维修!$D31,入户维修!$D31)&amp;""=(单元查询!$F$3)&amp;"")),MAX($FW$4:$FW30)+1,"")</f>
        <v/>
      </c>
    </row>
    <row r="32" customFormat="false" ht="15" hidden="false" customHeight="true" outlineLevel="0" collapsed="false">
      <c r="F32" s="0" t="n">
        <f aca="false">IF(OR($A$1=入户维修!$F32,$BN$1=1),0,1-SUMPRODUCT(--(($A$1=入户维修!$F32)+$BN$1&gt;0)))</f>
        <v>0</v>
      </c>
      <c r="G32" s="0" t="n">
        <f aca="false">IF(OR($A$2=入户维修!$F32,$BN$2=1),0,2-SUMPRODUCT(--(($A$1:$A$2=入户维修!$F32)+$BN$1:$BN$2&gt;0)))</f>
        <v>1</v>
      </c>
      <c r="H32" s="0" t="n">
        <f aca="false">IF(OR($A$3=入户维修!$F32,$BN$3=1),0,3-SUMPRODUCT(--(($A$1:$A$3=入户维修!$F32)+$BN$1:$BN$3&gt;0)))</f>
        <v>2</v>
      </c>
      <c r="I32" s="0" t="n">
        <f aca="false">IF(OR($A$4=入户维修!$F32,$BN$4=1),0,4-SUMPRODUCT(--(($A$1:$A$4=入户维修!$F32)+$BN$1:$BN$4&gt;0)))</f>
        <v>0</v>
      </c>
      <c r="J32" s="0" t="n">
        <f aca="false">IF(OR($A$5=入户维修!$F32,$BN$5=1),0,5-SUMPRODUCT(--(($A$1:$A$5=入户维修!$F32)+$BN$1:$BN$5&gt;0)))</f>
        <v>3</v>
      </c>
      <c r="L32" s="0" t="str">
        <f aca="false">IFERROR(INDEX($A$1:$A$5,MATCH(1,$F32:$J32,0)),IF(1=MAX($F32:$J32)+1,"取消",""))</f>
        <v>李师傅</v>
      </c>
      <c r="M32" s="0" t="str">
        <f aca="false">IFERROR(INDEX($A$1:$A$5,MATCH(2,$F32:$J32,0)),IF(2=MAX($F32:$J32)+1,"取消",""))</f>
        <v>王师傅</v>
      </c>
      <c r="N32" s="0" t="str">
        <f aca="false">IFERROR(INDEX($A$1:$A$5,MATCH(3,$F32:$J32,0)),IF(3=MAX($F32:$J32)+1,"取消",""))</f>
        <v>刘师傅</v>
      </c>
      <c r="O32" s="0" t="str">
        <f aca="false">IFERROR(INDEX($A$1:$A$5,MATCH(4,$F32:$J32,0)),IF(4=MAX($F32:$J32)+1,"取消",""))</f>
        <v>取消</v>
      </c>
      <c r="P32" s="0" t="str">
        <f aca="false">IFERROR(INDEX($A$1:$A$5,MATCH(5,$F32:$J32,0)),IF(5=MAX($F32:$J32)+1,"取消",""))</f>
        <v/>
      </c>
      <c r="Q32" s="0" t="str">
        <f aca="false">IFERROR(INDEX($A$1:$A$5,MATCH(6,$F32:$J32,0)),IF(6=MAX($F32:$J32)+1,"取消",""))</f>
        <v/>
      </c>
      <c r="S32" s="0" t="n">
        <f aca="false">IF(OR($A$1=入户维修!$F32,$A$1=入户维修!$G32,$BN$1=1),0,1-SUMPRODUCT(--(($A$1=入户维修!$F32)+($A$1=入户维修!$G32)+$BN$1&gt;0)))</f>
        <v>0</v>
      </c>
      <c r="T32" s="0" t="n">
        <f aca="false">IF(OR($A$2=入户维修!$F32,$A$2=入户维修!$G32,$BN$2=1),0,2-SUMPRODUCT(--(($A$1:$A$2=入户维修!$F32)+($A$1:$A$2=入户维修!$G32)+$BN$1:$BN$2&gt;0)))</f>
        <v>1</v>
      </c>
      <c r="U32" s="0" t="n">
        <f aca="false">IF(OR($A$3=入户维修!$F32,$A$3=入户维修!$G32,$BN$3=1),0,3-SUMPRODUCT(--(($A$1:$A$3=入户维修!$F32)+($A$1:$A$3=入户维修!$G32)+$BN$1:$BN$3&gt;0)))</f>
        <v>2</v>
      </c>
      <c r="V32" s="0" t="n">
        <f aca="false">IF(OR($A$4=入户维修!$F32,$A$4=入户维修!$G32,$BN$4=1),0,4-SUMPRODUCT(--(($A$1:$A$4=入户维修!$F32)+($A$1:$A$4=入户维修!$G32)+$BN$1:$BN$4&gt;0)))</f>
        <v>0</v>
      </c>
      <c r="W32" s="0" t="n">
        <f aca="false">IF(OR($A$5=入户维修!$F32,$A$5=入户维修!$G32,$BN$5=1),0,5-SUMPRODUCT(--(($A$1:$A$5=入户维修!$F32)+($A$1:$A$5=入户维修!$G32)+$BN$1:$BN$5&gt;0)))</f>
        <v>3</v>
      </c>
      <c r="Y32" s="0" t="str">
        <f aca="false">IFERROR(INDEX($A$1:$A$5,MATCH(1,$S32:$W32,0)),IF(1=MAX($S32:$W32)+1,"取消",""))</f>
        <v>李师傅</v>
      </c>
      <c r="Z32" s="0" t="str">
        <f aca="false">IFERROR(INDEX($A$1:$A$5,MATCH(2,$S32:$W32,0)),IF(2=MAX($S32:$W32)+1,"取消",""))</f>
        <v>王师傅</v>
      </c>
      <c r="AA32" s="0" t="str">
        <f aca="false">IFERROR(INDEX($A$1:$A$5,MATCH(3,$S32:$W32,0)),IF(3=MAX($S32:$W32)+1,"取消",""))</f>
        <v>刘师傅</v>
      </c>
      <c r="AB32" s="0" t="str">
        <f aca="false">IFERROR(INDEX($A$1:$A$5,MATCH(4,$S32:$W32,0)),IF(4=MAX($S32:$W32)+1,"取消",""))</f>
        <v>取消</v>
      </c>
      <c r="AC32" s="0" t="str">
        <f aca="false">IFERROR(INDEX($A$1:$A$5,MATCH(5,$S32:$W32,0)),IF(5=MAX($S32:$W32)+1,"取消",""))</f>
        <v/>
      </c>
      <c r="AD32" s="0" t="str">
        <f aca="false">IFERROR(INDEX($A$1:$A$5,MATCH(6,$S32:$W32,0)),IF(6=MAX($S32:$W32)+1,"取消",""))</f>
        <v/>
      </c>
      <c r="AF32" s="0" t="n">
        <f aca="false">IF(OR($A$1=公区维修!$F32,$BN$1=1),0,1-SUMPRODUCT(--(($A$1=公区维修!$F32)+$BN$1&gt;0)))</f>
        <v>0</v>
      </c>
      <c r="AG32" s="0" t="n">
        <f aca="false">IF(OR($A$2=公区维修!$F32,$BN$2=1),0,2-SUMPRODUCT(--(($A$1:$A$2=公区维修!$F32)+$BN$1:$BN$2&gt;0)))</f>
        <v>1</v>
      </c>
      <c r="AH32" s="0" t="n">
        <f aca="false">IF(OR($A$3=公区维修!$F32,$BN$3=1),0,3-SUMPRODUCT(--(($A$1:$A$3=公区维修!$F32)+$BN$1:$BN$3&gt;0)))</f>
        <v>2</v>
      </c>
      <c r="AI32" s="0" t="n">
        <f aca="false">IF(OR($A$4=公区维修!$F32,$BN$4=1),0,4-SUMPRODUCT(--(($A$1:$A$4=公区维修!$F32)+$BN$1:$BN$4&gt;0)))</f>
        <v>3</v>
      </c>
      <c r="AJ32" s="0" t="n">
        <f aca="false">IF(OR($A$5=公区维修!$F32,$BN$5=1),0,5-SUMPRODUCT(--(($A$1:$A$5=公区维修!$F32)+$BN$1:$BN$5&gt;0)))</f>
        <v>4</v>
      </c>
      <c r="AL32" s="0" t="str">
        <f aca="false">IFERROR(INDEX($A$1:$A$5,MATCH(1,$AF32:$AJ32,0)),IF(1=MAX($AF32:$AJ32)+1,"取消",""))</f>
        <v>李师傅</v>
      </c>
      <c r="AM32" s="0" t="str">
        <f aca="false">IFERROR(INDEX($A$1:$A$5,MATCH(2,$AF32:$AJ32,0)),IF(2=MAX($AF32:$AJ32)+1,"取消",""))</f>
        <v>王师傅</v>
      </c>
      <c r="AN32" s="0" t="str">
        <f aca="false">IFERROR(INDEX($A$1:$A$5,MATCH(3,$AF32:$AJ32,0)),IF(3=MAX($AF32:$AJ32)+1,"取消",""))</f>
        <v>陈师傅</v>
      </c>
      <c r="AO32" s="0" t="str">
        <f aca="false">IFERROR(INDEX($A$1:$A$5,MATCH(4,$AF32:$AJ32,0)),IF(4=MAX($AF32:$AJ32)+1,"取消",""))</f>
        <v>刘师傅</v>
      </c>
      <c r="AP32" s="0" t="str">
        <f aca="false">IFERROR(INDEX($A$1:$A$5,MATCH(5,$AF32:$AJ32,0)),IF(5=MAX($AF32:$AJ32)+1,"取消",""))</f>
        <v>取消</v>
      </c>
      <c r="AQ32" s="0" t="str">
        <f aca="false">IFERROR(INDEX($A$1:$A$5,MATCH(6,$AF32:$AJ32,0)),IF(6=MAX($AF32:$AJ32)+1,"取消",""))</f>
        <v/>
      </c>
      <c r="AS32" s="0" t="n">
        <f aca="false">IF(OR($A$1=公区维修!$F32,$A$1=公区维修!$G32,$BN$1=1),0,1-SUMPRODUCT(--(($A$1=公区维修!$F32)+($A$1=公区维修!$G32)+$BN$1&gt;0)))</f>
        <v>0</v>
      </c>
      <c r="AT32" s="0" t="n">
        <f aca="false">IF(OR($A$2=公区维修!$F32,$A$2=公区维修!$G32,$BN$2=1),0,2-SUMPRODUCT(--(($A$1:$A$2=公区维修!$F32)+($A$1:$A$2=公区维修!$G32)+$BN$1:$BN$2&gt;0)))</f>
        <v>1</v>
      </c>
      <c r="AU32" s="0" t="n">
        <f aca="false">IF(OR($A$3=公区维修!$F32,$A$3=公区维修!$G32,$BN$3=1),0,3-SUMPRODUCT(--(($A$1:$A$3=公区维修!$F32)+($A$1:$A$3=公区维修!$G32)+$BN$1:$BN$3&gt;0)))</f>
        <v>2</v>
      </c>
      <c r="AV32" s="0" t="n">
        <f aca="false">IF(OR($A$4=公区维修!$F32,$A$4=公区维修!$G32,$BN$4=1),0,4-SUMPRODUCT(--(($A$1:$A$4=公区维修!$F32)+($A$1:$A$4=公区维修!$G32)+$BN$1:$BN$4&gt;0)))</f>
        <v>3</v>
      </c>
      <c r="AW32" s="0" t="n">
        <f aca="false">IF(OR($A$5=公区维修!$F32,$A$5=公区维修!$G32,$BN$5=1),0,5-SUMPRODUCT(--(($A$1:$A$5=公区维修!$F32)+($A$1:$A$5=公区维修!$G32)+$BN$1:$BN$5&gt;0)))</f>
        <v>4</v>
      </c>
      <c r="AY32" s="0" t="str">
        <f aca="false">IFERROR(INDEX($A$1:$A$5,MATCH(1,$AS32:$AW32,0)),IF(1=MAX($AS32:$AW32)+1,"取消",""))</f>
        <v>李师傅</v>
      </c>
      <c r="AZ32" s="0" t="str">
        <f aca="false">IFERROR(INDEX($A$1:$A$5,MATCH(2,$AS32:$AW32,0)),IF(2=MAX($AS32:$AW32)+1,"取消",""))</f>
        <v>王师傅</v>
      </c>
      <c r="BA32" s="0" t="str">
        <f aca="false">IFERROR(INDEX($A$1:$A$5,MATCH(3,$AS32:$AW32,0)),IF(3=MAX($AS32:$AW32)+1,"取消",""))</f>
        <v>陈师傅</v>
      </c>
      <c r="BB32" s="0" t="str">
        <f aca="false">IFERROR(INDEX($A$1:$A$5,MATCH(4,$AS32:$AW32,0)),IF(4=MAX($AS32:$AW32)+1,"取消",""))</f>
        <v>刘师傅</v>
      </c>
      <c r="BC32" s="0" t="str">
        <f aca="false">IFERROR(INDEX($A$1:$A$5,MATCH(5,$AS32:$AW32,0)),IF(5=MAX($AS32:$AW32)+1,"取消",""))</f>
        <v>取消</v>
      </c>
      <c r="BD32" s="0" t="str">
        <f aca="false">IFERROR(INDEX($A$1:$A$5,MATCH(6,$AS32:$AW32,0)),IF(6=MAX($AS32:$AW32)+1,"取消",""))</f>
        <v/>
      </c>
      <c r="FW32" s="0" t="str">
        <f aca="false">IF(AND(单元查询!$D$3&lt;&gt;"",IF(单元查询!$B$3="公区维修",公区维修!$E32&lt;&gt;"",入户维修!$E32&lt;&gt;""),IF(单元查询!$B$3="公区维修",公区维修!$C32,入户维修!$C32)=单元查询!$D$3,OR(单元查询!$F$3="",IF(单元查询!$B$3="公区维修",公区维修!$D32,入户维修!$D32)&amp;""=(单元查询!$F$3)&amp;"")),MAX($FW$4:$FW31)+1,"")</f>
        <v/>
      </c>
    </row>
    <row r="33" customFormat="false" ht="15" hidden="false" customHeight="true" outlineLevel="0" collapsed="false">
      <c r="F33" s="0" t="n">
        <f aca="false">IF(OR($A$1=入户维修!$F33,$BN$1=1),0,1-SUMPRODUCT(--(($A$1=入户维修!$F33)+$BN$1&gt;0)))</f>
        <v>0</v>
      </c>
      <c r="G33" s="0" t="n">
        <f aca="false">IF(OR($A$2=入户维修!$F33,$BN$2=1),0,2-SUMPRODUCT(--(($A$1:$A$2=入户维修!$F33)+$BN$1:$BN$2&gt;0)))</f>
        <v>1</v>
      </c>
      <c r="H33" s="0" t="n">
        <f aca="false">IF(OR($A$3=入户维修!$F33,$BN$3=1),0,3-SUMPRODUCT(--(($A$1:$A$3=入户维修!$F33)+$BN$1:$BN$3&gt;0)))</f>
        <v>2</v>
      </c>
      <c r="I33" s="0" t="n">
        <f aca="false">IF(OR($A$4=入户维修!$F33,$BN$4=1),0,4-SUMPRODUCT(--(($A$1:$A$4=入户维修!$F33)+$BN$1:$BN$4&gt;0)))</f>
        <v>0</v>
      </c>
      <c r="J33" s="0" t="n">
        <f aca="false">IF(OR($A$5=入户维修!$F33,$BN$5=1),0,5-SUMPRODUCT(--(($A$1:$A$5=入户维修!$F33)+$BN$1:$BN$5&gt;0)))</f>
        <v>3</v>
      </c>
      <c r="L33" s="0" t="str">
        <f aca="false">IFERROR(INDEX($A$1:$A$5,MATCH(1,$F33:$J33,0)),IF(1=MAX($F33:$J33)+1,"取消",""))</f>
        <v>李师傅</v>
      </c>
      <c r="M33" s="0" t="str">
        <f aca="false">IFERROR(INDEX($A$1:$A$5,MATCH(2,$F33:$J33,0)),IF(2=MAX($F33:$J33)+1,"取消",""))</f>
        <v>王师傅</v>
      </c>
      <c r="N33" s="0" t="str">
        <f aca="false">IFERROR(INDEX($A$1:$A$5,MATCH(3,$F33:$J33,0)),IF(3=MAX($F33:$J33)+1,"取消",""))</f>
        <v>刘师傅</v>
      </c>
      <c r="O33" s="0" t="str">
        <f aca="false">IFERROR(INDEX($A$1:$A$5,MATCH(4,$F33:$J33,0)),IF(4=MAX($F33:$J33)+1,"取消",""))</f>
        <v>取消</v>
      </c>
      <c r="P33" s="0" t="str">
        <f aca="false">IFERROR(INDEX($A$1:$A$5,MATCH(5,$F33:$J33,0)),IF(5=MAX($F33:$J33)+1,"取消",""))</f>
        <v/>
      </c>
      <c r="Q33" s="0" t="str">
        <f aca="false">IFERROR(INDEX($A$1:$A$5,MATCH(6,$F33:$J33,0)),IF(6=MAX($F33:$J33)+1,"取消",""))</f>
        <v/>
      </c>
      <c r="S33" s="0" t="n">
        <f aca="false">IF(OR($A$1=入户维修!$F33,$A$1=入户维修!$G33,$BN$1=1),0,1-SUMPRODUCT(--(($A$1=入户维修!$F33)+($A$1=入户维修!$G33)+$BN$1&gt;0)))</f>
        <v>0</v>
      </c>
      <c r="T33" s="0" t="n">
        <f aca="false">IF(OR($A$2=入户维修!$F33,$A$2=入户维修!$G33,$BN$2=1),0,2-SUMPRODUCT(--(($A$1:$A$2=入户维修!$F33)+($A$1:$A$2=入户维修!$G33)+$BN$1:$BN$2&gt;0)))</f>
        <v>1</v>
      </c>
      <c r="U33" s="0" t="n">
        <f aca="false">IF(OR($A$3=入户维修!$F33,$A$3=入户维修!$G33,$BN$3=1),0,3-SUMPRODUCT(--(($A$1:$A$3=入户维修!$F33)+($A$1:$A$3=入户维修!$G33)+$BN$1:$BN$3&gt;0)))</f>
        <v>2</v>
      </c>
      <c r="V33" s="0" t="n">
        <f aca="false">IF(OR($A$4=入户维修!$F33,$A$4=入户维修!$G33,$BN$4=1),0,4-SUMPRODUCT(--(($A$1:$A$4=入户维修!$F33)+($A$1:$A$4=入户维修!$G33)+$BN$1:$BN$4&gt;0)))</f>
        <v>0</v>
      </c>
      <c r="W33" s="0" t="n">
        <f aca="false">IF(OR($A$5=入户维修!$F33,$A$5=入户维修!$G33,$BN$5=1),0,5-SUMPRODUCT(--(($A$1:$A$5=入户维修!$F33)+($A$1:$A$5=入户维修!$G33)+$BN$1:$BN$5&gt;0)))</f>
        <v>3</v>
      </c>
      <c r="Y33" s="0" t="str">
        <f aca="false">IFERROR(INDEX($A$1:$A$5,MATCH(1,$S33:$W33,0)),IF(1=MAX($S33:$W33)+1,"取消",""))</f>
        <v>李师傅</v>
      </c>
      <c r="Z33" s="0" t="str">
        <f aca="false">IFERROR(INDEX($A$1:$A$5,MATCH(2,$S33:$W33,0)),IF(2=MAX($S33:$W33)+1,"取消",""))</f>
        <v>王师傅</v>
      </c>
      <c r="AA33" s="0" t="str">
        <f aca="false">IFERROR(INDEX($A$1:$A$5,MATCH(3,$S33:$W33,0)),IF(3=MAX($S33:$W33)+1,"取消",""))</f>
        <v>刘师傅</v>
      </c>
      <c r="AB33" s="0" t="str">
        <f aca="false">IFERROR(INDEX($A$1:$A$5,MATCH(4,$S33:$W33,0)),IF(4=MAX($S33:$W33)+1,"取消",""))</f>
        <v>取消</v>
      </c>
      <c r="AC33" s="0" t="str">
        <f aca="false">IFERROR(INDEX($A$1:$A$5,MATCH(5,$S33:$W33,0)),IF(5=MAX($S33:$W33)+1,"取消",""))</f>
        <v/>
      </c>
      <c r="AD33" s="0" t="str">
        <f aca="false">IFERROR(INDEX($A$1:$A$5,MATCH(6,$S33:$W33,0)),IF(6=MAX($S33:$W33)+1,"取消",""))</f>
        <v/>
      </c>
      <c r="AF33" s="0" t="n">
        <f aca="false">IF(OR($A$1=公区维修!$F33,$BN$1=1),0,1-SUMPRODUCT(--(($A$1=公区维修!$F33)+$BN$1&gt;0)))</f>
        <v>0</v>
      </c>
      <c r="AG33" s="0" t="n">
        <f aca="false">IF(OR($A$2=公区维修!$F33,$BN$2=1),0,2-SUMPRODUCT(--(($A$1:$A$2=公区维修!$F33)+$BN$1:$BN$2&gt;0)))</f>
        <v>1</v>
      </c>
      <c r="AH33" s="0" t="n">
        <f aca="false">IF(OR($A$3=公区维修!$F33,$BN$3=1),0,3-SUMPRODUCT(--(($A$1:$A$3=公区维修!$F33)+$BN$1:$BN$3&gt;0)))</f>
        <v>2</v>
      </c>
      <c r="AI33" s="0" t="n">
        <f aca="false">IF(OR($A$4=公区维修!$F33,$BN$4=1),0,4-SUMPRODUCT(--(($A$1:$A$4=公区维修!$F33)+$BN$1:$BN$4&gt;0)))</f>
        <v>3</v>
      </c>
      <c r="AJ33" s="0" t="n">
        <f aca="false">IF(OR($A$5=公区维修!$F33,$BN$5=1),0,5-SUMPRODUCT(--(($A$1:$A$5=公区维修!$F33)+$BN$1:$BN$5&gt;0)))</f>
        <v>4</v>
      </c>
      <c r="AL33" s="0" t="str">
        <f aca="false">IFERROR(INDEX($A$1:$A$5,MATCH(1,$AF33:$AJ33,0)),IF(1=MAX($AF33:$AJ33)+1,"取消",""))</f>
        <v>李师傅</v>
      </c>
      <c r="AM33" s="0" t="str">
        <f aca="false">IFERROR(INDEX($A$1:$A$5,MATCH(2,$AF33:$AJ33,0)),IF(2=MAX($AF33:$AJ33)+1,"取消",""))</f>
        <v>王师傅</v>
      </c>
      <c r="AN33" s="0" t="str">
        <f aca="false">IFERROR(INDEX($A$1:$A$5,MATCH(3,$AF33:$AJ33,0)),IF(3=MAX($AF33:$AJ33)+1,"取消",""))</f>
        <v>陈师傅</v>
      </c>
      <c r="AO33" s="0" t="str">
        <f aca="false">IFERROR(INDEX($A$1:$A$5,MATCH(4,$AF33:$AJ33,0)),IF(4=MAX($AF33:$AJ33)+1,"取消",""))</f>
        <v>刘师傅</v>
      </c>
      <c r="AP33" s="0" t="str">
        <f aca="false">IFERROR(INDEX($A$1:$A$5,MATCH(5,$AF33:$AJ33,0)),IF(5=MAX($AF33:$AJ33)+1,"取消",""))</f>
        <v>取消</v>
      </c>
      <c r="AQ33" s="0" t="str">
        <f aca="false">IFERROR(INDEX($A$1:$A$5,MATCH(6,$AF33:$AJ33,0)),IF(6=MAX($AF33:$AJ33)+1,"取消",""))</f>
        <v/>
      </c>
      <c r="AS33" s="0" t="n">
        <f aca="false">IF(OR($A$1=公区维修!$F33,$A$1=公区维修!$G33,$BN$1=1),0,1-SUMPRODUCT(--(($A$1=公区维修!$F33)+($A$1=公区维修!$G33)+$BN$1&gt;0)))</f>
        <v>0</v>
      </c>
      <c r="AT33" s="0" t="n">
        <f aca="false">IF(OR($A$2=公区维修!$F33,$A$2=公区维修!$G33,$BN$2=1),0,2-SUMPRODUCT(--(($A$1:$A$2=公区维修!$F33)+($A$1:$A$2=公区维修!$G33)+$BN$1:$BN$2&gt;0)))</f>
        <v>1</v>
      </c>
      <c r="AU33" s="0" t="n">
        <f aca="false">IF(OR($A$3=公区维修!$F33,$A$3=公区维修!$G33,$BN$3=1),0,3-SUMPRODUCT(--(($A$1:$A$3=公区维修!$F33)+($A$1:$A$3=公区维修!$G33)+$BN$1:$BN$3&gt;0)))</f>
        <v>2</v>
      </c>
      <c r="AV33" s="0" t="n">
        <f aca="false">IF(OR($A$4=公区维修!$F33,$A$4=公区维修!$G33,$BN$4=1),0,4-SUMPRODUCT(--(($A$1:$A$4=公区维修!$F33)+($A$1:$A$4=公区维修!$G33)+$BN$1:$BN$4&gt;0)))</f>
        <v>3</v>
      </c>
      <c r="AW33" s="0" t="n">
        <f aca="false">IF(OR($A$5=公区维修!$F33,$A$5=公区维修!$G33,$BN$5=1),0,5-SUMPRODUCT(--(($A$1:$A$5=公区维修!$F33)+($A$1:$A$5=公区维修!$G33)+$BN$1:$BN$5&gt;0)))</f>
        <v>4</v>
      </c>
      <c r="AY33" s="0" t="str">
        <f aca="false">IFERROR(INDEX($A$1:$A$5,MATCH(1,$AS33:$AW33,0)),IF(1=MAX($AS33:$AW33)+1,"取消",""))</f>
        <v>李师傅</v>
      </c>
      <c r="AZ33" s="0" t="str">
        <f aca="false">IFERROR(INDEX($A$1:$A$5,MATCH(2,$AS33:$AW33,0)),IF(2=MAX($AS33:$AW33)+1,"取消",""))</f>
        <v>王师傅</v>
      </c>
      <c r="BA33" s="0" t="str">
        <f aca="false">IFERROR(INDEX($A$1:$A$5,MATCH(3,$AS33:$AW33,0)),IF(3=MAX($AS33:$AW33)+1,"取消",""))</f>
        <v>陈师傅</v>
      </c>
      <c r="BB33" s="0" t="str">
        <f aca="false">IFERROR(INDEX($A$1:$A$5,MATCH(4,$AS33:$AW33,0)),IF(4=MAX($AS33:$AW33)+1,"取消",""))</f>
        <v>刘师傅</v>
      </c>
      <c r="BC33" s="0" t="str">
        <f aca="false">IFERROR(INDEX($A$1:$A$5,MATCH(5,$AS33:$AW33,0)),IF(5=MAX($AS33:$AW33)+1,"取消",""))</f>
        <v>取消</v>
      </c>
      <c r="BD33" s="0" t="str">
        <f aca="false">IFERROR(INDEX($A$1:$A$5,MATCH(6,$AS33:$AW33,0)),IF(6=MAX($AS33:$AW33)+1,"取消",""))</f>
        <v/>
      </c>
      <c r="FW33" s="0" t="str">
        <f aca="false">IF(AND(单元查询!$D$3&lt;&gt;"",IF(单元查询!$B$3="公区维修",公区维修!$E33&lt;&gt;"",入户维修!$E33&lt;&gt;""),IF(单元查询!$B$3="公区维修",公区维修!$C33,入户维修!$C33)=单元查询!$D$3,OR(单元查询!$F$3="",IF(单元查询!$B$3="公区维修",公区维修!$D33,入户维修!$D33)&amp;""=(单元查询!$F$3)&amp;"")),MAX($FW$4:$FW32)+1,"")</f>
        <v/>
      </c>
    </row>
    <row r="34" customFormat="false" ht="15" hidden="false" customHeight="true" outlineLevel="0" collapsed="false">
      <c r="F34" s="0" t="n">
        <f aca="false">IF(OR($A$1=入户维修!$F34,$BN$1=1),0,1-SUMPRODUCT(--(($A$1=入户维修!$F34)+$BN$1&gt;0)))</f>
        <v>0</v>
      </c>
      <c r="G34" s="0" t="n">
        <f aca="false">IF(OR($A$2=入户维修!$F34,$BN$2=1),0,2-SUMPRODUCT(--(($A$1:$A$2=入户维修!$F34)+$BN$1:$BN$2&gt;0)))</f>
        <v>0</v>
      </c>
      <c r="H34" s="0" t="n">
        <f aca="false">IF(OR($A$3=入户维修!$F34,$BN$3=1),0,3-SUMPRODUCT(--(($A$1:$A$3=入户维修!$F34)+$BN$1:$BN$3&gt;0)))</f>
        <v>1</v>
      </c>
      <c r="I34" s="0" t="n">
        <f aca="false">IF(OR($A$4=入户维修!$F34,$BN$4=1),0,4-SUMPRODUCT(--(($A$1:$A$4=入户维修!$F34)+$BN$1:$BN$4&gt;0)))</f>
        <v>2</v>
      </c>
      <c r="J34" s="0" t="n">
        <f aca="false">IF(OR($A$5=入户维修!$F34,$BN$5=1),0,5-SUMPRODUCT(--(($A$1:$A$5=入户维修!$F34)+$BN$1:$BN$5&gt;0)))</f>
        <v>3</v>
      </c>
      <c r="L34" s="0" t="str">
        <f aca="false">IFERROR(INDEX($A$1:$A$5,MATCH(1,$F34:$J34,0)),IF(1=MAX($F34:$J34)+1,"取消",""))</f>
        <v>王师傅</v>
      </c>
      <c r="M34" s="0" t="str">
        <f aca="false">IFERROR(INDEX($A$1:$A$5,MATCH(2,$F34:$J34,0)),IF(2=MAX($F34:$J34)+1,"取消",""))</f>
        <v>陈师傅</v>
      </c>
      <c r="N34" s="0" t="str">
        <f aca="false">IFERROR(INDEX($A$1:$A$5,MATCH(3,$F34:$J34,0)),IF(3=MAX($F34:$J34)+1,"取消",""))</f>
        <v>刘师傅</v>
      </c>
      <c r="O34" s="0" t="str">
        <f aca="false">IFERROR(INDEX($A$1:$A$5,MATCH(4,$F34:$J34,0)),IF(4=MAX($F34:$J34)+1,"取消",""))</f>
        <v>取消</v>
      </c>
      <c r="P34" s="0" t="str">
        <f aca="false">IFERROR(INDEX($A$1:$A$5,MATCH(5,$F34:$J34,0)),IF(5=MAX($F34:$J34)+1,"取消",""))</f>
        <v/>
      </c>
      <c r="Q34" s="0" t="str">
        <f aca="false">IFERROR(INDEX($A$1:$A$5,MATCH(6,$F34:$J34,0)),IF(6=MAX($F34:$J34)+1,"取消",""))</f>
        <v/>
      </c>
      <c r="S34" s="0" t="n">
        <f aca="false">IF(OR($A$1=入户维修!$F34,$A$1=入户维修!$G34,$BN$1=1),0,1-SUMPRODUCT(--(($A$1=入户维修!$F34)+($A$1=入户维修!$G34)+$BN$1&gt;0)))</f>
        <v>0</v>
      </c>
      <c r="T34" s="0" t="n">
        <f aca="false">IF(OR($A$2=入户维修!$F34,$A$2=入户维修!$G34,$BN$2=1),0,2-SUMPRODUCT(--(($A$1:$A$2=入户维修!$F34)+($A$1:$A$2=入户维修!$G34)+$BN$1:$BN$2&gt;0)))</f>
        <v>0</v>
      </c>
      <c r="U34" s="0" t="n">
        <f aca="false">IF(OR($A$3=入户维修!$F34,$A$3=入户维修!$G34,$BN$3=1),0,3-SUMPRODUCT(--(($A$1:$A$3=入户维修!$F34)+($A$1:$A$3=入户维修!$G34)+$BN$1:$BN$3&gt;0)))</f>
        <v>1</v>
      </c>
      <c r="V34" s="0" t="n">
        <f aca="false">IF(OR($A$4=入户维修!$F34,$A$4=入户维修!$G34,$BN$4=1),0,4-SUMPRODUCT(--(($A$1:$A$4=入户维修!$F34)+($A$1:$A$4=入户维修!$G34)+$BN$1:$BN$4&gt;0)))</f>
        <v>2</v>
      </c>
      <c r="W34" s="0" t="n">
        <f aca="false">IF(OR($A$5=入户维修!$F34,$A$5=入户维修!$G34,$BN$5=1),0,5-SUMPRODUCT(--(($A$1:$A$5=入户维修!$F34)+($A$1:$A$5=入户维修!$G34)+$BN$1:$BN$5&gt;0)))</f>
        <v>3</v>
      </c>
      <c r="Y34" s="0" t="str">
        <f aca="false">IFERROR(INDEX($A$1:$A$5,MATCH(1,$S34:$W34,0)),IF(1=MAX($S34:$W34)+1,"取消",""))</f>
        <v>王师傅</v>
      </c>
      <c r="Z34" s="0" t="str">
        <f aca="false">IFERROR(INDEX($A$1:$A$5,MATCH(2,$S34:$W34,0)),IF(2=MAX($S34:$W34)+1,"取消",""))</f>
        <v>陈师傅</v>
      </c>
      <c r="AA34" s="0" t="str">
        <f aca="false">IFERROR(INDEX($A$1:$A$5,MATCH(3,$S34:$W34,0)),IF(3=MAX($S34:$W34)+1,"取消",""))</f>
        <v>刘师傅</v>
      </c>
      <c r="AB34" s="0" t="str">
        <f aca="false">IFERROR(INDEX($A$1:$A$5,MATCH(4,$S34:$W34,0)),IF(4=MAX($S34:$W34)+1,"取消",""))</f>
        <v>取消</v>
      </c>
      <c r="AC34" s="0" t="str">
        <f aca="false">IFERROR(INDEX($A$1:$A$5,MATCH(5,$S34:$W34,0)),IF(5=MAX($S34:$W34)+1,"取消",""))</f>
        <v/>
      </c>
      <c r="AD34" s="0" t="str">
        <f aca="false">IFERROR(INDEX($A$1:$A$5,MATCH(6,$S34:$W34,0)),IF(6=MAX($S34:$W34)+1,"取消",""))</f>
        <v/>
      </c>
      <c r="AF34" s="0" t="n">
        <f aca="false">IF(OR($A$1=公区维修!$F34,$BN$1=1),0,1-SUMPRODUCT(--(($A$1=公区维修!$F34)+$BN$1&gt;0)))</f>
        <v>0</v>
      </c>
      <c r="AG34" s="0" t="n">
        <f aca="false">IF(OR($A$2=公区维修!$F34,$BN$2=1),0,2-SUMPRODUCT(--(($A$1:$A$2=公区维修!$F34)+$BN$1:$BN$2&gt;0)))</f>
        <v>1</v>
      </c>
      <c r="AH34" s="0" t="n">
        <f aca="false">IF(OR($A$3=公区维修!$F34,$BN$3=1),0,3-SUMPRODUCT(--(($A$1:$A$3=公区维修!$F34)+$BN$1:$BN$3&gt;0)))</f>
        <v>2</v>
      </c>
      <c r="AI34" s="0" t="n">
        <f aca="false">IF(OR($A$4=公区维修!$F34,$BN$4=1),0,4-SUMPRODUCT(--(($A$1:$A$4=公区维修!$F34)+$BN$1:$BN$4&gt;0)))</f>
        <v>3</v>
      </c>
      <c r="AJ34" s="0" t="n">
        <f aca="false">IF(OR($A$5=公区维修!$F34,$BN$5=1),0,5-SUMPRODUCT(--(($A$1:$A$5=公区维修!$F34)+$BN$1:$BN$5&gt;0)))</f>
        <v>4</v>
      </c>
      <c r="AL34" s="0" t="str">
        <f aca="false">IFERROR(INDEX($A$1:$A$5,MATCH(1,$AF34:$AJ34,0)),IF(1=MAX($AF34:$AJ34)+1,"取消",""))</f>
        <v>李师傅</v>
      </c>
      <c r="AM34" s="0" t="str">
        <f aca="false">IFERROR(INDEX($A$1:$A$5,MATCH(2,$AF34:$AJ34,0)),IF(2=MAX($AF34:$AJ34)+1,"取消",""))</f>
        <v>王师傅</v>
      </c>
      <c r="AN34" s="0" t="str">
        <f aca="false">IFERROR(INDEX($A$1:$A$5,MATCH(3,$AF34:$AJ34,0)),IF(3=MAX($AF34:$AJ34)+1,"取消",""))</f>
        <v>陈师傅</v>
      </c>
      <c r="AO34" s="0" t="str">
        <f aca="false">IFERROR(INDEX($A$1:$A$5,MATCH(4,$AF34:$AJ34,0)),IF(4=MAX($AF34:$AJ34)+1,"取消",""))</f>
        <v>刘师傅</v>
      </c>
      <c r="AP34" s="0" t="str">
        <f aca="false">IFERROR(INDEX($A$1:$A$5,MATCH(5,$AF34:$AJ34,0)),IF(5=MAX($AF34:$AJ34)+1,"取消",""))</f>
        <v>取消</v>
      </c>
      <c r="AQ34" s="0" t="str">
        <f aca="false">IFERROR(INDEX($A$1:$A$5,MATCH(6,$AF34:$AJ34,0)),IF(6=MAX($AF34:$AJ34)+1,"取消",""))</f>
        <v/>
      </c>
      <c r="AS34" s="0" t="n">
        <f aca="false">IF(OR($A$1=公区维修!$F34,$A$1=公区维修!$G34,$BN$1=1),0,1-SUMPRODUCT(--(($A$1=公区维修!$F34)+($A$1=公区维修!$G34)+$BN$1&gt;0)))</f>
        <v>0</v>
      </c>
      <c r="AT34" s="0" t="n">
        <f aca="false">IF(OR($A$2=公区维修!$F34,$A$2=公区维修!$G34,$BN$2=1),0,2-SUMPRODUCT(--(($A$1:$A$2=公区维修!$F34)+($A$1:$A$2=公区维修!$G34)+$BN$1:$BN$2&gt;0)))</f>
        <v>1</v>
      </c>
      <c r="AU34" s="0" t="n">
        <f aca="false">IF(OR($A$3=公区维修!$F34,$A$3=公区维修!$G34,$BN$3=1),0,3-SUMPRODUCT(--(($A$1:$A$3=公区维修!$F34)+($A$1:$A$3=公区维修!$G34)+$BN$1:$BN$3&gt;0)))</f>
        <v>2</v>
      </c>
      <c r="AV34" s="0" t="n">
        <f aca="false">IF(OR($A$4=公区维修!$F34,$A$4=公区维修!$G34,$BN$4=1),0,4-SUMPRODUCT(--(($A$1:$A$4=公区维修!$F34)+($A$1:$A$4=公区维修!$G34)+$BN$1:$BN$4&gt;0)))</f>
        <v>3</v>
      </c>
      <c r="AW34" s="0" t="n">
        <f aca="false">IF(OR($A$5=公区维修!$F34,$A$5=公区维修!$G34,$BN$5=1),0,5-SUMPRODUCT(--(($A$1:$A$5=公区维修!$F34)+($A$1:$A$5=公区维修!$G34)+$BN$1:$BN$5&gt;0)))</f>
        <v>4</v>
      </c>
      <c r="AY34" s="0" t="str">
        <f aca="false">IFERROR(INDEX($A$1:$A$5,MATCH(1,$AS34:$AW34,0)),IF(1=MAX($AS34:$AW34)+1,"取消",""))</f>
        <v>李师傅</v>
      </c>
      <c r="AZ34" s="0" t="str">
        <f aca="false">IFERROR(INDEX($A$1:$A$5,MATCH(2,$AS34:$AW34,0)),IF(2=MAX($AS34:$AW34)+1,"取消",""))</f>
        <v>王师傅</v>
      </c>
      <c r="BA34" s="0" t="str">
        <f aca="false">IFERROR(INDEX($A$1:$A$5,MATCH(3,$AS34:$AW34,0)),IF(3=MAX($AS34:$AW34)+1,"取消",""))</f>
        <v>陈师傅</v>
      </c>
      <c r="BB34" s="0" t="str">
        <f aca="false">IFERROR(INDEX($A$1:$A$5,MATCH(4,$AS34:$AW34,0)),IF(4=MAX($AS34:$AW34)+1,"取消",""))</f>
        <v>刘师傅</v>
      </c>
      <c r="BC34" s="0" t="str">
        <f aca="false">IFERROR(INDEX($A$1:$A$5,MATCH(5,$AS34:$AW34,0)),IF(5=MAX($AS34:$AW34)+1,"取消",""))</f>
        <v>取消</v>
      </c>
      <c r="BD34" s="0" t="str">
        <f aca="false">IFERROR(INDEX($A$1:$A$5,MATCH(6,$AS34:$AW34,0)),IF(6=MAX($AS34:$AW34)+1,"取消",""))</f>
        <v/>
      </c>
      <c r="FW34" s="0" t="str">
        <f aca="false">IF(AND(单元查询!$D$3&lt;&gt;"",IF(单元查询!$B$3="公区维修",公区维修!$E34&lt;&gt;"",入户维修!$E34&lt;&gt;""),IF(单元查询!$B$3="公区维修",公区维修!$C34,入户维修!$C34)=单元查询!$D$3,OR(单元查询!$F$3="",IF(单元查询!$B$3="公区维修",公区维修!$D34,入户维修!$D34)&amp;""=(单元查询!$F$3)&amp;"")),MAX($FW$4:$FW33)+1,"")</f>
        <v/>
      </c>
    </row>
    <row r="35" customFormat="false" ht="15" hidden="false" customHeight="true" outlineLevel="0" collapsed="false">
      <c r="F35" s="0" t="n">
        <f aca="false">IF(OR($A$1=入户维修!$F35,$BN$1=1),0,1-SUMPRODUCT(--(($A$1=入户维修!$F35)+$BN$1&gt;0)))</f>
        <v>0</v>
      </c>
      <c r="G35" s="0" t="n">
        <f aca="false">IF(OR($A$2=入户维修!$F35,$BN$2=1),0,2-SUMPRODUCT(--(($A$1:$A$2=入户维修!$F35)+$BN$1:$BN$2&gt;0)))</f>
        <v>0</v>
      </c>
      <c r="H35" s="0" t="n">
        <f aca="false">IF(OR($A$3=入户维修!$F35,$BN$3=1),0,3-SUMPRODUCT(--(($A$1:$A$3=入户维修!$F35)+$BN$1:$BN$3&gt;0)))</f>
        <v>1</v>
      </c>
      <c r="I35" s="0" t="n">
        <f aca="false">IF(OR($A$4=入户维修!$F35,$BN$4=1),0,4-SUMPRODUCT(--(($A$1:$A$4=入户维修!$F35)+$BN$1:$BN$4&gt;0)))</f>
        <v>2</v>
      </c>
      <c r="J35" s="0" t="n">
        <f aca="false">IF(OR($A$5=入户维修!$F35,$BN$5=1),0,5-SUMPRODUCT(--(($A$1:$A$5=入户维修!$F35)+$BN$1:$BN$5&gt;0)))</f>
        <v>3</v>
      </c>
      <c r="L35" s="0" t="str">
        <f aca="false">IFERROR(INDEX($A$1:$A$5,MATCH(1,$F35:$J35,0)),IF(1=MAX($F35:$J35)+1,"取消",""))</f>
        <v>王师傅</v>
      </c>
      <c r="M35" s="0" t="str">
        <f aca="false">IFERROR(INDEX($A$1:$A$5,MATCH(2,$F35:$J35,0)),IF(2=MAX($F35:$J35)+1,"取消",""))</f>
        <v>陈师傅</v>
      </c>
      <c r="N35" s="0" t="str">
        <f aca="false">IFERROR(INDEX($A$1:$A$5,MATCH(3,$F35:$J35,0)),IF(3=MAX($F35:$J35)+1,"取消",""))</f>
        <v>刘师傅</v>
      </c>
      <c r="O35" s="0" t="str">
        <f aca="false">IFERROR(INDEX($A$1:$A$5,MATCH(4,$F35:$J35,0)),IF(4=MAX($F35:$J35)+1,"取消",""))</f>
        <v>取消</v>
      </c>
      <c r="P35" s="0" t="str">
        <f aca="false">IFERROR(INDEX($A$1:$A$5,MATCH(5,$F35:$J35,0)),IF(5=MAX($F35:$J35)+1,"取消",""))</f>
        <v/>
      </c>
      <c r="Q35" s="0" t="str">
        <f aca="false">IFERROR(INDEX($A$1:$A$5,MATCH(6,$F35:$J35,0)),IF(6=MAX($F35:$J35)+1,"取消",""))</f>
        <v/>
      </c>
      <c r="S35" s="0" t="n">
        <f aca="false">IF(OR($A$1=入户维修!$F35,$A$1=入户维修!$G35,$BN$1=1),0,1-SUMPRODUCT(--(($A$1=入户维修!$F35)+($A$1=入户维修!$G35)+$BN$1&gt;0)))</f>
        <v>0</v>
      </c>
      <c r="T35" s="0" t="n">
        <f aca="false">IF(OR($A$2=入户维修!$F35,$A$2=入户维修!$G35,$BN$2=1),0,2-SUMPRODUCT(--(($A$1:$A$2=入户维修!$F35)+($A$1:$A$2=入户维修!$G35)+$BN$1:$BN$2&gt;0)))</f>
        <v>0</v>
      </c>
      <c r="U35" s="0" t="n">
        <f aca="false">IF(OR($A$3=入户维修!$F35,$A$3=入户维修!$G35,$BN$3=1),0,3-SUMPRODUCT(--(($A$1:$A$3=入户维修!$F35)+($A$1:$A$3=入户维修!$G35)+$BN$1:$BN$3&gt;0)))</f>
        <v>1</v>
      </c>
      <c r="V35" s="0" t="n">
        <f aca="false">IF(OR($A$4=入户维修!$F35,$A$4=入户维修!$G35,$BN$4=1),0,4-SUMPRODUCT(--(($A$1:$A$4=入户维修!$F35)+($A$1:$A$4=入户维修!$G35)+$BN$1:$BN$4&gt;0)))</f>
        <v>2</v>
      </c>
      <c r="W35" s="0" t="n">
        <f aca="false">IF(OR($A$5=入户维修!$F35,$A$5=入户维修!$G35,$BN$5=1),0,5-SUMPRODUCT(--(($A$1:$A$5=入户维修!$F35)+($A$1:$A$5=入户维修!$G35)+$BN$1:$BN$5&gt;0)))</f>
        <v>3</v>
      </c>
      <c r="Y35" s="0" t="str">
        <f aca="false">IFERROR(INDEX($A$1:$A$5,MATCH(1,$S35:$W35,0)),IF(1=MAX($S35:$W35)+1,"取消",""))</f>
        <v>王师傅</v>
      </c>
      <c r="Z35" s="0" t="str">
        <f aca="false">IFERROR(INDEX($A$1:$A$5,MATCH(2,$S35:$W35,0)),IF(2=MAX($S35:$W35)+1,"取消",""))</f>
        <v>陈师傅</v>
      </c>
      <c r="AA35" s="0" t="str">
        <f aca="false">IFERROR(INDEX($A$1:$A$5,MATCH(3,$S35:$W35,0)),IF(3=MAX($S35:$W35)+1,"取消",""))</f>
        <v>刘师傅</v>
      </c>
      <c r="AB35" s="0" t="str">
        <f aca="false">IFERROR(INDEX($A$1:$A$5,MATCH(4,$S35:$W35,0)),IF(4=MAX($S35:$W35)+1,"取消",""))</f>
        <v>取消</v>
      </c>
      <c r="AC35" s="0" t="str">
        <f aca="false">IFERROR(INDEX($A$1:$A$5,MATCH(5,$S35:$W35,0)),IF(5=MAX($S35:$W35)+1,"取消",""))</f>
        <v/>
      </c>
      <c r="AD35" s="0" t="str">
        <f aca="false">IFERROR(INDEX($A$1:$A$5,MATCH(6,$S35:$W35,0)),IF(6=MAX($S35:$W35)+1,"取消",""))</f>
        <v/>
      </c>
      <c r="AF35" s="0" t="n">
        <f aca="false">IF(OR($A$1=公区维修!$F35,$BN$1=1),0,1-SUMPRODUCT(--(($A$1=公区维修!$F35)+$BN$1&gt;0)))</f>
        <v>0</v>
      </c>
      <c r="AG35" s="0" t="n">
        <f aca="false">IF(OR($A$2=公区维修!$F35,$BN$2=1),0,2-SUMPRODUCT(--(($A$1:$A$2=公区维修!$F35)+$BN$1:$BN$2&gt;0)))</f>
        <v>1</v>
      </c>
      <c r="AH35" s="0" t="n">
        <f aca="false">IF(OR($A$3=公区维修!$F35,$BN$3=1),0,3-SUMPRODUCT(--(($A$1:$A$3=公区维修!$F35)+$BN$1:$BN$3&gt;0)))</f>
        <v>2</v>
      </c>
      <c r="AI35" s="0" t="n">
        <f aca="false">IF(OR($A$4=公区维修!$F35,$BN$4=1),0,4-SUMPRODUCT(--(($A$1:$A$4=公区维修!$F35)+$BN$1:$BN$4&gt;0)))</f>
        <v>3</v>
      </c>
      <c r="AJ35" s="0" t="n">
        <f aca="false">IF(OR($A$5=公区维修!$F35,$BN$5=1),0,5-SUMPRODUCT(--(($A$1:$A$5=公区维修!$F35)+$BN$1:$BN$5&gt;0)))</f>
        <v>4</v>
      </c>
      <c r="AL35" s="0" t="str">
        <f aca="false">IFERROR(INDEX($A$1:$A$5,MATCH(1,$AF35:$AJ35,0)),IF(1=MAX($AF35:$AJ35)+1,"取消",""))</f>
        <v>李师傅</v>
      </c>
      <c r="AM35" s="0" t="str">
        <f aca="false">IFERROR(INDEX($A$1:$A$5,MATCH(2,$AF35:$AJ35,0)),IF(2=MAX($AF35:$AJ35)+1,"取消",""))</f>
        <v>王师傅</v>
      </c>
      <c r="AN35" s="0" t="str">
        <f aca="false">IFERROR(INDEX($A$1:$A$5,MATCH(3,$AF35:$AJ35,0)),IF(3=MAX($AF35:$AJ35)+1,"取消",""))</f>
        <v>陈师傅</v>
      </c>
      <c r="AO35" s="0" t="str">
        <f aca="false">IFERROR(INDEX($A$1:$A$5,MATCH(4,$AF35:$AJ35,0)),IF(4=MAX($AF35:$AJ35)+1,"取消",""))</f>
        <v>刘师傅</v>
      </c>
      <c r="AP35" s="0" t="str">
        <f aca="false">IFERROR(INDEX($A$1:$A$5,MATCH(5,$AF35:$AJ35,0)),IF(5=MAX($AF35:$AJ35)+1,"取消",""))</f>
        <v>取消</v>
      </c>
      <c r="AQ35" s="0" t="str">
        <f aca="false">IFERROR(INDEX($A$1:$A$5,MATCH(6,$AF35:$AJ35,0)),IF(6=MAX($AF35:$AJ35)+1,"取消",""))</f>
        <v/>
      </c>
      <c r="AS35" s="0" t="n">
        <f aca="false">IF(OR($A$1=公区维修!$F35,$A$1=公区维修!$G35,$BN$1=1),0,1-SUMPRODUCT(--(($A$1=公区维修!$F35)+($A$1=公区维修!$G35)+$BN$1&gt;0)))</f>
        <v>0</v>
      </c>
      <c r="AT35" s="0" t="n">
        <f aca="false">IF(OR($A$2=公区维修!$F35,$A$2=公区维修!$G35,$BN$2=1),0,2-SUMPRODUCT(--(($A$1:$A$2=公区维修!$F35)+($A$1:$A$2=公区维修!$G35)+$BN$1:$BN$2&gt;0)))</f>
        <v>1</v>
      </c>
      <c r="AU35" s="0" t="n">
        <f aca="false">IF(OR($A$3=公区维修!$F35,$A$3=公区维修!$G35,$BN$3=1),0,3-SUMPRODUCT(--(($A$1:$A$3=公区维修!$F35)+($A$1:$A$3=公区维修!$G35)+$BN$1:$BN$3&gt;0)))</f>
        <v>2</v>
      </c>
      <c r="AV35" s="0" t="n">
        <f aca="false">IF(OR($A$4=公区维修!$F35,$A$4=公区维修!$G35,$BN$4=1),0,4-SUMPRODUCT(--(($A$1:$A$4=公区维修!$F35)+($A$1:$A$4=公区维修!$G35)+$BN$1:$BN$4&gt;0)))</f>
        <v>3</v>
      </c>
      <c r="AW35" s="0" t="n">
        <f aca="false">IF(OR($A$5=公区维修!$F35,$A$5=公区维修!$G35,$BN$5=1),0,5-SUMPRODUCT(--(($A$1:$A$5=公区维修!$F35)+($A$1:$A$5=公区维修!$G35)+$BN$1:$BN$5&gt;0)))</f>
        <v>4</v>
      </c>
      <c r="AY35" s="0" t="str">
        <f aca="false">IFERROR(INDEX($A$1:$A$5,MATCH(1,$AS35:$AW35,0)),IF(1=MAX($AS35:$AW35)+1,"取消",""))</f>
        <v>李师傅</v>
      </c>
      <c r="AZ35" s="0" t="str">
        <f aca="false">IFERROR(INDEX($A$1:$A$5,MATCH(2,$AS35:$AW35,0)),IF(2=MAX($AS35:$AW35)+1,"取消",""))</f>
        <v>王师傅</v>
      </c>
      <c r="BA35" s="0" t="str">
        <f aca="false">IFERROR(INDEX($A$1:$A$5,MATCH(3,$AS35:$AW35,0)),IF(3=MAX($AS35:$AW35)+1,"取消",""))</f>
        <v>陈师傅</v>
      </c>
      <c r="BB35" s="0" t="str">
        <f aca="false">IFERROR(INDEX($A$1:$A$5,MATCH(4,$AS35:$AW35,0)),IF(4=MAX($AS35:$AW35)+1,"取消",""))</f>
        <v>刘师傅</v>
      </c>
      <c r="BC35" s="0" t="str">
        <f aca="false">IFERROR(INDEX($A$1:$A$5,MATCH(5,$AS35:$AW35,0)),IF(5=MAX($AS35:$AW35)+1,"取消",""))</f>
        <v>取消</v>
      </c>
      <c r="BD35" s="0" t="str">
        <f aca="false">IFERROR(INDEX($A$1:$A$5,MATCH(6,$AS35:$AW35,0)),IF(6=MAX($AS35:$AW35)+1,"取消",""))</f>
        <v/>
      </c>
      <c r="FW35" s="0" t="str">
        <f aca="false">IF(AND(单元查询!$D$3&lt;&gt;"",IF(单元查询!$B$3="公区维修",公区维修!$E35&lt;&gt;"",入户维修!$E35&lt;&gt;""),IF(单元查询!$B$3="公区维修",公区维修!$C35,入户维修!$C35)=单元查询!$D$3,OR(单元查询!$F$3="",IF(单元查询!$B$3="公区维修",公区维修!$D35,入户维修!$D35)&amp;""=(单元查询!$F$3)&amp;"")),MAX($FW$4:$FW34)+1,"")</f>
        <v/>
      </c>
    </row>
    <row r="36" customFormat="false" ht="15" hidden="false" customHeight="true" outlineLevel="0" collapsed="false">
      <c r="F36" s="0" t="n">
        <f aca="false">IF(OR($A$1=入户维修!$F36,$BN$1=1),0,1-SUMPRODUCT(--(($A$1=入户维修!$F36)+$BN$1&gt;0)))</f>
        <v>0</v>
      </c>
      <c r="G36" s="0" t="n">
        <f aca="false">IF(OR($A$2=入户维修!$F36,$BN$2=1),0,2-SUMPRODUCT(--(($A$1:$A$2=入户维修!$F36)+$BN$1:$BN$2&gt;0)))</f>
        <v>0</v>
      </c>
      <c r="H36" s="0" t="n">
        <f aca="false">IF(OR($A$3=入户维修!$F36,$BN$3=1),0,3-SUMPRODUCT(--(($A$1:$A$3=入户维修!$F36)+$BN$1:$BN$3&gt;0)))</f>
        <v>1</v>
      </c>
      <c r="I36" s="0" t="n">
        <f aca="false">IF(OR($A$4=入户维修!$F36,$BN$4=1),0,4-SUMPRODUCT(--(($A$1:$A$4=入户维修!$F36)+$BN$1:$BN$4&gt;0)))</f>
        <v>2</v>
      </c>
      <c r="J36" s="0" t="n">
        <f aca="false">IF(OR($A$5=入户维修!$F36,$BN$5=1),0,5-SUMPRODUCT(--(($A$1:$A$5=入户维修!$F36)+$BN$1:$BN$5&gt;0)))</f>
        <v>3</v>
      </c>
      <c r="L36" s="0" t="str">
        <f aca="false">IFERROR(INDEX($A$1:$A$5,MATCH(1,$F36:$J36,0)),IF(1=MAX($F36:$J36)+1,"取消",""))</f>
        <v>王师傅</v>
      </c>
      <c r="M36" s="0" t="str">
        <f aca="false">IFERROR(INDEX($A$1:$A$5,MATCH(2,$F36:$J36,0)),IF(2=MAX($F36:$J36)+1,"取消",""))</f>
        <v>陈师傅</v>
      </c>
      <c r="N36" s="0" t="str">
        <f aca="false">IFERROR(INDEX($A$1:$A$5,MATCH(3,$F36:$J36,0)),IF(3=MAX($F36:$J36)+1,"取消",""))</f>
        <v>刘师傅</v>
      </c>
      <c r="O36" s="0" t="str">
        <f aca="false">IFERROR(INDEX($A$1:$A$5,MATCH(4,$F36:$J36,0)),IF(4=MAX($F36:$J36)+1,"取消",""))</f>
        <v>取消</v>
      </c>
      <c r="P36" s="0" t="str">
        <f aca="false">IFERROR(INDEX($A$1:$A$5,MATCH(5,$F36:$J36,0)),IF(5=MAX($F36:$J36)+1,"取消",""))</f>
        <v/>
      </c>
      <c r="Q36" s="0" t="str">
        <f aca="false">IFERROR(INDEX($A$1:$A$5,MATCH(6,$F36:$J36,0)),IF(6=MAX($F36:$J36)+1,"取消",""))</f>
        <v/>
      </c>
      <c r="S36" s="0" t="n">
        <f aca="false">IF(OR($A$1=入户维修!$F36,$A$1=入户维修!$G36,$BN$1=1),0,1-SUMPRODUCT(--(($A$1=入户维修!$F36)+($A$1=入户维修!$G36)+$BN$1&gt;0)))</f>
        <v>0</v>
      </c>
      <c r="T36" s="0" t="n">
        <f aca="false">IF(OR($A$2=入户维修!$F36,$A$2=入户维修!$G36,$BN$2=1),0,2-SUMPRODUCT(--(($A$1:$A$2=入户维修!$F36)+($A$1:$A$2=入户维修!$G36)+$BN$1:$BN$2&gt;0)))</f>
        <v>0</v>
      </c>
      <c r="U36" s="0" t="n">
        <f aca="false">IF(OR($A$3=入户维修!$F36,$A$3=入户维修!$G36,$BN$3=1),0,3-SUMPRODUCT(--(($A$1:$A$3=入户维修!$F36)+($A$1:$A$3=入户维修!$G36)+$BN$1:$BN$3&gt;0)))</f>
        <v>1</v>
      </c>
      <c r="V36" s="0" t="n">
        <f aca="false">IF(OR($A$4=入户维修!$F36,$A$4=入户维修!$G36,$BN$4=1),0,4-SUMPRODUCT(--(($A$1:$A$4=入户维修!$F36)+($A$1:$A$4=入户维修!$G36)+$BN$1:$BN$4&gt;0)))</f>
        <v>2</v>
      </c>
      <c r="W36" s="0" t="n">
        <f aca="false">IF(OR($A$5=入户维修!$F36,$A$5=入户维修!$G36,$BN$5=1),0,5-SUMPRODUCT(--(($A$1:$A$5=入户维修!$F36)+($A$1:$A$5=入户维修!$G36)+$BN$1:$BN$5&gt;0)))</f>
        <v>3</v>
      </c>
      <c r="Y36" s="0" t="str">
        <f aca="false">IFERROR(INDEX($A$1:$A$5,MATCH(1,$S36:$W36,0)),IF(1=MAX($S36:$W36)+1,"取消",""))</f>
        <v>王师傅</v>
      </c>
      <c r="Z36" s="0" t="str">
        <f aca="false">IFERROR(INDEX($A$1:$A$5,MATCH(2,$S36:$W36,0)),IF(2=MAX($S36:$W36)+1,"取消",""))</f>
        <v>陈师傅</v>
      </c>
      <c r="AA36" s="0" t="str">
        <f aca="false">IFERROR(INDEX($A$1:$A$5,MATCH(3,$S36:$W36,0)),IF(3=MAX($S36:$W36)+1,"取消",""))</f>
        <v>刘师傅</v>
      </c>
      <c r="AB36" s="0" t="str">
        <f aca="false">IFERROR(INDEX($A$1:$A$5,MATCH(4,$S36:$W36,0)),IF(4=MAX($S36:$W36)+1,"取消",""))</f>
        <v>取消</v>
      </c>
      <c r="AC36" s="0" t="str">
        <f aca="false">IFERROR(INDEX($A$1:$A$5,MATCH(5,$S36:$W36,0)),IF(5=MAX($S36:$W36)+1,"取消",""))</f>
        <v/>
      </c>
      <c r="AD36" s="0" t="str">
        <f aca="false">IFERROR(INDEX($A$1:$A$5,MATCH(6,$S36:$W36,0)),IF(6=MAX($S36:$W36)+1,"取消",""))</f>
        <v/>
      </c>
      <c r="AF36" s="0" t="n">
        <f aca="false">IF(OR($A$1=公区维修!$F36,$BN$1=1),0,1-SUMPRODUCT(--(($A$1=公区维修!$F36)+$BN$1&gt;0)))</f>
        <v>0</v>
      </c>
      <c r="AG36" s="0" t="n">
        <f aca="false">IF(OR($A$2=公区维修!$F36,$BN$2=1),0,2-SUMPRODUCT(--(($A$1:$A$2=公区维修!$F36)+$BN$1:$BN$2&gt;0)))</f>
        <v>1</v>
      </c>
      <c r="AH36" s="0" t="n">
        <f aca="false">IF(OR($A$3=公区维修!$F36,$BN$3=1),0,3-SUMPRODUCT(--(($A$1:$A$3=公区维修!$F36)+$BN$1:$BN$3&gt;0)))</f>
        <v>2</v>
      </c>
      <c r="AI36" s="0" t="n">
        <f aca="false">IF(OR($A$4=公区维修!$F36,$BN$4=1),0,4-SUMPRODUCT(--(($A$1:$A$4=公区维修!$F36)+$BN$1:$BN$4&gt;0)))</f>
        <v>3</v>
      </c>
      <c r="AJ36" s="0" t="n">
        <f aca="false">IF(OR($A$5=公区维修!$F36,$BN$5=1),0,5-SUMPRODUCT(--(($A$1:$A$5=公区维修!$F36)+$BN$1:$BN$5&gt;0)))</f>
        <v>4</v>
      </c>
      <c r="AL36" s="0" t="str">
        <f aca="false">IFERROR(INDEX($A$1:$A$5,MATCH(1,$AF36:$AJ36,0)),IF(1=MAX($AF36:$AJ36)+1,"取消",""))</f>
        <v>李师傅</v>
      </c>
      <c r="AM36" s="0" t="str">
        <f aca="false">IFERROR(INDEX($A$1:$A$5,MATCH(2,$AF36:$AJ36,0)),IF(2=MAX($AF36:$AJ36)+1,"取消",""))</f>
        <v>王师傅</v>
      </c>
      <c r="AN36" s="0" t="str">
        <f aca="false">IFERROR(INDEX($A$1:$A$5,MATCH(3,$AF36:$AJ36,0)),IF(3=MAX($AF36:$AJ36)+1,"取消",""))</f>
        <v>陈师傅</v>
      </c>
      <c r="AO36" s="0" t="str">
        <f aca="false">IFERROR(INDEX($A$1:$A$5,MATCH(4,$AF36:$AJ36,0)),IF(4=MAX($AF36:$AJ36)+1,"取消",""))</f>
        <v>刘师傅</v>
      </c>
      <c r="AP36" s="0" t="str">
        <f aca="false">IFERROR(INDEX($A$1:$A$5,MATCH(5,$AF36:$AJ36,0)),IF(5=MAX($AF36:$AJ36)+1,"取消",""))</f>
        <v>取消</v>
      </c>
      <c r="AQ36" s="0" t="str">
        <f aca="false">IFERROR(INDEX($A$1:$A$5,MATCH(6,$AF36:$AJ36,0)),IF(6=MAX($AF36:$AJ36)+1,"取消",""))</f>
        <v/>
      </c>
      <c r="AS36" s="0" t="n">
        <f aca="false">IF(OR($A$1=公区维修!$F36,$A$1=公区维修!$G36,$BN$1=1),0,1-SUMPRODUCT(--(($A$1=公区维修!$F36)+($A$1=公区维修!$G36)+$BN$1&gt;0)))</f>
        <v>0</v>
      </c>
      <c r="AT36" s="0" t="n">
        <f aca="false">IF(OR($A$2=公区维修!$F36,$A$2=公区维修!$G36,$BN$2=1),0,2-SUMPRODUCT(--(($A$1:$A$2=公区维修!$F36)+($A$1:$A$2=公区维修!$G36)+$BN$1:$BN$2&gt;0)))</f>
        <v>1</v>
      </c>
      <c r="AU36" s="0" t="n">
        <f aca="false">IF(OR($A$3=公区维修!$F36,$A$3=公区维修!$G36,$BN$3=1),0,3-SUMPRODUCT(--(($A$1:$A$3=公区维修!$F36)+($A$1:$A$3=公区维修!$G36)+$BN$1:$BN$3&gt;0)))</f>
        <v>2</v>
      </c>
      <c r="AV36" s="0" t="n">
        <f aca="false">IF(OR($A$4=公区维修!$F36,$A$4=公区维修!$G36,$BN$4=1),0,4-SUMPRODUCT(--(($A$1:$A$4=公区维修!$F36)+($A$1:$A$4=公区维修!$G36)+$BN$1:$BN$4&gt;0)))</f>
        <v>3</v>
      </c>
      <c r="AW36" s="0" t="n">
        <f aca="false">IF(OR($A$5=公区维修!$F36,$A$5=公区维修!$G36,$BN$5=1),0,5-SUMPRODUCT(--(($A$1:$A$5=公区维修!$F36)+($A$1:$A$5=公区维修!$G36)+$BN$1:$BN$5&gt;0)))</f>
        <v>4</v>
      </c>
      <c r="AY36" s="0" t="str">
        <f aca="false">IFERROR(INDEX($A$1:$A$5,MATCH(1,$AS36:$AW36,0)),IF(1=MAX($AS36:$AW36)+1,"取消",""))</f>
        <v>李师傅</v>
      </c>
      <c r="AZ36" s="0" t="str">
        <f aca="false">IFERROR(INDEX($A$1:$A$5,MATCH(2,$AS36:$AW36,0)),IF(2=MAX($AS36:$AW36)+1,"取消",""))</f>
        <v>王师傅</v>
      </c>
      <c r="BA36" s="0" t="str">
        <f aca="false">IFERROR(INDEX($A$1:$A$5,MATCH(3,$AS36:$AW36,0)),IF(3=MAX($AS36:$AW36)+1,"取消",""))</f>
        <v>陈师傅</v>
      </c>
      <c r="BB36" s="0" t="str">
        <f aca="false">IFERROR(INDEX($A$1:$A$5,MATCH(4,$AS36:$AW36,0)),IF(4=MAX($AS36:$AW36)+1,"取消",""))</f>
        <v>刘师傅</v>
      </c>
      <c r="BC36" s="0" t="str">
        <f aca="false">IFERROR(INDEX($A$1:$A$5,MATCH(5,$AS36:$AW36,0)),IF(5=MAX($AS36:$AW36)+1,"取消",""))</f>
        <v>取消</v>
      </c>
      <c r="BD36" s="0" t="str">
        <f aca="false">IFERROR(INDEX($A$1:$A$5,MATCH(6,$AS36:$AW36,0)),IF(6=MAX($AS36:$AW36)+1,"取消",""))</f>
        <v/>
      </c>
      <c r="FW36" s="0" t="str">
        <f aca="false">IF(AND(单元查询!$D$3&lt;&gt;"",IF(单元查询!$B$3="公区维修",公区维修!$E36&lt;&gt;"",入户维修!$E36&lt;&gt;""),IF(单元查询!$B$3="公区维修",公区维修!$C36,入户维修!$C36)=单元查询!$D$3,OR(单元查询!$F$3="",IF(单元查询!$B$3="公区维修",公区维修!$D36,入户维修!$D36)&amp;""=(单元查询!$F$3)&amp;"")),MAX($FW$4:$FW35)+1,"")</f>
        <v/>
      </c>
    </row>
    <row r="37" customFormat="false" ht="15" hidden="false" customHeight="true" outlineLevel="0" collapsed="false">
      <c r="F37" s="0" t="n">
        <f aca="false">IF(OR($A$1=入户维修!$F37,$BN$1=1),0,1-SUMPRODUCT(--(($A$1=入户维修!$F37)+$BN$1&gt;0)))</f>
        <v>0</v>
      </c>
      <c r="G37" s="0" t="n">
        <f aca="false">IF(OR($A$2=入户维修!$F37,$BN$2=1),0,2-SUMPRODUCT(--(($A$1:$A$2=入户维修!$F37)+$BN$1:$BN$2&gt;0)))</f>
        <v>1</v>
      </c>
      <c r="H37" s="0" t="n">
        <f aca="false">IF(OR($A$3=入户维修!$F37,$BN$3=1),0,3-SUMPRODUCT(--(($A$1:$A$3=入户维修!$F37)+$BN$1:$BN$3&gt;0)))</f>
        <v>2</v>
      </c>
      <c r="I37" s="0" t="n">
        <f aca="false">IF(OR($A$4=入户维修!$F37,$BN$4=1),0,4-SUMPRODUCT(--(($A$1:$A$4=入户维修!$F37)+$BN$1:$BN$4&gt;0)))</f>
        <v>3</v>
      </c>
      <c r="J37" s="0" t="n">
        <f aca="false">IF(OR($A$5=入户维修!$F37,$BN$5=1),0,5-SUMPRODUCT(--(($A$1:$A$5=入户维修!$F37)+$BN$1:$BN$5&gt;0)))</f>
        <v>4</v>
      </c>
      <c r="L37" s="0" t="str">
        <f aca="false">IFERROR(INDEX($A$1:$A$5,MATCH(1,$F37:$J37,0)),IF(1=MAX($F37:$J37)+1,"取消",""))</f>
        <v>李师傅</v>
      </c>
      <c r="M37" s="0" t="str">
        <f aca="false">IFERROR(INDEX($A$1:$A$5,MATCH(2,$F37:$J37,0)),IF(2=MAX($F37:$J37)+1,"取消",""))</f>
        <v>王师傅</v>
      </c>
      <c r="N37" s="0" t="str">
        <f aca="false">IFERROR(INDEX($A$1:$A$5,MATCH(3,$F37:$J37,0)),IF(3=MAX($F37:$J37)+1,"取消",""))</f>
        <v>陈师傅</v>
      </c>
      <c r="O37" s="0" t="str">
        <f aca="false">IFERROR(INDEX($A$1:$A$5,MATCH(4,$F37:$J37,0)),IF(4=MAX($F37:$J37)+1,"取消",""))</f>
        <v>刘师傅</v>
      </c>
      <c r="P37" s="0" t="str">
        <f aca="false">IFERROR(INDEX($A$1:$A$5,MATCH(5,$F37:$J37,0)),IF(5=MAX($F37:$J37)+1,"取消",""))</f>
        <v>取消</v>
      </c>
      <c r="Q37" s="0" t="str">
        <f aca="false">IFERROR(INDEX($A$1:$A$5,MATCH(6,$F37:$J37,0)),IF(6=MAX($F37:$J37)+1,"取消",""))</f>
        <v/>
      </c>
      <c r="S37" s="0" t="n">
        <f aca="false">IF(OR($A$1=入户维修!$F37,$A$1=入户维修!$G37,$BN$1=1),0,1-SUMPRODUCT(--(($A$1=入户维修!$F37)+($A$1=入户维修!$G37)+$BN$1&gt;0)))</f>
        <v>0</v>
      </c>
      <c r="T37" s="0" t="n">
        <f aca="false">IF(OR($A$2=入户维修!$F37,$A$2=入户维修!$G37,$BN$2=1),0,2-SUMPRODUCT(--(($A$1:$A$2=入户维修!$F37)+($A$1:$A$2=入户维修!$G37)+$BN$1:$BN$2&gt;0)))</f>
        <v>1</v>
      </c>
      <c r="U37" s="0" t="n">
        <f aca="false">IF(OR($A$3=入户维修!$F37,$A$3=入户维修!$G37,$BN$3=1),0,3-SUMPRODUCT(--(($A$1:$A$3=入户维修!$F37)+($A$1:$A$3=入户维修!$G37)+$BN$1:$BN$3&gt;0)))</f>
        <v>2</v>
      </c>
      <c r="V37" s="0" t="n">
        <f aca="false">IF(OR($A$4=入户维修!$F37,$A$4=入户维修!$G37,$BN$4=1),0,4-SUMPRODUCT(--(($A$1:$A$4=入户维修!$F37)+($A$1:$A$4=入户维修!$G37)+$BN$1:$BN$4&gt;0)))</f>
        <v>3</v>
      </c>
      <c r="W37" s="0" t="n">
        <f aca="false">IF(OR($A$5=入户维修!$F37,$A$5=入户维修!$G37,$BN$5=1),0,5-SUMPRODUCT(--(($A$1:$A$5=入户维修!$F37)+($A$1:$A$5=入户维修!$G37)+$BN$1:$BN$5&gt;0)))</f>
        <v>4</v>
      </c>
      <c r="Y37" s="0" t="str">
        <f aca="false">IFERROR(INDEX($A$1:$A$5,MATCH(1,$S37:$W37,0)),IF(1=MAX($S37:$W37)+1,"取消",""))</f>
        <v>李师傅</v>
      </c>
      <c r="Z37" s="0" t="str">
        <f aca="false">IFERROR(INDEX($A$1:$A$5,MATCH(2,$S37:$W37,0)),IF(2=MAX($S37:$W37)+1,"取消",""))</f>
        <v>王师傅</v>
      </c>
      <c r="AA37" s="0" t="str">
        <f aca="false">IFERROR(INDEX($A$1:$A$5,MATCH(3,$S37:$W37,0)),IF(3=MAX($S37:$W37)+1,"取消",""))</f>
        <v>陈师傅</v>
      </c>
      <c r="AB37" s="0" t="str">
        <f aca="false">IFERROR(INDEX($A$1:$A$5,MATCH(4,$S37:$W37,0)),IF(4=MAX($S37:$W37)+1,"取消",""))</f>
        <v>刘师傅</v>
      </c>
      <c r="AC37" s="0" t="str">
        <f aca="false">IFERROR(INDEX($A$1:$A$5,MATCH(5,$S37:$W37,0)),IF(5=MAX($S37:$W37)+1,"取消",""))</f>
        <v>取消</v>
      </c>
      <c r="AD37" s="0" t="str">
        <f aca="false">IFERROR(INDEX($A$1:$A$5,MATCH(6,$S37:$W37,0)),IF(6=MAX($S37:$W37)+1,"取消",""))</f>
        <v/>
      </c>
      <c r="AF37" s="0" t="n">
        <f aca="false">IF(OR($A$1=公区维修!$F37,$BN$1=1),0,1-SUMPRODUCT(--(($A$1=公区维修!$F37)+$BN$1&gt;0)))</f>
        <v>0</v>
      </c>
      <c r="AG37" s="0" t="n">
        <f aca="false">IF(OR($A$2=公区维修!$F37,$BN$2=1),0,2-SUMPRODUCT(--(($A$1:$A$2=公区维修!$F37)+$BN$1:$BN$2&gt;0)))</f>
        <v>1</v>
      </c>
      <c r="AH37" s="0" t="n">
        <f aca="false">IF(OR($A$3=公区维修!$F37,$BN$3=1),0,3-SUMPRODUCT(--(($A$1:$A$3=公区维修!$F37)+$BN$1:$BN$3&gt;0)))</f>
        <v>2</v>
      </c>
      <c r="AI37" s="0" t="n">
        <f aca="false">IF(OR($A$4=公区维修!$F37,$BN$4=1),0,4-SUMPRODUCT(--(($A$1:$A$4=公区维修!$F37)+$BN$1:$BN$4&gt;0)))</f>
        <v>3</v>
      </c>
      <c r="AJ37" s="0" t="n">
        <f aca="false">IF(OR($A$5=公区维修!$F37,$BN$5=1),0,5-SUMPRODUCT(--(($A$1:$A$5=公区维修!$F37)+$BN$1:$BN$5&gt;0)))</f>
        <v>4</v>
      </c>
      <c r="AL37" s="0" t="str">
        <f aca="false">IFERROR(INDEX($A$1:$A$5,MATCH(1,$AF37:$AJ37,0)),IF(1=MAX($AF37:$AJ37)+1,"取消",""))</f>
        <v>李师傅</v>
      </c>
      <c r="AM37" s="0" t="str">
        <f aca="false">IFERROR(INDEX($A$1:$A$5,MATCH(2,$AF37:$AJ37,0)),IF(2=MAX($AF37:$AJ37)+1,"取消",""))</f>
        <v>王师傅</v>
      </c>
      <c r="AN37" s="0" t="str">
        <f aca="false">IFERROR(INDEX($A$1:$A$5,MATCH(3,$AF37:$AJ37,0)),IF(3=MAX($AF37:$AJ37)+1,"取消",""))</f>
        <v>陈师傅</v>
      </c>
      <c r="AO37" s="0" t="str">
        <f aca="false">IFERROR(INDEX($A$1:$A$5,MATCH(4,$AF37:$AJ37,0)),IF(4=MAX($AF37:$AJ37)+1,"取消",""))</f>
        <v>刘师傅</v>
      </c>
      <c r="AP37" s="0" t="str">
        <f aca="false">IFERROR(INDEX($A$1:$A$5,MATCH(5,$AF37:$AJ37,0)),IF(5=MAX($AF37:$AJ37)+1,"取消",""))</f>
        <v>取消</v>
      </c>
      <c r="AQ37" s="0" t="str">
        <f aca="false">IFERROR(INDEX($A$1:$A$5,MATCH(6,$AF37:$AJ37,0)),IF(6=MAX($AF37:$AJ37)+1,"取消",""))</f>
        <v/>
      </c>
      <c r="AS37" s="0" t="n">
        <f aca="false">IF(OR($A$1=公区维修!$F37,$A$1=公区维修!$G37,$BN$1=1),0,1-SUMPRODUCT(--(($A$1=公区维修!$F37)+($A$1=公区维修!$G37)+$BN$1&gt;0)))</f>
        <v>0</v>
      </c>
      <c r="AT37" s="0" t="n">
        <f aca="false">IF(OR($A$2=公区维修!$F37,$A$2=公区维修!$G37,$BN$2=1),0,2-SUMPRODUCT(--(($A$1:$A$2=公区维修!$F37)+($A$1:$A$2=公区维修!$G37)+$BN$1:$BN$2&gt;0)))</f>
        <v>1</v>
      </c>
      <c r="AU37" s="0" t="n">
        <f aca="false">IF(OR($A$3=公区维修!$F37,$A$3=公区维修!$G37,$BN$3=1),0,3-SUMPRODUCT(--(($A$1:$A$3=公区维修!$F37)+($A$1:$A$3=公区维修!$G37)+$BN$1:$BN$3&gt;0)))</f>
        <v>2</v>
      </c>
      <c r="AV37" s="0" t="n">
        <f aca="false">IF(OR($A$4=公区维修!$F37,$A$4=公区维修!$G37,$BN$4=1),0,4-SUMPRODUCT(--(($A$1:$A$4=公区维修!$F37)+($A$1:$A$4=公区维修!$G37)+$BN$1:$BN$4&gt;0)))</f>
        <v>3</v>
      </c>
      <c r="AW37" s="0" t="n">
        <f aca="false">IF(OR($A$5=公区维修!$F37,$A$5=公区维修!$G37,$BN$5=1),0,5-SUMPRODUCT(--(($A$1:$A$5=公区维修!$F37)+($A$1:$A$5=公区维修!$G37)+$BN$1:$BN$5&gt;0)))</f>
        <v>4</v>
      </c>
      <c r="AY37" s="0" t="str">
        <f aca="false">IFERROR(INDEX($A$1:$A$5,MATCH(1,$AS37:$AW37,0)),IF(1=MAX($AS37:$AW37)+1,"取消",""))</f>
        <v>李师傅</v>
      </c>
      <c r="AZ37" s="0" t="str">
        <f aca="false">IFERROR(INDEX($A$1:$A$5,MATCH(2,$AS37:$AW37,0)),IF(2=MAX($AS37:$AW37)+1,"取消",""))</f>
        <v>王师傅</v>
      </c>
      <c r="BA37" s="0" t="str">
        <f aca="false">IFERROR(INDEX($A$1:$A$5,MATCH(3,$AS37:$AW37,0)),IF(3=MAX($AS37:$AW37)+1,"取消",""))</f>
        <v>陈师傅</v>
      </c>
      <c r="BB37" s="0" t="str">
        <f aca="false">IFERROR(INDEX($A$1:$A$5,MATCH(4,$AS37:$AW37,0)),IF(4=MAX($AS37:$AW37)+1,"取消",""))</f>
        <v>刘师傅</v>
      </c>
      <c r="BC37" s="0" t="str">
        <f aca="false">IFERROR(INDEX($A$1:$A$5,MATCH(5,$AS37:$AW37,0)),IF(5=MAX($AS37:$AW37)+1,"取消",""))</f>
        <v>取消</v>
      </c>
      <c r="BD37" s="0" t="str">
        <f aca="false">IFERROR(INDEX($A$1:$A$5,MATCH(6,$AS37:$AW37,0)),IF(6=MAX($AS37:$AW37)+1,"取消",""))</f>
        <v/>
      </c>
      <c r="FW37" s="0" t="str">
        <f aca="false">IF(AND(单元查询!$D$3&lt;&gt;"",IF(单元查询!$B$3="公区维修",公区维修!$E37&lt;&gt;"",入户维修!$E37&lt;&gt;""),IF(单元查询!$B$3="公区维修",公区维修!$C37,入户维修!$C37)=单元查询!$D$3,OR(单元查询!$F$3="",IF(单元查询!$B$3="公区维修",公区维修!$D37,入户维修!$D37)&amp;""=(单元查询!$F$3)&amp;"")),MAX($FW$4:$FW36)+1,"")</f>
        <v/>
      </c>
    </row>
    <row r="38" customFormat="false" ht="15" hidden="false" customHeight="true" outlineLevel="0" collapsed="false">
      <c r="F38" s="0" t="n">
        <f aca="false">IF(OR($A$1=入户维修!$F38,$BN$1=1),0,1-SUMPRODUCT(--(($A$1=入户维修!$F38)+$BN$1&gt;0)))</f>
        <v>0</v>
      </c>
      <c r="G38" s="0" t="n">
        <f aca="false">IF(OR($A$2=入户维修!$F38,$BN$2=1),0,2-SUMPRODUCT(--(($A$1:$A$2=入户维修!$F38)+$BN$1:$BN$2&gt;0)))</f>
        <v>0</v>
      </c>
      <c r="H38" s="0" t="n">
        <f aca="false">IF(OR($A$3=入户维修!$F38,$BN$3=1),0,3-SUMPRODUCT(--(($A$1:$A$3=入户维修!$F38)+$BN$1:$BN$3&gt;0)))</f>
        <v>1</v>
      </c>
      <c r="I38" s="0" t="n">
        <f aca="false">IF(OR($A$4=入户维修!$F38,$BN$4=1),0,4-SUMPRODUCT(--(($A$1:$A$4=入户维修!$F38)+$BN$1:$BN$4&gt;0)))</f>
        <v>2</v>
      </c>
      <c r="J38" s="0" t="n">
        <f aca="false">IF(OR($A$5=入户维修!$F38,$BN$5=1),0,5-SUMPRODUCT(--(($A$1:$A$5=入户维修!$F38)+$BN$1:$BN$5&gt;0)))</f>
        <v>3</v>
      </c>
      <c r="L38" s="0" t="str">
        <f aca="false">IFERROR(INDEX($A$1:$A$5,MATCH(1,$F38:$J38,0)),IF(1=MAX($F38:$J38)+1,"取消",""))</f>
        <v>王师傅</v>
      </c>
      <c r="M38" s="0" t="str">
        <f aca="false">IFERROR(INDEX($A$1:$A$5,MATCH(2,$F38:$J38,0)),IF(2=MAX($F38:$J38)+1,"取消",""))</f>
        <v>陈师傅</v>
      </c>
      <c r="N38" s="0" t="str">
        <f aca="false">IFERROR(INDEX($A$1:$A$5,MATCH(3,$F38:$J38,0)),IF(3=MAX($F38:$J38)+1,"取消",""))</f>
        <v>刘师傅</v>
      </c>
      <c r="O38" s="0" t="str">
        <f aca="false">IFERROR(INDEX($A$1:$A$5,MATCH(4,$F38:$J38,0)),IF(4=MAX($F38:$J38)+1,"取消",""))</f>
        <v>取消</v>
      </c>
      <c r="P38" s="0" t="str">
        <f aca="false">IFERROR(INDEX($A$1:$A$5,MATCH(5,$F38:$J38,0)),IF(5=MAX($F38:$J38)+1,"取消",""))</f>
        <v/>
      </c>
      <c r="Q38" s="0" t="str">
        <f aca="false">IFERROR(INDEX($A$1:$A$5,MATCH(6,$F38:$J38,0)),IF(6=MAX($F38:$J38)+1,"取消",""))</f>
        <v/>
      </c>
      <c r="S38" s="0" t="n">
        <f aca="false">IF(OR($A$1=入户维修!$F38,$A$1=入户维修!$G38,$BN$1=1),0,1-SUMPRODUCT(--(($A$1=入户维修!$F38)+($A$1=入户维修!$G38)+$BN$1&gt;0)))</f>
        <v>0</v>
      </c>
      <c r="T38" s="0" t="n">
        <f aca="false">IF(OR($A$2=入户维修!$F38,$A$2=入户维修!$G38,$BN$2=1),0,2-SUMPRODUCT(--(($A$1:$A$2=入户维修!$F38)+($A$1:$A$2=入户维修!$G38)+$BN$1:$BN$2&gt;0)))</f>
        <v>0</v>
      </c>
      <c r="U38" s="0" t="n">
        <f aca="false">IF(OR($A$3=入户维修!$F38,$A$3=入户维修!$G38,$BN$3=1),0,3-SUMPRODUCT(--(($A$1:$A$3=入户维修!$F38)+($A$1:$A$3=入户维修!$G38)+$BN$1:$BN$3&gt;0)))</f>
        <v>1</v>
      </c>
      <c r="V38" s="0" t="n">
        <f aca="false">IF(OR($A$4=入户维修!$F38,$A$4=入户维修!$G38,$BN$4=1),0,4-SUMPRODUCT(--(($A$1:$A$4=入户维修!$F38)+($A$1:$A$4=入户维修!$G38)+$BN$1:$BN$4&gt;0)))</f>
        <v>2</v>
      </c>
      <c r="W38" s="0" t="n">
        <f aca="false">IF(OR($A$5=入户维修!$F38,$A$5=入户维修!$G38,$BN$5=1),0,5-SUMPRODUCT(--(($A$1:$A$5=入户维修!$F38)+($A$1:$A$5=入户维修!$G38)+$BN$1:$BN$5&gt;0)))</f>
        <v>3</v>
      </c>
      <c r="Y38" s="0" t="str">
        <f aca="false">IFERROR(INDEX($A$1:$A$5,MATCH(1,$S38:$W38,0)),IF(1=MAX($S38:$W38)+1,"取消",""))</f>
        <v>王师傅</v>
      </c>
      <c r="Z38" s="0" t="str">
        <f aca="false">IFERROR(INDEX($A$1:$A$5,MATCH(2,$S38:$W38,0)),IF(2=MAX($S38:$W38)+1,"取消",""))</f>
        <v>陈师傅</v>
      </c>
      <c r="AA38" s="0" t="str">
        <f aca="false">IFERROR(INDEX($A$1:$A$5,MATCH(3,$S38:$W38,0)),IF(3=MAX($S38:$W38)+1,"取消",""))</f>
        <v>刘师傅</v>
      </c>
      <c r="AB38" s="0" t="str">
        <f aca="false">IFERROR(INDEX($A$1:$A$5,MATCH(4,$S38:$W38,0)),IF(4=MAX($S38:$W38)+1,"取消",""))</f>
        <v>取消</v>
      </c>
      <c r="AC38" s="0" t="str">
        <f aca="false">IFERROR(INDEX($A$1:$A$5,MATCH(5,$S38:$W38,0)),IF(5=MAX($S38:$W38)+1,"取消",""))</f>
        <v/>
      </c>
      <c r="AD38" s="0" t="str">
        <f aca="false">IFERROR(INDEX($A$1:$A$5,MATCH(6,$S38:$W38,0)),IF(6=MAX($S38:$W38)+1,"取消",""))</f>
        <v/>
      </c>
      <c r="AF38" s="0" t="n">
        <f aca="false">IF(OR($A$1=公区维修!$F38,$BN$1=1),0,1-SUMPRODUCT(--(($A$1=公区维修!$F38)+$BN$1&gt;0)))</f>
        <v>0</v>
      </c>
      <c r="AG38" s="0" t="n">
        <f aca="false">IF(OR($A$2=公区维修!$F38,$BN$2=1),0,2-SUMPRODUCT(--(($A$1:$A$2=公区维修!$F38)+$BN$1:$BN$2&gt;0)))</f>
        <v>1</v>
      </c>
      <c r="AH38" s="0" t="n">
        <f aca="false">IF(OR($A$3=公区维修!$F38,$BN$3=1),0,3-SUMPRODUCT(--(($A$1:$A$3=公区维修!$F38)+$BN$1:$BN$3&gt;0)))</f>
        <v>2</v>
      </c>
      <c r="AI38" s="0" t="n">
        <f aca="false">IF(OR($A$4=公区维修!$F38,$BN$4=1),0,4-SUMPRODUCT(--(($A$1:$A$4=公区维修!$F38)+$BN$1:$BN$4&gt;0)))</f>
        <v>3</v>
      </c>
      <c r="AJ38" s="0" t="n">
        <f aca="false">IF(OR($A$5=公区维修!$F38,$BN$5=1),0,5-SUMPRODUCT(--(($A$1:$A$5=公区维修!$F38)+$BN$1:$BN$5&gt;0)))</f>
        <v>4</v>
      </c>
      <c r="AL38" s="0" t="str">
        <f aca="false">IFERROR(INDEX($A$1:$A$5,MATCH(1,$AF38:$AJ38,0)),IF(1=MAX($AF38:$AJ38)+1,"取消",""))</f>
        <v>李师傅</v>
      </c>
      <c r="AM38" s="0" t="str">
        <f aca="false">IFERROR(INDEX($A$1:$A$5,MATCH(2,$AF38:$AJ38,0)),IF(2=MAX($AF38:$AJ38)+1,"取消",""))</f>
        <v>王师傅</v>
      </c>
      <c r="AN38" s="0" t="str">
        <f aca="false">IFERROR(INDEX($A$1:$A$5,MATCH(3,$AF38:$AJ38,0)),IF(3=MAX($AF38:$AJ38)+1,"取消",""))</f>
        <v>陈师傅</v>
      </c>
      <c r="AO38" s="0" t="str">
        <f aca="false">IFERROR(INDEX($A$1:$A$5,MATCH(4,$AF38:$AJ38,0)),IF(4=MAX($AF38:$AJ38)+1,"取消",""))</f>
        <v>刘师傅</v>
      </c>
      <c r="AP38" s="0" t="str">
        <f aca="false">IFERROR(INDEX($A$1:$A$5,MATCH(5,$AF38:$AJ38,0)),IF(5=MAX($AF38:$AJ38)+1,"取消",""))</f>
        <v>取消</v>
      </c>
      <c r="AQ38" s="0" t="str">
        <f aca="false">IFERROR(INDEX($A$1:$A$5,MATCH(6,$AF38:$AJ38,0)),IF(6=MAX($AF38:$AJ38)+1,"取消",""))</f>
        <v/>
      </c>
      <c r="AS38" s="0" t="n">
        <f aca="false">IF(OR($A$1=公区维修!$F38,$A$1=公区维修!$G38,$BN$1=1),0,1-SUMPRODUCT(--(($A$1=公区维修!$F38)+($A$1=公区维修!$G38)+$BN$1&gt;0)))</f>
        <v>0</v>
      </c>
      <c r="AT38" s="0" t="n">
        <f aca="false">IF(OR($A$2=公区维修!$F38,$A$2=公区维修!$G38,$BN$2=1),0,2-SUMPRODUCT(--(($A$1:$A$2=公区维修!$F38)+($A$1:$A$2=公区维修!$G38)+$BN$1:$BN$2&gt;0)))</f>
        <v>1</v>
      </c>
      <c r="AU38" s="0" t="n">
        <f aca="false">IF(OR($A$3=公区维修!$F38,$A$3=公区维修!$G38,$BN$3=1),0,3-SUMPRODUCT(--(($A$1:$A$3=公区维修!$F38)+($A$1:$A$3=公区维修!$G38)+$BN$1:$BN$3&gt;0)))</f>
        <v>2</v>
      </c>
      <c r="AV38" s="0" t="n">
        <f aca="false">IF(OR($A$4=公区维修!$F38,$A$4=公区维修!$G38,$BN$4=1),0,4-SUMPRODUCT(--(($A$1:$A$4=公区维修!$F38)+($A$1:$A$4=公区维修!$G38)+$BN$1:$BN$4&gt;0)))</f>
        <v>3</v>
      </c>
      <c r="AW38" s="0" t="n">
        <f aca="false">IF(OR($A$5=公区维修!$F38,$A$5=公区维修!$G38,$BN$5=1),0,5-SUMPRODUCT(--(($A$1:$A$5=公区维修!$F38)+($A$1:$A$5=公区维修!$G38)+$BN$1:$BN$5&gt;0)))</f>
        <v>4</v>
      </c>
      <c r="AY38" s="0" t="str">
        <f aca="false">IFERROR(INDEX($A$1:$A$5,MATCH(1,$AS38:$AW38,0)),IF(1=MAX($AS38:$AW38)+1,"取消",""))</f>
        <v>李师傅</v>
      </c>
      <c r="AZ38" s="0" t="str">
        <f aca="false">IFERROR(INDEX($A$1:$A$5,MATCH(2,$AS38:$AW38,0)),IF(2=MAX($AS38:$AW38)+1,"取消",""))</f>
        <v>王师傅</v>
      </c>
      <c r="BA38" s="0" t="str">
        <f aca="false">IFERROR(INDEX($A$1:$A$5,MATCH(3,$AS38:$AW38,0)),IF(3=MAX($AS38:$AW38)+1,"取消",""))</f>
        <v>陈师傅</v>
      </c>
      <c r="BB38" s="0" t="str">
        <f aca="false">IFERROR(INDEX($A$1:$A$5,MATCH(4,$AS38:$AW38,0)),IF(4=MAX($AS38:$AW38)+1,"取消",""))</f>
        <v>刘师傅</v>
      </c>
      <c r="BC38" s="0" t="str">
        <f aca="false">IFERROR(INDEX($A$1:$A$5,MATCH(5,$AS38:$AW38,0)),IF(5=MAX($AS38:$AW38)+1,"取消",""))</f>
        <v>取消</v>
      </c>
      <c r="BD38" s="0" t="str">
        <f aca="false">IFERROR(INDEX($A$1:$A$5,MATCH(6,$AS38:$AW38,0)),IF(6=MAX($AS38:$AW38)+1,"取消",""))</f>
        <v/>
      </c>
      <c r="FW38" s="0" t="n">
        <f aca="false">IF(AND(单元查询!$D$3&lt;&gt;"",IF(单元查询!$B$3="公区维修",公区维修!$E38&lt;&gt;"",入户维修!$E38&lt;&gt;""),IF(单元查询!$B$3="公区维修",公区维修!$C38,入户维修!$C38)=单元查询!$D$3,OR(单元查询!$F$3="",IF(单元查询!$B$3="公区维修",公区维修!$D38,入户维修!$D38)&amp;""=(单元查询!$F$3)&amp;"")),MAX($FW$4:$FW37)+1,"")</f>
        <v>7</v>
      </c>
    </row>
    <row r="39" customFormat="false" ht="15" hidden="false" customHeight="true" outlineLevel="0" collapsed="false">
      <c r="F39" s="0" t="n">
        <f aca="false">IF(OR($A$1=入户维修!$F39,$BN$1=1),0,1-SUMPRODUCT(--(($A$1=入户维修!$F39)+$BN$1&gt;0)))</f>
        <v>0</v>
      </c>
      <c r="G39" s="0" t="n">
        <f aca="false">IF(OR($A$2=入户维修!$F39,$BN$2=1),0,2-SUMPRODUCT(--(($A$1:$A$2=入户维修!$F39)+$BN$1:$BN$2&gt;0)))</f>
        <v>1</v>
      </c>
      <c r="H39" s="0" t="n">
        <f aca="false">IF(OR($A$3=入户维修!$F39,$BN$3=1),0,3-SUMPRODUCT(--(($A$1:$A$3=入户维修!$F39)+$BN$1:$BN$3&gt;0)))</f>
        <v>2</v>
      </c>
      <c r="I39" s="0" t="n">
        <f aca="false">IF(OR($A$4=入户维修!$F39,$BN$4=1),0,4-SUMPRODUCT(--(($A$1:$A$4=入户维修!$F39)+$BN$1:$BN$4&gt;0)))</f>
        <v>3</v>
      </c>
      <c r="J39" s="0" t="n">
        <f aca="false">IF(OR($A$5=入户维修!$F39,$BN$5=1),0,5-SUMPRODUCT(--(($A$1:$A$5=入户维修!$F39)+$BN$1:$BN$5&gt;0)))</f>
        <v>4</v>
      </c>
      <c r="L39" s="0" t="str">
        <f aca="false">IFERROR(INDEX($A$1:$A$5,MATCH(1,$F39:$J39,0)),IF(1=MAX($F39:$J39)+1,"取消",""))</f>
        <v>李师傅</v>
      </c>
      <c r="M39" s="0" t="str">
        <f aca="false">IFERROR(INDEX($A$1:$A$5,MATCH(2,$F39:$J39,0)),IF(2=MAX($F39:$J39)+1,"取消",""))</f>
        <v>王师傅</v>
      </c>
      <c r="N39" s="0" t="str">
        <f aca="false">IFERROR(INDEX($A$1:$A$5,MATCH(3,$F39:$J39,0)),IF(3=MAX($F39:$J39)+1,"取消",""))</f>
        <v>陈师傅</v>
      </c>
      <c r="O39" s="0" t="str">
        <f aca="false">IFERROR(INDEX($A$1:$A$5,MATCH(4,$F39:$J39,0)),IF(4=MAX($F39:$J39)+1,"取消",""))</f>
        <v>刘师傅</v>
      </c>
      <c r="P39" s="0" t="str">
        <f aca="false">IFERROR(INDEX($A$1:$A$5,MATCH(5,$F39:$J39,0)),IF(5=MAX($F39:$J39)+1,"取消",""))</f>
        <v>取消</v>
      </c>
      <c r="Q39" s="0" t="str">
        <f aca="false">IFERROR(INDEX($A$1:$A$5,MATCH(6,$F39:$J39,0)),IF(6=MAX($F39:$J39)+1,"取消",""))</f>
        <v/>
      </c>
      <c r="S39" s="0" t="n">
        <f aca="false">IF(OR($A$1=入户维修!$F39,$A$1=入户维修!$G39,$BN$1=1),0,1-SUMPRODUCT(--(($A$1=入户维修!$F39)+($A$1=入户维修!$G39)+$BN$1&gt;0)))</f>
        <v>0</v>
      </c>
      <c r="T39" s="0" t="n">
        <f aca="false">IF(OR($A$2=入户维修!$F39,$A$2=入户维修!$G39,$BN$2=1),0,2-SUMPRODUCT(--(($A$1:$A$2=入户维修!$F39)+($A$1:$A$2=入户维修!$G39)+$BN$1:$BN$2&gt;0)))</f>
        <v>1</v>
      </c>
      <c r="U39" s="0" t="n">
        <f aca="false">IF(OR($A$3=入户维修!$F39,$A$3=入户维修!$G39,$BN$3=1),0,3-SUMPRODUCT(--(($A$1:$A$3=入户维修!$F39)+($A$1:$A$3=入户维修!$G39)+$BN$1:$BN$3&gt;0)))</f>
        <v>2</v>
      </c>
      <c r="V39" s="0" t="n">
        <f aca="false">IF(OR($A$4=入户维修!$F39,$A$4=入户维修!$G39,$BN$4=1),0,4-SUMPRODUCT(--(($A$1:$A$4=入户维修!$F39)+($A$1:$A$4=入户维修!$G39)+$BN$1:$BN$4&gt;0)))</f>
        <v>3</v>
      </c>
      <c r="W39" s="0" t="n">
        <f aca="false">IF(OR($A$5=入户维修!$F39,$A$5=入户维修!$G39,$BN$5=1),0,5-SUMPRODUCT(--(($A$1:$A$5=入户维修!$F39)+($A$1:$A$5=入户维修!$G39)+$BN$1:$BN$5&gt;0)))</f>
        <v>4</v>
      </c>
      <c r="Y39" s="0" t="str">
        <f aca="false">IFERROR(INDEX($A$1:$A$5,MATCH(1,$S39:$W39,0)),IF(1=MAX($S39:$W39)+1,"取消",""))</f>
        <v>李师傅</v>
      </c>
      <c r="Z39" s="0" t="str">
        <f aca="false">IFERROR(INDEX($A$1:$A$5,MATCH(2,$S39:$W39,0)),IF(2=MAX($S39:$W39)+1,"取消",""))</f>
        <v>王师傅</v>
      </c>
      <c r="AA39" s="0" t="str">
        <f aca="false">IFERROR(INDEX($A$1:$A$5,MATCH(3,$S39:$W39,0)),IF(3=MAX($S39:$W39)+1,"取消",""))</f>
        <v>陈师傅</v>
      </c>
      <c r="AB39" s="0" t="str">
        <f aca="false">IFERROR(INDEX($A$1:$A$5,MATCH(4,$S39:$W39,0)),IF(4=MAX($S39:$W39)+1,"取消",""))</f>
        <v>刘师傅</v>
      </c>
      <c r="AC39" s="0" t="str">
        <f aca="false">IFERROR(INDEX($A$1:$A$5,MATCH(5,$S39:$W39,0)),IF(5=MAX($S39:$W39)+1,"取消",""))</f>
        <v>取消</v>
      </c>
      <c r="AD39" s="0" t="str">
        <f aca="false">IFERROR(INDEX($A$1:$A$5,MATCH(6,$S39:$W39,0)),IF(6=MAX($S39:$W39)+1,"取消",""))</f>
        <v/>
      </c>
      <c r="AF39" s="0" t="n">
        <f aca="false">IF(OR($A$1=公区维修!$F39,$BN$1=1),0,1-SUMPRODUCT(--(($A$1=公区维修!$F39)+$BN$1&gt;0)))</f>
        <v>0</v>
      </c>
      <c r="AG39" s="0" t="n">
        <f aca="false">IF(OR($A$2=公区维修!$F39,$BN$2=1),0,2-SUMPRODUCT(--(($A$1:$A$2=公区维修!$F39)+$BN$1:$BN$2&gt;0)))</f>
        <v>1</v>
      </c>
      <c r="AH39" s="0" t="n">
        <f aca="false">IF(OR($A$3=公区维修!$F39,$BN$3=1),0,3-SUMPRODUCT(--(($A$1:$A$3=公区维修!$F39)+$BN$1:$BN$3&gt;0)))</f>
        <v>2</v>
      </c>
      <c r="AI39" s="0" t="n">
        <f aca="false">IF(OR($A$4=公区维修!$F39,$BN$4=1),0,4-SUMPRODUCT(--(($A$1:$A$4=公区维修!$F39)+$BN$1:$BN$4&gt;0)))</f>
        <v>3</v>
      </c>
      <c r="AJ39" s="0" t="n">
        <f aca="false">IF(OR($A$5=公区维修!$F39,$BN$5=1),0,5-SUMPRODUCT(--(($A$1:$A$5=公区维修!$F39)+$BN$1:$BN$5&gt;0)))</f>
        <v>4</v>
      </c>
      <c r="AL39" s="0" t="str">
        <f aca="false">IFERROR(INDEX($A$1:$A$5,MATCH(1,$AF39:$AJ39,0)),IF(1=MAX($AF39:$AJ39)+1,"取消",""))</f>
        <v>李师傅</v>
      </c>
      <c r="AM39" s="0" t="str">
        <f aca="false">IFERROR(INDEX($A$1:$A$5,MATCH(2,$AF39:$AJ39,0)),IF(2=MAX($AF39:$AJ39)+1,"取消",""))</f>
        <v>王师傅</v>
      </c>
      <c r="AN39" s="0" t="str">
        <f aca="false">IFERROR(INDEX($A$1:$A$5,MATCH(3,$AF39:$AJ39,0)),IF(3=MAX($AF39:$AJ39)+1,"取消",""))</f>
        <v>陈师傅</v>
      </c>
      <c r="AO39" s="0" t="str">
        <f aca="false">IFERROR(INDEX($A$1:$A$5,MATCH(4,$AF39:$AJ39,0)),IF(4=MAX($AF39:$AJ39)+1,"取消",""))</f>
        <v>刘师傅</v>
      </c>
      <c r="AP39" s="0" t="str">
        <f aca="false">IFERROR(INDEX($A$1:$A$5,MATCH(5,$AF39:$AJ39,0)),IF(5=MAX($AF39:$AJ39)+1,"取消",""))</f>
        <v>取消</v>
      </c>
      <c r="AQ39" s="0" t="str">
        <f aca="false">IFERROR(INDEX($A$1:$A$5,MATCH(6,$AF39:$AJ39,0)),IF(6=MAX($AF39:$AJ39)+1,"取消",""))</f>
        <v/>
      </c>
      <c r="AS39" s="0" t="n">
        <f aca="false">IF(OR($A$1=公区维修!$F39,$A$1=公区维修!$G39,$BN$1=1),0,1-SUMPRODUCT(--(($A$1=公区维修!$F39)+($A$1=公区维修!$G39)+$BN$1&gt;0)))</f>
        <v>0</v>
      </c>
      <c r="AT39" s="0" t="n">
        <f aca="false">IF(OR($A$2=公区维修!$F39,$A$2=公区维修!$G39,$BN$2=1),0,2-SUMPRODUCT(--(($A$1:$A$2=公区维修!$F39)+($A$1:$A$2=公区维修!$G39)+$BN$1:$BN$2&gt;0)))</f>
        <v>1</v>
      </c>
      <c r="AU39" s="0" t="n">
        <f aca="false">IF(OR($A$3=公区维修!$F39,$A$3=公区维修!$G39,$BN$3=1),0,3-SUMPRODUCT(--(($A$1:$A$3=公区维修!$F39)+($A$1:$A$3=公区维修!$G39)+$BN$1:$BN$3&gt;0)))</f>
        <v>2</v>
      </c>
      <c r="AV39" s="0" t="n">
        <f aca="false">IF(OR($A$4=公区维修!$F39,$A$4=公区维修!$G39,$BN$4=1),0,4-SUMPRODUCT(--(($A$1:$A$4=公区维修!$F39)+($A$1:$A$4=公区维修!$G39)+$BN$1:$BN$4&gt;0)))</f>
        <v>3</v>
      </c>
      <c r="AW39" s="0" t="n">
        <f aca="false">IF(OR($A$5=公区维修!$F39,$A$5=公区维修!$G39,$BN$5=1),0,5-SUMPRODUCT(--(($A$1:$A$5=公区维修!$F39)+($A$1:$A$5=公区维修!$G39)+$BN$1:$BN$5&gt;0)))</f>
        <v>4</v>
      </c>
      <c r="AY39" s="0" t="str">
        <f aca="false">IFERROR(INDEX($A$1:$A$5,MATCH(1,$AS39:$AW39,0)),IF(1=MAX($AS39:$AW39)+1,"取消",""))</f>
        <v>李师傅</v>
      </c>
      <c r="AZ39" s="0" t="str">
        <f aca="false">IFERROR(INDEX($A$1:$A$5,MATCH(2,$AS39:$AW39,0)),IF(2=MAX($AS39:$AW39)+1,"取消",""))</f>
        <v>王师傅</v>
      </c>
      <c r="BA39" s="0" t="str">
        <f aca="false">IFERROR(INDEX($A$1:$A$5,MATCH(3,$AS39:$AW39,0)),IF(3=MAX($AS39:$AW39)+1,"取消",""))</f>
        <v>陈师傅</v>
      </c>
      <c r="BB39" s="0" t="str">
        <f aca="false">IFERROR(INDEX($A$1:$A$5,MATCH(4,$AS39:$AW39,0)),IF(4=MAX($AS39:$AW39)+1,"取消",""))</f>
        <v>刘师傅</v>
      </c>
      <c r="BC39" s="0" t="str">
        <f aca="false">IFERROR(INDEX($A$1:$A$5,MATCH(5,$AS39:$AW39,0)),IF(5=MAX($AS39:$AW39)+1,"取消",""))</f>
        <v>取消</v>
      </c>
      <c r="BD39" s="0" t="str">
        <f aca="false">IFERROR(INDEX($A$1:$A$5,MATCH(6,$AS39:$AW39,0)),IF(6=MAX($AS39:$AW39)+1,"取消",""))</f>
        <v/>
      </c>
      <c r="FW39" s="0" t="str">
        <f aca="false">IF(AND(单元查询!$D$3&lt;&gt;"",IF(单元查询!$B$3="公区维修",公区维修!$E39&lt;&gt;"",入户维修!$E39&lt;&gt;""),IF(单元查询!$B$3="公区维修",公区维修!$C39,入户维修!$C39)=单元查询!$D$3,OR(单元查询!$F$3="",IF(单元查询!$B$3="公区维修",公区维修!$D39,入户维修!$D39)&amp;""=(单元查询!$F$3)&amp;"")),MAX($FW$4:$FW38)+1,"")</f>
        <v/>
      </c>
    </row>
    <row r="40" customFormat="false" ht="15" hidden="false" customHeight="true" outlineLevel="0" collapsed="false">
      <c r="F40" s="0" t="n">
        <f aca="false">IF(OR($A$1=入户维修!$F40,$BN$1=1),0,1-SUMPRODUCT(--(($A$1=入户维修!$F40)+$BN$1&gt;0)))</f>
        <v>0</v>
      </c>
      <c r="G40" s="0" t="n">
        <f aca="false">IF(OR($A$2=入户维修!$F40,$BN$2=1),0,2-SUMPRODUCT(--(($A$1:$A$2=入户维修!$F40)+$BN$1:$BN$2&gt;0)))</f>
        <v>1</v>
      </c>
      <c r="H40" s="0" t="n">
        <f aca="false">IF(OR($A$3=入户维修!$F40,$BN$3=1),0,3-SUMPRODUCT(--(($A$1:$A$3=入户维修!$F40)+$BN$1:$BN$3&gt;0)))</f>
        <v>2</v>
      </c>
      <c r="I40" s="0" t="n">
        <f aca="false">IF(OR($A$4=入户维修!$F40,$BN$4=1),0,4-SUMPRODUCT(--(($A$1:$A$4=入户维修!$F40)+$BN$1:$BN$4&gt;0)))</f>
        <v>3</v>
      </c>
      <c r="J40" s="0" t="n">
        <f aca="false">IF(OR($A$5=入户维修!$F40,$BN$5=1),0,5-SUMPRODUCT(--(($A$1:$A$5=入户维修!$F40)+$BN$1:$BN$5&gt;0)))</f>
        <v>4</v>
      </c>
      <c r="L40" s="0" t="str">
        <f aca="false">IFERROR(INDEX($A$1:$A$5,MATCH(1,$F40:$J40,0)),IF(1=MAX($F40:$J40)+1,"取消",""))</f>
        <v>李师傅</v>
      </c>
      <c r="M40" s="0" t="str">
        <f aca="false">IFERROR(INDEX($A$1:$A$5,MATCH(2,$F40:$J40,0)),IF(2=MAX($F40:$J40)+1,"取消",""))</f>
        <v>王师傅</v>
      </c>
      <c r="N40" s="0" t="str">
        <f aca="false">IFERROR(INDEX($A$1:$A$5,MATCH(3,$F40:$J40,0)),IF(3=MAX($F40:$J40)+1,"取消",""))</f>
        <v>陈师傅</v>
      </c>
      <c r="O40" s="0" t="str">
        <f aca="false">IFERROR(INDEX($A$1:$A$5,MATCH(4,$F40:$J40,0)),IF(4=MAX($F40:$J40)+1,"取消",""))</f>
        <v>刘师傅</v>
      </c>
      <c r="P40" s="0" t="str">
        <f aca="false">IFERROR(INDEX($A$1:$A$5,MATCH(5,$F40:$J40,0)),IF(5=MAX($F40:$J40)+1,"取消",""))</f>
        <v>取消</v>
      </c>
      <c r="Q40" s="0" t="str">
        <f aca="false">IFERROR(INDEX($A$1:$A$5,MATCH(6,$F40:$J40,0)),IF(6=MAX($F40:$J40)+1,"取消",""))</f>
        <v/>
      </c>
      <c r="S40" s="0" t="n">
        <f aca="false">IF(OR($A$1=入户维修!$F40,$A$1=入户维修!$G40,$BN$1=1),0,1-SUMPRODUCT(--(($A$1=入户维修!$F40)+($A$1=入户维修!$G40)+$BN$1&gt;0)))</f>
        <v>0</v>
      </c>
      <c r="T40" s="0" t="n">
        <f aca="false">IF(OR($A$2=入户维修!$F40,$A$2=入户维修!$G40,$BN$2=1),0,2-SUMPRODUCT(--(($A$1:$A$2=入户维修!$F40)+($A$1:$A$2=入户维修!$G40)+$BN$1:$BN$2&gt;0)))</f>
        <v>1</v>
      </c>
      <c r="U40" s="0" t="n">
        <f aca="false">IF(OR($A$3=入户维修!$F40,$A$3=入户维修!$G40,$BN$3=1),0,3-SUMPRODUCT(--(($A$1:$A$3=入户维修!$F40)+($A$1:$A$3=入户维修!$G40)+$BN$1:$BN$3&gt;0)))</f>
        <v>2</v>
      </c>
      <c r="V40" s="0" t="n">
        <f aca="false">IF(OR($A$4=入户维修!$F40,$A$4=入户维修!$G40,$BN$4=1),0,4-SUMPRODUCT(--(($A$1:$A$4=入户维修!$F40)+($A$1:$A$4=入户维修!$G40)+$BN$1:$BN$4&gt;0)))</f>
        <v>3</v>
      </c>
      <c r="W40" s="0" t="n">
        <f aca="false">IF(OR($A$5=入户维修!$F40,$A$5=入户维修!$G40,$BN$5=1),0,5-SUMPRODUCT(--(($A$1:$A$5=入户维修!$F40)+($A$1:$A$5=入户维修!$G40)+$BN$1:$BN$5&gt;0)))</f>
        <v>4</v>
      </c>
      <c r="Y40" s="0" t="str">
        <f aca="false">IFERROR(INDEX($A$1:$A$5,MATCH(1,$S40:$W40,0)),IF(1=MAX($S40:$W40)+1,"取消",""))</f>
        <v>李师傅</v>
      </c>
      <c r="Z40" s="0" t="str">
        <f aca="false">IFERROR(INDEX($A$1:$A$5,MATCH(2,$S40:$W40,0)),IF(2=MAX($S40:$W40)+1,"取消",""))</f>
        <v>王师傅</v>
      </c>
      <c r="AA40" s="0" t="str">
        <f aca="false">IFERROR(INDEX($A$1:$A$5,MATCH(3,$S40:$W40,0)),IF(3=MAX($S40:$W40)+1,"取消",""))</f>
        <v>陈师傅</v>
      </c>
      <c r="AB40" s="0" t="str">
        <f aca="false">IFERROR(INDEX($A$1:$A$5,MATCH(4,$S40:$W40,0)),IF(4=MAX($S40:$W40)+1,"取消",""))</f>
        <v>刘师傅</v>
      </c>
      <c r="AC40" s="0" t="str">
        <f aca="false">IFERROR(INDEX($A$1:$A$5,MATCH(5,$S40:$W40,0)),IF(5=MAX($S40:$W40)+1,"取消",""))</f>
        <v>取消</v>
      </c>
      <c r="AD40" s="0" t="str">
        <f aca="false">IFERROR(INDEX($A$1:$A$5,MATCH(6,$S40:$W40,0)),IF(6=MAX($S40:$W40)+1,"取消",""))</f>
        <v/>
      </c>
      <c r="AF40" s="0" t="n">
        <f aca="false">IF(OR($A$1=公区维修!$F40,$BN$1=1),0,1-SUMPRODUCT(--(($A$1=公区维修!$F40)+$BN$1&gt;0)))</f>
        <v>0</v>
      </c>
      <c r="AG40" s="0" t="n">
        <f aca="false">IF(OR($A$2=公区维修!$F40,$BN$2=1),0,2-SUMPRODUCT(--(($A$1:$A$2=公区维修!$F40)+$BN$1:$BN$2&gt;0)))</f>
        <v>1</v>
      </c>
      <c r="AH40" s="0" t="n">
        <f aca="false">IF(OR($A$3=公区维修!$F40,$BN$3=1),0,3-SUMPRODUCT(--(($A$1:$A$3=公区维修!$F40)+$BN$1:$BN$3&gt;0)))</f>
        <v>2</v>
      </c>
      <c r="AI40" s="0" t="n">
        <f aca="false">IF(OR($A$4=公区维修!$F40,$BN$4=1),0,4-SUMPRODUCT(--(($A$1:$A$4=公区维修!$F40)+$BN$1:$BN$4&gt;0)))</f>
        <v>3</v>
      </c>
      <c r="AJ40" s="0" t="n">
        <f aca="false">IF(OR($A$5=公区维修!$F40,$BN$5=1),0,5-SUMPRODUCT(--(($A$1:$A$5=公区维修!$F40)+$BN$1:$BN$5&gt;0)))</f>
        <v>4</v>
      </c>
      <c r="AL40" s="0" t="str">
        <f aca="false">IFERROR(INDEX($A$1:$A$5,MATCH(1,$AF40:$AJ40,0)),IF(1=MAX($AF40:$AJ40)+1,"取消",""))</f>
        <v>李师傅</v>
      </c>
      <c r="AM40" s="0" t="str">
        <f aca="false">IFERROR(INDEX($A$1:$A$5,MATCH(2,$AF40:$AJ40,0)),IF(2=MAX($AF40:$AJ40)+1,"取消",""))</f>
        <v>王师傅</v>
      </c>
      <c r="AN40" s="0" t="str">
        <f aca="false">IFERROR(INDEX($A$1:$A$5,MATCH(3,$AF40:$AJ40,0)),IF(3=MAX($AF40:$AJ40)+1,"取消",""))</f>
        <v>陈师傅</v>
      </c>
      <c r="AO40" s="0" t="str">
        <f aca="false">IFERROR(INDEX($A$1:$A$5,MATCH(4,$AF40:$AJ40,0)),IF(4=MAX($AF40:$AJ40)+1,"取消",""))</f>
        <v>刘师傅</v>
      </c>
      <c r="AP40" s="0" t="str">
        <f aca="false">IFERROR(INDEX($A$1:$A$5,MATCH(5,$AF40:$AJ40,0)),IF(5=MAX($AF40:$AJ40)+1,"取消",""))</f>
        <v>取消</v>
      </c>
      <c r="AQ40" s="0" t="str">
        <f aca="false">IFERROR(INDEX($A$1:$A$5,MATCH(6,$AF40:$AJ40,0)),IF(6=MAX($AF40:$AJ40)+1,"取消",""))</f>
        <v/>
      </c>
      <c r="AS40" s="0" t="n">
        <f aca="false">IF(OR($A$1=公区维修!$F40,$A$1=公区维修!$G40,$BN$1=1),0,1-SUMPRODUCT(--(($A$1=公区维修!$F40)+($A$1=公区维修!$G40)+$BN$1&gt;0)))</f>
        <v>0</v>
      </c>
      <c r="AT40" s="0" t="n">
        <f aca="false">IF(OR($A$2=公区维修!$F40,$A$2=公区维修!$G40,$BN$2=1),0,2-SUMPRODUCT(--(($A$1:$A$2=公区维修!$F40)+($A$1:$A$2=公区维修!$G40)+$BN$1:$BN$2&gt;0)))</f>
        <v>1</v>
      </c>
      <c r="AU40" s="0" t="n">
        <f aca="false">IF(OR($A$3=公区维修!$F40,$A$3=公区维修!$G40,$BN$3=1),0,3-SUMPRODUCT(--(($A$1:$A$3=公区维修!$F40)+($A$1:$A$3=公区维修!$G40)+$BN$1:$BN$3&gt;0)))</f>
        <v>2</v>
      </c>
      <c r="AV40" s="0" t="n">
        <f aca="false">IF(OR($A$4=公区维修!$F40,$A$4=公区维修!$G40,$BN$4=1),0,4-SUMPRODUCT(--(($A$1:$A$4=公区维修!$F40)+($A$1:$A$4=公区维修!$G40)+$BN$1:$BN$4&gt;0)))</f>
        <v>3</v>
      </c>
      <c r="AW40" s="0" t="n">
        <f aca="false">IF(OR($A$5=公区维修!$F40,$A$5=公区维修!$G40,$BN$5=1),0,5-SUMPRODUCT(--(($A$1:$A$5=公区维修!$F40)+($A$1:$A$5=公区维修!$G40)+$BN$1:$BN$5&gt;0)))</f>
        <v>4</v>
      </c>
      <c r="AY40" s="0" t="str">
        <f aca="false">IFERROR(INDEX($A$1:$A$5,MATCH(1,$AS40:$AW40,0)),IF(1=MAX($AS40:$AW40)+1,"取消",""))</f>
        <v>李师傅</v>
      </c>
      <c r="AZ40" s="0" t="str">
        <f aca="false">IFERROR(INDEX($A$1:$A$5,MATCH(2,$AS40:$AW40,0)),IF(2=MAX($AS40:$AW40)+1,"取消",""))</f>
        <v>王师傅</v>
      </c>
      <c r="BA40" s="0" t="str">
        <f aca="false">IFERROR(INDEX($A$1:$A$5,MATCH(3,$AS40:$AW40,0)),IF(3=MAX($AS40:$AW40)+1,"取消",""))</f>
        <v>陈师傅</v>
      </c>
      <c r="BB40" s="0" t="str">
        <f aca="false">IFERROR(INDEX($A$1:$A$5,MATCH(4,$AS40:$AW40,0)),IF(4=MAX($AS40:$AW40)+1,"取消",""))</f>
        <v>刘师傅</v>
      </c>
      <c r="BC40" s="0" t="str">
        <f aca="false">IFERROR(INDEX($A$1:$A$5,MATCH(5,$AS40:$AW40,0)),IF(5=MAX($AS40:$AW40)+1,"取消",""))</f>
        <v>取消</v>
      </c>
      <c r="BD40" s="0" t="str">
        <f aca="false">IFERROR(INDEX($A$1:$A$5,MATCH(6,$AS40:$AW40,0)),IF(6=MAX($AS40:$AW40)+1,"取消",""))</f>
        <v/>
      </c>
      <c r="FW40" s="0" t="str">
        <f aca="false">IF(AND(单元查询!$D$3&lt;&gt;"",IF(单元查询!$B$3="公区维修",公区维修!$E40&lt;&gt;"",入户维修!$E40&lt;&gt;""),IF(单元查询!$B$3="公区维修",公区维修!$C40,入户维修!$C40)=单元查询!$D$3,OR(单元查询!$F$3="",IF(单元查询!$B$3="公区维修",公区维修!$D40,入户维修!$D40)&amp;""=(单元查询!$F$3)&amp;"")),MAX($FW$4:$FW39)+1,"")</f>
        <v/>
      </c>
    </row>
    <row r="41" customFormat="false" ht="15" hidden="false" customHeight="true" outlineLevel="0" collapsed="false">
      <c r="F41" s="0" t="n">
        <f aca="false">IF(OR($A$1=入户维修!$F41,$BN$1=1),0,1-SUMPRODUCT(--(($A$1=入户维修!$F41)+$BN$1&gt;0)))</f>
        <v>0</v>
      </c>
      <c r="G41" s="0" t="n">
        <f aca="false">IF(OR($A$2=入户维修!$F41,$BN$2=1),0,2-SUMPRODUCT(--(($A$1:$A$2=入户维修!$F41)+$BN$1:$BN$2&gt;0)))</f>
        <v>0</v>
      </c>
      <c r="H41" s="0" t="n">
        <f aca="false">IF(OR($A$3=入户维修!$F41,$BN$3=1),0,3-SUMPRODUCT(--(($A$1:$A$3=入户维修!$F41)+$BN$1:$BN$3&gt;0)))</f>
        <v>1</v>
      </c>
      <c r="I41" s="0" t="n">
        <f aca="false">IF(OR($A$4=入户维修!$F41,$BN$4=1),0,4-SUMPRODUCT(--(($A$1:$A$4=入户维修!$F41)+$BN$1:$BN$4&gt;0)))</f>
        <v>2</v>
      </c>
      <c r="J41" s="0" t="n">
        <f aca="false">IF(OR($A$5=入户维修!$F41,$BN$5=1),0,5-SUMPRODUCT(--(($A$1:$A$5=入户维修!$F41)+$BN$1:$BN$5&gt;0)))</f>
        <v>3</v>
      </c>
      <c r="L41" s="0" t="str">
        <f aca="false">IFERROR(INDEX($A$1:$A$5,MATCH(1,$F41:$J41,0)),IF(1=MAX($F41:$J41)+1,"取消",""))</f>
        <v>王师傅</v>
      </c>
      <c r="M41" s="0" t="str">
        <f aca="false">IFERROR(INDEX($A$1:$A$5,MATCH(2,$F41:$J41,0)),IF(2=MAX($F41:$J41)+1,"取消",""))</f>
        <v>陈师傅</v>
      </c>
      <c r="N41" s="0" t="str">
        <f aca="false">IFERROR(INDEX($A$1:$A$5,MATCH(3,$F41:$J41,0)),IF(3=MAX($F41:$J41)+1,"取消",""))</f>
        <v>刘师傅</v>
      </c>
      <c r="O41" s="0" t="str">
        <f aca="false">IFERROR(INDEX($A$1:$A$5,MATCH(4,$F41:$J41,0)),IF(4=MAX($F41:$J41)+1,"取消",""))</f>
        <v>取消</v>
      </c>
      <c r="P41" s="0" t="str">
        <f aca="false">IFERROR(INDEX($A$1:$A$5,MATCH(5,$F41:$J41,0)),IF(5=MAX($F41:$J41)+1,"取消",""))</f>
        <v/>
      </c>
      <c r="Q41" s="0" t="str">
        <f aca="false">IFERROR(INDEX($A$1:$A$5,MATCH(6,$F41:$J41,0)),IF(6=MAX($F41:$J41)+1,"取消",""))</f>
        <v/>
      </c>
      <c r="S41" s="0" t="n">
        <f aca="false">IF(OR($A$1=入户维修!$F41,$A$1=入户维修!$G41,$BN$1=1),0,1-SUMPRODUCT(--(($A$1=入户维修!$F41)+($A$1=入户维修!$G41)+$BN$1&gt;0)))</f>
        <v>0</v>
      </c>
      <c r="T41" s="0" t="n">
        <f aca="false">IF(OR($A$2=入户维修!$F41,$A$2=入户维修!$G41,$BN$2=1),0,2-SUMPRODUCT(--(($A$1:$A$2=入户维修!$F41)+($A$1:$A$2=入户维修!$G41)+$BN$1:$BN$2&gt;0)))</f>
        <v>0</v>
      </c>
      <c r="U41" s="0" t="n">
        <f aca="false">IF(OR($A$3=入户维修!$F41,$A$3=入户维修!$G41,$BN$3=1),0,3-SUMPRODUCT(--(($A$1:$A$3=入户维修!$F41)+($A$1:$A$3=入户维修!$G41)+$BN$1:$BN$3&gt;0)))</f>
        <v>1</v>
      </c>
      <c r="V41" s="0" t="n">
        <f aca="false">IF(OR($A$4=入户维修!$F41,$A$4=入户维修!$G41,$BN$4=1),0,4-SUMPRODUCT(--(($A$1:$A$4=入户维修!$F41)+($A$1:$A$4=入户维修!$G41)+$BN$1:$BN$4&gt;0)))</f>
        <v>2</v>
      </c>
      <c r="W41" s="0" t="n">
        <f aca="false">IF(OR($A$5=入户维修!$F41,$A$5=入户维修!$G41,$BN$5=1),0,5-SUMPRODUCT(--(($A$1:$A$5=入户维修!$F41)+($A$1:$A$5=入户维修!$G41)+$BN$1:$BN$5&gt;0)))</f>
        <v>3</v>
      </c>
      <c r="Y41" s="0" t="str">
        <f aca="false">IFERROR(INDEX($A$1:$A$5,MATCH(1,$S41:$W41,0)),IF(1=MAX($S41:$W41)+1,"取消",""))</f>
        <v>王师傅</v>
      </c>
      <c r="Z41" s="0" t="str">
        <f aca="false">IFERROR(INDEX($A$1:$A$5,MATCH(2,$S41:$W41,0)),IF(2=MAX($S41:$W41)+1,"取消",""))</f>
        <v>陈师傅</v>
      </c>
      <c r="AA41" s="0" t="str">
        <f aca="false">IFERROR(INDEX($A$1:$A$5,MATCH(3,$S41:$W41,0)),IF(3=MAX($S41:$W41)+1,"取消",""))</f>
        <v>刘师傅</v>
      </c>
      <c r="AB41" s="0" t="str">
        <f aca="false">IFERROR(INDEX($A$1:$A$5,MATCH(4,$S41:$W41,0)),IF(4=MAX($S41:$W41)+1,"取消",""))</f>
        <v>取消</v>
      </c>
      <c r="AC41" s="0" t="str">
        <f aca="false">IFERROR(INDEX($A$1:$A$5,MATCH(5,$S41:$W41,0)),IF(5=MAX($S41:$W41)+1,"取消",""))</f>
        <v/>
      </c>
      <c r="AD41" s="0" t="str">
        <f aca="false">IFERROR(INDEX($A$1:$A$5,MATCH(6,$S41:$W41,0)),IF(6=MAX($S41:$W41)+1,"取消",""))</f>
        <v/>
      </c>
      <c r="AF41" s="0" t="n">
        <f aca="false">IF(OR($A$1=公区维修!$F41,$BN$1=1),0,1-SUMPRODUCT(--(($A$1=公区维修!$F41)+$BN$1&gt;0)))</f>
        <v>0</v>
      </c>
      <c r="AG41" s="0" t="n">
        <f aca="false">IF(OR($A$2=公区维修!$F41,$BN$2=1),0,2-SUMPRODUCT(--(($A$1:$A$2=公区维修!$F41)+$BN$1:$BN$2&gt;0)))</f>
        <v>1</v>
      </c>
      <c r="AH41" s="0" t="n">
        <f aca="false">IF(OR($A$3=公区维修!$F41,$BN$3=1),0,3-SUMPRODUCT(--(($A$1:$A$3=公区维修!$F41)+$BN$1:$BN$3&gt;0)))</f>
        <v>2</v>
      </c>
      <c r="AI41" s="0" t="n">
        <f aca="false">IF(OR($A$4=公区维修!$F41,$BN$4=1),0,4-SUMPRODUCT(--(($A$1:$A$4=公区维修!$F41)+$BN$1:$BN$4&gt;0)))</f>
        <v>3</v>
      </c>
      <c r="AJ41" s="0" t="n">
        <f aca="false">IF(OR($A$5=公区维修!$F41,$BN$5=1),0,5-SUMPRODUCT(--(($A$1:$A$5=公区维修!$F41)+$BN$1:$BN$5&gt;0)))</f>
        <v>4</v>
      </c>
      <c r="AL41" s="0" t="str">
        <f aca="false">IFERROR(INDEX($A$1:$A$5,MATCH(1,$AF41:$AJ41,0)),IF(1=MAX($AF41:$AJ41)+1,"取消",""))</f>
        <v>李师傅</v>
      </c>
      <c r="AM41" s="0" t="str">
        <f aca="false">IFERROR(INDEX($A$1:$A$5,MATCH(2,$AF41:$AJ41,0)),IF(2=MAX($AF41:$AJ41)+1,"取消",""))</f>
        <v>王师傅</v>
      </c>
      <c r="AN41" s="0" t="str">
        <f aca="false">IFERROR(INDEX($A$1:$A$5,MATCH(3,$AF41:$AJ41,0)),IF(3=MAX($AF41:$AJ41)+1,"取消",""))</f>
        <v>陈师傅</v>
      </c>
      <c r="AO41" s="0" t="str">
        <f aca="false">IFERROR(INDEX($A$1:$A$5,MATCH(4,$AF41:$AJ41,0)),IF(4=MAX($AF41:$AJ41)+1,"取消",""))</f>
        <v>刘师傅</v>
      </c>
      <c r="AP41" s="0" t="str">
        <f aca="false">IFERROR(INDEX($A$1:$A$5,MATCH(5,$AF41:$AJ41,0)),IF(5=MAX($AF41:$AJ41)+1,"取消",""))</f>
        <v>取消</v>
      </c>
      <c r="AQ41" s="0" t="str">
        <f aca="false">IFERROR(INDEX($A$1:$A$5,MATCH(6,$AF41:$AJ41,0)),IF(6=MAX($AF41:$AJ41)+1,"取消",""))</f>
        <v/>
      </c>
      <c r="AS41" s="0" t="n">
        <f aca="false">IF(OR($A$1=公区维修!$F41,$A$1=公区维修!$G41,$BN$1=1),0,1-SUMPRODUCT(--(($A$1=公区维修!$F41)+($A$1=公区维修!$G41)+$BN$1&gt;0)))</f>
        <v>0</v>
      </c>
      <c r="AT41" s="0" t="n">
        <f aca="false">IF(OR($A$2=公区维修!$F41,$A$2=公区维修!$G41,$BN$2=1),0,2-SUMPRODUCT(--(($A$1:$A$2=公区维修!$F41)+($A$1:$A$2=公区维修!$G41)+$BN$1:$BN$2&gt;0)))</f>
        <v>1</v>
      </c>
      <c r="AU41" s="0" t="n">
        <f aca="false">IF(OR($A$3=公区维修!$F41,$A$3=公区维修!$G41,$BN$3=1),0,3-SUMPRODUCT(--(($A$1:$A$3=公区维修!$F41)+($A$1:$A$3=公区维修!$G41)+$BN$1:$BN$3&gt;0)))</f>
        <v>2</v>
      </c>
      <c r="AV41" s="0" t="n">
        <f aca="false">IF(OR($A$4=公区维修!$F41,$A$4=公区维修!$G41,$BN$4=1),0,4-SUMPRODUCT(--(($A$1:$A$4=公区维修!$F41)+($A$1:$A$4=公区维修!$G41)+$BN$1:$BN$4&gt;0)))</f>
        <v>3</v>
      </c>
      <c r="AW41" s="0" t="n">
        <f aca="false">IF(OR($A$5=公区维修!$F41,$A$5=公区维修!$G41,$BN$5=1),0,5-SUMPRODUCT(--(($A$1:$A$5=公区维修!$F41)+($A$1:$A$5=公区维修!$G41)+$BN$1:$BN$5&gt;0)))</f>
        <v>4</v>
      </c>
      <c r="AY41" s="0" t="str">
        <f aca="false">IFERROR(INDEX($A$1:$A$5,MATCH(1,$AS41:$AW41,0)),IF(1=MAX($AS41:$AW41)+1,"取消",""))</f>
        <v>李师傅</v>
      </c>
      <c r="AZ41" s="0" t="str">
        <f aca="false">IFERROR(INDEX($A$1:$A$5,MATCH(2,$AS41:$AW41,0)),IF(2=MAX($AS41:$AW41)+1,"取消",""))</f>
        <v>王师傅</v>
      </c>
      <c r="BA41" s="0" t="str">
        <f aca="false">IFERROR(INDEX($A$1:$A$5,MATCH(3,$AS41:$AW41,0)),IF(3=MAX($AS41:$AW41)+1,"取消",""))</f>
        <v>陈师傅</v>
      </c>
      <c r="BB41" s="0" t="str">
        <f aca="false">IFERROR(INDEX($A$1:$A$5,MATCH(4,$AS41:$AW41,0)),IF(4=MAX($AS41:$AW41)+1,"取消",""))</f>
        <v>刘师傅</v>
      </c>
      <c r="BC41" s="0" t="str">
        <f aca="false">IFERROR(INDEX($A$1:$A$5,MATCH(5,$AS41:$AW41,0)),IF(5=MAX($AS41:$AW41)+1,"取消",""))</f>
        <v>取消</v>
      </c>
      <c r="BD41" s="0" t="str">
        <f aca="false">IFERROR(INDEX($A$1:$A$5,MATCH(6,$AS41:$AW41,0)),IF(6=MAX($AS41:$AW41)+1,"取消",""))</f>
        <v/>
      </c>
      <c r="FW41" s="0" t="str">
        <f aca="false">IF(AND(单元查询!$D$3&lt;&gt;"",IF(单元查询!$B$3="公区维修",公区维修!$E41&lt;&gt;"",入户维修!$E41&lt;&gt;""),IF(单元查询!$B$3="公区维修",公区维修!$C41,入户维修!$C41)=单元查询!$D$3,OR(单元查询!$F$3="",IF(单元查询!$B$3="公区维修",公区维修!$D41,入户维修!$D41)&amp;""=(单元查询!$F$3)&amp;"")),MAX($FW$4:$FW40)+1,"")</f>
        <v/>
      </c>
    </row>
    <row r="42" customFormat="false" ht="15" hidden="false" customHeight="true" outlineLevel="0" collapsed="false">
      <c r="F42" s="0" t="n">
        <f aca="false">IF(OR($A$1=入户维修!$F42,$BN$1=1),0,1-SUMPRODUCT(--(($A$1=入户维修!$F42)+$BN$1&gt;0)))</f>
        <v>0</v>
      </c>
      <c r="G42" s="0" t="n">
        <f aca="false">IF(OR($A$2=入户维修!$F42,$BN$2=1),0,2-SUMPRODUCT(--(($A$1:$A$2=入户维修!$F42)+$BN$1:$BN$2&gt;0)))</f>
        <v>1</v>
      </c>
      <c r="H42" s="0" t="n">
        <f aca="false">IF(OR($A$3=入户维修!$F42,$BN$3=1),0,3-SUMPRODUCT(--(($A$1:$A$3=入户维修!$F42)+$BN$1:$BN$3&gt;0)))</f>
        <v>2</v>
      </c>
      <c r="I42" s="0" t="n">
        <f aca="false">IF(OR($A$4=入户维修!$F42,$BN$4=1),0,4-SUMPRODUCT(--(($A$1:$A$4=入户维修!$F42)+$BN$1:$BN$4&gt;0)))</f>
        <v>3</v>
      </c>
      <c r="J42" s="0" t="n">
        <f aca="false">IF(OR($A$5=入户维修!$F42,$BN$5=1),0,5-SUMPRODUCT(--(($A$1:$A$5=入户维修!$F42)+$BN$1:$BN$5&gt;0)))</f>
        <v>0</v>
      </c>
      <c r="L42" s="0" t="str">
        <f aca="false">IFERROR(INDEX($A$1:$A$5,MATCH(1,$F42:$J42,0)),IF(1=MAX($F42:$J42)+1,"取消",""))</f>
        <v>李师傅</v>
      </c>
      <c r="M42" s="0" t="str">
        <f aca="false">IFERROR(INDEX($A$1:$A$5,MATCH(2,$F42:$J42,0)),IF(2=MAX($F42:$J42)+1,"取消",""))</f>
        <v>王师傅</v>
      </c>
      <c r="N42" s="0" t="str">
        <f aca="false">IFERROR(INDEX($A$1:$A$5,MATCH(3,$F42:$J42,0)),IF(3=MAX($F42:$J42)+1,"取消",""))</f>
        <v>陈师傅</v>
      </c>
      <c r="O42" s="0" t="str">
        <f aca="false">IFERROR(INDEX($A$1:$A$5,MATCH(4,$F42:$J42,0)),IF(4=MAX($F42:$J42)+1,"取消",""))</f>
        <v>取消</v>
      </c>
      <c r="P42" s="0" t="str">
        <f aca="false">IFERROR(INDEX($A$1:$A$5,MATCH(5,$F42:$J42,0)),IF(5=MAX($F42:$J42)+1,"取消",""))</f>
        <v/>
      </c>
      <c r="Q42" s="0" t="str">
        <f aca="false">IFERROR(INDEX($A$1:$A$5,MATCH(6,$F42:$J42,0)),IF(6=MAX($F42:$J42)+1,"取消",""))</f>
        <v/>
      </c>
      <c r="S42" s="0" t="n">
        <f aca="false">IF(OR($A$1=入户维修!$F42,$A$1=入户维修!$G42,$BN$1=1),0,1-SUMPRODUCT(--(($A$1=入户维修!$F42)+($A$1=入户维修!$G42)+$BN$1&gt;0)))</f>
        <v>0</v>
      </c>
      <c r="T42" s="0" t="n">
        <f aca="false">IF(OR($A$2=入户维修!$F42,$A$2=入户维修!$G42,$BN$2=1),0,2-SUMPRODUCT(--(($A$1:$A$2=入户维修!$F42)+($A$1:$A$2=入户维修!$G42)+$BN$1:$BN$2&gt;0)))</f>
        <v>1</v>
      </c>
      <c r="U42" s="0" t="n">
        <f aca="false">IF(OR($A$3=入户维修!$F42,$A$3=入户维修!$G42,$BN$3=1),0,3-SUMPRODUCT(--(($A$1:$A$3=入户维修!$F42)+($A$1:$A$3=入户维修!$G42)+$BN$1:$BN$3&gt;0)))</f>
        <v>2</v>
      </c>
      <c r="V42" s="0" t="n">
        <f aca="false">IF(OR($A$4=入户维修!$F42,$A$4=入户维修!$G42,$BN$4=1),0,4-SUMPRODUCT(--(($A$1:$A$4=入户维修!$F42)+($A$1:$A$4=入户维修!$G42)+$BN$1:$BN$4&gt;0)))</f>
        <v>3</v>
      </c>
      <c r="W42" s="0" t="n">
        <f aca="false">IF(OR($A$5=入户维修!$F42,$A$5=入户维修!$G42,$BN$5=1),0,5-SUMPRODUCT(--(($A$1:$A$5=入户维修!$F42)+($A$1:$A$5=入户维修!$G42)+$BN$1:$BN$5&gt;0)))</f>
        <v>0</v>
      </c>
      <c r="Y42" s="0" t="str">
        <f aca="false">IFERROR(INDEX($A$1:$A$5,MATCH(1,$S42:$W42,0)),IF(1=MAX($S42:$W42)+1,"取消",""))</f>
        <v>李师傅</v>
      </c>
      <c r="Z42" s="0" t="str">
        <f aca="false">IFERROR(INDEX($A$1:$A$5,MATCH(2,$S42:$W42,0)),IF(2=MAX($S42:$W42)+1,"取消",""))</f>
        <v>王师傅</v>
      </c>
      <c r="AA42" s="0" t="str">
        <f aca="false">IFERROR(INDEX($A$1:$A$5,MATCH(3,$S42:$W42,0)),IF(3=MAX($S42:$W42)+1,"取消",""))</f>
        <v>陈师傅</v>
      </c>
      <c r="AB42" s="0" t="str">
        <f aca="false">IFERROR(INDEX($A$1:$A$5,MATCH(4,$S42:$W42,0)),IF(4=MAX($S42:$W42)+1,"取消",""))</f>
        <v>取消</v>
      </c>
      <c r="AC42" s="0" t="str">
        <f aca="false">IFERROR(INDEX($A$1:$A$5,MATCH(5,$S42:$W42,0)),IF(5=MAX($S42:$W42)+1,"取消",""))</f>
        <v/>
      </c>
      <c r="AD42" s="0" t="str">
        <f aca="false">IFERROR(INDEX($A$1:$A$5,MATCH(6,$S42:$W42,0)),IF(6=MAX($S42:$W42)+1,"取消",""))</f>
        <v/>
      </c>
      <c r="AF42" s="0" t="n">
        <f aca="false">IF(OR($A$1=公区维修!$F42,$BN$1=1),0,1-SUMPRODUCT(--(($A$1=公区维修!$F42)+$BN$1&gt;0)))</f>
        <v>0</v>
      </c>
      <c r="AG42" s="0" t="n">
        <f aca="false">IF(OR($A$2=公区维修!$F42,$BN$2=1),0,2-SUMPRODUCT(--(($A$1:$A$2=公区维修!$F42)+$BN$1:$BN$2&gt;0)))</f>
        <v>1</v>
      </c>
      <c r="AH42" s="0" t="n">
        <f aca="false">IF(OR($A$3=公区维修!$F42,$BN$3=1),0,3-SUMPRODUCT(--(($A$1:$A$3=公区维修!$F42)+$BN$1:$BN$3&gt;0)))</f>
        <v>2</v>
      </c>
      <c r="AI42" s="0" t="n">
        <f aca="false">IF(OR($A$4=公区维修!$F42,$BN$4=1),0,4-SUMPRODUCT(--(($A$1:$A$4=公区维修!$F42)+$BN$1:$BN$4&gt;0)))</f>
        <v>3</v>
      </c>
      <c r="AJ42" s="0" t="n">
        <f aca="false">IF(OR($A$5=公区维修!$F42,$BN$5=1),0,5-SUMPRODUCT(--(($A$1:$A$5=公区维修!$F42)+$BN$1:$BN$5&gt;0)))</f>
        <v>4</v>
      </c>
      <c r="AL42" s="0" t="str">
        <f aca="false">IFERROR(INDEX($A$1:$A$5,MATCH(1,$AF42:$AJ42,0)),IF(1=MAX($AF42:$AJ42)+1,"取消",""))</f>
        <v>李师傅</v>
      </c>
      <c r="AM42" s="0" t="str">
        <f aca="false">IFERROR(INDEX($A$1:$A$5,MATCH(2,$AF42:$AJ42,0)),IF(2=MAX($AF42:$AJ42)+1,"取消",""))</f>
        <v>王师傅</v>
      </c>
      <c r="AN42" s="0" t="str">
        <f aca="false">IFERROR(INDEX($A$1:$A$5,MATCH(3,$AF42:$AJ42,0)),IF(3=MAX($AF42:$AJ42)+1,"取消",""))</f>
        <v>陈师傅</v>
      </c>
      <c r="AO42" s="0" t="str">
        <f aca="false">IFERROR(INDEX($A$1:$A$5,MATCH(4,$AF42:$AJ42,0)),IF(4=MAX($AF42:$AJ42)+1,"取消",""))</f>
        <v>刘师傅</v>
      </c>
      <c r="AP42" s="0" t="str">
        <f aca="false">IFERROR(INDEX($A$1:$A$5,MATCH(5,$AF42:$AJ42,0)),IF(5=MAX($AF42:$AJ42)+1,"取消",""))</f>
        <v>取消</v>
      </c>
      <c r="AQ42" s="0" t="str">
        <f aca="false">IFERROR(INDEX($A$1:$A$5,MATCH(6,$AF42:$AJ42,0)),IF(6=MAX($AF42:$AJ42)+1,"取消",""))</f>
        <v/>
      </c>
      <c r="AS42" s="0" t="n">
        <f aca="false">IF(OR($A$1=公区维修!$F42,$A$1=公区维修!$G42,$BN$1=1),0,1-SUMPRODUCT(--(($A$1=公区维修!$F42)+($A$1=公区维修!$G42)+$BN$1&gt;0)))</f>
        <v>0</v>
      </c>
      <c r="AT42" s="0" t="n">
        <f aca="false">IF(OR($A$2=公区维修!$F42,$A$2=公区维修!$G42,$BN$2=1),0,2-SUMPRODUCT(--(($A$1:$A$2=公区维修!$F42)+($A$1:$A$2=公区维修!$G42)+$BN$1:$BN$2&gt;0)))</f>
        <v>1</v>
      </c>
      <c r="AU42" s="0" t="n">
        <f aca="false">IF(OR($A$3=公区维修!$F42,$A$3=公区维修!$G42,$BN$3=1),0,3-SUMPRODUCT(--(($A$1:$A$3=公区维修!$F42)+($A$1:$A$3=公区维修!$G42)+$BN$1:$BN$3&gt;0)))</f>
        <v>2</v>
      </c>
      <c r="AV42" s="0" t="n">
        <f aca="false">IF(OR($A$4=公区维修!$F42,$A$4=公区维修!$G42,$BN$4=1),0,4-SUMPRODUCT(--(($A$1:$A$4=公区维修!$F42)+($A$1:$A$4=公区维修!$G42)+$BN$1:$BN$4&gt;0)))</f>
        <v>3</v>
      </c>
      <c r="AW42" s="0" t="n">
        <f aca="false">IF(OR($A$5=公区维修!$F42,$A$5=公区维修!$G42,$BN$5=1),0,5-SUMPRODUCT(--(($A$1:$A$5=公区维修!$F42)+($A$1:$A$5=公区维修!$G42)+$BN$1:$BN$5&gt;0)))</f>
        <v>4</v>
      </c>
      <c r="AY42" s="0" t="str">
        <f aca="false">IFERROR(INDEX($A$1:$A$5,MATCH(1,$AS42:$AW42,0)),IF(1=MAX($AS42:$AW42)+1,"取消",""))</f>
        <v>李师傅</v>
      </c>
      <c r="AZ42" s="0" t="str">
        <f aca="false">IFERROR(INDEX($A$1:$A$5,MATCH(2,$AS42:$AW42,0)),IF(2=MAX($AS42:$AW42)+1,"取消",""))</f>
        <v>王师傅</v>
      </c>
      <c r="BA42" s="0" t="str">
        <f aca="false">IFERROR(INDEX($A$1:$A$5,MATCH(3,$AS42:$AW42,0)),IF(3=MAX($AS42:$AW42)+1,"取消",""))</f>
        <v>陈师傅</v>
      </c>
      <c r="BB42" s="0" t="str">
        <f aca="false">IFERROR(INDEX($A$1:$A$5,MATCH(4,$AS42:$AW42,0)),IF(4=MAX($AS42:$AW42)+1,"取消",""))</f>
        <v>刘师傅</v>
      </c>
      <c r="BC42" s="0" t="str">
        <f aca="false">IFERROR(INDEX($A$1:$A$5,MATCH(5,$AS42:$AW42,0)),IF(5=MAX($AS42:$AW42)+1,"取消",""))</f>
        <v>取消</v>
      </c>
      <c r="BD42" s="0" t="str">
        <f aca="false">IFERROR(INDEX($A$1:$A$5,MATCH(6,$AS42:$AW42,0)),IF(6=MAX($AS42:$AW42)+1,"取消",""))</f>
        <v/>
      </c>
      <c r="FW42" s="0" t="n">
        <f aca="false">IF(AND(单元查询!$D$3&lt;&gt;"",IF(单元查询!$B$3="公区维修",公区维修!$E42&lt;&gt;"",入户维修!$E42&lt;&gt;""),IF(单元查询!$B$3="公区维修",公区维修!$C42,入户维修!$C42)=单元查询!$D$3,OR(单元查询!$F$3="",IF(单元查询!$B$3="公区维修",公区维修!$D42,入户维修!$D42)&amp;""=(单元查询!$F$3)&amp;"")),MAX($FW$4:$FW41)+1,"")</f>
        <v>8</v>
      </c>
    </row>
    <row r="43" customFormat="false" ht="15" hidden="false" customHeight="true" outlineLevel="0" collapsed="false">
      <c r="F43" s="0" t="n">
        <f aca="false">IF(OR($A$1=入户维修!$F43,$BN$1=1),0,1-SUMPRODUCT(--(($A$1=入户维修!$F43)+$BN$1&gt;0)))</f>
        <v>0</v>
      </c>
      <c r="G43" s="0" t="n">
        <f aca="false">IF(OR($A$2=入户维修!$F43,$BN$2=1),0,2-SUMPRODUCT(--(($A$1:$A$2=入户维修!$F43)+$BN$1:$BN$2&gt;0)))</f>
        <v>0</v>
      </c>
      <c r="H43" s="0" t="n">
        <f aca="false">IF(OR($A$3=入户维修!$F43,$BN$3=1),0,3-SUMPRODUCT(--(($A$1:$A$3=入户维修!$F43)+$BN$1:$BN$3&gt;0)))</f>
        <v>1</v>
      </c>
      <c r="I43" s="0" t="n">
        <f aca="false">IF(OR($A$4=入户维修!$F43,$BN$4=1),0,4-SUMPRODUCT(--(($A$1:$A$4=入户维修!$F43)+$BN$1:$BN$4&gt;0)))</f>
        <v>2</v>
      </c>
      <c r="J43" s="0" t="n">
        <f aca="false">IF(OR($A$5=入户维修!$F43,$BN$5=1),0,5-SUMPRODUCT(--(($A$1:$A$5=入户维修!$F43)+$BN$1:$BN$5&gt;0)))</f>
        <v>3</v>
      </c>
      <c r="L43" s="0" t="str">
        <f aca="false">IFERROR(INDEX($A$1:$A$5,MATCH(1,$F43:$J43,0)),IF(1=MAX($F43:$J43)+1,"取消",""))</f>
        <v>王师傅</v>
      </c>
      <c r="M43" s="0" t="str">
        <f aca="false">IFERROR(INDEX($A$1:$A$5,MATCH(2,$F43:$J43,0)),IF(2=MAX($F43:$J43)+1,"取消",""))</f>
        <v>陈师傅</v>
      </c>
      <c r="N43" s="0" t="str">
        <f aca="false">IFERROR(INDEX($A$1:$A$5,MATCH(3,$F43:$J43,0)),IF(3=MAX($F43:$J43)+1,"取消",""))</f>
        <v>刘师傅</v>
      </c>
      <c r="O43" s="0" t="str">
        <f aca="false">IFERROR(INDEX($A$1:$A$5,MATCH(4,$F43:$J43,0)),IF(4=MAX($F43:$J43)+1,"取消",""))</f>
        <v>取消</v>
      </c>
      <c r="P43" s="0" t="str">
        <f aca="false">IFERROR(INDEX($A$1:$A$5,MATCH(5,$F43:$J43,0)),IF(5=MAX($F43:$J43)+1,"取消",""))</f>
        <v/>
      </c>
      <c r="Q43" s="0" t="str">
        <f aca="false">IFERROR(INDEX($A$1:$A$5,MATCH(6,$F43:$J43,0)),IF(6=MAX($F43:$J43)+1,"取消",""))</f>
        <v/>
      </c>
      <c r="S43" s="0" t="n">
        <f aca="false">IF(OR($A$1=入户维修!$F43,$A$1=入户维修!$G43,$BN$1=1),0,1-SUMPRODUCT(--(($A$1=入户维修!$F43)+($A$1=入户维修!$G43)+$BN$1&gt;0)))</f>
        <v>0</v>
      </c>
      <c r="T43" s="0" t="n">
        <f aca="false">IF(OR($A$2=入户维修!$F43,$A$2=入户维修!$G43,$BN$2=1),0,2-SUMPRODUCT(--(($A$1:$A$2=入户维修!$F43)+($A$1:$A$2=入户维修!$G43)+$BN$1:$BN$2&gt;0)))</f>
        <v>0</v>
      </c>
      <c r="U43" s="0" t="n">
        <f aca="false">IF(OR($A$3=入户维修!$F43,$A$3=入户维修!$G43,$BN$3=1),0,3-SUMPRODUCT(--(($A$1:$A$3=入户维修!$F43)+($A$1:$A$3=入户维修!$G43)+$BN$1:$BN$3&gt;0)))</f>
        <v>1</v>
      </c>
      <c r="V43" s="0" t="n">
        <f aca="false">IF(OR($A$4=入户维修!$F43,$A$4=入户维修!$G43,$BN$4=1),0,4-SUMPRODUCT(--(($A$1:$A$4=入户维修!$F43)+($A$1:$A$4=入户维修!$G43)+$BN$1:$BN$4&gt;0)))</f>
        <v>2</v>
      </c>
      <c r="W43" s="0" t="n">
        <f aca="false">IF(OR($A$5=入户维修!$F43,$A$5=入户维修!$G43,$BN$5=1),0,5-SUMPRODUCT(--(($A$1:$A$5=入户维修!$F43)+($A$1:$A$5=入户维修!$G43)+$BN$1:$BN$5&gt;0)))</f>
        <v>3</v>
      </c>
      <c r="Y43" s="0" t="str">
        <f aca="false">IFERROR(INDEX($A$1:$A$5,MATCH(1,$S43:$W43,0)),IF(1=MAX($S43:$W43)+1,"取消",""))</f>
        <v>王师傅</v>
      </c>
      <c r="Z43" s="0" t="str">
        <f aca="false">IFERROR(INDEX($A$1:$A$5,MATCH(2,$S43:$W43,0)),IF(2=MAX($S43:$W43)+1,"取消",""))</f>
        <v>陈师傅</v>
      </c>
      <c r="AA43" s="0" t="str">
        <f aca="false">IFERROR(INDEX($A$1:$A$5,MATCH(3,$S43:$W43,0)),IF(3=MAX($S43:$W43)+1,"取消",""))</f>
        <v>刘师傅</v>
      </c>
      <c r="AB43" s="0" t="str">
        <f aca="false">IFERROR(INDEX($A$1:$A$5,MATCH(4,$S43:$W43,0)),IF(4=MAX($S43:$W43)+1,"取消",""))</f>
        <v>取消</v>
      </c>
      <c r="AC43" s="0" t="str">
        <f aca="false">IFERROR(INDEX($A$1:$A$5,MATCH(5,$S43:$W43,0)),IF(5=MAX($S43:$W43)+1,"取消",""))</f>
        <v/>
      </c>
      <c r="AD43" s="0" t="str">
        <f aca="false">IFERROR(INDEX($A$1:$A$5,MATCH(6,$S43:$W43,0)),IF(6=MAX($S43:$W43)+1,"取消",""))</f>
        <v/>
      </c>
      <c r="AF43" s="0" t="n">
        <f aca="false">IF(OR($A$1=公区维修!$F43,$BN$1=1),0,1-SUMPRODUCT(--(($A$1=公区维修!$F43)+$BN$1&gt;0)))</f>
        <v>0</v>
      </c>
      <c r="AG43" s="0" t="n">
        <f aca="false">IF(OR($A$2=公区维修!$F43,$BN$2=1),0,2-SUMPRODUCT(--(($A$1:$A$2=公区维修!$F43)+$BN$1:$BN$2&gt;0)))</f>
        <v>1</v>
      </c>
      <c r="AH43" s="0" t="n">
        <f aca="false">IF(OR($A$3=公区维修!$F43,$BN$3=1),0,3-SUMPRODUCT(--(($A$1:$A$3=公区维修!$F43)+$BN$1:$BN$3&gt;0)))</f>
        <v>2</v>
      </c>
      <c r="AI43" s="0" t="n">
        <f aca="false">IF(OR($A$4=公区维修!$F43,$BN$4=1),0,4-SUMPRODUCT(--(($A$1:$A$4=公区维修!$F43)+$BN$1:$BN$4&gt;0)))</f>
        <v>3</v>
      </c>
      <c r="AJ43" s="0" t="n">
        <f aca="false">IF(OR($A$5=公区维修!$F43,$BN$5=1),0,5-SUMPRODUCT(--(($A$1:$A$5=公区维修!$F43)+$BN$1:$BN$5&gt;0)))</f>
        <v>4</v>
      </c>
      <c r="AL43" s="0" t="str">
        <f aca="false">IFERROR(INDEX($A$1:$A$5,MATCH(1,$AF43:$AJ43,0)),IF(1=MAX($AF43:$AJ43)+1,"取消",""))</f>
        <v>李师傅</v>
      </c>
      <c r="AM43" s="0" t="str">
        <f aca="false">IFERROR(INDEX($A$1:$A$5,MATCH(2,$AF43:$AJ43,0)),IF(2=MAX($AF43:$AJ43)+1,"取消",""))</f>
        <v>王师傅</v>
      </c>
      <c r="AN43" s="0" t="str">
        <f aca="false">IFERROR(INDEX($A$1:$A$5,MATCH(3,$AF43:$AJ43,0)),IF(3=MAX($AF43:$AJ43)+1,"取消",""))</f>
        <v>陈师傅</v>
      </c>
      <c r="AO43" s="0" t="str">
        <f aca="false">IFERROR(INDEX($A$1:$A$5,MATCH(4,$AF43:$AJ43,0)),IF(4=MAX($AF43:$AJ43)+1,"取消",""))</f>
        <v>刘师傅</v>
      </c>
      <c r="AP43" s="0" t="str">
        <f aca="false">IFERROR(INDEX($A$1:$A$5,MATCH(5,$AF43:$AJ43,0)),IF(5=MAX($AF43:$AJ43)+1,"取消",""))</f>
        <v>取消</v>
      </c>
      <c r="AQ43" s="0" t="str">
        <f aca="false">IFERROR(INDEX($A$1:$A$5,MATCH(6,$AF43:$AJ43,0)),IF(6=MAX($AF43:$AJ43)+1,"取消",""))</f>
        <v/>
      </c>
      <c r="AS43" s="0" t="n">
        <f aca="false">IF(OR($A$1=公区维修!$F43,$A$1=公区维修!$G43,$BN$1=1),0,1-SUMPRODUCT(--(($A$1=公区维修!$F43)+($A$1=公区维修!$G43)+$BN$1&gt;0)))</f>
        <v>0</v>
      </c>
      <c r="AT43" s="0" t="n">
        <f aca="false">IF(OR($A$2=公区维修!$F43,$A$2=公区维修!$G43,$BN$2=1),0,2-SUMPRODUCT(--(($A$1:$A$2=公区维修!$F43)+($A$1:$A$2=公区维修!$G43)+$BN$1:$BN$2&gt;0)))</f>
        <v>1</v>
      </c>
      <c r="AU43" s="0" t="n">
        <f aca="false">IF(OR($A$3=公区维修!$F43,$A$3=公区维修!$G43,$BN$3=1),0,3-SUMPRODUCT(--(($A$1:$A$3=公区维修!$F43)+($A$1:$A$3=公区维修!$G43)+$BN$1:$BN$3&gt;0)))</f>
        <v>2</v>
      </c>
      <c r="AV43" s="0" t="n">
        <f aca="false">IF(OR($A$4=公区维修!$F43,$A$4=公区维修!$G43,$BN$4=1),0,4-SUMPRODUCT(--(($A$1:$A$4=公区维修!$F43)+($A$1:$A$4=公区维修!$G43)+$BN$1:$BN$4&gt;0)))</f>
        <v>3</v>
      </c>
      <c r="AW43" s="0" t="n">
        <f aca="false">IF(OR($A$5=公区维修!$F43,$A$5=公区维修!$G43,$BN$5=1),0,5-SUMPRODUCT(--(($A$1:$A$5=公区维修!$F43)+($A$1:$A$5=公区维修!$G43)+$BN$1:$BN$5&gt;0)))</f>
        <v>4</v>
      </c>
      <c r="AY43" s="0" t="str">
        <f aca="false">IFERROR(INDEX($A$1:$A$5,MATCH(1,$AS43:$AW43,0)),IF(1=MAX($AS43:$AW43)+1,"取消",""))</f>
        <v>李师傅</v>
      </c>
      <c r="AZ43" s="0" t="str">
        <f aca="false">IFERROR(INDEX($A$1:$A$5,MATCH(2,$AS43:$AW43,0)),IF(2=MAX($AS43:$AW43)+1,"取消",""))</f>
        <v>王师傅</v>
      </c>
      <c r="BA43" s="0" t="str">
        <f aca="false">IFERROR(INDEX($A$1:$A$5,MATCH(3,$AS43:$AW43,0)),IF(3=MAX($AS43:$AW43)+1,"取消",""))</f>
        <v>陈师傅</v>
      </c>
      <c r="BB43" s="0" t="str">
        <f aca="false">IFERROR(INDEX($A$1:$A$5,MATCH(4,$AS43:$AW43,0)),IF(4=MAX($AS43:$AW43)+1,"取消",""))</f>
        <v>刘师傅</v>
      </c>
      <c r="BC43" s="0" t="str">
        <f aca="false">IFERROR(INDEX($A$1:$A$5,MATCH(5,$AS43:$AW43,0)),IF(5=MAX($AS43:$AW43)+1,"取消",""))</f>
        <v>取消</v>
      </c>
      <c r="BD43" s="0" t="str">
        <f aca="false">IFERROR(INDEX($A$1:$A$5,MATCH(6,$AS43:$AW43,0)),IF(6=MAX($AS43:$AW43)+1,"取消",""))</f>
        <v/>
      </c>
      <c r="FW43" s="0" t="str">
        <f aca="false">IF(AND(单元查询!$D$3&lt;&gt;"",IF(单元查询!$B$3="公区维修",公区维修!$E43&lt;&gt;"",入户维修!$E43&lt;&gt;""),IF(单元查询!$B$3="公区维修",公区维修!$C43,入户维修!$C43)=单元查询!$D$3,OR(单元查询!$F$3="",IF(单元查询!$B$3="公区维修",公区维修!$D43,入户维修!$D43)&amp;""=(单元查询!$F$3)&amp;"")),MAX($FW$4:$FW42)+1,"")</f>
        <v/>
      </c>
    </row>
    <row r="44" customFormat="false" ht="15" hidden="false" customHeight="true" outlineLevel="0" collapsed="false">
      <c r="F44" s="0" t="n">
        <f aca="false">IF(OR($A$1=入户维修!$F44,$BN$1=1),0,1-SUMPRODUCT(--(($A$1=入户维修!$F44)+$BN$1&gt;0)))</f>
        <v>0</v>
      </c>
      <c r="G44" s="0" t="n">
        <f aca="false">IF(OR($A$2=入户维修!$F44,$BN$2=1),0,2-SUMPRODUCT(--(($A$1:$A$2=入户维修!$F44)+$BN$1:$BN$2&gt;0)))</f>
        <v>1</v>
      </c>
      <c r="H44" s="0" t="n">
        <f aca="false">IF(OR($A$3=入户维修!$F44,$BN$3=1),0,3-SUMPRODUCT(--(($A$1:$A$3=入户维修!$F44)+$BN$1:$BN$3&gt;0)))</f>
        <v>0</v>
      </c>
      <c r="I44" s="0" t="n">
        <f aca="false">IF(OR($A$4=入户维修!$F44,$BN$4=1),0,4-SUMPRODUCT(--(($A$1:$A$4=入户维修!$F44)+$BN$1:$BN$4&gt;0)))</f>
        <v>2</v>
      </c>
      <c r="J44" s="0" t="n">
        <f aca="false">IF(OR($A$5=入户维修!$F44,$BN$5=1),0,5-SUMPRODUCT(--(($A$1:$A$5=入户维修!$F44)+$BN$1:$BN$5&gt;0)))</f>
        <v>3</v>
      </c>
      <c r="L44" s="0" t="str">
        <f aca="false">IFERROR(INDEX($A$1:$A$5,MATCH(1,$F44:$J44,0)),IF(1=MAX($F44:$J44)+1,"取消",""))</f>
        <v>李师傅</v>
      </c>
      <c r="M44" s="0" t="str">
        <f aca="false">IFERROR(INDEX($A$1:$A$5,MATCH(2,$F44:$J44,0)),IF(2=MAX($F44:$J44)+1,"取消",""))</f>
        <v>陈师傅</v>
      </c>
      <c r="N44" s="0" t="str">
        <f aca="false">IFERROR(INDEX($A$1:$A$5,MATCH(3,$F44:$J44,0)),IF(3=MAX($F44:$J44)+1,"取消",""))</f>
        <v>刘师傅</v>
      </c>
      <c r="O44" s="0" t="str">
        <f aca="false">IFERROR(INDEX($A$1:$A$5,MATCH(4,$F44:$J44,0)),IF(4=MAX($F44:$J44)+1,"取消",""))</f>
        <v>取消</v>
      </c>
      <c r="P44" s="0" t="str">
        <f aca="false">IFERROR(INDEX($A$1:$A$5,MATCH(5,$F44:$J44,0)),IF(5=MAX($F44:$J44)+1,"取消",""))</f>
        <v/>
      </c>
      <c r="Q44" s="0" t="str">
        <f aca="false">IFERROR(INDEX($A$1:$A$5,MATCH(6,$F44:$J44,0)),IF(6=MAX($F44:$J44)+1,"取消",""))</f>
        <v/>
      </c>
      <c r="S44" s="0" t="n">
        <f aca="false">IF(OR($A$1=入户维修!$F44,$A$1=入户维修!$G44,$BN$1=1),0,1-SUMPRODUCT(--(($A$1=入户维修!$F44)+($A$1=入户维修!$G44)+$BN$1&gt;0)))</f>
        <v>0</v>
      </c>
      <c r="T44" s="0" t="n">
        <f aca="false">IF(OR($A$2=入户维修!$F44,$A$2=入户维修!$G44,$BN$2=1),0,2-SUMPRODUCT(--(($A$1:$A$2=入户维修!$F44)+($A$1:$A$2=入户维修!$G44)+$BN$1:$BN$2&gt;0)))</f>
        <v>1</v>
      </c>
      <c r="U44" s="0" t="n">
        <f aca="false">IF(OR($A$3=入户维修!$F44,$A$3=入户维修!$G44,$BN$3=1),0,3-SUMPRODUCT(--(($A$1:$A$3=入户维修!$F44)+($A$1:$A$3=入户维修!$G44)+$BN$1:$BN$3&gt;0)))</f>
        <v>0</v>
      </c>
      <c r="V44" s="0" t="n">
        <f aca="false">IF(OR($A$4=入户维修!$F44,$A$4=入户维修!$G44,$BN$4=1),0,4-SUMPRODUCT(--(($A$1:$A$4=入户维修!$F44)+($A$1:$A$4=入户维修!$G44)+$BN$1:$BN$4&gt;0)))</f>
        <v>2</v>
      </c>
      <c r="W44" s="0" t="n">
        <f aca="false">IF(OR($A$5=入户维修!$F44,$A$5=入户维修!$G44,$BN$5=1),0,5-SUMPRODUCT(--(($A$1:$A$5=入户维修!$F44)+($A$1:$A$5=入户维修!$G44)+$BN$1:$BN$5&gt;0)))</f>
        <v>3</v>
      </c>
      <c r="Y44" s="0" t="str">
        <f aca="false">IFERROR(INDEX($A$1:$A$5,MATCH(1,$S44:$W44,0)),IF(1=MAX($S44:$W44)+1,"取消",""))</f>
        <v>李师傅</v>
      </c>
      <c r="Z44" s="0" t="str">
        <f aca="false">IFERROR(INDEX($A$1:$A$5,MATCH(2,$S44:$W44,0)),IF(2=MAX($S44:$W44)+1,"取消",""))</f>
        <v>陈师傅</v>
      </c>
      <c r="AA44" s="0" t="str">
        <f aca="false">IFERROR(INDEX($A$1:$A$5,MATCH(3,$S44:$W44,0)),IF(3=MAX($S44:$W44)+1,"取消",""))</f>
        <v>刘师傅</v>
      </c>
      <c r="AB44" s="0" t="str">
        <f aca="false">IFERROR(INDEX($A$1:$A$5,MATCH(4,$S44:$W44,0)),IF(4=MAX($S44:$W44)+1,"取消",""))</f>
        <v>取消</v>
      </c>
      <c r="AC44" s="0" t="str">
        <f aca="false">IFERROR(INDEX($A$1:$A$5,MATCH(5,$S44:$W44,0)),IF(5=MAX($S44:$W44)+1,"取消",""))</f>
        <v/>
      </c>
      <c r="AD44" s="0" t="str">
        <f aca="false">IFERROR(INDEX($A$1:$A$5,MATCH(6,$S44:$W44,0)),IF(6=MAX($S44:$W44)+1,"取消",""))</f>
        <v/>
      </c>
      <c r="AF44" s="0" t="n">
        <f aca="false">IF(OR($A$1=公区维修!$F44,$BN$1=1),0,1-SUMPRODUCT(--(($A$1=公区维修!$F44)+$BN$1&gt;0)))</f>
        <v>0</v>
      </c>
      <c r="AG44" s="0" t="n">
        <f aca="false">IF(OR($A$2=公区维修!$F44,$BN$2=1),0,2-SUMPRODUCT(--(($A$1:$A$2=公区维修!$F44)+$BN$1:$BN$2&gt;0)))</f>
        <v>1</v>
      </c>
      <c r="AH44" s="0" t="n">
        <f aca="false">IF(OR($A$3=公区维修!$F44,$BN$3=1),0,3-SUMPRODUCT(--(($A$1:$A$3=公区维修!$F44)+$BN$1:$BN$3&gt;0)))</f>
        <v>2</v>
      </c>
      <c r="AI44" s="0" t="n">
        <f aca="false">IF(OR($A$4=公区维修!$F44,$BN$4=1),0,4-SUMPRODUCT(--(($A$1:$A$4=公区维修!$F44)+$BN$1:$BN$4&gt;0)))</f>
        <v>3</v>
      </c>
      <c r="AJ44" s="0" t="n">
        <f aca="false">IF(OR($A$5=公区维修!$F44,$BN$5=1),0,5-SUMPRODUCT(--(($A$1:$A$5=公区维修!$F44)+$BN$1:$BN$5&gt;0)))</f>
        <v>4</v>
      </c>
      <c r="AL44" s="0" t="str">
        <f aca="false">IFERROR(INDEX($A$1:$A$5,MATCH(1,$AF44:$AJ44,0)),IF(1=MAX($AF44:$AJ44)+1,"取消",""))</f>
        <v>李师傅</v>
      </c>
      <c r="AM44" s="0" t="str">
        <f aca="false">IFERROR(INDEX($A$1:$A$5,MATCH(2,$AF44:$AJ44,0)),IF(2=MAX($AF44:$AJ44)+1,"取消",""))</f>
        <v>王师傅</v>
      </c>
      <c r="AN44" s="0" t="str">
        <f aca="false">IFERROR(INDEX($A$1:$A$5,MATCH(3,$AF44:$AJ44,0)),IF(3=MAX($AF44:$AJ44)+1,"取消",""))</f>
        <v>陈师傅</v>
      </c>
      <c r="AO44" s="0" t="str">
        <f aca="false">IFERROR(INDEX($A$1:$A$5,MATCH(4,$AF44:$AJ44,0)),IF(4=MAX($AF44:$AJ44)+1,"取消",""))</f>
        <v>刘师傅</v>
      </c>
      <c r="AP44" s="0" t="str">
        <f aca="false">IFERROR(INDEX($A$1:$A$5,MATCH(5,$AF44:$AJ44,0)),IF(5=MAX($AF44:$AJ44)+1,"取消",""))</f>
        <v>取消</v>
      </c>
      <c r="AQ44" s="0" t="str">
        <f aca="false">IFERROR(INDEX($A$1:$A$5,MATCH(6,$AF44:$AJ44,0)),IF(6=MAX($AF44:$AJ44)+1,"取消",""))</f>
        <v/>
      </c>
      <c r="AS44" s="0" t="n">
        <f aca="false">IF(OR($A$1=公区维修!$F44,$A$1=公区维修!$G44,$BN$1=1),0,1-SUMPRODUCT(--(($A$1=公区维修!$F44)+($A$1=公区维修!$G44)+$BN$1&gt;0)))</f>
        <v>0</v>
      </c>
      <c r="AT44" s="0" t="n">
        <f aca="false">IF(OR($A$2=公区维修!$F44,$A$2=公区维修!$G44,$BN$2=1),0,2-SUMPRODUCT(--(($A$1:$A$2=公区维修!$F44)+($A$1:$A$2=公区维修!$G44)+$BN$1:$BN$2&gt;0)))</f>
        <v>1</v>
      </c>
      <c r="AU44" s="0" t="n">
        <f aca="false">IF(OR($A$3=公区维修!$F44,$A$3=公区维修!$G44,$BN$3=1),0,3-SUMPRODUCT(--(($A$1:$A$3=公区维修!$F44)+($A$1:$A$3=公区维修!$G44)+$BN$1:$BN$3&gt;0)))</f>
        <v>2</v>
      </c>
      <c r="AV44" s="0" t="n">
        <f aca="false">IF(OR($A$4=公区维修!$F44,$A$4=公区维修!$G44,$BN$4=1),0,4-SUMPRODUCT(--(($A$1:$A$4=公区维修!$F44)+($A$1:$A$4=公区维修!$G44)+$BN$1:$BN$4&gt;0)))</f>
        <v>3</v>
      </c>
      <c r="AW44" s="0" t="n">
        <f aca="false">IF(OR($A$5=公区维修!$F44,$A$5=公区维修!$G44,$BN$5=1),0,5-SUMPRODUCT(--(($A$1:$A$5=公区维修!$F44)+($A$1:$A$5=公区维修!$G44)+$BN$1:$BN$5&gt;0)))</f>
        <v>4</v>
      </c>
      <c r="AY44" s="0" t="str">
        <f aca="false">IFERROR(INDEX($A$1:$A$5,MATCH(1,$AS44:$AW44,0)),IF(1=MAX($AS44:$AW44)+1,"取消",""))</f>
        <v>李师傅</v>
      </c>
      <c r="AZ44" s="0" t="str">
        <f aca="false">IFERROR(INDEX($A$1:$A$5,MATCH(2,$AS44:$AW44,0)),IF(2=MAX($AS44:$AW44)+1,"取消",""))</f>
        <v>王师傅</v>
      </c>
      <c r="BA44" s="0" t="str">
        <f aca="false">IFERROR(INDEX($A$1:$A$5,MATCH(3,$AS44:$AW44,0)),IF(3=MAX($AS44:$AW44)+1,"取消",""))</f>
        <v>陈师傅</v>
      </c>
      <c r="BB44" s="0" t="str">
        <f aca="false">IFERROR(INDEX($A$1:$A$5,MATCH(4,$AS44:$AW44,0)),IF(4=MAX($AS44:$AW44)+1,"取消",""))</f>
        <v>刘师傅</v>
      </c>
      <c r="BC44" s="0" t="str">
        <f aca="false">IFERROR(INDEX($A$1:$A$5,MATCH(5,$AS44:$AW44,0)),IF(5=MAX($AS44:$AW44)+1,"取消",""))</f>
        <v>取消</v>
      </c>
      <c r="BD44" s="0" t="str">
        <f aca="false">IFERROR(INDEX($A$1:$A$5,MATCH(6,$AS44:$AW44,0)),IF(6=MAX($AS44:$AW44)+1,"取消",""))</f>
        <v/>
      </c>
      <c r="FW44" s="0" t="n">
        <f aca="false">IF(AND(单元查询!$D$3&lt;&gt;"",IF(单元查询!$B$3="公区维修",公区维修!$E44&lt;&gt;"",入户维修!$E44&lt;&gt;""),IF(单元查询!$B$3="公区维修",公区维修!$C44,入户维修!$C44)=单元查询!$D$3,OR(单元查询!$F$3="",IF(单元查询!$B$3="公区维修",公区维修!$D44,入户维修!$D44)&amp;""=(单元查询!$F$3)&amp;"")),MAX($FW$4:$FW43)+1,"")</f>
        <v>9</v>
      </c>
    </row>
    <row r="45" customFormat="false" ht="15" hidden="false" customHeight="true" outlineLevel="0" collapsed="false">
      <c r="F45" s="0" t="n">
        <f aca="false">IF(OR($A$1=入户维修!$F45,$BN$1=1),0,1-SUMPRODUCT(--(($A$1=入户维修!$F45)+$BN$1&gt;0)))</f>
        <v>0</v>
      </c>
      <c r="G45" s="0" t="n">
        <f aca="false">IF(OR($A$2=入户维修!$F45,$BN$2=1),0,2-SUMPRODUCT(--(($A$1:$A$2=入户维修!$F45)+$BN$1:$BN$2&gt;0)))</f>
        <v>1</v>
      </c>
      <c r="H45" s="0" t="n">
        <f aca="false">IF(OR($A$3=入户维修!$F45,$BN$3=1),0,3-SUMPRODUCT(--(($A$1:$A$3=入户维修!$F45)+$BN$1:$BN$3&gt;0)))</f>
        <v>2</v>
      </c>
      <c r="I45" s="0" t="n">
        <f aca="false">IF(OR($A$4=入户维修!$F45,$BN$4=1),0,4-SUMPRODUCT(--(($A$1:$A$4=入户维修!$F45)+$BN$1:$BN$4&gt;0)))</f>
        <v>3</v>
      </c>
      <c r="J45" s="0" t="n">
        <f aca="false">IF(OR($A$5=入户维修!$F45,$BN$5=1),0,5-SUMPRODUCT(--(($A$1:$A$5=入户维修!$F45)+$BN$1:$BN$5&gt;0)))</f>
        <v>4</v>
      </c>
      <c r="L45" s="0" t="str">
        <f aca="false">IFERROR(INDEX($A$1:$A$5,MATCH(1,$F45:$J45,0)),IF(1=MAX($F45:$J45)+1,"取消",""))</f>
        <v>李师傅</v>
      </c>
      <c r="M45" s="0" t="str">
        <f aca="false">IFERROR(INDEX($A$1:$A$5,MATCH(2,$F45:$J45,0)),IF(2=MAX($F45:$J45)+1,"取消",""))</f>
        <v>王师傅</v>
      </c>
      <c r="N45" s="0" t="str">
        <f aca="false">IFERROR(INDEX($A$1:$A$5,MATCH(3,$F45:$J45,0)),IF(3=MAX($F45:$J45)+1,"取消",""))</f>
        <v>陈师傅</v>
      </c>
      <c r="O45" s="0" t="str">
        <f aca="false">IFERROR(INDEX($A$1:$A$5,MATCH(4,$F45:$J45,0)),IF(4=MAX($F45:$J45)+1,"取消",""))</f>
        <v>刘师傅</v>
      </c>
      <c r="P45" s="0" t="str">
        <f aca="false">IFERROR(INDEX($A$1:$A$5,MATCH(5,$F45:$J45,0)),IF(5=MAX($F45:$J45)+1,"取消",""))</f>
        <v>取消</v>
      </c>
      <c r="Q45" s="0" t="str">
        <f aca="false">IFERROR(INDEX($A$1:$A$5,MATCH(6,$F45:$J45,0)),IF(6=MAX($F45:$J45)+1,"取消",""))</f>
        <v/>
      </c>
      <c r="S45" s="0" t="n">
        <f aca="false">IF(OR($A$1=入户维修!$F45,$A$1=入户维修!$G45,$BN$1=1),0,1-SUMPRODUCT(--(($A$1=入户维修!$F45)+($A$1=入户维修!$G45)+$BN$1&gt;0)))</f>
        <v>0</v>
      </c>
      <c r="T45" s="0" t="n">
        <f aca="false">IF(OR($A$2=入户维修!$F45,$A$2=入户维修!$G45,$BN$2=1),0,2-SUMPRODUCT(--(($A$1:$A$2=入户维修!$F45)+($A$1:$A$2=入户维修!$G45)+$BN$1:$BN$2&gt;0)))</f>
        <v>1</v>
      </c>
      <c r="U45" s="0" t="n">
        <f aca="false">IF(OR($A$3=入户维修!$F45,$A$3=入户维修!$G45,$BN$3=1),0,3-SUMPRODUCT(--(($A$1:$A$3=入户维修!$F45)+($A$1:$A$3=入户维修!$G45)+$BN$1:$BN$3&gt;0)))</f>
        <v>2</v>
      </c>
      <c r="V45" s="0" t="n">
        <f aca="false">IF(OR($A$4=入户维修!$F45,$A$4=入户维修!$G45,$BN$4=1),0,4-SUMPRODUCT(--(($A$1:$A$4=入户维修!$F45)+($A$1:$A$4=入户维修!$G45)+$BN$1:$BN$4&gt;0)))</f>
        <v>3</v>
      </c>
      <c r="W45" s="0" t="n">
        <f aca="false">IF(OR($A$5=入户维修!$F45,$A$5=入户维修!$G45,$BN$5=1),0,5-SUMPRODUCT(--(($A$1:$A$5=入户维修!$F45)+($A$1:$A$5=入户维修!$G45)+$BN$1:$BN$5&gt;0)))</f>
        <v>4</v>
      </c>
      <c r="Y45" s="0" t="str">
        <f aca="false">IFERROR(INDEX($A$1:$A$5,MATCH(1,$S45:$W45,0)),IF(1=MAX($S45:$W45)+1,"取消",""))</f>
        <v>李师傅</v>
      </c>
      <c r="Z45" s="0" t="str">
        <f aca="false">IFERROR(INDEX($A$1:$A$5,MATCH(2,$S45:$W45,0)),IF(2=MAX($S45:$W45)+1,"取消",""))</f>
        <v>王师傅</v>
      </c>
      <c r="AA45" s="0" t="str">
        <f aca="false">IFERROR(INDEX($A$1:$A$5,MATCH(3,$S45:$W45,0)),IF(3=MAX($S45:$W45)+1,"取消",""))</f>
        <v>陈师傅</v>
      </c>
      <c r="AB45" s="0" t="str">
        <f aca="false">IFERROR(INDEX($A$1:$A$5,MATCH(4,$S45:$W45,0)),IF(4=MAX($S45:$W45)+1,"取消",""))</f>
        <v>刘师傅</v>
      </c>
      <c r="AC45" s="0" t="str">
        <f aca="false">IFERROR(INDEX($A$1:$A$5,MATCH(5,$S45:$W45,0)),IF(5=MAX($S45:$W45)+1,"取消",""))</f>
        <v>取消</v>
      </c>
      <c r="AD45" s="0" t="str">
        <f aca="false">IFERROR(INDEX($A$1:$A$5,MATCH(6,$S45:$W45,0)),IF(6=MAX($S45:$W45)+1,"取消",""))</f>
        <v/>
      </c>
      <c r="AF45" s="0" t="n">
        <f aca="false">IF(OR($A$1=公区维修!$F45,$BN$1=1),0,1-SUMPRODUCT(--(($A$1=公区维修!$F45)+$BN$1&gt;0)))</f>
        <v>0</v>
      </c>
      <c r="AG45" s="0" t="n">
        <f aca="false">IF(OR($A$2=公区维修!$F45,$BN$2=1),0,2-SUMPRODUCT(--(($A$1:$A$2=公区维修!$F45)+$BN$1:$BN$2&gt;0)))</f>
        <v>1</v>
      </c>
      <c r="AH45" s="0" t="n">
        <f aca="false">IF(OR($A$3=公区维修!$F45,$BN$3=1),0,3-SUMPRODUCT(--(($A$1:$A$3=公区维修!$F45)+$BN$1:$BN$3&gt;0)))</f>
        <v>2</v>
      </c>
      <c r="AI45" s="0" t="n">
        <f aca="false">IF(OR($A$4=公区维修!$F45,$BN$4=1),0,4-SUMPRODUCT(--(($A$1:$A$4=公区维修!$F45)+$BN$1:$BN$4&gt;0)))</f>
        <v>3</v>
      </c>
      <c r="AJ45" s="0" t="n">
        <f aca="false">IF(OR($A$5=公区维修!$F45,$BN$5=1),0,5-SUMPRODUCT(--(($A$1:$A$5=公区维修!$F45)+$BN$1:$BN$5&gt;0)))</f>
        <v>4</v>
      </c>
      <c r="AL45" s="0" t="str">
        <f aca="false">IFERROR(INDEX($A$1:$A$5,MATCH(1,$AF45:$AJ45,0)),IF(1=MAX($AF45:$AJ45)+1,"取消",""))</f>
        <v>李师傅</v>
      </c>
      <c r="AM45" s="0" t="str">
        <f aca="false">IFERROR(INDEX($A$1:$A$5,MATCH(2,$AF45:$AJ45,0)),IF(2=MAX($AF45:$AJ45)+1,"取消",""))</f>
        <v>王师傅</v>
      </c>
      <c r="AN45" s="0" t="str">
        <f aca="false">IFERROR(INDEX($A$1:$A$5,MATCH(3,$AF45:$AJ45,0)),IF(3=MAX($AF45:$AJ45)+1,"取消",""))</f>
        <v>陈师傅</v>
      </c>
      <c r="AO45" s="0" t="str">
        <f aca="false">IFERROR(INDEX($A$1:$A$5,MATCH(4,$AF45:$AJ45,0)),IF(4=MAX($AF45:$AJ45)+1,"取消",""))</f>
        <v>刘师傅</v>
      </c>
      <c r="AP45" s="0" t="str">
        <f aca="false">IFERROR(INDEX($A$1:$A$5,MATCH(5,$AF45:$AJ45,0)),IF(5=MAX($AF45:$AJ45)+1,"取消",""))</f>
        <v>取消</v>
      </c>
      <c r="AQ45" s="0" t="str">
        <f aca="false">IFERROR(INDEX($A$1:$A$5,MATCH(6,$AF45:$AJ45,0)),IF(6=MAX($AF45:$AJ45)+1,"取消",""))</f>
        <v/>
      </c>
      <c r="AS45" s="0" t="n">
        <f aca="false">IF(OR($A$1=公区维修!$F45,$A$1=公区维修!$G45,$BN$1=1),0,1-SUMPRODUCT(--(($A$1=公区维修!$F45)+($A$1=公区维修!$G45)+$BN$1&gt;0)))</f>
        <v>0</v>
      </c>
      <c r="AT45" s="0" t="n">
        <f aca="false">IF(OR($A$2=公区维修!$F45,$A$2=公区维修!$G45,$BN$2=1),0,2-SUMPRODUCT(--(($A$1:$A$2=公区维修!$F45)+($A$1:$A$2=公区维修!$G45)+$BN$1:$BN$2&gt;0)))</f>
        <v>1</v>
      </c>
      <c r="AU45" s="0" t="n">
        <f aca="false">IF(OR($A$3=公区维修!$F45,$A$3=公区维修!$G45,$BN$3=1),0,3-SUMPRODUCT(--(($A$1:$A$3=公区维修!$F45)+($A$1:$A$3=公区维修!$G45)+$BN$1:$BN$3&gt;0)))</f>
        <v>2</v>
      </c>
      <c r="AV45" s="0" t="n">
        <f aca="false">IF(OR($A$4=公区维修!$F45,$A$4=公区维修!$G45,$BN$4=1),0,4-SUMPRODUCT(--(($A$1:$A$4=公区维修!$F45)+($A$1:$A$4=公区维修!$G45)+$BN$1:$BN$4&gt;0)))</f>
        <v>3</v>
      </c>
      <c r="AW45" s="0" t="n">
        <f aca="false">IF(OR($A$5=公区维修!$F45,$A$5=公区维修!$G45,$BN$5=1),0,5-SUMPRODUCT(--(($A$1:$A$5=公区维修!$F45)+($A$1:$A$5=公区维修!$G45)+$BN$1:$BN$5&gt;0)))</f>
        <v>4</v>
      </c>
      <c r="AY45" s="0" t="str">
        <f aca="false">IFERROR(INDEX($A$1:$A$5,MATCH(1,$AS45:$AW45,0)),IF(1=MAX($AS45:$AW45)+1,"取消",""))</f>
        <v>李师傅</v>
      </c>
      <c r="AZ45" s="0" t="str">
        <f aca="false">IFERROR(INDEX($A$1:$A$5,MATCH(2,$AS45:$AW45,0)),IF(2=MAX($AS45:$AW45)+1,"取消",""))</f>
        <v>王师傅</v>
      </c>
      <c r="BA45" s="0" t="str">
        <f aca="false">IFERROR(INDEX($A$1:$A$5,MATCH(3,$AS45:$AW45,0)),IF(3=MAX($AS45:$AW45)+1,"取消",""))</f>
        <v>陈师傅</v>
      </c>
      <c r="BB45" s="0" t="str">
        <f aca="false">IFERROR(INDEX($A$1:$A$5,MATCH(4,$AS45:$AW45,0)),IF(4=MAX($AS45:$AW45)+1,"取消",""))</f>
        <v>刘师傅</v>
      </c>
      <c r="BC45" s="0" t="str">
        <f aca="false">IFERROR(INDEX($A$1:$A$5,MATCH(5,$AS45:$AW45,0)),IF(5=MAX($AS45:$AW45)+1,"取消",""))</f>
        <v>取消</v>
      </c>
      <c r="BD45" s="0" t="str">
        <f aca="false">IFERROR(INDEX($A$1:$A$5,MATCH(6,$AS45:$AW45,0)),IF(6=MAX($AS45:$AW45)+1,"取消",""))</f>
        <v/>
      </c>
      <c r="FW45" s="0" t="n">
        <f aca="false">IF(AND(单元查询!$D$3&lt;&gt;"",IF(单元查询!$B$3="公区维修",公区维修!$E45&lt;&gt;"",入户维修!$E45&lt;&gt;""),IF(单元查询!$B$3="公区维修",公区维修!$C45,入户维修!$C45)=单元查询!$D$3,OR(单元查询!$F$3="",IF(单元查询!$B$3="公区维修",公区维修!$D45,入户维修!$D45)&amp;""=(单元查询!$F$3)&amp;"")),MAX($FW$4:$FW44)+1,"")</f>
        <v>10</v>
      </c>
    </row>
    <row r="46" customFormat="false" ht="15" hidden="false" customHeight="true" outlineLevel="0" collapsed="false">
      <c r="F46" s="0" t="n">
        <f aca="false">IF(OR($A$1=入户维修!$F46,$BN$1=1),0,1-SUMPRODUCT(--(($A$1=入户维修!$F46)+$BN$1&gt;0)))</f>
        <v>0</v>
      </c>
      <c r="G46" s="0" t="n">
        <f aca="false">IF(OR($A$2=入户维修!$F46,$BN$2=1),0,2-SUMPRODUCT(--(($A$1:$A$2=入户维修!$F46)+$BN$1:$BN$2&gt;0)))</f>
        <v>1</v>
      </c>
      <c r="H46" s="0" t="n">
        <f aca="false">IF(OR($A$3=入户维修!$F46,$BN$3=1),0,3-SUMPRODUCT(--(($A$1:$A$3=入户维修!$F46)+$BN$1:$BN$3&gt;0)))</f>
        <v>2</v>
      </c>
      <c r="I46" s="0" t="n">
        <f aca="false">IF(OR($A$4=入户维修!$F46,$BN$4=1),0,4-SUMPRODUCT(--(($A$1:$A$4=入户维修!$F46)+$BN$1:$BN$4&gt;0)))</f>
        <v>3</v>
      </c>
      <c r="J46" s="0" t="n">
        <f aca="false">IF(OR($A$5=入户维修!$F46,$BN$5=1),0,5-SUMPRODUCT(--(($A$1:$A$5=入户维修!$F46)+$BN$1:$BN$5&gt;0)))</f>
        <v>0</v>
      </c>
      <c r="L46" s="0" t="str">
        <f aca="false">IFERROR(INDEX($A$1:$A$5,MATCH(1,$F46:$J46,0)),IF(1=MAX($F46:$J46)+1,"取消",""))</f>
        <v>李师傅</v>
      </c>
      <c r="M46" s="0" t="str">
        <f aca="false">IFERROR(INDEX($A$1:$A$5,MATCH(2,$F46:$J46,0)),IF(2=MAX($F46:$J46)+1,"取消",""))</f>
        <v>王师傅</v>
      </c>
      <c r="N46" s="0" t="str">
        <f aca="false">IFERROR(INDEX($A$1:$A$5,MATCH(3,$F46:$J46,0)),IF(3=MAX($F46:$J46)+1,"取消",""))</f>
        <v>陈师傅</v>
      </c>
      <c r="O46" s="0" t="str">
        <f aca="false">IFERROR(INDEX($A$1:$A$5,MATCH(4,$F46:$J46,0)),IF(4=MAX($F46:$J46)+1,"取消",""))</f>
        <v>取消</v>
      </c>
      <c r="P46" s="0" t="str">
        <f aca="false">IFERROR(INDEX($A$1:$A$5,MATCH(5,$F46:$J46,0)),IF(5=MAX($F46:$J46)+1,"取消",""))</f>
        <v/>
      </c>
      <c r="Q46" s="0" t="str">
        <f aca="false">IFERROR(INDEX($A$1:$A$5,MATCH(6,$F46:$J46,0)),IF(6=MAX($F46:$J46)+1,"取消",""))</f>
        <v/>
      </c>
      <c r="S46" s="0" t="n">
        <f aca="false">IF(OR($A$1=入户维修!$F46,$A$1=入户维修!$G46,$BN$1=1),0,1-SUMPRODUCT(--(($A$1=入户维修!$F46)+($A$1=入户维修!$G46)+$BN$1&gt;0)))</f>
        <v>0</v>
      </c>
      <c r="T46" s="0" t="n">
        <f aca="false">IF(OR($A$2=入户维修!$F46,$A$2=入户维修!$G46,$BN$2=1),0,2-SUMPRODUCT(--(($A$1:$A$2=入户维修!$F46)+($A$1:$A$2=入户维修!$G46)+$BN$1:$BN$2&gt;0)))</f>
        <v>1</v>
      </c>
      <c r="U46" s="0" t="n">
        <f aca="false">IF(OR($A$3=入户维修!$F46,$A$3=入户维修!$G46,$BN$3=1),0,3-SUMPRODUCT(--(($A$1:$A$3=入户维修!$F46)+($A$1:$A$3=入户维修!$G46)+$BN$1:$BN$3&gt;0)))</f>
        <v>2</v>
      </c>
      <c r="V46" s="0" t="n">
        <f aca="false">IF(OR($A$4=入户维修!$F46,$A$4=入户维修!$G46,$BN$4=1),0,4-SUMPRODUCT(--(($A$1:$A$4=入户维修!$F46)+($A$1:$A$4=入户维修!$G46)+$BN$1:$BN$4&gt;0)))</f>
        <v>3</v>
      </c>
      <c r="W46" s="0" t="n">
        <f aca="false">IF(OR($A$5=入户维修!$F46,$A$5=入户维修!$G46,$BN$5=1),0,5-SUMPRODUCT(--(($A$1:$A$5=入户维修!$F46)+($A$1:$A$5=入户维修!$G46)+$BN$1:$BN$5&gt;0)))</f>
        <v>0</v>
      </c>
      <c r="Y46" s="0" t="str">
        <f aca="false">IFERROR(INDEX($A$1:$A$5,MATCH(1,$S46:$W46,0)),IF(1=MAX($S46:$W46)+1,"取消",""))</f>
        <v>李师傅</v>
      </c>
      <c r="Z46" s="0" t="str">
        <f aca="false">IFERROR(INDEX($A$1:$A$5,MATCH(2,$S46:$W46,0)),IF(2=MAX($S46:$W46)+1,"取消",""))</f>
        <v>王师傅</v>
      </c>
      <c r="AA46" s="0" t="str">
        <f aca="false">IFERROR(INDEX($A$1:$A$5,MATCH(3,$S46:$W46,0)),IF(3=MAX($S46:$W46)+1,"取消",""))</f>
        <v>陈师傅</v>
      </c>
      <c r="AB46" s="0" t="str">
        <f aca="false">IFERROR(INDEX($A$1:$A$5,MATCH(4,$S46:$W46,0)),IF(4=MAX($S46:$W46)+1,"取消",""))</f>
        <v>取消</v>
      </c>
      <c r="AC46" s="0" t="str">
        <f aca="false">IFERROR(INDEX($A$1:$A$5,MATCH(5,$S46:$W46,0)),IF(5=MAX($S46:$W46)+1,"取消",""))</f>
        <v/>
      </c>
      <c r="AD46" s="0" t="str">
        <f aca="false">IFERROR(INDEX($A$1:$A$5,MATCH(6,$S46:$W46,0)),IF(6=MAX($S46:$W46)+1,"取消",""))</f>
        <v/>
      </c>
      <c r="AF46" s="0" t="n">
        <f aca="false">IF(OR($A$1=公区维修!$F46,$BN$1=1),0,1-SUMPRODUCT(--(($A$1=公区维修!$F46)+$BN$1&gt;0)))</f>
        <v>0</v>
      </c>
      <c r="AG46" s="0" t="n">
        <f aca="false">IF(OR($A$2=公区维修!$F46,$BN$2=1),0,2-SUMPRODUCT(--(($A$1:$A$2=公区维修!$F46)+$BN$1:$BN$2&gt;0)))</f>
        <v>1</v>
      </c>
      <c r="AH46" s="0" t="n">
        <f aca="false">IF(OR($A$3=公区维修!$F46,$BN$3=1),0,3-SUMPRODUCT(--(($A$1:$A$3=公区维修!$F46)+$BN$1:$BN$3&gt;0)))</f>
        <v>2</v>
      </c>
      <c r="AI46" s="0" t="n">
        <f aca="false">IF(OR($A$4=公区维修!$F46,$BN$4=1),0,4-SUMPRODUCT(--(($A$1:$A$4=公区维修!$F46)+$BN$1:$BN$4&gt;0)))</f>
        <v>3</v>
      </c>
      <c r="AJ46" s="0" t="n">
        <f aca="false">IF(OR($A$5=公区维修!$F46,$BN$5=1),0,5-SUMPRODUCT(--(($A$1:$A$5=公区维修!$F46)+$BN$1:$BN$5&gt;0)))</f>
        <v>4</v>
      </c>
      <c r="AL46" s="0" t="str">
        <f aca="false">IFERROR(INDEX($A$1:$A$5,MATCH(1,$AF46:$AJ46,0)),IF(1=MAX($AF46:$AJ46)+1,"取消",""))</f>
        <v>李师傅</v>
      </c>
      <c r="AM46" s="0" t="str">
        <f aca="false">IFERROR(INDEX($A$1:$A$5,MATCH(2,$AF46:$AJ46,0)),IF(2=MAX($AF46:$AJ46)+1,"取消",""))</f>
        <v>王师傅</v>
      </c>
      <c r="AN46" s="0" t="str">
        <f aca="false">IFERROR(INDEX($A$1:$A$5,MATCH(3,$AF46:$AJ46,0)),IF(3=MAX($AF46:$AJ46)+1,"取消",""))</f>
        <v>陈师傅</v>
      </c>
      <c r="AO46" s="0" t="str">
        <f aca="false">IFERROR(INDEX($A$1:$A$5,MATCH(4,$AF46:$AJ46,0)),IF(4=MAX($AF46:$AJ46)+1,"取消",""))</f>
        <v>刘师傅</v>
      </c>
      <c r="AP46" s="0" t="str">
        <f aca="false">IFERROR(INDEX($A$1:$A$5,MATCH(5,$AF46:$AJ46,0)),IF(5=MAX($AF46:$AJ46)+1,"取消",""))</f>
        <v>取消</v>
      </c>
      <c r="AQ46" s="0" t="str">
        <f aca="false">IFERROR(INDEX($A$1:$A$5,MATCH(6,$AF46:$AJ46,0)),IF(6=MAX($AF46:$AJ46)+1,"取消",""))</f>
        <v/>
      </c>
      <c r="AS46" s="0" t="n">
        <f aca="false">IF(OR($A$1=公区维修!$F46,$A$1=公区维修!$G46,$BN$1=1),0,1-SUMPRODUCT(--(($A$1=公区维修!$F46)+($A$1=公区维修!$G46)+$BN$1&gt;0)))</f>
        <v>0</v>
      </c>
      <c r="AT46" s="0" t="n">
        <f aca="false">IF(OR($A$2=公区维修!$F46,$A$2=公区维修!$G46,$BN$2=1),0,2-SUMPRODUCT(--(($A$1:$A$2=公区维修!$F46)+($A$1:$A$2=公区维修!$G46)+$BN$1:$BN$2&gt;0)))</f>
        <v>1</v>
      </c>
      <c r="AU46" s="0" t="n">
        <f aca="false">IF(OR($A$3=公区维修!$F46,$A$3=公区维修!$G46,$BN$3=1),0,3-SUMPRODUCT(--(($A$1:$A$3=公区维修!$F46)+($A$1:$A$3=公区维修!$G46)+$BN$1:$BN$3&gt;0)))</f>
        <v>2</v>
      </c>
      <c r="AV46" s="0" t="n">
        <f aca="false">IF(OR($A$4=公区维修!$F46,$A$4=公区维修!$G46,$BN$4=1),0,4-SUMPRODUCT(--(($A$1:$A$4=公区维修!$F46)+($A$1:$A$4=公区维修!$G46)+$BN$1:$BN$4&gt;0)))</f>
        <v>3</v>
      </c>
      <c r="AW46" s="0" t="n">
        <f aca="false">IF(OR($A$5=公区维修!$F46,$A$5=公区维修!$G46,$BN$5=1),0,5-SUMPRODUCT(--(($A$1:$A$5=公区维修!$F46)+($A$1:$A$5=公区维修!$G46)+$BN$1:$BN$5&gt;0)))</f>
        <v>4</v>
      </c>
      <c r="AY46" s="0" t="str">
        <f aca="false">IFERROR(INDEX($A$1:$A$5,MATCH(1,$AS46:$AW46,0)),IF(1=MAX($AS46:$AW46)+1,"取消",""))</f>
        <v>李师傅</v>
      </c>
      <c r="AZ46" s="0" t="str">
        <f aca="false">IFERROR(INDEX($A$1:$A$5,MATCH(2,$AS46:$AW46,0)),IF(2=MAX($AS46:$AW46)+1,"取消",""))</f>
        <v>王师傅</v>
      </c>
      <c r="BA46" s="0" t="str">
        <f aca="false">IFERROR(INDEX($A$1:$A$5,MATCH(3,$AS46:$AW46,0)),IF(3=MAX($AS46:$AW46)+1,"取消",""))</f>
        <v>陈师傅</v>
      </c>
      <c r="BB46" s="0" t="str">
        <f aca="false">IFERROR(INDEX($A$1:$A$5,MATCH(4,$AS46:$AW46,0)),IF(4=MAX($AS46:$AW46)+1,"取消",""))</f>
        <v>刘师傅</v>
      </c>
      <c r="BC46" s="0" t="str">
        <f aca="false">IFERROR(INDEX($A$1:$A$5,MATCH(5,$AS46:$AW46,0)),IF(5=MAX($AS46:$AW46)+1,"取消",""))</f>
        <v>取消</v>
      </c>
      <c r="BD46" s="0" t="str">
        <f aca="false">IFERROR(INDEX($A$1:$A$5,MATCH(6,$AS46:$AW46,0)),IF(6=MAX($AS46:$AW46)+1,"取消",""))</f>
        <v/>
      </c>
      <c r="FW46" s="0" t="str">
        <f aca="false">IF(AND(单元查询!$D$3&lt;&gt;"",IF(单元查询!$B$3="公区维修",公区维修!$E46&lt;&gt;"",入户维修!$E46&lt;&gt;""),IF(单元查询!$B$3="公区维修",公区维修!$C46,入户维修!$C46)=单元查询!$D$3,OR(单元查询!$F$3="",IF(单元查询!$B$3="公区维修",公区维修!$D46,入户维修!$D46)&amp;""=(单元查询!$F$3)&amp;"")),MAX($FW$4:$FW45)+1,"")</f>
        <v/>
      </c>
    </row>
    <row r="47" customFormat="false" ht="15" hidden="false" customHeight="true" outlineLevel="0" collapsed="false">
      <c r="F47" s="0" t="n">
        <f aca="false">IF(OR($A$1=入户维修!$F47,$BN$1=1),0,1-SUMPRODUCT(--(($A$1=入户维修!$F47)+$BN$1&gt;0)))</f>
        <v>0</v>
      </c>
      <c r="G47" s="0" t="n">
        <f aca="false">IF(OR($A$2=入户维修!$F47,$BN$2=1),0,2-SUMPRODUCT(--(($A$1:$A$2=入户维修!$F47)+$BN$1:$BN$2&gt;0)))</f>
        <v>0</v>
      </c>
      <c r="H47" s="0" t="n">
        <f aca="false">IF(OR($A$3=入户维修!$F47,$BN$3=1),0,3-SUMPRODUCT(--(($A$1:$A$3=入户维修!$F47)+$BN$1:$BN$3&gt;0)))</f>
        <v>1</v>
      </c>
      <c r="I47" s="0" t="n">
        <f aca="false">IF(OR($A$4=入户维修!$F47,$BN$4=1),0,4-SUMPRODUCT(--(($A$1:$A$4=入户维修!$F47)+$BN$1:$BN$4&gt;0)))</f>
        <v>2</v>
      </c>
      <c r="J47" s="0" t="n">
        <f aca="false">IF(OR($A$5=入户维修!$F47,$BN$5=1),0,5-SUMPRODUCT(--(($A$1:$A$5=入户维修!$F47)+$BN$1:$BN$5&gt;0)))</f>
        <v>3</v>
      </c>
      <c r="L47" s="0" t="str">
        <f aca="false">IFERROR(INDEX($A$1:$A$5,MATCH(1,$F47:$J47,0)),IF(1=MAX($F47:$J47)+1,"取消",""))</f>
        <v>王师傅</v>
      </c>
      <c r="M47" s="0" t="str">
        <f aca="false">IFERROR(INDEX($A$1:$A$5,MATCH(2,$F47:$J47,0)),IF(2=MAX($F47:$J47)+1,"取消",""))</f>
        <v>陈师傅</v>
      </c>
      <c r="N47" s="0" t="str">
        <f aca="false">IFERROR(INDEX($A$1:$A$5,MATCH(3,$F47:$J47,0)),IF(3=MAX($F47:$J47)+1,"取消",""))</f>
        <v>刘师傅</v>
      </c>
      <c r="O47" s="0" t="str">
        <f aca="false">IFERROR(INDEX($A$1:$A$5,MATCH(4,$F47:$J47,0)),IF(4=MAX($F47:$J47)+1,"取消",""))</f>
        <v>取消</v>
      </c>
      <c r="P47" s="0" t="str">
        <f aca="false">IFERROR(INDEX($A$1:$A$5,MATCH(5,$F47:$J47,0)),IF(5=MAX($F47:$J47)+1,"取消",""))</f>
        <v/>
      </c>
      <c r="Q47" s="0" t="str">
        <f aca="false">IFERROR(INDEX($A$1:$A$5,MATCH(6,$F47:$J47,0)),IF(6=MAX($F47:$J47)+1,"取消",""))</f>
        <v/>
      </c>
      <c r="S47" s="0" t="n">
        <f aca="false">IF(OR($A$1=入户维修!$F47,$A$1=入户维修!$G47,$BN$1=1),0,1-SUMPRODUCT(--(($A$1=入户维修!$F47)+($A$1=入户维修!$G47)+$BN$1&gt;0)))</f>
        <v>0</v>
      </c>
      <c r="T47" s="0" t="n">
        <f aca="false">IF(OR($A$2=入户维修!$F47,$A$2=入户维修!$G47,$BN$2=1),0,2-SUMPRODUCT(--(($A$1:$A$2=入户维修!$F47)+($A$1:$A$2=入户维修!$G47)+$BN$1:$BN$2&gt;0)))</f>
        <v>0</v>
      </c>
      <c r="U47" s="0" t="n">
        <f aca="false">IF(OR($A$3=入户维修!$F47,$A$3=入户维修!$G47,$BN$3=1),0,3-SUMPRODUCT(--(($A$1:$A$3=入户维修!$F47)+($A$1:$A$3=入户维修!$G47)+$BN$1:$BN$3&gt;0)))</f>
        <v>1</v>
      </c>
      <c r="V47" s="0" t="n">
        <f aca="false">IF(OR($A$4=入户维修!$F47,$A$4=入户维修!$G47,$BN$4=1),0,4-SUMPRODUCT(--(($A$1:$A$4=入户维修!$F47)+($A$1:$A$4=入户维修!$G47)+$BN$1:$BN$4&gt;0)))</f>
        <v>2</v>
      </c>
      <c r="W47" s="0" t="n">
        <f aca="false">IF(OR($A$5=入户维修!$F47,$A$5=入户维修!$G47,$BN$5=1),0,5-SUMPRODUCT(--(($A$1:$A$5=入户维修!$F47)+($A$1:$A$5=入户维修!$G47)+$BN$1:$BN$5&gt;0)))</f>
        <v>3</v>
      </c>
      <c r="Y47" s="0" t="str">
        <f aca="false">IFERROR(INDEX($A$1:$A$5,MATCH(1,$S47:$W47,0)),IF(1=MAX($S47:$W47)+1,"取消",""))</f>
        <v>王师傅</v>
      </c>
      <c r="Z47" s="0" t="str">
        <f aca="false">IFERROR(INDEX($A$1:$A$5,MATCH(2,$S47:$W47,0)),IF(2=MAX($S47:$W47)+1,"取消",""))</f>
        <v>陈师傅</v>
      </c>
      <c r="AA47" s="0" t="str">
        <f aca="false">IFERROR(INDEX($A$1:$A$5,MATCH(3,$S47:$W47,0)),IF(3=MAX($S47:$W47)+1,"取消",""))</f>
        <v>刘师傅</v>
      </c>
      <c r="AB47" s="0" t="str">
        <f aca="false">IFERROR(INDEX($A$1:$A$5,MATCH(4,$S47:$W47,0)),IF(4=MAX($S47:$W47)+1,"取消",""))</f>
        <v>取消</v>
      </c>
      <c r="AC47" s="0" t="str">
        <f aca="false">IFERROR(INDEX($A$1:$A$5,MATCH(5,$S47:$W47,0)),IF(5=MAX($S47:$W47)+1,"取消",""))</f>
        <v/>
      </c>
      <c r="AD47" s="0" t="str">
        <f aca="false">IFERROR(INDEX($A$1:$A$5,MATCH(6,$S47:$W47,0)),IF(6=MAX($S47:$W47)+1,"取消",""))</f>
        <v/>
      </c>
      <c r="AF47" s="0" t="n">
        <f aca="false">IF(OR($A$1=公区维修!$F47,$BN$1=1),0,1-SUMPRODUCT(--(($A$1=公区维修!$F47)+$BN$1&gt;0)))</f>
        <v>0</v>
      </c>
      <c r="AG47" s="0" t="n">
        <f aca="false">IF(OR($A$2=公区维修!$F47,$BN$2=1),0,2-SUMPRODUCT(--(($A$1:$A$2=公区维修!$F47)+$BN$1:$BN$2&gt;0)))</f>
        <v>1</v>
      </c>
      <c r="AH47" s="0" t="n">
        <f aca="false">IF(OR($A$3=公区维修!$F47,$BN$3=1),0,3-SUMPRODUCT(--(($A$1:$A$3=公区维修!$F47)+$BN$1:$BN$3&gt;0)))</f>
        <v>2</v>
      </c>
      <c r="AI47" s="0" t="n">
        <f aca="false">IF(OR($A$4=公区维修!$F47,$BN$4=1),0,4-SUMPRODUCT(--(($A$1:$A$4=公区维修!$F47)+$BN$1:$BN$4&gt;0)))</f>
        <v>3</v>
      </c>
      <c r="AJ47" s="0" t="n">
        <f aca="false">IF(OR($A$5=公区维修!$F47,$BN$5=1),0,5-SUMPRODUCT(--(($A$1:$A$5=公区维修!$F47)+$BN$1:$BN$5&gt;0)))</f>
        <v>4</v>
      </c>
      <c r="AL47" s="0" t="str">
        <f aca="false">IFERROR(INDEX($A$1:$A$5,MATCH(1,$AF47:$AJ47,0)),IF(1=MAX($AF47:$AJ47)+1,"取消",""))</f>
        <v>李师傅</v>
      </c>
      <c r="AM47" s="0" t="str">
        <f aca="false">IFERROR(INDEX($A$1:$A$5,MATCH(2,$AF47:$AJ47,0)),IF(2=MAX($AF47:$AJ47)+1,"取消",""))</f>
        <v>王师傅</v>
      </c>
      <c r="AN47" s="0" t="str">
        <f aca="false">IFERROR(INDEX($A$1:$A$5,MATCH(3,$AF47:$AJ47,0)),IF(3=MAX($AF47:$AJ47)+1,"取消",""))</f>
        <v>陈师傅</v>
      </c>
      <c r="AO47" s="0" t="str">
        <f aca="false">IFERROR(INDEX($A$1:$A$5,MATCH(4,$AF47:$AJ47,0)),IF(4=MAX($AF47:$AJ47)+1,"取消",""))</f>
        <v>刘师傅</v>
      </c>
      <c r="AP47" s="0" t="str">
        <f aca="false">IFERROR(INDEX($A$1:$A$5,MATCH(5,$AF47:$AJ47,0)),IF(5=MAX($AF47:$AJ47)+1,"取消",""))</f>
        <v>取消</v>
      </c>
      <c r="AQ47" s="0" t="str">
        <f aca="false">IFERROR(INDEX($A$1:$A$5,MATCH(6,$AF47:$AJ47,0)),IF(6=MAX($AF47:$AJ47)+1,"取消",""))</f>
        <v/>
      </c>
      <c r="AS47" s="0" t="n">
        <f aca="false">IF(OR($A$1=公区维修!$F47,$A$1=公区维修!$G47,$BN$1=1),0,1-SUMPRODUCT(--(($A$1=公区维修!$F47)+($A$1=公区维修!$G47)+$BN$1&gt;0)))</f>
        <v>0</v>
      </c>
      <c r="AT47" s="0" t="n">
        <f aca="false">IF(OR($A$2=公区维修!$F47,$A$2=公区维修!$G47,$BN$2=1),0,2-SUMPRODUCT(--(($A$1:$A$2=公区维修!$F47)+($A$1:$A$2=公区维修!$G47)+$BN$1:$BN$2&gt;0)))</f>
        <v>1</v>
      </c>
      <c r="AU47" s="0" t="n">
        <f aca="false">IF(OR($A$3=公区维修!$F47,$A$3=公区维修!$G47,$BN$3=1),0,3-SUMPRODUCT(--(($A$1:$A$3=公区维修!$F47)+($A$1:$A$3=公区维修!$G47)+$BN$1:$BN$3&gt;0)))</f>
        <v>2</v>
      </c>
      <c r="AV47" s="0" t="n">
        <f aca="false">IF(OR($A$4=公区维修!$F47,$A$4=公区维修!$G47,$BN$4=1),0,4-SUMPRODUCT(--(($A$1:$A$4=公区维修!$F47)+($A$1:$A$4=公区维修!$G47)+$BN$1:$BN$4&gt;0)))</f>
        <v>3</v>
      </c>
      <c r="AW47" s="0" t="n">
        <f aca="false">IF(OR($A$5=公区维修!$F47,$A$5=公区维修!$G47,$BN$5=1),0,5-SUMPRODUCT(--(($A$1:$A$5=公区维修!$F47)+($A$1:$A$5=公区维修!$G47)+$BN$1:$BN$5&gt;0)))</f>
        <v>4</v>
      </c>
      <c r="AY47" s="0" t="str">
        <f aca="false">IFERROR(INDEX($A$1:$A$5,MATCH(1,$AS47:$AW47,0)),IF(1=MAX($AS47:$AW47)+1,"取消",""))</f>
        <v>李师傅</v>
      </c>
      <c r="AZ47" s="0" t="str">
        <f aca="false">IFERROR(INDEX($A$1:$A$5,MATCH(2,$AS47:$AW47,0)),IF(2=MAX($AS47:$AW47)+1,"取消",""))</f>
        <v>王师傅</v>
      </c>
      <c r="BA47" s="0" t="str">
        <f aca="false">IFERROR(INDEX($A$1:$A$5,MATCH(3,$AS47:$AW47,0)),IF(3=MAX($AS47:$AW47)+1,"取消",""))</f>
        <v>陈师傅</v>
      </c>
      <c r="BB47" s="0" t="str">
        <f aca="false">IFERROR(INDEX($A$1:$A$5,MATCH(4,$AS47:$AW47,0)),IF(4=MAX($AS47:$AW47)+1,"取消",""))</f>
        <v>刘师傅</v>
      </c>
      <c r="BC47" s="0" t="str">
        <f aca="false">IFERROR(INDEX($A$1:$A$5,MATCH(5,$AS47:$AW47,0)),IF(5=MAX($AS47:$AW47)+1,"取消",""))</f>
        <v>取消</v>
      </c>
      <c r="BD47" s="0" t="str">
        <f aca="false">IFERROR(INDEX($A$1:$A$5,MATCH(6,$AS47:$AW47,0)),IF(6=MAX($AS47:$AW47)+1,"取消",""))</f>
        <v/>
      </c>
      <c r="FW47" s="0" t="str">
        <f aca="false">IF(AND(单元查询!$D$3&lt;&gt;"",IF(单元查询!$B$3="公区维修",公区维修!$E47&lt;&gt;"",入户维修!$E47&lt;&gt;""),IF(单元查询!$B$3="公区维修",公区维修!$C47,入户维修!$C47)=单元查询!$D$3,OR(单元查询!$F$3="",IF(单元查询!$B$3="公区维修",公区维修!$D47,入户维修!$D47)&amp;""=(单元查询!$F$3)&amp;"")),MAX($FW$4:$FW46)+1,"")</f>
        <v/>
      </c>
    </row>
    <row r="48" customFormat="false" ht="15" hidden="false" customHeight="true" outlineLevel="0" collapsed="false">
      <c r="F48" s="0" t="n">
        <f aca="false">IF(OR($A$1=入户维修!$F48,$BN$1=1),0,1-SUMPRODUCT(--(($A$1=入户维修!$F48)+$BN$1&gt;0)))</f>
        <v>0</v>
      </c>
      <c r="G48" s="0" t="n">
        <f aca="false">IF(OR($A$2=入户维修!$F48,$BN$2=1),0,2-SUMPRODUCT(--(($A$1:$A$2=入户维修!$F48)+$BN$1:$BN$2&gt;0)))</f>
        <v>1</v>
      </c>
      <c r="H48" s="0" t="n">
        <f aca="false">IF(OR($A$3=入户维修!$F48,$BN$3=1),0,3-SUMPRODUCT(--(($A$1:$A$3=入户维修!$F48)+$BN$1:$BN$3&gt;0)))</f>
        <v>2</v>
      </c>
      <c r="I48" s="0" t="n">
        <f aca="false">IF(OR($A$4=入户维修!$F48,$BN$4=1),0,4-SUMPRODUCT(--(($A$1:$A$4=入户维修!$F48)+$BN$1:$BN$4&gt;0)))</f>
        <v>3</v>
      </c>
      <c r="J48" s="0" t="n">
        <f aca="false">IF(OR($A$5=入户维修!$F48,$BN$5=1),0,5-SUMPRODUCT(--(($A$1:$A$5=入户维修!$F48)+$BN$1:$BN$5&gt;0)))</f>
        <v>4</v>
      </c>
      <c r="L48" s="0" t="str">
        <f aca="false">IFERROR(INDEX($A$1:$A$5,MATCH(1,$F48:$J48,0)),IF(1=MAX($F48:$J48)+1,"取消",""))</f>
        <v>李师傅</v>
      </c>
      <c r="M48" s="0" t="str">
        <f aca="false">IFERROR(INDEX($A$1:$A$5,MATCH(2,$F48:$J48,0)),IF(2=MAX($F48:$J48)+1,"取消",""))</f>
        <v>王师傅</v>
      </c>
      <c r="N48" s="0" t="str">
        <f aca="false">IFERROR(INDEX($A$1:$A$5,MATCH(3,$F48:$J48,0)),IF(3=MAX($F48:$J48)+1,"取消",""))</f>
        <v>陈师傅</v>
      </c>
      <c r="O48" s="0" t="str">
        <f aca="false">IFERROR(INDEX($A$1:$A$5,MATCH(4,$F48:$J48,0)),IF(4=MAX($F48:$J48)+1,"取消",""))</f>
        <v>刘师傅</v>
      </c>
      <c r="P48" s="0" t="str">
        <f aca="false">IFERROR(INDEX($A$1:$A$5,MATCH(5,$F48:$J48,0)),IF(5=MAX($F48:$J48)+1,"取消",""))</f>
        <v>取消</v>
      </c>
      <c r="Q48" s="0" t="str">
        <f aca="false">IFERROR(INDEX($A$1:$A$5,MATCH(6,$F48:$J48,0)),IF(6=MAX($F48:$J48)+1,"取消",""))</f>
        <v/>
      </c>
      <c r="S48" s="0" t="n">
        <f aca="false">IF(OR($A$1=入户维修!$F48,$A$1=入户维修!$G48,$BN$1=1),0,1-SUMPRODUCT(--(($A$1=入户维修!$F48)+($A$1=入户维修!$G48)+$BN$1&gt;0)))</f>
        <v>0</v>
      </c>
      <c r="T48" s="0" t="n">
        <f aca="false">IF(OR($A$2=入户维修!$F48,$A$2=入户维修!$G48,$BN$2=1),0,2-SUMPRODUCT(--(($A$1:$A$2=入户维修!$F48)+($A$1:$A$2=入户维修!$G48)+$BN$1:$BN$2&gt;0)))</f>
        <v>1</v>
      </c>
      <c r="U48" s="0" t="n">
        <f aca="false">IF(OR($A$3=入户维修!$F48,$A$3=入户维修!$G48,$BN$3=1),0,3-SUMPRODUCT(--(($A$1:$A$3=入户维修!$F48)+($A$1:$A$3=入户维修!$G48)+$BN$1:$BN$3&gt;0)))</f>
        <v>2</v>
      </c>
      <c r="V48" s="0" t="n">
        <f aca="false">IF(OR($A$4=入户维修!$F48,$A$4=入户维修!$G48,$BN$4=1),0,4-SUMPRODUCT(--(($A$1:$A$4=入户维修!$F48)+($A$1:$A$4=入户维修!$G48)+$BN$1:$BN$4&gt;0)))</f>
        <v>3</v>
      </c>
      <c r="W48" s="0" t="n">
        <f aca="false">IF(OR($A$5=入户维修!$F48,$A$5=入户维修!$G48,$BN$5=1),0,5-SUMPRODUCT(--(($A$1:$A$5=入户维修!$F48)+($A$1:$A$5=入户维修!$G48)+$BN$1:$BN$5&gt;0)))</f>
        <v>4</v>
      </c>
      <c r="Y48" s="0" t="str">
        <f aca="false">IFERROR(INDEX($A$1:$A$5,MATCH(1,$S48:$W48,0)),IF(1=MAX($S48:$W48)+1,"取消",""))</f>
        <v>李师傅</v>
      </c>
      <c r="Z48" s="0" t="str">
        <f aca="false">IFERROR(INDEX($A$1:$A$5,MATCH(2,$S48:$W48,0)),IF(2=MAX($S48:$W48)+1,"取消",""))</f>
        <v>王师傅</v>
      </c>
      <c r="AA48" s="0" t="str">
        <f aca="false">IFERROR(INDEX($A$1:$A$5,MATCH(3,$S48:$W48,0)),IF(3=MAX($S48:$W48)+1,"取消",""))</f>
        <v>陈师傅</v>
      </c>
      <c r="AB48" s="0" t="str">
        <f aca="false">IFERROR(INDEX($A$1:$A$5,MATCH(4,$S48:$W48,0)),IF(4=MAX($S48:$W48)+1,"取消",""))</f>
        <v>刘师傅</v>
      </c>
      <c r="AC48" s="0" t="str">
        <f aca="false">IFERROR(INDEX($A$1:$A$5,MATCH(5,$S48:$W48,0)),IF(5=MAX($S48:$W48)+1,"取消",""))</f>
        <v>取消</v>
      </c>
      <c r="AD48" s="0" t="str">
        <f aca="false">IFERROR(INDEX($A$1:$A$5,MATCH(6,$S48:$W48,0)),IF(6=MAX($S48:$W48)+1,"取消",""))</f>
        <v/>
      </c>
      <c r="AF48" s="0" t="n">
        <f aca="false">IF(OR($A$1=公区维修!$F48,$BN$1=1),0,1-SUMPRODUCT(--(($A$1=公区维修!$F48)+$BN$1&gt;0)))</f>
        <v>0</v>
      </c>
      <c r="AG48" s="0" t="n">
        <f aca="false">IF(OR($A$2=公区维修!$F48,$BN$2=1),0,2-SUMPRODUCT(--(($A$1:$A$2=公区维修!$F48)+$BN$1:$BN$2&gt;0)))</f>
        <v>1</v>
      </c>
      <c r="AH48" s="0" t="n">
        <f aca="false">IF(OR($A$3=公区维修!$F48,$BN$3=1),0,3-SUMPRODUCT(--(($A$1:$A$3=公区维修!$F48)+$BN$1:$BN$3&gt;0)))</f>
        <v>2</v>
      </c>
      <c r="AI48" s="0" t="n">
        <f aca="false">IF(OR($A$4=公区维修!$F48,$BN$4=1),0,4-SUMPRODUCT(--(($A$1:$A$4=公区维修!$F48)+$BN$1:$BN$4&gt;0)))</f>
        <v>3</v>
      </c>
      <c r="AJ48" s="0" t="n">
        <f aca="false">IF(OR($A$5=公区维修!$F48,$BN$5=1),0,5-SUMPRODUCT(--(($A$1:$A$5=公区维修!$F48)+$BN$1:$BN$5&gt;0)))</f>
        <v>4</v>
      </c>
      <c r="AL48" s="0" t="str">
        <f aca="false">IFERROR(INDEX($A$1:$A$5,MATCH(1,$AF48:$AJ48,0)),IF(1=MAX($AF48:$AJ48)+1,"取消",""))</f>
        <v>李师傅</v>
      </c>
      <c r="AM48" s="0" t="str">
        <f aca="false">IFERROR(INDEX($A$1:$A$5,MATCH(2,$AF48:$AJ48,0)),IF(2=MAX($AF48:$AJ48)+1,"取消",""))</f>
        <v>王师傅</v>
      </c>
      <c r="AN48" s="0" t="str">
        <f aca="false">IFERROR(INDEX($A$1:$A$5,MATCH(3,$AF48:$AJ48,0)),IF(3=MAX($AF48:$AJ48)+1,"取消",""))</f>
        <v>陈师傅</v>
      </c>
      <c r="AO48" s="0" t="str">
        <f aca="false">IFERROR(INDEX($A$1:$A$5,MATCH(4,$AF48:$AJ48,0)),IF(4=MAX($AF48:$AJ48)+1,"取消",""))</f>
        <v>刘师傅</v>
      </c>
      <c r="AP48" s="0" t="str">
        <f aca="false">IFERROR(INDEX($A$1:$A$5,MATCH(5,$AF48:$AJ48,0)),IF(5=MAX($AF48:$AJ48)+1,"取消",""))</f>
        <v>取消</v>
      </c>
      <c r="AQ48" s="0" t="str">
        <f aca="false">IFERROR(INDEX($A$1:$A$5,MATCH(6,$AF48:$AJ48,0)),IF(6=MAX($AF48:$AJ48)+1,"取消",""))</f>
        <v/>
      </c>
      <c r="AS48" s="0" t="n">
        <f aca="false">IF(OR($A$1=公区维修!$F48,$A$1=公区维修!$G48,$BN$1=1),0,1-SUMPRODUCT(--(($A$1=公区维修!$F48)+($A$1=公区维修!$G48)+$BN$1&gt;0)))</f>
        <v>0</v>
      </c>
      <c r="AT48" s="0" t="n">
        <f aca="false">IF(OR($A$2=公区维修!$F48,$A$2=公区维修!$G48,$BN$2=1),0,2-SUMPRODUCT(--(($A$1:$A$2=公区维修!$F48)+($A$1:$A$2=公区维修!$G48)+$BN$1:$BN$2&gt;0)))</f>
        <v>1</v>
      </c>
      <c r="AU48" s="0" t="n">
        <f aca="false">IF(OR($A$3=公区维修!$F48,$A$3=公区维修!$G48,$BN$3=1),0,3-SUMPRODUCT(--(($A$1:$A$3=公区维修!$F48)+($A$1:$A$3=公区维修!$G48)+$BN$1:$BN$3&gt;0)))</f>
        <v>2</v>
      </c>
      <c r="AV48" s="0" t="n">
        <f aca="false">IF(OR($A$4=公区维修!$F48,$A$4=公区维修!$G48,$BN$4=1),0,4-SUMPRODUCT(--(($A$1:$A$4=公区维修!$F48)+($A$1:$A$4=公区维修!$G48)+$BN$1:$BN$4&gt;0)))</f>
        <v>3</v>
      </c>
      <c r="AW48" s="0" t="n">
        <f aca="false">IF(OR($A$5=公区维修!$F48,$A$5=公区维修!$G48,$BN$5=1),0,5-SUMPRODUCT(--(($A$1:$A$5=公区维修!$F48)+($A$1:$A$5=公区维修!$G48)+$BN$1:$BN$5&gt;0)))</f>
        <v>4</v>
      </c>
      <c r="AY48" s="0" t="str">
        <f aca="false">IFERROR(INDEX($A$1:$A$5,MATCH(1,$AS48:$AW48,0)),IF(1=MAX($AS48:$AW48)+1,"取消",""))</f>
        <v>李师傅</v>
      </c>
      <c r="AZ48" s="0" t="str">
        <f aca="false">IFERROR(INDEX($A$1:$A$5,MATCH(2,$AS48:$AW48,0)),IF(2=MAX($AS48:$AW48)+1,"取消",""))</f>
        <v>王师傅</v>
      </c>
      <c r="BA48" s="0" t="str">
        <f aca="false">IFERROR(INDEX($A$1:$A$5,MATCH(3,$AS48:$AW48,0)),IF(3=MAX($AS48:$AW48)+1,"取消",""))</f>
        <v>陈师傅</v>
      </c>
      <c r="BB48" s="0" t="str">
        <f aca="false">IFERROR(INDEX($A$1:$A$5,MATCH(4,$AS48:$AW48,0)),IF(4=MAX($AS48:$AW48)+1,"取消",""))</f>
        <v>刘师傅</v>
      </c>
      <c r="BC48" s="0" t="str">
        <f aca="false">IFERROR(INDEX($A$1:$A$5,MATCH(5,$AS48:$AW48,0)),IF(5=MAX($AS48:$AW48)+1,"取消",""))</f>
        <v>取消</v>
      </c>
      <c r="BD48" s="0" t="str">
        <f aca="false">IFERROR(INDEX($A$1:$A$5,MATCH(6,$AS48:$AW48,0)),IF(6=MAX($AS48:$AW48)+1,"取消",""))</f>
        <v/>
      </c>
      <c r="FW48" s="0" t="str">
        <f aca="false">IF(AND(单元查询!$D$3&lt;&gt;"",IF(单元查询!$B$3="公区维修",公区维修!$E48&lt;&gt;"",入户维修!$E48&lt;&gt;""),IF(单元查询!$B$3="公区维修",公区维修!$C48,入户维修!$C48)=单元查询!$D$3,OR(单元查询!$F$3="",IF(单元查询!$B$3="公区维修",公区维修!$D48,入户维修!$D48)&amp;""=(单元查询!$F$3)&amp;"")),MAX($FW$4:$FW47)+1,"")</f>
        <v/>
      </c>
    </row>
    <row r="49" customFormat="false" ht="15" hidden="false" customHeight="true" outlineLevel="0" collapsed="false">
      <c r="F49" s="0" t="n">
        <f aca="false">IF(OR($A$1=入户维修!$F49,$BN$1=1),0,1-SUMPRODUCT(--(($A$1=入户维修!$F49)+$BN$1&gt;0)))</f>
        <v>0</v>
      </c>
      <c r="G49" s="0" t="n">
        <f aca="false">IF(OR($A$2=入户维修!$F49,$BN$2=1),0,2-SUMPRODUCT(--(($A$1:$A$2=入户维修!$F49)+$BN$1:$BN$2&gt;0)))</f>
        <v>1</v>
      </c>
      <c r="H49" s="0" t="n">
        <f aca="false">IF(OR($A$3=入户维修!$F49,$BN$3=1),0,3-SUMPRODUCT(--(($A$1:$A$3=入户维修!$F49)+$BN$1:$BN$3&gt;0)))</f>
        <v>0</v>
      </c>
      <c r="I49" s="0" t="n">
        <f aca="false">IF(OR($A$4=入户维修!$F49,$BN$4=1),0,4-SUMPRODUCT(--(($A$1:$A$4=入户维修!$F49)+$BN$1:$BN$4&gt;0)))</f>
        <v>2</v>
      </c>
      <c r="J49" s="0" t="n">
        <f aca="false">IF(OR($A$5=入户维修!$F49,$BN$5=1),0,5-SUMPRODUCT(--(($A$1:$A$5=入户维修!$F49)+$BN$1:$BN$5&gt;0)))</f>
        <v>3</v>
      </c>
      <c r="L49" s="0" t="str">
        <f aca="false">IFERROR(INDEX($A$1:$A$5,MATCH(1,$F49:$J49,0)),IF(1=MAX($F49:$J49)+1,"取消",""))</f>
        <v>李师傅</v>
      </c>
      <c r="M49" s="0" t="str">
        <f aca="false">IFERROR(INDEX($A$1:$A$5,MATCH(2,$F49:$J49,0)),IF(2=MAX($F49:$J49)+1,"取消",""))</f>
        <v>陈师傅</v>
      </c>
      <c r="N49" s="0" t="str">
        <f aca="false">IFERROR(INDEX($A$1:$A$5,MATCH(3,$F49:$J49,0)),IF(3=MAX($F49:$J49)+1,"取消",""))</f>
        <v>刘师傅</v>
      </c>
      <c r="O49" s="0" t="str">
        <f aca="false">IFERROR(INDEX($A$1:$A$5,MATCH(4,$F49:$J49,0)),IF(4=MAX($F49:$J49)+1,"取消",""))</f>
        <v>取消</v>
      </c>
      <c r="P49" s="0" t="str">
        <f aca="false">IFERROR(INDEX($A$1:$A$5,MATCH(5,$F49:$J49,0)),IF(5=MAX($F49:$J49)+1,"取消",""))</f>
        <v/>
      </c>
      <c r="Q49" s="0" t="str">
        <f aca="false">IFERROR(INDEX($A$1:$A$5,MATCH(6,$F49:$J49,0)),IF(6=MAX($F49:$J49)+1,"取消",""))</f>
        <v/>
      </c>
      <c r="S49" s="0" t="n">
        <f aca="false">IF(OR($A$1=入户维修!$F49,$A$1=入户维修!$G49,$BN$1=1),0,1-SUMPRODUCT(--(($A$1=入户维修!$F49)+($A$1=入户维修!$G49)+$BN$1&gt;0)))</f>
        <v>0</v>
      </c>
      <c r="T49" s="0" t="n">
        <f aca="false">IF(OR($A$2=入户维修!$F49,$A$2=入户维修!$G49,$BN$2=1),0,2-SUMPRODUCT(--(($A$1:$A$2=入户维修!$F49)+($A$1:$A$2=入户维修!$G49)+$BN$1:$BN$2&gt;0)))</f>
        <v>1</v>
      </c>
      <c r="U49" s="0" t="n">
        <f aca="false">IF(OR($A$3=入户维修!$F49,$A$3=入户维修!$G49,$BN$3=1),0,3-SUMPRODUCT(--(($A$1:$A$3=入户维修!$F49)+($A$1:$A$3=入户维修!$G49)+$BN$1:$BN$3&gt;0)))</f>
        <v>0</v>
      </c>
      <c r="V49" s="0" t="n">
        <f aca="false">IF(OR($A$4=入户维修!$F49,$A$4=入户维修!$G49,$BN$4=1),0,4-SUMPRODUCT(--(($A$1:$A$4=入户维修!$F49)+($A$1:$A$4=入户维修!$G49)+$BN$1:$BN$4&gt;0)))</f>
        <v>2</v>
      </c>
      <c r="W49" s="0" t="n">
        <f aca="false">IF(OR($A$5=入户维修!$F49,$A$5=入户维修!$G49,$BN$5=1),0,5-SUMPRODUCT(--(($A$1:$A$5=入户维修!$F49)+($A$1:$A$5=入户维修!$G49)+$BN$1:$BN$5&gt;0)))</f>
        <v>3</v>
      </c>
      <c r="Y49" s="0" t="str">
        <f aca="false">IFERROR(INDEX($A$1:$A$5,MATCH(1,$S49:$W49,0)),IF(1=MAX($S49:$W49)+1,"取消",""))</f>
        <v>李师傅</v>
      </c>
      <c r="Z49" s="0" t="str">
        <f aca="false">IFERROR(INDEX($A$1:$A$5,MATCH(2,$S49:$W49,0)),IF(2=MAX($S49:$W49)+1,"取消",""))</f>
        <v>陈师傅</v>
      </c>
      <c r="AA49" s="0" t="str">
        <f aca="false">IFERROR(INDEX($A$1:$A$5,MATCH(3,$S49:$W49,0)),IF(3=MAX($S49:$W49)+1,"取消",""))</f>
        <v>刘师傅</v>
      </c>
      <c r="AB49" s="0" t="str">
        <f aca="false">IFERROR(INDEX($A$1:$A$5,MATCH(4,$S49:$W49,0)),IF(4=MAX($S49:$W49)+1,"取消",""))</f>
        <v>取消</v>
      </c>
      <c r="AC49" s="0" t="str">
        <f aca="false">IFERROR(INDEX($A$1:$A$5,MATCH(5,$S49:$W49,0)),IF(5=MAX($S49:$W49)+1,"取消",""))</f>
        <v/>
      </c>
      <c r="AD49" s="0" t="str">
        <f aca="false">IFERROR(INDEX($A$1:$A$5,MATCH(6,$S49:$W49,0)),IF(6=MAX($S49:$W49)+1,"取消",""))</f>
        <v/>
      </c>
      <c r="AF49" s="0" t="n">
        <f aca="false">IF(OR($A$1=公区维修!$F49,$BN$1=1),0,1-SUMPRODUCT(--(($A$1=公区维修!$F49)+$BN$1&gt;0)))</f>
        <v>0</v>
      </c>
      <c r="AG49" s="0" t="n">
        <f aca="false">IF(OR($A$2=公区维修!$F49,$BN$2=1),0,2-SUMPRODUCT(--(($A$1:$A$2=公区维修!$F49)+$BN$1:$BN$2&gt;0)))</f>
        <v>1</v>
      </c>
      <c r="AH49" s="0" t="n">
        <f aca="false">IF(OR($A$3=公区维修!$F49,$BN$3=1),0,3-SUMPRODUCT(--(($A$1:$A$3=公区维修!$F49)+$BN$1:$BN$3&gt;0)))</f>
        <v>2</v>
      </c>
      <c r="AI49" s="0" t="n">
        <f aca="false">IF(OR($A$4=公区维修!$F49,$BN$4=1),0,4-SUMPRODUCT(--(($A$1:$A$4=公区维修!$F49)+$BN$1:$BN$4&gt;0)))</f>
        <v>3</v>
      </c>
      <c r="AJ49" s="0" t="n">
        <f aca="false">IF(OR($A$5=公区维修!$F49,$BN$5=1),0,5-SUMPRODUCT(--(($A$1:$A$5=公区维修!$F49)+$BN$1:$BN$5&gt;0)))</f>
        <v>4</v>
      </c>
      <c r="AL49" s="0" t="str">
        <f aca="false">IFERROR(INDEX($A$1:$A$5,MATCH(1,$AF49:$AJ49,0)),IF(1=MAX($AF49:$AJ49)+1,"取消",""))</f>
        <v>李师傅</v>
      </c>
      <c r="AM49" s="0" t="str">
        <f aca="false">IFERROR(INDEX($A$1:$A$5,MATCH(2,$AF49:$AJ49,0)),IF(2=MAX($AF49:$AJ49)+1,"取消",""))</f>
        <v>王师傅</v>
      </c>
      <c r="AN49" s="0" t="str">
        <f aca="false">IFERROR(INDEX($A$1:$A$5,MATCH(3,$AF49:$AJ49,0)),IF(3=MAX($AF49:$AJ49)+1,"取消",""))</f>
        <v>陈师傅</v>
      </c>
      <c r="AO49" s="0" t="str">
        <f aca="false">IFERROR(INDEX($A$1:$A$5,MATCH(4,$AF49:$AJ49,0)),IF(4=MAX($AF49:$AJ49)+1,"取消",""))</f>
        <v>刘师傅</v>
      </c>
      <c r="AP49" s="0" t="str">
        <f aca="false">IFERROR(INDEX($A$1:$A$5,MATCH(5,$AF49:$AJ49,0)),IF(5=MAX($AF49:$AJ49)+1,"取消",""))</f>
        <v>取消</v>
      </c>
      <c r="AQ49" s="0" t="str">
        <f aca="false">IFERROR(INDEX($A$1:$A$5,MATCH(6,$AF49:$AJ49,0)),IF(6=MAX($AF49:$AJ49)+1,"取消",""))</f>
        <v/>
      </c>
      <c r="AS49" s="0" t="n">
        <f aca="false">IF(OR($A$1=公区维修!$F49,$A$1=公区维修!$G49,$BN$1=1),0,1-SUMPRODUCT(--(($A$1=公区维修!$F49)+($A$1=公区维修!$G49)+$BN$1&gt;0)))</f>
        <v>0</v>
      </c>
      <c r="AT49" s="0" t="n">
        <f aca="false">IF(OR($A$2=公区维修!$F49,$A$2=公区维修!$G49,$BN$2=1),0,2-SUMPRODUCT(--(($A$1:$A$2=公区维修!$F49)+($A$1:$A$2=公区维修!$G49)+$BN$1:$BN$2&gt;0)))</f>
        <v>1</v>
      </c>
      <c r="AU49" s="0" t="n">
        <f aca="false">IF(OR($A$3=公区维修!$F49,$A$3=公区维修!$G49,$BN$3=1),0,3-SUMPRODUCT(--(($A$1:$A$3=公区维修!$F49)+($A$1:$A$3=公区维修!$G49)+$BN$1:$BN$3&gt;0)))</f>
        <v>2</v>
      </c>
      <c r="AV49" s="0" t="n">
        <f aca="false">IF(OR($A$4=公区维修!$F49,$A$4=公区维修!$G49,$BN$4=1),0,4-SUMPRODUCT(--(($A$1:$A$4=公区维修!$F49)+($A$1:$A$4=公区维修!$G49)+$BN$1:$BN$4&gt;0)))</f>
        <v>3</v>
      </c>
      <c r="AW49" s="0" t="n">
        <f aca="false">IF(OR($A$5=公区维修!$F49,$A$5=公区维修!$G49,$BN$5=1),0,5-SUMPRODUCT(--(($A$1:$A$5=公区维修!$F49)+($A$1:$A$5=公区维修!$G49)+$BN$1:$BN$5&gt;0)))</f>
        <v>4</v>
      </c>
      <c r="AY49" s="0" t="str">
        <f aca="false">IFERROR(INDEX($A$1:$A$5,MATCH(1,$AS49:$AW49,0)),IF(1=MAX($AS49:$AW49)+1,"取消",""))</f>
        <v>李师傅</v>
      </c>
      <c r="AZ49" s="0" t="str">
        <f aca="false">IFERROR(INDEX($A$1:$A$5,MATCH(2,$AS49:$AW49,0)),IF(2=MAX($AS49:$AW49)+1,"取消",""))</f>
        <v>王师傅</v>
      </c>
      <c r="BA49" s="0" t="str">
        <f aca="false">IFERROR(INDEX($A$1:$A$5,MATCH(3,$AS49:$AW49,0)),IF(3=MAX($AS49:$AW49)+1,"取消",""))</f>
        <v>陈师傅</v>
      </c>
      <c r="BB49" s="0" t="str">
        <f aca="false">IFERROR(INDEX($A$1:$A$5,MATCH(4,$AS49:$AW49,0)),IF(4=MAX($AS49:$AW49)+1,"取消",""))</f>
        <v>刘师傅</v>
      </c>
      <c r="BC49" s="0" t="str">
        <f aca="false">IFERROR(INDEX($A$1:$A$5,MATCH(5,$AS49:$AW49,0)),IF(5=MAX($AS49:$AW49)+1,"取消",""))</f>
        <v>取消</v>
      </c>
      <c r="BD49" s="0" t="str">
        <f aca="false">IFERROR(INDEX($A$1:$A$5,MATCH(6,$AS49:$AW49,0)),IF(6=MAX($AS49:$AW49)+1,"取消",""))</f>
        <v/>
      </c>
      <c r="FW49" s="0" t="str">
        <f aca="false">IF(AND(单元查询!$D$3&lt;&gt;"",IF(单元查询!$B$3="公区维修",公区维修!$E49&lt;&gt;"",入户维修!$E49&lt;&gt;""),IF(单元查询!$B$3="公区维修",公区维修!$C49,入户维修!$C49)=单元查询!$D$3,OR(单元查询!$F$3="",IF(单元查询!$B$3="公区维修",公区维修!$D49,入户维修!$D49)&amp;""=(单元查询!$F$3)&amp;"")),MAX($FW$4:$FW48)+1,"")</f>
        <v/>
      </c>
    </row>
    <row r="50" customFormat="false" ht="15" hidden="false" customHeight="true" outlineLevel="0" collapsed="false">
      <c r="F50" s="0" t="n">
        <f aca="false">IF(OR($A$1=入户维修!$F50,$BN$1=1),0,1-SUMPRODUCT(--(($A$1=入户维修!$F50)+$BN$1&gt;0)))</f>
        <v>0</v>
      </c>
      <c r="G50" s="0" t="n">
        <f aca="false">IF(OR($A$2=入户维修!$F50,$BN$2=1),0,2-SUMPRODUCT(--(($A$1:$A$2=入户维修!$F50)+$BN$1:$BN$2&gt;0)))</f>
        <v>1</v>
      </c>
      <c r="H50" s="0" t="n">
        <f aca="false">IF(OR($A$3=入户维修!$F50,$BN$3=1),0,3-SUMPRODUCT(--(($A$1:$A$3=入户维修!$F50)+$BN$1:$BN$3&gt;0)))</f>
        <v>2</v>
      </c>
      <c r="I50" s="0" t="n">
        <f aca="false">IF(OR($A$4=入户维修!$F50,$BN$4=1),0,4-SUMPRODUCT(--(($A$1:$A$4=入户维修!$F50)+$BN$1:$BN$4&gt;0)))</f>
        <v>3</v>
      </c>
      <c r="J50" s="0" t="n">
        <f aca="false">IF(OR($A$5=入户维修!$F50,$BN$5=1),0,5-SUMPRODUCT(--(($A$1:$A$5=入户维修!$F50)+$BN$1:$BN$5&gt;0)))</f>
        <v>4</v>
      </c>
      <c r="L50" s="0" t="str">
        <f aca="false">IFERROR(INDEX($A$1:$A$5,MATCH(1,$F50:$J50,0)),IF(1=MAX($F50:$J50)+1,"取消",""))</f>
        <v>李师傅</v>
      </c>
      <c r="M50" s="0" t="str">
        <f aca="false">IFERROR(INDEX($A$1:$A$5,MATCH(2,$F50:$J50,0)),IF(2=MAX($F50:$J50)+1,"取消",""))</f>
        <v>王师傅</v>
      </c>
      <c r="N50" s="0" t="str">
        <f aca="false">IFERROR(INDEX($A$1:$A$5,MATCH(3,$F50:$J50,0)),IF(3=MAX($F50:$J50)+1,"取消",""))</f>
        <v>陈师傅</v>
      </c>
      <c r="O50" s="0" t="str">
        <f aca="false">IFERROR(INDEX($A$1:$A$5,MATCH(4,$F50:$J50,0)),IF(4=MAX($F50:$J50)+1,"取消",""))</f>
        <v>刘师傅</v>
      </c>
      <c r="P50" s="0" t="str">
        <f aca="false">IFERROR(INDEX($A$1:$A$5,MATCH(5,$F50:$J50,0)),IF(5=MAX($F50:$J50)+1,"取消",""))</f>
        <v>取消</v>
      </c>
      <c r="Q50" s="0" t="str">
        <f aca="false">IFERROR(INDEX($A$1:$A$5,MATCH(6,$F50:$J50,0)),IF(6=MAX($F50:$J50)+1,"取消",""))</f>
        <v/>
      </c>
      <c r="S50" s="0" t="n">
        <f aca="false">IF(OR($A$1=入户维修!$F50,$A$1=入户维修!$G50,$BN$1=1),0,1-SUMPRODUCT(--(($A$1=入户维修!$F50)+($A$1=入户维修!$G50)+$BN$1&gt;0)))</f>
        <v>0</v>
      </c>
      <c r="T50" s="0" t="n">
        <f aca="false">IF(OR($A$2=入户维修!$F50,$A$2=入户维修!$G50,$BN$2=1),0,2-SUMPRODUCT(--(($A$1:$A$2=入户维修!$F50)+($A$1:$A$2=入户维修!$G50)+$BN$1:$BN$2&gt;0)))</f>
        <v>1</v>
      </c>
      <c r="U50" s="0" t="n">
        <f aca="false">IF(OR($A$3=入户维修!$F50,$A$3=入户维修!$G50,$BN$3=1),0,3-SUMPRODUCT(--(($A$1:$A$3=入户维修!$F50)+($A$1:$A$3=入户维修!$G50)+$BN$1:$BN$3&gt;0)))</f>
        <v>2</v>
      </c>
      <c r="V50" s="0" t="n">
        <f aca="false">IF(OR($A$4=入户维修!$F50,$A$4=入户维修!$G50,$BN$4=1),0,4-SUMPRODUCT(--(($A$1:$A$4=入户维修!$F50)+($A$1:$A$4=入户维修!$G50)+$BN$1:$BN$4&gt;0)))</f>
        <v>3</v>
      </c>
      <c r="W50" s="0" t="n">
        <f aca="false">IF(OR($A$5=入户维修!$F50,$A$5=入户维修!$G50,$BN$5=1),0,5-SUMPRODUCT(--(($A$1:$A$5=入户维修!$F50)+($A$1:$A$5=入户维修!$G50)+$BN$1:$BN$5&gt;0)))</f>
        <v>4</v>
      </c>
      <c r="Y50" s="0" t="str">
        <f aca="false">IFERROR(INDEX($A$1:$A$5,MATCH(1,$S50:$W50,0)),IF(1=MAX($S50:$W50)+1,"取消",""))</f>
        <v>李师傅</v>
      </c>
      <c r="Z50" s="0" t="str">
        <f aca="false">IFERROR(INDEX($A$1:$A$5,MATCH(2,$S50:$W50,0)),IF(2=MAX($S50:$W50)+1,"取消",""))</f>
        <v>王师傅</v>
      </c>
      <c r="AA50" s="0" t="str">
        <f aca="false">IFERROR(INDEX($A$1:$A$5,MATCH(3,$S50:$W50,0)),IF(3=MAX($S50:$W50)+1,"取消",""))</f>
        <v>陈师傅</v>
      </c>
      <c r="AB50" s="0" t="str">
        <f aca="false">IFERROR(INDEX($A$1:$A$5,MATCH(4,$S50:$W50,0)),IF(4=MAX($S50:$W50)+1,"取消",""))</f>
        <v>刘师傅</v>
      </c>
      <c r="AC50" s="0" t="str">
        <f aca="false">IFERROR(INDEX($A$1:$A$5,MATCH(5,$S50:$W50,0)),IF(5=MAX($S50:$W50)+1,"取消",""))</f>
        <v>取消</v>
      </c>
      <c r="AD50" s="0" t="str">
        <f aca="false">IFERROR(INDEX($A$1:$A$5,MATCH(6,$S50:$W50,0)),IF(6=MAX($S50:$W50)+1,"取消",""))</f>
        <v/>
      </c>
      <c r="AF50" s="0" t="n">
        <f aca="false">IF(OR($A$1=公区维修!$F50,$BN$1=1),0,1-SUMPRODUCT(--(($A$1=公区维修!$F50)+$BN$1&gt;0)))</f>
        <v>0</v>
      </c>
      <c r="AG50" s="0" t="n">
        <f aca="false">IF(OR($A$2=公区维修!$F50,$BN$2=1),0,2-SUMPRODUCT(--(($A$1:$A$2=公区维修!$F50)+$BN$1:$BN$2&gt;0)))</f>
        <v>1</v>
      </c>
      <c r="AH50" s="0" t="n">
        <f aca="false">IF(OR($A$3=公区维修!$F50,$BN$3=1),0,3-SUMPRODUCT(--(($A$1:$A$3=公区维修!$F50)+$BN$1:$BN$3&gt;0)))</f>
        <v>2</v>
      </c>
      <c r="AI50" s="0" t="n">
        <f aca="false">IF(OR($A$4=公区维修!$F50,$BN$4=1),0,4-SUMPRODUCT(--(($A$1:$A$4=公区维修!$F50)+$BN$1:$BN$4&gt;0)))</f>
        <v>3</v>
      </c>
      <c r="AJ50" s="0" t="n">
        <f aca="false">IF(OR($A$5=公区维修!$F50,$BN$5=1),0,5-SUMPRODUCT(--(($A$1:$A$5=公区维修!$F50)+$BN$1:$BN$5&gt;0)))</f>
        <v>4</v>
      </c>
      <c r="AL50" s="0" t="str">
        <f aca="false">IFERROR(INDEX($A$1:$A$5,MATCH(1,$AF50:$AJ50,0)),IF(1=MAX($AF50:$AJ50)+1,"取消",""))</f>
        <v>李师傅</v>
      </c>
      <c r="AM50" s="0" t="str">
        <f aca="false">IFERROR(INDEX($A$1:$A$5,MATCH(2,$AF50:$AJ50,0)),IF(2=MAX($AF50:$AJ50)+1,"取消",""))</f>
        <v>王师傅</v>
      </c>
      <c r="AN50" s="0" t="str">
        <f aca="false">IFERROR(INDEX($A$1:$A$5,MATCH(3,$AF50:$AJ50,0)),IF(3=MAX($AF50:$AJ50)+1,"取消",""))</f>
        <v>陈师傅</v>
      </c>
      <c r="AO50" s="0" t="str">
        <f aca="false">IFERROR(INDEX($A$1:$A$5,MATCH(4,$AF50:$AJ50,0)),IF(4=MAX($AF50:$AJ50)+1,"取消",""))</f>
        <v>刘师傅</v>
      </c>
      <c r="AP50" s="0" t="str">
        <f aca="false">IFERROR(INDEX($A$1:$A$5,MATCH(5,$AF50:$AJ50,0)),IF(5=MAX($AF50:$AJ50)+1,"取消",""))</f>
        <v>取消</v>
      </c>
      <c r="AQ50" s="0" t="str">
        <f aca="false">IFERROR(INDEX($A$1:$A$5,MATCH(6,$AF50:$AJ50,0)),IF(6=MAX($AF50:$AJ50)+1,"取消",""))</f>
        <v/>
      </c>
      <c r="AS50" s="0" t="n">
        <f aca="false">IF(OR($A$1=公区维修!$F50,$A$1=公区维修!$G50,$BN$1=1),0,1-SUMPRODUCT(--(($A$1=公区维修!$F50)+($A$1=公区维修!$G50)+$BN$1&gt;0)))</f>
        <v>0</v>
      </c>
      <c r="AT50" s="0" t="n">
        <f aca="false">IF(OR($A$2=公区维修!$F50,$A$2=公区维修!$G50,$BN$2=1),0,2-SUMPRODUCT(--(($A$1:$A$2=公区维修!$F50)+($A$1:$A$2=公区维修!$G50)+$BN$1:$BN$2&gt;0)))</f>
        <v>1</v>
      </c>
      <c r="AU50" s="0" t="n">
        <f aca="false">IF(OR($A$3=公区维修!$F50,$A$3=公区维修!$G50,$BN$3=1),0,3-SUMPRODUCT(--(($A$1:$A$3=公区维修!$F50)+($A$1:$A$3=公区维修!$G50)+$BN$1:$BN$3&gt;0)))</f>
        <v>2</v>
      </c>
      <c r="AV50" s="0" t="n">
        <f aca="false">IF(OR($A$4=公区维修!$F50,$A$4=公区维修!$G50,$BN$4=1),0,4-SUMPRODUCT(--(($A$1:$A$4=公区维修!$F50)+($A$1:$A$4=公区维修!$G50)+$BN$1:$BN$4&gt;0)))</f>
        <v>3</v>
      </c>
      <c r="AW50" s="0" t="n">
        <f aca="false">IF(OR($A$5=公区维修!$F50,$A$5=公区维修!$G50,$BN$5=1),0,5-SUMPRODUCT(--(($A$1:$A$5=公区维修!$F50)+($A$1:$A$5=公区维修!$G50)+$BN$1:$BN$5&gt;0)))</f>
        <v>4</v>
      </c>
      <c r="AY50" s="0" t="str">
        <f aca="false">IFERROR(INDEX($A$1:$A$5,MATCH(1,$AS50:$AW50,0)),IF(1=MAX($AS50:$AW50)+1,"取消",""))</f>
        <v>李师傅</v>
      </c>
      <c r="AZ50" s="0" t="str">
        <f aca="false">IFERROR(INDEX($A$1:$A$5,MATCH(2,$AS50:$AW50,0)),IF(2=MAX($AS50:$AW50)+1,"取消",""))</f>
        <v>王师傅</v>
      </c>
      <c r="BA50" s="0" t="str">
        <f aca="false">IFERROR(INDEX($A$1:$A$5,MATCH(3,$AS50:$AW50,0)),IF(3=MAX($AS50:$AW50)+1,"取消",""))</f>
        <v>陈师傅</v>
      </c>
      <c r="BB50" s="0" t="str">
        <f aca="false">IFERROR(INDEX($A$1:$A$5,MATCH(4,$AS50:$AW50,0)),IF(4=MAX($AS50:$AW50)+1,"取消",""))</f>
        <v>刘师傅</v>
      </c>
      <c r="BC50" s="0" t="str">
        <f aca="false">IFERROR(INDEX($A$1:$A$5,MATCH(5,$AS50:$AW50,0)),IF(5=MAX($AS50:$AW50)+1,"取消",""))</f>
        <v>取消</v>
      </c>
      <c r="BD50" s="0" t="str">
        <f aca="false">IFERROR(INDEX($A$1:$A$5,MATCH(6,$AS50:$AW50,0)),IF(6=MAX($AS50:$AW50)+1,"取消",""))</f>
        <v/>
      </c>
      <c r="FW50" s="0" t="str">
        <f aca="false">IF(AND(单元查询!$D$3&lt;&gt;"",IF(单元查询!$B$3="公区维修",公区维修!$E50&lt;&gt;"",入户维修!$E50&lt;&gt;""),IF(单元查询!$B$3="公区维修",公区维修!$C50,入户维修!$C50)=单元查询!$D$3,OR(单元查询!$F$3="",IF(单元查询!$B$3="公区维修",公区维修!$D50,入户维修!$D50)&amp;""=(单元查询!$F$3)&amp;"")),MAX($FW$4:$FW49)+1,"")</f>
        <v/>
      </c>
    </row>
    <row r="51" customFormat="false" ht="15" hidden="false" customHeight="true" outlineLevel="0" collapsed="false">
      <c r="F51" s="0" t="n">
        <f aca="false">IF(OR($A$1=入户维修!$F51,$BN$1=1),0,1-SUMPRODUCT(--(($A$1=入户维修!$F51)+$BN$1&gt;0)))</f>
        <v>0</v>
      </c>
      <c r="G51" s="0" t="n">
        <f aca="false">IF(OR($A$2=入户维修!$F51,$BN$2=1),0,2-SUMPRODUCT(--(($A$1:$A$2=入户维修!$F51)+$BN$1:$BN$2&gt;0)))</f>
        <v>0</v>
      </c>
      <c r="H51" s="0" t="n">
        <f aca="false">IF(OR($A$3=入户维修!$F51,$BN$3=1),0,3-SUMPRODUCT(--(($A$1:$A$3=入户维修!$F51)+$BN$1:$BN$3&gt;0)))</f>
        <v>1</v>
      </c>
      <c r="I51" s="0" t="n">
        <f aca="false">IF(OR($A$4=入户维修!$F51,$BN$4=1),0,4-SUMPRODUCT(--(($A$1:$A$4=入户维修!$F51)+$BN$1:$BN$4&gt;0)))</f>
        <v>2</v>
      </c>
      <c r="J51" s="0" t="n">
        <f aca="false">IF(OR($A$5=入户维修!$F51,$BN$5=1),0,5-SUMPRODUCT(--(($A$1:$A$5=入户维修!$F51)+$BN$1:$BN$5&gt;0)))</f>
        <v>3</v>
      </c>
      <c r="L51" s="0" t="str">
        <f aca="false">IFERROR(INDEX($A$1:$A$5,MATCH(1,$F51:$J51,0)),IF(1=MAX($F51:$J51)+1,"取消",""))</f>
        <v>王师傅</v>
      </c>
      <c r="M51" s="0" t="str">
        <f aca="false">IFERROR(INDEX($A$1:$A$5,MATCH(2,$F51:$J51,0)),IF(2=MAX($F51:$J51)+1,"取消",""))</f>
        <v>陈师傅</v>
      </c>
      <c r="N51" s="0" t="str">
        <f aca="false">IFERROR(INDEX($A$1:$A$5,MATCH(3,$F51:$J51,0)),IF(3=MAX($F51:$J51)+1,"取消",""))</f>
        <v>刘师傅</v>
      </c>
      <c r="O51" s="0" t="str">
        <f aca="false">IFERROR(INDEX($A$1:$A$5,MATCH(4,$F51:$J51,0)),IF(4=MAX($F51:$J51)+1,"取消",""))</f>
        <v>取消</v>
      </c>
      <c r="P51" s="0" t="str">
        <f aca="false">IFERROR(INDEX($A$1:$A$5,MATCH(5,$F51:$J51,0)),IF(5=MAX($F51:$J51)+1,"取消",""))</f>
        <v/>
      </c>
      <c r="Q51" s="0" t="str">
        <f aca="false">IFERROR(INDEX($A$1:$A$5,MATCH(6,$F51:$J51,0)),IF(6=MAX($F51:$J51)+1,"取消",""))</f>
        <v/>
      </c>
      <c r="S51" s="0" t="n">
        <f aca="false">IF(OR($A$1=入户维修!$F51,$A$1=入户维修!$G51,$BN$1=1),0,1-SUMPRODUCT(--(($A$1=入户维修!$F51)+($A$1=入户维修!$G51)+$BN$1&gt;0)))</f>
        <v>0</v>
      </c>
      <c r="T51" s="0" t="n">
        <f aca="false">IF(OR($A$2=入户维修!$F51,$A$2=入户维修!$G51,$BN$2=1),0,2-SUMPRODUCT(--(($A$1:$A$2=入户维修!$F51)+($A$1:$A$2=入户维修!$G51)+$BN$1:$BN$2&gt;0)))</f>
        <v>0</v>
      </c>
      <c r="U51" s="0" t="n">
        <f aca="false">IF(OR($A$3=入户维修!$F51,$A$3=入户维修!$G51,$BN$3=1),0,3-SUMPRODUCT(--(($A$1:$A$3=入户维修!$F51)+($A$1:$A$3=入户维修!$G51)+$BN$1:$BN$3&gt;0)))</f>
        <v>1</v>
      </c>
      <c r="V51" s="0" t="n">
        <f aca="false">IF(OR($A$4=入户维修!$F51,$A$4=入户维修!$G51,$BN$4=1),0,4-SUMPRODUCT(--(($A$1:$A$4=入户维修!$F51)+($A$1:$A$4=入户维修!$G51)+$BN$1:$BN$4&gt;0)))</f>
        <v>2</v>
      </c>
      <c r="W51" s="0" t="n">
        <f aca="false">IF(OR($A$5=入户维修!$F51,$A$5=入户维修!$G51,$BN$5=1),0,5-SUMPRODUCT(--(($A$1:$A$5=入户维修!$F51)+($A$1:$A$5=入户维修!$G51)+$BN$1:$BN$5&gt;0)))</f>
        <v>3</v>
      </c>
      <c r="Y51" s="0" t="str">
        <f aca="false">IFERROR(INDEX($A$1:$A$5,MATCH(1,$S51:$W51,0)),IF(1=MAX($S51:$W51)+1,"取消",""))</f>
        <v>王师傅</v>
      </c>
      <c r="Z51" s="0" t="str">
        <f aca="false">IFERROR(INDEX($A$1:$A$5,MATCH(2,$S51:$W51,0)),IF(2=MAX($S51:$W51)+1,"取消",""))</f>
        <v>陈师傅</v>
      </c>
      <c r="AA51" s="0" t="str">
        <f aca="false">IFERROR(INDEX($A$1:$A$5,MATCH(3,$S51:$W51,0)),IF(3=MAX($S51:$W51)+1,"取消",""))</f>
        <v>刘师傅</v>
      </c>
      <c r="AB51" s="0" t="str">
        <f aca="false">IFERROR(INDEX($A$1:$A$5,MATCH(4,$S51:$W51,0)),IF(4=MAX($S51:$W51)+1,"取消",""))</f>
        <v>取消</v>
      </c>
      <c r="AC51" s="0" t="str">
        <f aca="false">IFERROR(INDEX($A$1:$A$5,MATCH(5,$S51:$W51,0)),IF(5=MAX($S51:$W51)+1,"取消",""))</f>
        <v/>
      </c>
      <c r="AD51" s="0" t="str">
        <f aca="false">IFERROR(INDEX($A$1:$A$5,MATCH(6,$S51:$W51,0)),IF(6=MAX($S51:$W51)+1,"取消",""))</f>
        <v/>
      </c>
      <c r="AF51" s="0" t="n">
        <f aca="false">IF(OR($A$1=公区维修!$F51,$BN$1=1),0,1-SUMPRODUCT(--(($A$1=公区维修!$F51)+$BN$1&gt;0)))</f>
        <v>0</v>
      </c>
      <c r="AG51" s="0" t="n">
        <f aca="false">IF(OR($A$2=公区维修!$F51,$BN$2=1),0,2-SUMPRODUCT(--(($A$1:$A$2=公区维修!$F51)+$BN$1:$BN$2&gt;0)))</f>
        <v>1</v>
      </c>
      <c r="AH51" s="0" t="n">
        <f aca="false">IF(OR($A$3=公区维修!$F51,$BN$3=1),0,3-SUMPRODUCT(--(($A$1:$A$3=公区维修!$F51)+$BN$1:$BN$3&gt;0)))</f>
        <v>2</v>
      </c>
      <c r="AI51" s="0" t="n">
        <f aca="false">IF(OR($A$4=公区维修!$F51,$BN$4=1),0,4-SUMPRODUCT(--(($A$1:$A$4=公区维修!$F51)+$BN$1:$BN$4&gt;0)))</f>
        <v>3</v>
      </c>
      <c r="AJ51" s="0" t="n">
        <f aca="false">IF(OR($A$5=公区维修!$F51,$BN$5=1),0,5-SUMPRODUCT(--(($A$1:$A$5=公区维修!$F51)+$BN$1:$BN$5&gt;0)))</f>
        <v>4</v>
      </c>
      <c r="AL51" s="0" t="str">
        <f aca="false">IFERROR(INDEX($A$1:$A$5,MATCH(1,$AF51:$AJ51,0)),IF(1=MAX($AF51:$AJ51)+1,"取消",""))</f>
        <v>李师傅</v>
      </c>
      <c r="AM51" s="0" t="str">
        <f aca="false">IFERROR(INDEX($A$1:$A$5,MATCH(2,$AF51:$AJ51,0)),IF(2=MAX($AF51:$AJ51)+1,"取消",""))</f>
        <v>王师傅</v>
      </c>
      <c r="AN51" s="0" t="str">
        <f aca="false">IFERROR(INDEX($A$1:$A$5,MATCH(3,$AF51:$AJ51,0)),IF(3=MAX($AF51:$AJ51)+1,"取消",""))</f>
        <v>陈师傅</v>
      </c>
      <c r="AO51" s="0" t="str">
        <f aca="false">IFERROR(INDEX($A$1:$A$5,MATCH(4,$AF51:$AJ51,0)),IF(4=MAX($AF51:$AJ51)+1,"取消",""))</f>
        <v>刘师傅</v>
      </c>
      <c r="AP51" s="0" t="str">
        <f aca="false">IFERROR(INDEX($A$1:$A$5,MATCH(5,$AF51:$AJ51,0)),IF(5=MAX($AF51:$AJ51)+1,"取消",""))</f>
        <v>取消</v>
      </c>
      <c r="AQ51" s="0" t="str">
        <f aca="false">IFERROR(INDEX($A$1:$A$5,MATCH(6,$AF51:$AJ51,0)),IF(6=MAX($AF51:$AJ51)+1,"取消",""))</f>
        <v/>
      </c>
      <c r="AS51" s="0" t="n">
        <f aca="false">IF(OR($A$1=公区维修!$F51,$A$1=公区维修!$G51,$BN$1=1),0,1-SUMPRODUCT(--(($A$1=公区维修!$F51)+($A$1=公区维修!$G51)+$BN$1&gt;0)))</f>
        <v>0</v>
      </c>
      <c r="AT51" s="0" t="n">
        <f aca="false">IF(OR($A$2=公区维修!$F51,$A$2=公区维修!$G51,$BN$2=1),0,2-SUMPRODUCT(--(($A$1:$A$2=公区维修!$F51)+($A$1:$A$2=公区维修!$G51)+$BN$1:$BN$2&gt;0)))</f>
        <v>1</v>
      </c>
      <c r="AU51" s="0" t="n">
        <f aca="false">IF(OR($A$3=公区维修!$F51,$A$3=公区维修!$G51,$BN$3=1),0,3-SUMPRODUCT(--(($A$1:$A$3=公区维修!$F51)+($A$1:$A$3=公区维修!$G51)+$BN$1:$BN$3&gt;0)))</f>
        <v>2</v>
      </c>
      <c r="AV51" s="0" t="n">
        <f aca="false">IF(OR($A$4=公区维修!$F51,$A$4=公区维修!$G51,$BN$4=1),0,4-SUMPRODUCT(--(($A$1:$A$4=公区维修!$F51)+($A$1:$A$4=公区维修!$G51)+$BN$1:$BN$4&gt;0)))</f>
        <v>3</v>
      </c>
      <c r="AW51" s="0" t="n">
        <f aca="false">IF(OR($A$5=公区维修!$F51,$A$5=公区维修!$G51,$BN$5=1),0,5-SUMPRODUCT(--(($A$1:$A$5=公区维修!$F51)+($A$1:$A$5=公区维修!$G51)+$BN$1:$BN$5&gt;0)))</f>
        <v>4</v>
      </c>
      <c r="AY51" s="0" t="str">
        <f aca="false">IFERROR(INDEX($A$1:$A$5,MATCH(1,$AS51:$AW51,0)),IF(1=MAX($AS51:$AW51)+1,"取消",""))</f>
        <v>李师傅</v>
      </c>
      <c r="AZ51" s="0" t="str">
        <f aca="false">IFERROR(INDEX($A$1:$A$5,MATCH(2,$AS51:$AW51,0)),IF(2=MAX($AS51:$AW51)+1,"取消",""))</f>
        <v>王师傅</v>
      </c>
      <c r="BA51" s="0" t="str">
        <f aca="false">IFERROR(INDEX($A$1:$A$5,MATCH(3,$AS51:$AW51,0)),IF(3=MAX($AS51:$AW51)+1,"取消",""))</f>
        <v>陈师傅</v>
      </c>
      <c r="BB51" s="0" t="str">
        <f aca="false">IFERROR(INDEX($A$1:$A$5,MATCH(4,$AS51:$AW51,0)),IF(4=MAX($AS51:$AW51)+1,"取消",""))</f>
        <v>刘师傅</v>
      </c>
      <c r="BC51" s="0" t="str">
        <f aca="false">IFERROR(INDEX($A$1:$A$5,MATCH(5,$AS51:$AW51,0)),IF(5=MAX($AS51:$AW51)+1,"取消",""))</f>
        <v>取消</v>
      </c>
      <c r="BD51" s="0" t="str">
        <f aca="false">IFERROR(INDEX($A$1:$A$5,MATCH(6,$AS51:$AW51,0)),IF(6=MAX($AS51:$AW51)+1,"取消",""))</f>
        <v/>
      </c>
      <c r="FW51" s="0" t="str">
        <f aca="false">IF(AND(单元查询!$D$3&lt;&gt;"",IF(单元查询!$B$3="公区维修",公区维修!$E51&lt;&gt;"",入户维修!$E51&lt;&gt;""),IF(单元查询!$B$3="公区维修",公区维修!$C51,入户维修!$C51)=单元查询!$D$3,OR(单元查询!$F$3="",IF(单元查询!$B$3="公区维修",公区维修!$D51,入户维修!$D51)&amp;""=(单元查询!$F$3)&amp;"")),MAX($FW$4:$FW50)+1,"")</f>
        <v/>
      </c>
    </row>
    <row r="52" customFormat="false" ht="15" hidden="false" customHeight="true" outlineLevel="0" collapsed="false">
      <c r="F52" s="0" t="n">
        <f aca="false">IF(OR($A$1=入户维修!$F52,$BN$1=1),0,1-SUMPRODUCT(--(($A$1=入户维修!$F52)+$BN$1&gt;0)))</f>
        <v>0</v>
      </c>
      <c r="G52" s="0" t="n">
        <f aca="false">IF(OR($A$2=入户维修!$F52,$BN$2=1),0,2-SUMPRODUCT(--(($A$1:$A$2=入户维修!$F52)+$BN$1:$BN$2&gt;0)))</f>
        <v>1</v>
      </c>
      <c r="H52" s="0" t="n">
        <f aca="false">IF(OR($A$3=入户维修!$F52,$BN$3=1),0,3-SUMPRODUCT(--(($A$1:$A$3=入户维修!$F52)+$BN$1:$BN$3&gt;0)))</f>
        <v>2</v>
      </c>
      <c r="I52" s="0" t="n">
        <f aca="false">IF(OR($A$4=入户维修!$F52,$BN$4=1),0,4-SUMPRODUCT(--(($A$1:$A$4=入户维修!$F52)+$BN$1:$BN$4&gt;0)))</f>
        <v>3</v>
      </c>
      <c r="J52" s="0" t="n">
        <f aca="false">IF(OR($A$5=入户维修!$F52,$BN$5=1),0,5-SUMPRODUCT(--(($A$1:$A$5=入户维修!$F52)+$BN$1:$BN$5&gt;0)))</f>
        <v>4</v>
      </c>
      <c r="L52" s="0" t="str">
        <f aca="false">IFERROR(INDEX($A$1:$A$5,MATCH(1,$F52:$J52,0)),IF(1=MAX($F52:$J52)+1,"取消",""))</f>
        <v>李师傅</v>
      </c>
      <c r="M52" s="0" t="str">
        <f aca="false">IFERROR(INDEX($A$1:$A$5,MATCH(2,$F52:$J52,0)),IF(2=MAX($F52:$J52)+1,"取消",""))</f>
        <v>王师傅</v>
      </c>
      <c r="N52" s="0" t="str">
        <f aca="false">IFERROR(INDEX($A$1:$A$5,MATCH(3,$F52:$J52,0)),IF(3=MAX($F52:$J52)+1,"取消",""))</f>
        <v>陈师傅</v>
      </c>
      <c r="O52" s="0" t="str">
        <f aca="false">IFERROR(INDEX($A$1:$A$5,MATCH(4,$F52:$J52,0)),IF(4=MAX($F52:$J52)+1,"取消",""))</f>
        <v>刘师傅</v>
      </c>
      <c r="P52" s="0" t="str">
        <f aca="false">IFERROR(INDEX($A$1:$A$5,MATCH(5,$F52:$J52,0)),IF(5=MAX($F52:$J52)+1,"取消",""))</f>
        <v>取消</v>
      </c>
      <c r="Q52" s="0" t="str">
        <f aca="false">IFERROR(INDEX($A$1:$A$5,MATCH(6,$F52:$J52,0)),IF(6=MAX($F52:$J52)+1,"取消",""))</f>
        <v/>
      </c>
      <c r="S52" s="0" t="n">
        <f aca="false">IF(OR($A$1=入户维修!$F52,$A$1=入户维修!$G52,$BN$1=1),0,1-SUMPRODUCT(--(($A$1=入户维修!$F52)+($A$1=入户维修!$G52)+$BN$1&gt;0)))</f>
        <v>0</v>
      </c>
      <c r="T52" s="0" t="n">
        <f aca="false">IF(OR($A$2=入户维修!$F52,$A$2=入户维修!$G52,$BN$2=1),0,2-SUMPRODUCT(--(($A$1:$A$2=入户维修!$F52)+($A$1:$A$2=入户维修!$G52)+$BN$1:$BN$2&gt;0)))</f>
        <v>1</v>
      </c>
      <c r="U52" s="0" t="n">
        <f aca="false">IF(OR($A$3=入户维修!$F52,$A$3=入户维修!$G52,$BN$3=1),0,3-SUMPRODUCT(--(($A$1:$A$3=入户维修!$F52)+($A$1:$A$3=入户维修!$G52)+$BN$1:$BN$3&gt;0)))</f>
        <v>2</v>
      </c>
      <c r="V52" s="0" t="n">
        <f aca="false">IF(OR($A$4=入户维修!$F52,$A$4=入户维修!$G52,$BN$4=1),0,4-SUMPRODUCT(--(($A$1:$A$4=入户维修!$F52)+($A$1:$A$4=入户维修!$G52)+$BN$1:$BN$4&gt;0)))</f>
        <v>3</v>
      </c>
      <c r="W52" s="0" t="n">
        <f aca="false">IF(OR($A$5=入户维修!$F52,$A$5=入户维修!$G52,$BN$5=1),0,5-SUMPRODUCT(--(($A$1:$A$5=入户维修!$F52)+($A$1:$A$5=入户维修!$G52)+$BN$1:$BN$5&gt;0)))</f>
        <v>4</v>
      </c>
      <c r="Y52" s="0" t="str">
        <f aca="false">IFERROR(INDEX($A$1:$A$5,MATCH(1,$S52:$W52,0)),IF(1=MAX($S52:$W52)+1,"取消",""))</f>
        <v>李师傅</v>
      </c>
      <c r="Z52" s="0" t="str">
        <f aca="false">IFERROR(INDEX($A$1:$A$5,MATCH(2,$S52:$W52,0)),IF(2=MAX($S52:$W52)+1,"取消",""))</f>
        <v>王师傅</v>
      </c>
      <c r="AA52" s="0" t="str">
        <f aca="false">IFERROR(INDEX($A$1:$A$5,MATCH(3,$S52:$W52,0)),IF(3=MAX($S52:$W52)+1,"取消",""))</f>
        <v>陈师傅</v>
      </c>
      <c r="AB52" s="0" t="str">
        <f aca="false">IFERROR(INDEX($A$1:$A$5,MATCH(4,$S52:$W52,0)),IF(4=MAX($S52:$W52)+1,"取消",""))</f>
        <v>刘师傅</v>
      </c>
      <c r="AC52" s="0" t="str">
        <f aca="false">IFERROR(INDEX($A$1:$A$5,MATCH(5,$S52:$W52,0)),IF(5=MAX($S52:$W52)+1,"取消",""))</f>
        <v>取消</v>
      </c>
      <c r="AD52" s="0" t="str">
        <f aca="false">IFERROR(INDEX($A$1:$A$5,MATCH(6,$S52:$W52,0)),IF(6=MAX($S52:$W52)+1,"取消",""))</f>
        <v/>
      </c>
      <c r="AF52" s="0" t="n">
        <f aca="false">IF(OR($A$1=公区维修!$F52,$BN$1=1),0,1-SUMPRODUCT(--(($A$1=公区维修!$F52)+$BN$1&gt;0)))</f>
        <v>0</v>
      </c>
      <c r="AG52" s="0" t="n">
        <f aca="false">IF(OR($A$2=公区维修!$F52,$BN$2=1),0,2-SUMPRODUCT(--(($A$1:$A$2=公区维修!$F52)+$BN$1:$BN$2&gt;0)))</f>
        <v>1</v>
      </c>
      <c r="AH52" s="0" t="n">
        <f aca="false">IF(OR($A$3=公区维修!$F52,$BN$3=1),0,3-SUMPRODUCT(--(($A$1:$A$3=公区维修!$F52)+$BN$1:$BN$3&gt;0)))</f>
        <v>2</v>
      </c>
      <c r="AI52" s="0" t="n">
        <f aca="false">IF(OR($A$4=公区维修!$F52,$BN$4=1),0,4-SUMPRODUCT(--(($A$1:$A$4=公区维修!$F52)+$BN$1:$BN$4&gt;0)))</f>
        <v>3</v>
      </c>
      <c r="AJ52" s="0" t="n">
        <f aca="false">IF(OR($A$5=公区维修!$F52,$BN$5=1),0,5-SUMPRODUCT(--(($A$1:$A$5=公区维修!$F52)+$BN$1:$BN$5&gt;0)))</f>
        <v>4</v>
      </c>
      <c r="AL52" s="0" t="str">
        <f aca="false">IFERROR(INDEX($A$1:$A$5,MATCH(1,$AF52:$AJ52,0)),IF(1=MAX($AF52:$AJ52)+1,"取消",""))</f>
        <v>李师傅</v>
      </c>
      <c r="AM52" s="0" t="str">
        <f aca="false">IFERROR(INDEX($A$1:$A$5,MATCH(2,$AF52:$AJ52,0)),IF(2=MAX($AF52:$AJ52)+1,"取消",""))</f>
        <v>王师傅</v>
      </c>
      <c r="AN52" s="0" t="str">
        <f aca="false">IFERROR(INDEX($A$1:$A$5,MATCH(3,$AF52:$AJ52,0)),IF(3=MAX($AF52:$AJ52)+1,"取消",""))</f>
        <v>陈师傅</v>
      </c>
      <c r="AO52" s="0" t="str">
        <f aca="false">IFERROR(INDEX($A$1:$A$5,MATCH(4,$AF52:$AJ52,0)),IF(4=MAX($AF52:$AJ52)+1,"取消",""))</f>
        <v>刘师傅</v>
      </c>
      <c r="AP52" s="0" t="str">
        <f aca="false">IFERROR(INDEX($A$1:$A$5,MATCH(5,$AF52:$AJ52,0)),IF(5=MAX($AF52:$AJ52)+1,"取消",""))</f>
        <v>取消</v>
      </c>
      <c r="AQ52" s="0" t="str">
        <f aca="false">IFERROR(INDEX($A$1:$A$5,MATCH(6,$AF52:$AJ52,0)),IF(6=MAX($AF52:$AJ52)+1,"取消",""))</f>
        <v/>
      </c>
      <c r="AS52" s="0" t="n">
        <f aca="false">IF(OR($A$1=公区维修!$F52,$A$1=公区维修!$G52,$BN$1=1),0,1-SUMPRODUCT(--(($A$1=公区维修!$F52)+($A$1=公区维修!$G52)+$BN$1&gt;0)))</f>
        <v>0</v>
      </c>
      <c r="AT52" s="0" t="n">
        <f aca="false">IF(OR($A$2=公区维修!$F52,$A$2=公区维修!$G52,$BN$2=1),0,2-SUMPRODUCT(--(($A$1:$A$2=公区维修!$F52)+($A$1:$A$2=公区维修!$G52)+$BN$1:$BN$2&gt;0)))</f>
        <v>1</v>
      </c>
      <c r="AU52" s="0" t="n">
        <f aca="false">IF(OR($A$3=公区维修!$F52,$A$3=公区维修!$G52,$BN$3=1),0,3-SUMPRODUCT(--(($A$1:$A$3=公区维修!$F52)+($A$1:$A$3=公区维修!$G52)+$BN$1:$BN$3&gt;0)))</f>
        <v>2</v>
      </c>
      <c r="AV52" s="0" t="n">
        <f aca="false">IF(OR($A$4=公区维修!$F52,$A$4=公区维修!$G52,$BN$4=1),0,4-SUMPRODUCT(--(($A$1:$A$4=公区维修!$F52)+($A$1:$A$4=公区维修!$G52)+$BN$1:$BN$4&gt;0)))</f>
        <v>3</v>
      </c>
      <c r="AW52" s="0" t="n">
        <f aca="false">IF(OR($A$5=公区维修!$F52,$A$5=公区维修!$G52,$BN$5=1),0,5-SUMPRODUCT(--(($A$1:$A$5=公区维修!$F52)+($A$1:$A$5=公区维修!$G52)+$BN$1:$BN$5&gt;0)))</f>
        <v>4</v>
      </c>
      <c r="AY52" s="0" t="str">
        <f aca="false">IFERROR(INDEX($A$1:$A$5,MATCH(1,$AS52:$AW52,0)),IF(1=MAX($AS52:$AW52)+1,"取消",""))</f>
        <v>李师傅</v>
      </c>
      <c r="AZ52" s="0" t="str">
        <f aca="false">IFERROR(INDEX($A$1:$A$5,MATCH(2,$AS52:$AW52,0)),IF(2=MAX($AS52:$AW52)+1,"取消",""))</f>
        <v>王师傅</v>
      </c>
      <c r="BA52" s="0" t="str">
        <f aca="false">IFERROR(INDEX($A$1:$A$5,MATCH(3,$AS52:$AW52,0)),IF(3=MAX($AS52:$AW52)+1,"取消",""))</f>
        <v>陈师傅</v>
      </c>
      <c r="BB52" s="0" t="str">
        <f aca="false">IFERROR(INDEX($A$1:$A$5,MATCH(4,$AS52:$AW52,0)),IF(4=MAX($AS52:$AW52)+1,"取消",""))</f>
        <v>刘师傅</v>
      </c>
      <c r="BC52" s="0" t="str">
        <f aca="false">IFERROR(INDEX($A$1:$A$5,MATCH(5,$AS52:$AW52,0)),IF(5=MAX($AS52:$AW52)+1,"取消",""))</f>
        <v>取消</v>
      </c>
      <c r="BD52" s="0" t="str">
        <f aca="false">IFERROR(INDEX($A$1:$A$5,MATCH(6,$AS52:$AW52,0)),IF(6=MAX($AS52:$AW52)+1,"取消",""))</f>
        <v/>
      </c>
      <c r="FW52" s="0" t="str">
        <f aca="false">IF(AND(单元查询!$D$3&lt;&gt;"",IF(单元查询!$B$3="公区维修",公区维修!$E52&lt;&gt;"",入户维修!$E52&lt;&gt;""),IF(单元查询!$B$3="公区维修",公区维修!$C52,入户维修!$C52)=单元查询!$D$3,OR(单元查询!$F$3="",IF(单元查询!$B$3="公区维修",公区维修!$D52,入户维修!$D52)&amp;""=(单元查询!$F$3)&amp;"")),MAX($FW$4:$FW51)+1,"")</f>
        <v/>
      </c>
    </row>
    <row r="53" customFormat="false" ht="15" hidden="false" customHeight="true" outlineLevel="0" collapsed="false">
      <c r="F53" s="0" t="n">
        <f aca="false">IF(OR($A$1=入户维修!$F53,$BN$1=1),0,1-SUMPRODUCT(--(($A$1=入户维修!$F53)+$BN$1&gt;0)))</f>
        <v>0</v>
      </c>
      <c r="G53" s="0" t="n">
        <f aca="false">IF(OR($A$2=入户维修!$F53,$BN$2=1),0,2-SUMPRODUCT(--(($A$1:$A$2=入户维修!$F53)+$BN$1:$BN$2&gt;0)))</f>
        <v>1</v>
      </c>
      <c r="H53" s="0" t="n">
        <f aca="false">IF(OR($A$3=入户维修!$F53,$BN$3=1),0,3-SUMPRODUCT(--(($A$1:$A$3=入户维修!$F53)+$BN$1:$BN$3&gt;0)))</f>
        <v>2</v>
      </c>
      <c r="I53" s="0" t="n">
        <f aca="false">IF(OR($A$4=入户维修!$F53,$BN$4=1),0,4-SUMPRODUCT(--(($A$1:$A$4=入户维修!$F53)+$BN$1:$BN$4&gt;0)))</f>
        <v>3</v>
      </c>
      <c r="J53" s="0" t="n">
        <f aca="false">IF(OR($A$5=入户维修!$F53,$BN$5=1),0,5-SUMPRODUCT(--(($A$1:$A$5=入户维修!$F53)+$BN$1:$BN$5&gt;0)))</f>
        <v>4</v>
      </c>
      <c r="L53" s="0" t="str">
        <f aca="false">IFERROR(INDEX($A$1:$A$5,MATCH(1,$F53:$J53,0)),IF(1=MAX($F53:$J53)+1,"取消",""))</f>
        <v>李师傅</v>
      </c>
      <c r="M53" s="0" t="str">
        <f aca="false">IFERROR(INDEX($A$1:$A$5,MATCH(2,$F53:$J53,0)),IF(2=MAX($F53:$J53)+1,"取消",""))</f>
        <v>王师傅</v>
      </c>
      <c r="N53" s="0" t="str">
        <f aca="false">IFERROR(INDEX($A$1:$A$5,MATCH(3,$F53:$J53,0)),IF(3=MAX($F53:$J53)+1,"取消",""))</f>
        <v>陈师傅</v>
      </c>
      <c r="O53" s="0" t="str">
        <f aca="false">IFERROR(INDEX($A$1:$A$5,MATCH(4,$F53:$J53,0)),IF(4=MAX($F53:$J53)+1,"取消",""))</f>
        <v>刘师傅</v>
      </c>
      <c r="P53" s="0" t="str">
        <f aca="false">IFERROR(INDEX($A$1:$A$5,MATCH(5,$F53:$J53,0)),IF(5=MAX($F53:$J53)+1,"取消",""))</f>
        <v>取消</v>
      </c>
      <c r="Q53" s="0" t="str">
        <f aca="false">IFERROR(INDEX($A$1:$A$5,MATCH(6,$F53:$J53,0)),IF(6=MAX($F53:$J53)+1,"取消",""))</f>
        <v/>
      </c>
      <c r="S53" s="0" t="n">
        <f aca="false">IF(OR($A$1=入户维修!$F53,$A$1=入户维修!$G53,$BN$1=1),0,1-SUMPRODUCT(--(($A$1=入户维修!$F53)+($A$1=入户维修!$G53)+$BN$1&gt;0)))</f>
        <v>0</v>
      </c>
      <c r="T53" s="0" t="n">
        <f aca="false">IF(OR($A$2=入户维修!$F53,$A$2=入户维修!$G53,$BN$2=1),0,2-SUMPRODUCT(--(($A$1:$A$2=入户维修!$F53)+($A$1:$A$2=入户维修!$G53)+$BN$1:$BN$2&gt;0)))</f>
        <v>1</v>
      </c>
      <c r="U53" s="0" t="n">
        <f aca="false">IF(OR($A$3=入户维修!$F53,$A$3=入户维修!$G53,$BN$3=1),0,3-SUMPRODUCT(--(($A$1:$A$3=入户维修!$F53)+($A$1:$A$3=入户维修!$G53)+$BN$1:$BN$3&gt;0)))</f>
        <v>2</v>
      </c>
      <c r="V53" s="0" t="n">
        <f aca="false">IF(OR($A$4=入户维修!$F53,$A$4=入户维修!$G53,$BN$4=1),0,4-SUMPRODUCT(--(($A$1:$A$4=入户维修!$F53)+($A$1:$A$4=入户维修!$G53)+$BN$1:$BN$4&gt;0)))</f>
        <v>3</v>
      </c>
      <c r="W53" s="0" t="n">
        <f aca="false">IF(OR($A$5=入户维修!$F53,$A$5=入户维修!$G53,$BN$5=1),0,5-SUMPRODUCT(--(($A$1:$A$5=入户维修!$F53)+($A$1:$A$5=入户维修!$G53)+$BN$1:$BN$5&gt;0)))</f>
        <v>4</v>
      </c>
      <c r="Y53" s="0" t="str">
        <f aca="false">IFERROR(INDEX($A$1:$A$5,MATCH(1,$S53:$W53,0)),IF(1=MAX($S53:$W53)+1,"取消",""))</f>
        <v>李师傅</v>
      </c>
      <c r="Z53" s="0" t="str">
        <f aca="false">IFERROR(INDEX($A$1:$A$5,MATCH(2,$S53:$W53,0)),IF(2=MAX($S53:$W53)+1,"取消",""))</f>
        <v>王师傅</v>
      </c>
      <c r="AA53" s="0" t="str">
        <f aca="false">IFERROR(INDEX($A$1:$A$5,MATCH(3,$S53:$W53,0)),IF(3=MAX($S53:$W53)+1,"取消",""))</f>
        <v>陈师傅</v>
      </c>
      <c r="AB53" s="0" t="str">
        <f aca="false">IFERROR(INDEX($A$1:$A$5,MATCH(4,$S53:$W53,0)),IF(4=MAX($S53:$W53)+1,"取消",""))</f>
        <v>刘师傅</v>
      </c>
      <c r="AC53" s="0" t="str">
        <f aca="false">IFERROR(INDEX($A$1:$A$5,MATCH(5,$S53:$W53,0)),IF(5=MAX($S53:$W53)+1,"取消",""))</f>
        <v>取消</v>
      </c>
      <c r="AD53" s="0" t="str">
        <f aca="false">IFERROR(INDEX($A$1:$A$5,MATCH(6,$S53:$W53,0)),IF(6=MAX($S53:$W53)+1,"取消",""))</f>
        <v/>
      </c>
      <c r="AF53" s="0" t="n">
        <f aca="false">IF(OR($A$1=公区维修!$F53,$BN$1=1),0,1-SUMPRODUCT(--(($A$1=公区维修!$F53)+$BN$1&gt;0)))</f>
        <v>0</v>
      </c>
      <c r="AG53" s="0" t="n">
        <f aca="false">IF(OR($A$2=公区维修!$F53,$BN$2=1),0,2-SUMPRODUCT(--(($A$1:$A$2=公区维修!$F53)+$BN$1:$BN$2&gt;0)))</f>
        <v>1</v>
      </c>
      <c r="AH53" s="0" t="n">
        <f aca="false">IF(OR($A$3=公区维修!$F53,$BN$3=1),0,3-SUMPRODUCT(--(($A$1:$A$3=公区维修!$F53)+$BN$1:$BN$3&gt;0)))</f>
        <v>2</v>
      </c>
      <c r="AI53" s="0" t="n">
        <f aca="false">IF(OR($A$4=公区维修!$F53,$BN$4=1),0,4-SUMPRODUCT(--(($A$1:$A$4=公区维修!$F53)+$BN$1:$BN$4&gt;0)))</f>
        <v>3</v>
      </c>
      <c r="AJ53" s="0" t="n">
        <f aca="false">IF(OR($A$5=公区维修!$F53,$BN$5=1),0,5-SUMPRODUCT(--(($A$1:$A$5=公区维修!$F53)+$BN$1:$BN$5&gt;0)))</f>
        <v>4</v>
      </c>
      <c r="AL53" s="0" t="str">
        <f aca="false">IFERROR(INDEX($A$1:$A$5,MATCH(1,$AF53:$AJ53,0)),IF(1=MAX($AF53:$AJ53)+1,"取消",""))</f>
        <v>李师傅</v>
      </c>
      <c r="AM53" s="0" t="str">
        <f aca="false">IFERROR(INDEX($A$1:$A$5,MATCH(2,$AF53:$AJ53,0)),IF(2=MAX($AF53:$AJ53)+1,"取消",""))</f>
        <v>王师傅</v>
      </c>
      <c r="AN53" s="0" t="str">
        <f aca="false">IFERROR(INDEX($A$1:$A$5,MATCH(3,$AF53:$AJ53,0)),IF(3=MAX($AF53:$AJ53)+1,"取消",""))</f>
        <v>陈师傅</v>
      </c>
      <c r="AO53" s="0" t="str">
        <f aca="false">IFERROR(INDEX($A$1:$A$5,MATCH(4,$AF53:$AJ53,0)),IF(4=MAX($AF53:$AJ53)+1,"取消",""))</f>
        <v>刘师傅</v>
      </c>
      <c r="AP53" s="0" t="str">
        <f aca="false">IFERROR(INDEX($A$1:$A$5,MATCH(5,$AF53:$AJ53,0)),IF(5=MAX($AF53:$AJ53)+1,"取消",""))</f>
        <v>取消</v>
      </c>
      <c r="AQ53" s="0" t="str">
        <f aca="false">IFERROR(INDEX($A$1:$A$5,MATCH(6,$AF53:$AJ53,0)),IF(6=MAX($AF53:$AJ53)+1,"取消",""))</f>
        <v/>
      </c>
      <c r="AS53" s="0" t="n">
        <f aca="false">IF(OR($A$1=公区维修!$F53,$A$1=公区维修!$G53,$BN$1=1),0,1-SUMPRODUCT(--(($A$1=公区维修!$F53)+($A$1=公区维修!$G53)+$BN$1&gt;0)))</f>
        <v>0</v>
      </c>
      <c r="AT53" s="0" t="n">
        <f aca="false">IF(OR($A$2=公区维修!$F53,$A$2=公区维修!$G53,$BN$2=1),0,2-SUMPRODUCT(--(($A$1:$A$2=公区维修!$F53)+($A$1:$A$2=公区维修!$G53)+$BN$1:$BN$2&gt;0)))</f>
        <v>1</v>
      </c>
      <c r="AU53" s="0" t="n">
        <f aca="false">IF(OR($A$3=公区维修!$F53,$A$3=公区维修!$G53,$BN$3=1),0,3-SUMPRODUCT(--(($A$1:$A$3=公区维修!$F53)+($A$1:$A$3=公区维修!$G53)+$BN$1:$BN$3&gt;0)))</f>
        <v>2</v>
      </c>
      <c r="AV53" s="0" t="n">
        <f aca="false">IF(OR($A$4=公区维修!$F53,$A$4=公区维修!$G53,$BN$4=1),0,4-SUMPRODUCT(--(($A$1:$A$4=公区维修!$F53)+($A$1:$A$4=公区维修!$G53)+$BN$1:$BN$4&gt;0)))</f>
        <v>3</v>
      </c>
      <c r="AW53" s="0" t="n">
        <f aca="false">IF(OR($A$5=公区维修!$F53,$A$5=公区维修!$G53,$BN$5=1),0,5-SUMPRODUCT(--(($A$1:$A$5=公区维修!$F53)+($A$1:$A$5=公区维修!$G53)+$BN$1:$BN$5&gt;0)))</f>
        <v>4</v>
      </c>
      <c r="AY53" s="0" t="str">
        <f aca="false">IFERROR(INDEX($A$1:$A$5,MATCH(1,$AS53:$AW53,0)),IF(1=MAX($AS53:$AW53)+1,"取消",""))</f>
        <v>李师傅</v>
      </c>
      <c r="AZ53" s="0" t="str">
        <f aca="false">IFERROR(INDEX($A$1:$A$5,MATCH(2,$AS53:$AW53,0)),IF(2=MAX($AS53:$AW53)+1,"取消",""))</f>
        <v>王师傅</v>
      </c>
      <c r="BA53" s="0" t="str">
        <f aca="false">IFERROR(INDEX($A$1:$A$5,MATCH(3,$AS53:$AW53,0)),IF(3=MAX($AS53:$AW53)+1,"取消",""))</f>
        <v>陈师傅</v>
      </c>
      <c r="BB53" s="0" t="str">
        <f aca="false">IFERROR(INDEX($A$1:$A$5,MATCH(4,$AS53:$AW53,0)),IF(4=MAX($AS53:$AW53)+1,"取消",""))</f>
        <v>刘师傅</v>
      </c>
      <c r="BC53" s="0" t="str">
        <f aca="false">IFERROR(INDEX($A$1:$A$5,MATCH(5,$AS53:$AW53,0)),IF(5=MAX($AS53:$AW53)+1,"取消",""))</f>
        <v>取消</v>
      </c>
      <c r="BD53" s="0" t="str">
        <f aca="false">IFERROR(INDEX($A$1:$A$5,MATCH(6,$AS53:$AW53,0)),IF(6=MAX($AS53:$AW53)+1,"取消",""))</f>
        <v/>
      </c>
      <c r="FW53" s="0" t="n">
        <f aca="false">IF(AND(单元查询!$D$3&lt;&gt;"",IF(单元查询!$B$3="公区维修",公区维修!$E53&lt;&gt;"",入户维修!$E53&lt;&gt;""),IF(单元查询!$B$3="公区维修",公区维修!$C53,入户维修!$C53)=单元查询!$D$3,OR(单元查询!$F$3="",IF(单元查询!$B$3="公区维修",公区维修!$D53,入户维修!$D53)&amp;""=(单元查询!$F$3)&amp;"")),MAX($FW$4:$FW52)+1,"")</f>
        <v>11</v>
      </c>
    </row>
    <row r="54" customFormat="false" ht="15" hidden="false" customHeight="true" outlineLevel="0" collapsed="false">
      <c r="F54" s="0" t="n">
        <f aca="false">IF(OR($A$1=入户维修!$F54,$BN$1=1),0,1-SUMPRODUCT(--(($A$1=入户维修!$F54)+$BN$1&gt;0)))</f>
        <v>0</v>
      </c>
      <c r="G54" s="0" t="n">
        <f aca="false">IF(OR($A$2=入户维修!$F54,$BN$2=1),0,2-SUMPRODUCT(--(($A$1:$A$2=入户维修!$F54)+$BN$1:$BN$2&gt;0)))</f>
        <v>1</v>
      </c>
      <c r="H54" s="0" t="n">
        <f aca="false">IF(OR($A$3=入户维修!$F54,$BN$3=1),0,3-SUMPRODUCT(--(($A$1:$A$3=入户维修!$F54)+$BN$1:$BN$3&gt;0)))</f>
        <v>2</v>
      </c>
      <c r="I54" s="0" t="n">
        <f aca="false">IF(OR($A$4=入户维修!$F54,$BN$4=1),0,4-SUMPRODUCT(--(($A$1:$A$4=入户维修!$F54)+$BN$1:$BN$4&gt;0)))</f>
        <v>3</v>
      </c>
      <c r="J54" s="0" t="n">
        <f aca="false">IF(OR($A$5=入户维修!$F54,$BN$5=1),0,5-SUMPRODUCT(--(($A$1:$A$5=入户维修!$F54)+$BN$1:$BN$5&gt;0)))</f>
        <v>4</v>
      </c>
      <c r="L54" s="0" t="str">
        <f aca="false">IFERROR(INDEX($A$1:$A$5,MATCH(1,$F54:$J54,0)),IF(1=MAX($F54:$J54)+1,"取消",""))</f>
        <v>李师傅</v>
      </c>
      <c r="M54" s="0" t="str">
        <f aca="false">IFERROR(INDEX($A$1:$A$5,MATCH(2,$F54:$J54,0)),IF(2=MAX($F54:$J54)+1,"取消",""))</f>
        <v>王师傅</v>
      </c>
      <c r="N54" s="0" t="str">
        <f aca="false">IFERROR(INDEX($A$1:$A$5,MATCH(3,$F54:$J54,0)),IF(3=MAX($F54:$J54)+1,"取消",""))</f>
        <v>陈师傅</v>
      </c>
      <c r="O54" s="0" t="str">
        <f aca="false">IFERROR(INDEX($A$1:$A$5,MATCH(4,$F54:$J54,0)),IF(4=MAX($F54:$J54)+1,"取消",""))</f>
        <v>刘师傅</v>
      </c>
      <c r="P54" s="0" t="str">
        <f aca="false">IFERROR(INDEX($A$1:$A$5,MATCH(5,$F54:$J54,0)),IF(5=MAX($F54:$J54)+1,"取消",""))</f>
        <v>取消</v>
      </c>
      <c r="Q54" s="0" t="str">
        <f aca="false">IFERROR(INDEX($A$1:$A$5,MATCH(6,$F54:$J54,0)),IF(6=MAX($F54:$J54)+1,"取消",""))</f>
        <v/>
      </c>
      <c r="S54" s="0" t="n">
        <f aca="false">IF(OR($A$1=入户维修!$F54,$A$1=入户维修!$G54,$BN$1=1),0,1-SUMPRODUCT(--(($A$1=入户维修!$F54)+($A$1=入户维修!$G54)+$BN$1&gt;0)))</f>
        <v>0</v>
      </c>
      <c r="T54" s="0" t="n">
        <f aca="false">IF(OR($A$2=入户维修!$F54,$A$2=入户维修!$G54,$BN$2=1),0,2-SUMPRODUCT(--(($A$1:$A$2=入户维修!$F54)+($A$1:$A$2=入户维修!$G54)+$BN$1:$BN$2&gt;0)))</f>
        <v>1</v>
      </c>
      <c r="U54" s="0" t="n">
        <f aca="false">IF(OR($A$3=入户维修!$F54,$A$3=入户维修!$G54,$BN$3=1),0,3-SUMPRODUCT(--(($A$1:$A$3=入户维修!$F54)+($A$1:$A$3=入户维修!$G54)+$BN$1:$BN$3&gt;0)))</f>
        <v>2</v>
      </c>
      <c r="V54" s="0" t="n">
        <f aca="false">IF(OR($A$4=入户维修!$F54,$A$4=入户维修!$G54,$BN$4=1),0,4-SUMPRODUCT(--(($A$1:$A$4=入户维修!$F54)+($A$1:$A$4=入户维修!$G54)+$BN$1:$BN$4&gt;0)))</f>
        <v>3</v>
      </c>
      <c r="W54" s="0" t="n">
        <f aca="false">IF(OR($A$5=入户维修!$F54,$A$5=入户维修!$G54,$BN$5=1),0,5-SUMPRODUCT(--(($A$1:$A$5=入户维修!$F54)+($A$1:$A$5=入户维修!$G54)+$BN$1:$BN$5&gt;0)))</f>
        <v>4</v>
      </c>
      <c r="Y54" s="0" t="str">
        <f aca="false">IFERROR(INDEX($A$1:$A$5,MATCH(1,$S54:$W54,0)),IF(1=MAX($S54:$W54)+1,"取消",""))</f>
        <v>李师傅</v>
      </c>
      <c r="Z54" s="0" t="str">
        <f aca="false">IFERROR(INDEX($A$1:$A$5,MATCH(2,$S54:$W54,0)),IF(2=MAX($S54:$W54)+1,"取消",""))</f>
        <v>王师傅</v>
      </c>
      <c r="AA54" s="0" t="str">
        <f aca="false">IFERROR(INDEX($A$1:$A$5,MATCH(3,$S54:$W54,0)),IF(3=MAX($S54:$W54)+1,"取消",""))</f>
        <v>陈师傅</v>
      </c>
      <c r="AB54" s="0" t="str">
        <f aca="false">IFERROR(INDEX($A$1:$A$5,MATCH(4,$S54:$W54,0)),IF(4=MAX($S54:$W54)+1,"取消",""))</f>
        <v>刘师傅</v>
      </c>
      <c r="AC54" s="0" t="str">
        <f aca="false">IFERROR(INDEX($A$1:$A$5,MATCH(5,$S54:$W54,0)),IF(5=MAX($S54:$W54)+1,"取消",""))</f>
        <v>取消</v>
      </c>
      <c r="AD54" s="0" t="str">
        <f aca="false">IFERROR(INDEX($A$1:$A$5,MATCH(6,$S54:$W54,0)),IF(6=MAX($S54:$W54)+1,"取消",""))</f>
        <v/>
      </c>
      <c r="AF54" s="0" t="n">
        <f aca="false">IF(OR($A$1=公区维修!$F54,$BN$1=1),0,1-SUMPRODUCT(--(($A$1=公区维修!$F54)+$BN$1&gt;0)))</f>
        <v>0</v>
      </c>
      <c r="AG54" s="0" t="n">
        <f aca="false">IF(OR($A$2=公区维修!$F54,$BN$2=1),0,2-SUMPRODUCT(--(($A$1:$A$2=公区维修!$F54)+$BN$1:$BN$2&gt;0)))</f>
        <v>1</v>
      </c>
      <c r="AH54" s="0" t="n">
        <f aca="false">IF(OR($A$3=公区维修!$F54,$BN$3=1),0,3-SUMPRODUCT(--(($A$1:$A$3=公区维修!$F54)+$BN$1:$BN$3&gt;0)))</f>
        <v>2</v>
      </c>
      <c r="AI54" s="0" t="n">
        <f aca="false">IF(OR($A$4=公区维修!$F54,$BN$4=1),0,4-SUMPRODUCT(--(($A$1:$A$4=公区维修!$F54)+$BN$1:$BN$4&gt;0)))</f>
        <v>3</v>
      </c>
      <c r="AJ54" s="0" t="n">
        <f aca="false">IF(OR($A$5=公区维修!$F54,$BN$5=1),0,5-SUMPRODUCT(--(($A$1:$A$5=公区维修!$F54)+$BN$1:$BN$5&gt;0)))</f>
        <v>4</v>
      </c>
      <c r="AL54" s="0" t="str">
        <f aca="false">IFERROR(INDEX($A$1:$A$5,MATCH(1,$AF54:$AJ54,0)),IF(1=MAX($AF54:$AJ54)+1,"取消",""))</f>
        <v>李师傅</v>
      </c>
      <c r="AM54" s="0" t="str">
        <f aca="false">IFERROR(INDEX($A$1:$A$5,MATCH(2,$AF54:$AJ54,0)),IF(2=MAX($AF54:$AJ54)+1,"取消",""))</f>
        <v>王师傅</v>
      </c>
      <c r="AN54" s="0" t="str">
        <f aca="false">IFERROR(INDEX($A$1:$A$5,MATCH(3,$AF54:$AJ54,0)),IF(3=MAX($AF54:$AJ54)+1,"取消",""))</f>
        <v>陈师傅</v>
      </c>
      <c r="AO54" s="0" t="str">
        <f aca="false">IFERROR(INDEX($A$1:$A$5,MATCH(4,$AF54:$AJ54,0)),IF(4=MAX($AF54:$AJ54)+1,"取消",""))</f>
        <v>刘师傅</v>
      </c>
      <c r="AP54" s="0" t="str">
        <f aca="false">IFERROR(INDEX($A$1:$A$5,MATCH(5,$AF54:$AJ54,0)),IF(5=MAX($AF54:$AJ54)+1,"取消",""))</f>
        <v>取消</v>
      </c>
      <c r="AQ54" s="0" t="str">
        <f aca="false">IFERROR(INDEX($A$1:$A$5,MATCH(6,$AF54:$AJ54,0)),IF(6=MAX($AF54:$AJ54)+1,"取消",""))</f>
        <v/>
      </c>
      <c r="AS54" s="0" t="n">
        <f aca="false">IF(OR($A$1=公区维修!$F54,$A$1=公区维修!$G54,$BN$1=1),0,1-SUMPRODUCT(--(($A$1=公区维修!$F54)+($A$1=公区维修!$G54)+$BN$1&gt;0)))</f>
        <v>0</v>
      </c>
      <c r="AT54" s="0" t="n">
        <f aca="false">IF(OR($A$2=公区维修!$F54,$A$2=公区维修!$G54,$BN$2=1),0,2-SUMPRODUCT(--(($A$1:$A$2=公区维修!$F54)+($A$1:$A$2=公区维修!$G54)+$BN$1:$BN$2&gt;0)))</f>
        <v>1</v>
      </c>
      <c r="AU54" s="0" t="n">
        <f aca="false">IF(OR($A$3=公区维修!$F54,$A$3=公区维修!$G54,$BN$3=1),0,3-SUMPRODUCT(--(($A$1:$A$3=公区维修!$F54)+($A$1:$A$3=公区维修!$G54)+$BN$1:$BN$3&gt;0)))</f>
        <v>2</v>
      </c>
      <c r="AV54" s="0" t="n">
        <f aca="false">IF(OR($A$4=公区维修!$F54,$A$4=公区维修!$G54,$BN$4=1),0,4-SUMPRODUCT(--(($A$1:$A$4=公区维修!$F54)+($A$1:$A$4=公区维修!$G54)+$BN$1:$BN$4&gt;0)))</f>
        <v>3</v>
      </c>
      <c r="AW54" s="0" t="n">
        <f aca="false">IF(OR($A$5=公区维修!$F54,$A$5=公区维修!$G54,$BN$5=1),0,5-SUMPRODUCT(--(($A$1:$A$5=公区维修!$F54)+($A$1:$A$5=公区维修!$G54)+$BN$1:$BN$5&gt;0)))</f>
        <v>4</v>
      </c>
      <c r="AY54" s="0" t="str">
        <f aca="false">IFERROR(INDEX($A$1:$A$5,MATCH(1,$AS54:$AW54,0)),IF(1=MAX($AS54:$AW54)+1,"取消",""))</f>
        <v>李师傅</v>
      </c>
      <c r="AZ54" s="0" t="str">
        <f aca="false">IFERROR(INDEX($A$1:$A$5,MATCH(2,$AS54:$AW54,0)),IF(2=MAX($AS54:$AW54)+1,"取消",""))</f>
        <v>王师傅</v>
      </c>
      <c r="BA54" s="0" t="str">
        <f aca="false">IFERROR(INDEX($A$1:$A$5,MATCH(3,$AS54:$AW54,0)),IF(3=MAX($AS54:$AW54)+1,"取消",""))</f>
        <v>陈师傅</v>
      </c>
      <c r="BB54" s="0" t="str">
        <f aca="false">IFERROR(INDEX($A$1:$A$5,MATCH(4,$AS54:$AW54,0)),IF(4=MAX($AS54:$AW54)+1,"取消",""))</f>
        <v>刘师傅</v>
      </c>
      <c r="BC54" s="0" t="str">
        <f aca="false">IFERROR(INDEX($A$1:$A$5,MATCH(5,$AS54:$AW54,0)),IF(5=MAX($AS54:$AW54)+1,"取消",""))</f>
        <v>取消</v>
      </c>
      <c r="BD54" s="0" t="str">
        <f aca="false">IFERROR(INDEX($A$1:$A$5,MATCH(6,$AS54:$AW54,0)),IF(6=MAX($AS54:$AW54)+1,"取消",""))</f>
        <v/>
      </c>
      <c r="FW54" s="0" t="str">
        <f aca="false">IF(AND(单元查询!$D$3&lt;&gt;"",IF(单元查询!$B$3="公区维修",公区维修!$E54&lt;&gt;"",入户维修!$E54&lt;&gt;""),IF(单元查询!$B$3="公区维修",公区维修!$C54,入户维修!$C54)=单元查询!$D$3,OR(单元查询!$F$3="",IF(单元查询!$B$3="公区维修",公区维修!$D54,入户维修!$D54)&amp;""=(单元查询!$F$3)&amp;"")),MAX($FW$4:$FW53)+1,"")</f>
        <v/>
      </c>
    </row>
    <row r="55" customFormat="false" ht="15" hidden="false" customHeight="true" outlineLevel="0" collapsed="false">
      <c r="F55" s="0" t="n">
        <f aca="false">IF(OR($A$1=入户维修!$F55,$BN$1=1),0,1-SUMPRODUCT(--(($A$1=入户维修!$F55)+$BN$1&gt;0)))</f>
        <v>0</v>
      </c>
      <c r="G55" s="0" t="n">
        <f aca="false">IF(OR($A$2=入户维修!$F55,$BN$2=1),0,2-SUMPRODUCT(--(($A$1:$A$2=入户维修!$F55)+$BN$1:$BN$2&gt;0)))</f>
        <v>1</v>
      </c>
      <c r="H55" s="0" t="n">
        <f aca="false">IF(OR($A$3=入户维修!$F55,$BN$3=1),0,3-SUMPRODUCT(--(($A$1:$A$3=入户维修!$F55)+$BN$1:$BN$3&gt;0)))</f>
        <v>2</v>
      </c>
      <c r="I55" s="0" t="n">
        <f aca="false">IF(OR($A$4=入户维修!$F55,$BN$4=1),0,4-SUMPRODUCT(--(($A$1:$A$4=入户维修!$F55)+$BN$1:$BN$4&gt;0)))</f>
        <v>3</v>
      </c>
      <c r="J55" s="0" t="n">
        <f aca="false">IF(OR($A$5=入户维修!$F55,$BN$5=1),0,5-SUMPRODUCT(--(($A$1:$A$5=入户维修!$F55)+$BN$1:$BN$5&gt;0)))</f>
        <v>4</v>
      </c>
      <c r="L55" s="0" t="str">
        <f aca="false">IFERROR(INDEX($A$1:$A$5,MATCH(1,$F55:$J55,0)),IF(1=MAX($F55:$J55)+1,"取消",""))</f>
        <v>李师傅</v>
      </c>
      <c r="M55" s="0" t="str">
        <f aca="false">IFERROR(INDEX($A$1:$A$5,MATCH(2,$F55:$J55,0)),IF(2=MAX($F55:$J55)+1,"取消",""))</f>
        <v>王师傅</v>
      </c>
      <c r="N55" s="0" t="str">
        <f aca="false">IFERROR(INDEX($A$1:$A$5,MATCH(3,$F55:$J55,0)),IF(3=MAX($F55:$J55)+1,"取消",""))</f>
        <v>陈师傅</v>
      </c>
      <c r="O55" s="0" t="str">
        <f aca="false">IFERROR(INDEX($A$1:$A$5,MATCH(4,$F55:$J55,0)),IF(4=MAX($F55:$J55)+1,"取消",""))</f>
        <v>刘师傅</v>
      </c>
      <c r="P55" s="0" t="str">
        <f aca="false">IFERROR(INDEX($A$1:$A$5,MATCH(5,$F55:$J55,0)),IF(5=MAX($F55:$J55)+1,"取消",""))</f>
        <v>取消</v>
      </c>
      <c r="Q55" s="0" t="str">
        <f aca="false">IFERROR(INDEX($A$1:$A$5,MATCH(6,$F55:$J55,0)),IF(6=MAX($F55:$J55)+1,"取消",""))</f>
        <v/>
      </c>
      <c r="S55" s="0" t="n">
        <f aca="false">IF(OR($A$1=入户维修!$F55,$A$1=入户维修!$G55,$BN$1=1),0,1-SUMPRODUCT(--(($A$1=入户维修!$F55)+($A$1=入户维修!$G55)+$BN$1&gt;0)))</f>
        <v>0</v>
      </c>
      <c r="T55" s="0" t="n">
        <f aca="false">IF(OR($A$2=入户维修!$F55,$A$2=入户维修!$G55,$BN$2=1),0,2-SUMPRODUCT(--(($A$1:$A$2=入户维修!$F55)+($A$1:$A$2=入户维修!$G55)+$BN$1:$BN$2&gt;0)))</f>
        <v>1</v>
      </c>
      <c r="U55" s="0" t="n">
        <f aca="false">IF(OR($A$3=入户维修!$F55,$A$3=入户维修!$G55,$BN$3=1),0,3-SUMPRODUCT(--(($A$1:$A$3=入户维修!$F55)+($A$1:$A$3=入户维修!$G55)+$BN$1:$BN$3&gt;0)))</f>
        <v>2</v>
      </c>
      <c r="V55" s="0" t="n">
        <f aca="false">IF(OR($A$4=入户维修!$F55,$A$4=入户维修!$G55,$BN$4=1),0,4-SUMPRODUCT(--(($A$1:$A$4=入户维修!$F55)+($A$1:$A$4=入户维修!$G55)+$BN$1:$BN$4&gt;0)))</f>
        <v>3</v>
      </c>
      <c r="W55" s="0" t="n">
        <f aca="false">IF(OR($A$5=入户维修!$F55,$A$5=入户维修!$G55,$BN$5=1),0,5-SUMPRODUCT(--(($A$1:$A$5=入户维修!$F55)+($A$1:$A$5=入户维修!$G55)+$BN$1:$BN$5&gt;0)))</f>
        <v>4</v>
      </c>
      <c r="Y55" s="0" t="str">
        <f aca="false">IFERROR(INDEX($A$1:$A$5,MATCH(1,$S55:$W55,0)),IF(1=MAX($S55:$W55)+1,"取消",""))</f>
        <v>李师傅</v>
      </c>
      <c r="Z55" s="0" t="str">
        <f aca="false">IFERROR(INDEX($A$1:$A$5,MATCH(2,$S55:$W55,0)),IF(2=MAX($S55:$W55)+1,"取消",""))</f>
        <v>王师傅</v>
      </c>
      <c r="AA55" s="0" t="str">
        <f aca="false">IFERROR(INDEX($A$1:$A$5,MATCH(3,$S55:$W55,0)),IF(3=MAX($S55:$W55)+1,"取消",""))</f>
        <v>陈师傅</v>
      </c>
      <c r="AB55" s="0" t="str">
        <f aca="false">IFERROR(INDEX($A$1:$A$5,MATCH(4,$S55:$W55,0)),IF(4=MAX($S55:$W55)+1,"取消",""))</f>
        <v>刘师傅</v>
      </c>
      <c r="AC55" s="0" t="str">
        <f aca="false">IFERROR(INDEX($A$1:$A$5,MATCH(5,$S55:$W55,0)),IF(5=MAX($S55:$W55)+1,"取消",""))</f>
        <v>取消</v>
      </c>
      <c r="AD55" s="0" t="str">
        <f aca="false">IFERROR(INDEX($A$1:$A$5,MATCH(6,$S55:$W55,0)),IF(6=MAX($S55:$W55)+1,"取消",""))</f>
        <v/>
      </c>
      <c r="AF55" s="0" t="n">
        <f aca="false">IF(OR($A$1=公区维修!$F55,$BN$1=1),0,1-SUMPRODUCT(--(($A$1=公区维修!$F55)+$BN$1&gt;0)))</f>
        <v>0</v>
      </c>
      <c r="AG55" s="0" t="n">
        <f aca="false">IF(OR($A$2=公区维修!$F55,$BN$2=1),0,2-SUMPRODUCT(--(($A$1:$A$2=公区维修!$F55)+$BN$1:$BN$2&gt;0)))</f>
        <v>1</v>
      </c>
      <c r="AH55" s="0" t="n">
        <f aca="false">IF(OR($A$3=公区维修!$F55,$BN$3=1),0,3-SUMPRODUCT(--(($A$1:$A$3=公区维修!$F55)+$BN$1:$BN$3&gt;0)))</f>
        <v>2</v>
      </c>
      <c r="AI55" s="0" t="n">
        <f aca="false">IF(OR($A$4=公区维修!$F55,$BN$4=1),0,4-SUMPRODUCT(--(($A$1:$A$4=公区维修!$F55)+$BN$1:$BN$4&gt;0)))</f>
        <v>3</v>
      </c>
      <c r="AJ55" s="0" t="n">
        <f aca="false">IF(OR($A$5=公区维修!$F55,$BN$5=1),0,5-SUMPRODUCT(--(($A$1:$A$5=公区维修!$F55)+$BN$1:$BN$5&gt;0)))</f>
        <v>4</v>
      </c>
      <c r="AL55" s="0" t="str">
        <f aca="false">IFERROR(INDEX($A$1:$A$5,MATCH(1,$AF55:$AJ55,0)),IF(1=MAX($AF55:$AJ55)+1,"取消",""))</f>
        <v>李师傅</v>
      </c>
      <c r="AM55" s="0" t="str">
        <f aca="false">IFERROR(INDEX($A$1:$A$5,MATCH(2,$AF55:$AJ55,0)),IF(2=MAX($AF55:$AJ55)+1,"取消",""))</f>
        <v>王师傅</v>
      </c>
      <c r="AN55" s="0" t="str">
        <f aca="false">IFERROR(INDEX($A$1:$A$5,MATCH(3,$AF55:$AJ55,0)),IF(3=MAX($AF55:$AJ55)+1,"取消",""))</f>
        <v>陈师傅</v>
      </c>
      <c r="AO55" s="0" t="str">
        <f aca="false">IFERROR(INDEX($A$1:$A$5,MATCH(4,$AF55:$AJ55,0)),IF(4=MAX($AF55:$AJ55)+1,"取消",""))</f>
        <v>刘师傅</v>
      </c>
      <c r="AP55" s="0" t="str">
        <f aca="false">IFERROR(INDEX($A$1:$A$5,MATCH(5,$AF55:$AJ55,0)),IF(5=MAX($AF55:$AJ55)+1,"取消",""))</f>
        <v>取消</v>
      </c>
      <c r="AQ55" s="0" t="str">
        <f aca="false">IFERROR(INDEX($A$1:$A$5,MATCH(6,$AF55:$AJ55,0)),IF(6=MAX($AF55:$AJ55)+1,"取消",""))</f>
        <v/>
      </c>
      <c r="AS55" s="0" t="n">
        <f aca="false">IF(OR($A$1=公区维修!$F55,$A$1=公区维修!$G55,$BN$1=1),0,1-SUMPRODUCT(--(($A$1=公区维修!$F55)+($A$1=公区维修!$G55)+$BN$1&gt;0)))</f>
        <v>0</v>
      </c>
      <c r="AT55" s="0" t="n">
        <f aca="false">IF(OR($A$2=公区维修!$F55,$A$2=公区维修!$G55,$BN$2=1),0,2-SUMPRODUCT(--(($A$1:$A$2=公区维修!$F55)+($A$1:$A$2=公区维修!$G55)+$BN$1:$BN$2&gt;0)))</f>
        <v>1</v>
      </c>
      <c r="AU55" s="0" t="n">
        <f aca="false">IF(OR($A$3=公区维修!$F55,$A$3=公区维修!$G55,$BN$3=1),0,3-SUMPRODUCT(--(($A$1:$A$3=公区维修!$F55)+($A$1:$A$3=公区维修!$G55)+$BN$1:$BN$3&gt;0)))</f>
        <v>2</v>
      </c>
      <c r="AV55" s="0" t="n">
        <f aca="false">IF(OR($A$4=公区维修!$F55,$A$4=公区维修!$G55,$BN$4=1),0,4-SUMPRODUCT(--(($A$1:$A$4=公区维修!$F55)+($A$1:$A$4=公区维修!$G55)+$BN$1:$BN$4&gt;0)))</f>
        <v>3</v>
      </c>
      <c r="AW55" s="0" t="n">
        <f aca="false">IF(OR($A$5=公区维修!$F55,$A$5=公区维修!$G55,$BN$5=1),0,5-SUMPRODUCT(--(($A$1:$A$5=公区维修!$F55)+($A$1:$A$5=公区维修!$G55)+$BN$1:$BN$5&gt;0)))</f>
        <v>4</v>
      </c>
      <c r="AY55" s="0" t="str">
        <f aca="false">IFERROR(INDEX($A$1:$A$5,MATCH(1,$AS55:$AW55,0)),IF(1=MAX($AS55:$AW55)+1,"取消",""))</f>
        <v>李师傅</v>
      </c>
      <c r="AZ55" s="0" t="str">
        <f aca="false">IFERROR(INDEX($A$1:$A$5,MATCH(2,$AS55:$AW55,0)),IF(2=MAX($AS55:$AW55)+1,"取消",""))</f>
        <v>王师傅</v>
      </c>
      <c r="BA55" s="0" t="str">
        <f aca="false">IFERROR(INDEX($A$1:$A$5,MATCH(3,$AS55:$AW55,0)),IF(3=MAX($AS55:$AW55)+1,"取消",""))</f>
        <v>陈师傅</v>
      </c>
      <c r="BB55" s="0" t="str">
        <f aca="false">IFERROR(INDEX($A$1:$A$5,MATCH(4,$AS55:$AW55,0)),IF(4=MAX($AS55:$AW55)+1,"取消",""))</f>
        <v>刘师傅</v>
      </c>
      <c r="BC55" s="0" t="str">
        <f aca="false">IFERROR(INDEX($A$1:$A$5,MATCH(5,$AS55:$AW55,0)),IF(5=MAX($AS55:$AW55)+1,"取消",""))</f>
        <v>取消</v>
      </c>
      <c r="BD55" s="0" t="str">
        <f aca="false">IFERROR(INDEX($A$1:$A$5,MATCH(6,$AS55:$AW55,0)),IF(6=MAX($AS55:$AW55)+1,"取消",""))</f>
        <v/>
      </c>
      <c r="FW55" s="0" t="str">
        <f aca="false">IF(AND(单元查询!$D$3&lt;&gt;"",IF(单元查询!$B$3="公区维修",公区维修!$E55&lt;&gt;"",入户维修!$E55&lt;&gt;""),IF(单元查询!$B$3="公区维修",公区维修!$C55,入户维修!$C55)=单元查询!$D$3,OR(单元查询!$F$3="",IF(单元查询!$B$3="公区维修",公区维修!$D55,入户维修!$D55)&amp;""=(单元查询!$F$3)&amp;"")),MAX($FW$4:$FW54)+1,"")</f>
        <v/>
      </c>
    </row>
    <row r="56" customFormat="false" ht="15" hidden="false" customHeight="true" outlineLevel="0" collapsed="false">
      <c r="F56" s="0" t="n">
        <f aca="false">IF(OR($A$1=入户维修!$F56,$BN$1=1),0,1-SUMPRODUCT(--(($A$1=入户维修!$F56)+$BN$1&gt;0)))</f>
        <v>0</v>
      </c>
      <c r="G56" s="0" t="n">
        <f aca="false">IF(OR($A$2=入户维修!$F56,$BN$2=1),0,2-SUMPRODUCT(--(($A$1:$A$2=入户维修!$F56)+$BN$1:$BN$2&gt;0)))</f>
        <v>1</v>
      </c>
      <c r="H56" s="0" t="n">
        <f aca="false">IF(OR($A$3=入户维修!$F56,$BN$3=1),0,3-SUMPRODUCT(--(($A$1:$A$3=入户维修!$F56)+$BN$1:$BN$3&gt;0)))</f>
        <v>2</v>
      </c>
      <c r="I56" s="0" t="n">
        <f aca="false">IF(OR($A$4=入户维修!$F56,$BN$4=1),0,4-SUMPRODUCT(--(($A$1:$A$4=入户维修!$F56)+$BN$1:$BN$4&gt;0)))</f>
        <v>3</v>
      </c>
      <c r="J56" s="0" t="n">
        <f aca="false">IF(OR($A$5=入户维修!$F56,$BN$5=1),0,5-SUMPRODUCT(--(($A$1:$A$5=入户维修!$F56)+$BN$1:$BN$5&gt;0)))</f>
        <v>4</v>
      </c>
      <c r="L56" s="0" t="str">
        <f aca="false">IFERROR(INDEX($A$1:$A$5,MATCH(1,$F56:$J56,0)),IF(1=MAX($F56:$J56)+1,"取消",""))</f>
        <v>李师傅</v>
      </c>
      <c r="M56" s="0" t="str">
        <f aca="false">IFERROR(INDEX($A$1:$A$5,MATCH(2,$F56:$J56,0)),IF(2=MAX($F56:$J56)+1,"取消",""))</f>
        <v>王师傅</v>
      </c>
      <c r="N56" s="0" t="str">
        <f aca="false">IFERROR(INDEX($A$1:$A$5,MATCH(3,$F56:$J56,0)),IF(3=MAX($F56:$J56)+1,"取消",""))</f>
        <v>陈师傅</v>
      </c>
      <c r="O56" s="0" t="str">
        <f aca="false">IFERROR(INDEX($A$1:$A$5,MATCH(4,$F56:$J56,0)),IF(4=MAX($F56:$J56)+1,"取消",""))</f>
        <v>刘师傅</v>
      </c>
      <c r="P56" s="0" t="str">
        <f aca="false">IFERROR(INDEX($A$1:$A$5,MATCH(5,$F56:$J56,0)),IF(5=MAX($F56:$J56)+1,"取消",""))</f>
        <v>取消</v>
      </c>
      <c r="Q56" s="0" t="str">
        <f aca="false">IFERROR(INDEX($A$1:$A$5,MATCH(6,$F56:$J56,0)),IF(6=MAX($F56:$J56)+1,"取消",""))</f>
        <v/>
      </c>
      <c r="S56" s="0" t="n">
        <f aca="false">IF(OR($A$1=入户维修!$F56,$A$1=入户维修!$G56,$BN$1=1),0,1-SUMPRODUCT(--(($A$1=入户维修!$F56)+($A$1=入户维修!$G56)+$BN$1&gt;0)))</f>
        <v>0</v>
      </c>
      <c r="T56" s="0" t="n">
        <f aca="false">IF(OR($A$2=入户维修!$F56,$A$2=入户维修!$G56,$BN$2=1),0,2-SUMPRODUCT(--(($A$1:$A$2=入户维修!$F56)+($A$1:$A$2=入户维修!$G56)+$BN$1:$BN$2&gt;0)))</f>
        <v>1</v>
      </c>
      <c r="U56" s="0" t="n">
        <f aca="false">IF(OR($A$3=入户维修!$F56,$A$3=入户维修!$G56,$BN$3=1),0,3-SUMPRODUCT(--(($A$1:$A$3=入户维修!$F56)+($A$1:$A$3=入户维修!$G56)+$BN$1:$BN$3&gt;0)))</f>
        <v>2</v>
      </c>
      <c r="V56" s="0" t="n">
        <f aca="false">IF(OR($A$4=入户维修!$F56,$A$4=入户维修!$G56,$BN$4=1),0,4-SUMPRODUCT(--(($A$1:$A$4=入户维修!$F56)+($A$1:$A$4=入户维修!$G56)+$BN$1:$BN$4&gt;0)))</f>
        <v>3</v>
      </c>
      <c r="W56" s="0" t="n">
        <f aca="false">IF(OR($A$5=入户维修!$F56,$A$5=入户维修!$G56,$BN$5=1),0,5-SUMPRODUCT(--(($A$1:$A$5=入户维修!$F56)+($A$1:$A$5=入户维修!$G56)+$BN$1:$BN$5&gt;0)))</f>
        <v>4</v>
      </c>
      <c r="Y56" s="0" t="str">
        <f aca="false">IFERROR(INDEX($A$1:$A$5,MATCH(1,$S56:$W56,0)),IF(1=MAX($S56:$W56)+1,"取消",""))</f>
        <v>李师傅</v>
      </c>
      <c r="Z56" s="0" t="str">
        <f aca="false">IFERROR(INDEX($A$1:$A$5,MATCH(2,$S56:$W56,0)),IF(2=MAX($S56:$W56)+1,"取消",""))</f>
        <v>王师傅</v>
      </c>
      <c r="AA56" s="0" t="str">
        <f aca="false">IFERROR(INDEX($A$1:$A$5,MATCH(3,$S56:$W56,0)),IF(3=MAX($S56:$W56)+1,"取消",""))</f>
        <v>陈师傅</v>
      </c>
      <c r="AB56" s="0" t="str">
        <f aca="false">IFERROR(INDEX($A$1:$A$5,MATCH(4,$S56:$W56,0)),IF(4=MAX($S56:$W56)+1,"取消",""))</f>
        <v>刘师傅</v>
      </c>
      <c r="AC56" s="0" t="str">
        <f aca="false">IFERROR(INDEX($A$1:$A$5,MATCH(5,$S56:$W56,0)),IF(5=MAX($S56:$W56)+1,"取消",""))</f>
        <v>取消</v>
      </c>
      <c r="AD56" s="0" t="str">
        <f aca="false">IFERROR(INDEX($A$1:$A$5,MATCH(6,$S56:$W56,0)),IF(6=MAX($S56:$W56)+1,"取消",""))</f>
        <v/>
      </c>
      <c r="AF56" s="0" t="n">
        <f aca="false">IF(OR($A$1=公区维修!$F56,$BN$1=1),0,1-SUMPRODUCT(--(($A$1=公区维修!$F56)+$BN$1&gt;0)))</f>
        <v>0</v>
      </c>
      <c r="AG56" s="0" t="n">
        <f aca="false">IF(OR($A$2=公区维修!$F56,$BN$2=1),0,2-SUMPRODUCT(--(($A$1:$A$2=公区维修!$F56)+$BN$1:$BN$2&gt;0)))</f>
        <v>1</v>
      </c>
      <c r="AH56" s="0" t="n">
        <f aca="false">IF(OR($A$3=公区维修!$F56,$BN$3=1),0,3-SUMPRODUCT(--(($A$1:$A$3=公区维修!$F56)+$BN$1:$BN$3&gt;0)))</f>
        <v>2</v>
      </c>
      <c r="AI56" s="0" t="n">
        <f aca="false">IF(OR($A$4=公区维修!$F56,$BN$4=1),0,4-SUMPRODUCT(--(($A$1:$A$4=公区维修!$F56)+$BN$1:$BN$4&gt;0)))</f>
        <v>3</v>
      </c>
      <c r="AJ56" s="0" t="n">
        <f aca="false">IF(OR($A$5=公区维修!$F56,$BN$5=1),0,5-SUMPRODUCT(--(($A$1:$A$5=公区维修!$F56)+$BN$1:$BN$5&gt;0)))</f>
        <v>4</v>
      </c>
      <c r="AL56" s="0" t="str">
        <f aca="false">IFERROR(INDEX($A$1:$A$5,MATCH(1,$AF56:$AJ56,0)),IF(1=MAX($AF56:$AJ56)+1,"取消",""))</f>
        <v>李师傅</v>
      </c>
      <c r="AM56" s="0" t="str">
        <f aca="false">IFERROR(INDEX($A$1:$A$5,MATCH(2,$AF56:$AJ56,0)),IF(2=MAX($AF56:$AJ56)+1,"取消",""))</f>
        <v>王师傅</v>
      </c>
      <c r="AN56" s="0" t="str">
        <f aca="false">IFERROR(INDEX($A$1:$A$5,MATCH(3,$AF56:$AJ56,0)),IF(3=MAX($AF56:$AJ56)+1,"取消",""))</f>
        <v>陈师傅</v>
      </c>
      <c r="AO56" s="0" t="str">
        <f aca="false">IFERROR(INDEX($A$1:$A$5,MATCH(4,$AF56:$AJ56,0)),IF(4=MAX($AF56:$AJ56)+1,"取消",""))</f>
        <v>刘师傅</v>
      </c>
      <c r="AP56" s="0" t="str">
        <f aca="false">IFERROR(INDEX($A$1:$A$5,MATCH(5,$AF56:$AJ56,0)),IF(5=MAX($AF56:$AJ56)+1,"取消",""))</f>
        <v>取消</v>
      </c>
      <c r="AQ56" s="0" t="str">
        <f aca="false">IFERROR(INDEX($A$1:$A$5,MATCH(6,$AF56:$AJ56,0)),IF(6=MAX($AF56:$AJ56)+1,"取消",""))</f>
        <v/>
      </c>
      <c r="AS56" s="0" t="n">
        <f aca="false">IF(OR($A$1=公区维修!$F56,$A$1=公区维修!$G56,$BN$1=1),0,1-SUMPRODUCT(--(($A$1=公区维修!$F56)+($A$1=公区维修!$G56)+$BN$1&gt;0)))</f>
        <v>0</v>
      </c>
      <c r="AT56" s="0" t="n">
        <f aca="false">IF(OR($A$2=公区维修!$F56,$A$2=公区维修!$G56,$BN$2=1),0,2-SUMPRODUCT(--(($A$1:$A$2=公区维修!$F56)+($A$1:$A$2=公区维修!$G56)+$BN$1:$BN$2&gt;0)))</f>
        <v>1</v>
      </c>
      <c r="AU56" s="0" t="n">
        <f aca="false">IF(OR($A$3=公区维修!$F56,$A$3=公区维修!$G56,$BN$3=1),0,3-SUMPRODUCT(--(($A$1:$A$3=公区维修!$F56)+($A$1:$A$3=公区维修!$G56)+$BN$1:$BN$3&gt;0)))</f>
        <v>2</v>
      </c>
      <c r="AV56" s="0" t="n">
        <f aca="false">IF(OR($A$4=公区维修!$F56,$A$4=公区维修!$G56,$BN$4=1),0,4-SUMPRODUCT(--(($A$1:$A$4=公区维修!$F56)+($A$1:$A$4=公区维修!$G56)+$BN$1:$BN$4&gt;0)))</f>
        <v>3</v>
      </c>
      <c r="AW56" s="0" t="n">
        <f aca="false">IF(OR($A$5=公区维修!$F56,$A$5=公区维修!$G56,$BN$5=1),0,5-SUMPRODUCT(--(($A$1:$A$5=公区维修!$F56)+($A$1:$A$5=公区维修!$G56)+$BN$1:$BN$5&gt;0)))</f>
        <v>4</v>
      </c>
      <c r="AY56" s="0" t="str">
        <f aca="false">IFERROR(INDEX($A$1:$A$5,MATCH(1,$AS56:$AW56,0)),IF(1=MAX($AS56:$AW56)+1,"取消",""))</f>
        <v>李师傅</v>
      </c>
      <c r="AZ56" s="0" t="str">
        <f aca="false">IFERROR(INDEX($A$1:$A$5,MATCH(2,$AS56:$AW56,0)),IF(2=MAX($AS56:$AW56)+1,"取消",""))</f>
        <v>王师傅</v>
      </c>
      <c r="BA56" s="0" t="str">
        <f aca="false">IFERROR(INDEX($A$1:$A$5,MATCH(3,$AS56:$AW56,0)),IF(3=MAX($AS56:$AW56)+1,"取消",""))</f>
        <v>陈师傅</v>
      </c>
      <c r="BB56" s="0" t="str">
        <f aca="false">IFERROR(INDEX($A$1:$A$5,MATCH(4,$AS56:$AW56,0)),IF(4=MAX($AS56:$AW56)+1,"取消",""))</f>
        <v>刘师傅</v>
      </c>
      <c r="BC56" s="0" t="str">
        <f aca="false">IFERROR(INDEX($A$1:$A$5,MATCH(5,$AS56:$AW56,0)),IF(5=MAX($AS56:$AW56)+1,"取消",""))</f>
        <v>取消</v>
      </c>
      <c r="BD56" s="0" t="str">
        <f aca="false">IFERROR(INDEX($A$1:$A$5,MATCH(6,$AS56:$AW56,0)),IF(6=MAX($AS56:$AW56)+1,"取消",""))</f>
        <v/>
      </c>
      <c r="FW56" s="0" t="str">
        <f aca="false">IF(AND(单元查询!$D$3&lt;&gt;"",IF(单元查询!$B$3="公区维修",公区维修!$E56&lt;&gt;"",入户维修!$E56&lt;&gt;""),IF(单元查询!$B$3="公区维修",公区维修!$C56,入户维修!$C56)=单元查询!$D$3,OR(单元查询!$F$3="",IF(单元查询!$B$3="公区维修",公区维修!$D56,入户维修!$D56)&amp;""=(单元查询!$F$3)&amp;"")),MAX($FW$4:$FW55)+1,"")</f>
        <v/>
      </c>
    </row>
    <row r="57" customFormat="false" ht="15" hidden="false" customHeight="true" outlineLevel="0" collapsed="false">
      <c r="F57" s="0" t="n">
        <f aca="false">IF(OR($A$1=入户维修!$F57,$BN$1=1),0,1-SUMPRODUCT(--(($A$1=入户维修!$F57)+$BN$1&gt;0)))</f>
        <v>0</v>
      </c>
      <c r="G57" s="0" t="n">
        <f aca="false">IF(OR($A$2=入户维修!$F57,$BN$2=1),0,2-SUMPRODUCT(--(($A$1:$A$2=入户维修!$F57)+$BN$1:$BN$2&gt;0)))</f>
        <v>1</v>
      </c>
      <c r="H57" s="0" t="n">
        <f aca="false">IF(OR($A$3=入户维修!$F57,$BN$3=1),0,3-SUMPRODUCT(--(($A$1:$A$3=入户维修!$F57)+$BN$1:$BN$3&gt;0)))</f>
        <v>2</v>
      </c>
      <c r="I57" s="0" t="n">
        <f aca="false">IF(OR($A$4=入户维修!$F57,$BN$4=1),0,4-SUMPRODUCT(--(($A$1:$A$4=入户维修!$F57)+$BN$1:$BN$4&gt;0)))</f>
        <v>3</v>
      </c>
      <c r="J57" s="0" t="n">
        <f aca="false">IF(OR($A$5=入户维修!$F57,$BN$5=1),0,5-SUMPRODUCT(--(($A$1:$A$5=入户维修!$F57)+$BN$1:$BN$5&gt;0)))</f>
        <v>4</v>
      </c>
      <c r="L57" s="0" t="str">
        <f aca="false">IFERROR(INDEX($A$1:$A$5,MATCH(1,$F57:$J57,0)),IF(1=MAX($F57:$J57)+1,"取消",""))</f>
        <v>李师傅</v>
      </c>
      <c r="M57" s="0" t="str">
        <f aca="false">IFERROR(INDEX($A$1:$A$5,MATCH(2,$F57:$J57,0)),IF(2=MAX($F57:$J57)+1,"取消",""))</f>
        <v>王师傅</v>
      </c>
      <c r="N57" s="0" t="str">
        <f aca="false">IFERROR(INDEX($A$1:$A$5,MATCH(3,$F57:$J57,0)),IF(3=MAX($F57:$J57)+1,"取消",""))</f>
        <v>陈师傅</v>
      </c>
      <c r="O57" s="0" t="str">
        <f aca="false">IFERROR(INDEX($A$1:$A$5,MATCH(4,$F57:$J57,0)),IF(4=MAX($F57:$J57)+1,"取消",""))</f>
        <v>刘师傅</v>
      </c>
      <c r="P57" s="0" t="str">
        <f aca="false">IFERROR(INDEX($A$1:$A$5,MATCH(5,$F57:$J57,0)),IF(5=MAX($F57:$J57)+1,"取消",""))</f>
        <v>取消</v>
      </c>
      <c r="Q57" s="0" t="str">
        <f aca="false">IFERROR(INDEX($A$1:$A$5,MATCH(6,$F57:$J57,0)),IF(6=MAX($F57:$J57)+1,"取消",""))</f>
        <v/>
      </c>
      <c r="S57" s="0" t="n">
        <f aca="false">IF(OR($A$1=入户维修!$F57,$A$1=入户维修!$G57,$BN$1=1),0,1-SUMPRODUCT(--(($A$1=入户维修!$F57)+($A$1=入户维修!$G57)+$BN$1&gt;0)))</f>
        <v>0</v>
      </c>
      <c r="T57" s="0" t="n">
        <f aca="false">IF(OR($A$2=入户维修!$F57,$A$2=入户维修!$G57,$BN$2=1),0,2-SUMPRODUCT(--(($A$1:$A$2=入户维修!$F57)+($A$1:$A$2=入户维修!$G57)+$BN$1:$BN$2&gt;0)))</f>
        <v>1</v>
      </c>
      <c r="U57" s="0" t="n">
        <f aca="false">IF(OR($A$3=入户维修!$F57,$A$3=入户维修!$G57,$BN$3=1),0,3-SUMPRODUCT(--(($A$1:$A$3=入户维修!$F57)+($A$1:$A$3=入户维修!$G57)+$BN$1:$BN$3&gt;0)))</f>
        <v>2</v>
      </c>
      <c r="V57" s="0" t="n">
        <f aca="false">IF(OR($A$4=入户维修!$F57,$A$4=入户维修!$G57,$BN$4=1),0,4-SUMPRODUCT(--(($A$1:$A$4=入户维修!$F57)+($A$1:$A$4=入户维修!$G57)+$BN$1:$BN$4&gt;0)))</f>
        <v>3</v>
      </c>
      <c r="W57" s="0" t="n">
        <f aca="false">IF(OR($A$5=入户维修!$F57,$A$5=入户维修!$G57,$BN$5=1),0,5-SUMPRODUCT(--(($A$1:$A$5=入户维修!$F57)+($A$1:$A$5=入户维修!$G57)+$BN$1:$BN$5&gt;0)))</f>
        <v>4</v>
      </c>
      <c r="Y57" s="0" t="str">
        <f aca="false">IFERROR(INDEX($A$1:$A$5,MATCH(1,$S57:$W57,0)),IF(1=MAX($S57:$W57)+1,"取消",""))</f>
        <v>李师傅</v>
      </c>
      <c r="Z57" s="0" t="str">
        <f aca="false">IFERROR(INDEX($A$1:$A$5,MATCH(2,$S57:$W57,0)),IF(2=MAX($S57:$W57)+1,"取消",""))</f>
        <v>王师傅</v>
      </c>
      <c r="AA57" s="0" t="str">
        <f aca="false">IFERROR(INDEX($A$1:$A$5,MATCH(3,$S57:$W57,0)),IF(3=MAX($S57:$W57)+1,"取消",""))</f>
        <v>陈师傅</v>
      </c>
      <c r="AB57" s="0" t="str">
        <f aca="false">IFERROR(INDEX($A$1:$A$5,MATCH(4,$S57:$W57,0)),IF(4=MAX($S57:$W57)+1,"取消",""))</f>
        <v>刘师傅</v>
      </c>
      <c r="AC57" s="0" t="str">
        <f aca="false">IFERROR(INDEX($A$1:$A$5,MATCH(5,$S57:$W57,0)),IF(5=MAX($S57:$W57)+1,"取消",""))</f>
        <v>取消</v>
      </c>
      <c r="AD57" s="0" t="str">
        <f aca="false">IFERROR(INDEX($A$1:$A$5,MATCH(6,$S57:$W57,0)),IF(6=MAX($S57:$W57)+1,"取消",""))</f>
        <v/>
      </c>
      <c r="AF57" s="0" t="n">
        <f aca="false">IF(OR($A$1=公区维修!$F57,$BN$1=1),0,1-SUMPRODUCT(--(($A$1=公区维修!$F57)+$BN$1&gt;0)))</f>
        <v>0</v>
      </c>
      <c r="AG57" s="0" t="n">
        <f aca="false">IF(OR($A$2=公区维修!$F57,$BN$2=1),0,2-SUMPRODUCT(--(($A$1:$A$2=公区维修!$F57)+$BN$1:$BN$2&gt;0)))</f>
        <v>1</v>
      </c>
      <c r="AH57" s="0" t="n">
        <f aca="false">IF(OR($A$3=公区维修!$F57,$BN$3=1),0,3-SUMPRODUCT(--(($A$1:$A$3=公区维修!$F57)+$BN$1:$BN$3&gt;0)))</f>
        <v>2</v>
      </c>
      <c r="AI57" s="0" t="n">
        <f aca="false">IF(OR($A$4=公区维修!$F57,$BN$4=1),0,4-SUMPRODUCT(--(($A$1:$A$4=公区维修!$F57)+$BN$1:$BN$4&gt;0)))</f>
        <v>3</v>
      </c>
      <c r="AJ57" s="0" t="n">
        <f aca="false">IF(OR($A$5=公区维修!$F57,$BN$5=1),0,5-SUMPRODUCT(--(($A$1:$A$5=公区维修!$F57)+$BN$1:$BN$5&gt;0)))</f>
        <v>4</v>
      </c>
      <c r="AL57" s="0" t="str">
        <f aca="false">IFERROR(INDEX($A$1:$A$5,MATCH(1,$AF57:$AJ57,0)),IF(1=MAX($AF57:$AJ57)+1,"取消",""))</f>
        <v>李师傅</v>
      </c>
      <c r="AM57" s="0" t="str">
        <f aca="false">IFERROR(INDEX($A$1:$A$5,MATCH(2,$AF57:$AJ57,0)),IF(2=MAX($AF57:$AJ57)+1,"取消",""))</f>
        <v>王师傅</v>
      </c>
      <c r="AN57" s="0" t="str">
        <f aca="false">IFERROR(INDEX($A$1:$A$5,MATCH(3,$AF57:$AJ57,0)),IF(3=MAX($AF57:$AJ57)+1,"取消",""))</f>
        <v>陈师傅</v>
      </c>
      <c r="AO57" s="0" t="str">
        <f aca="false">IFERROR(INDEX($A$1:$A$5,MATCH(4,$AF57:$AJ57,0)),IF(4=MAX($AF57:$AJ57)+1,"取消",""))</f>
        <v>刘师傅</v>
      </c>
      <c r="AP57" s="0" t="str">
        <f aca="false">IFERROR(INDEX($A$1:$A$5,MATCH(5,$AF57:$AJ57,0)),IF(5=MAX($AF57:$AJ57)+1,"取消",""))</f>
        <v>取消</v>
      </c>
      <c r="AQ57" s="0" t="str">
        <f aca="false">IFERROR(INDEX($A$1:$A$5,MATCH(6,$AF57:$AJ57,0)),IF(6=MAX($AF57:$AJ57)+1,"取消",""))</f>
        <v/>
      </c>
      <c r="AS57" s="0" t="n">
        <f aca="false">IF(OR($A$1=公区维修!$F57,$A$1=公区维修!$G57,$BN$1=1),0,1-SUMPRODUCT(--(($A$1=公区维修!$F57)+($A$1=公区维修!$G57)+$BN$1&gt;0)))</f>
        <v>0</v>
      </c>
      <c r="AT57" s="0" t="n">
        <f aca="false">IF(OR($A$2=公区维修!$F57,$A$2=公区维修!$G57,$BN$2=1),0,2-SUMPRODUCT(--(($A$1:$A$2=公区维修!$F57)+($A$1:$A$2=公区维修!$G57)+$BN$1:$BN$2&gt;0)))</f>
        <v>1</v>
      </c>
      <c r="AU57" s="0" t="n">
        <f aca="false">IF(OR($A$3=公区维修!$F57,$A$3=公区维修!$G57,$BN$3=1),0,3-SUMPRODUCT(--(($A$1:$A$3=公区维修!$F57)+($A$1:$A$3=公区维修!$G57)+$BN$1:$BN$3&gt;0)))</f>
        <v>2</v>
      </c>
      <c r="AV57" s="0" t="n">
        <f aca="false">IF(OR($A$4=公区维修!$F57,$A$4=公区维修!$G57,$BN$4=1),0,4-SUMPRODUCT(--(($A$1:$A$4=公区维修!$F57)+($A$1:$A$4=公区维修!$G57)+$BN$1:$BN$4&gt;0)))</f>
        <v>3</v>
      </c>
      <c r="AW57" s="0" t="n">
        <f aca="false">IF(OR($A$5=公区维修!$F57,$A$5=公区维修!$G57,$BN$5=1),0,5-SUMPRODUCT(--(($A$1:$A$5=公区维修!$F57)+($A$1:$A$5=公区维修!$G57)+$BN$1:$BN$5&gt;0)))</f>
        <v>4</v>
      </c>
      <c r="AY57" s="0" t="str">
        <f aca="false">IFERROR(INDEX($A$1:$A$5,MATCH(1,$AS57:$AW57,0)),IF(1=MAX($AS57:$AW57)+1,"取消",""))</f>
        <v>李师傅</v>
      </c>
      <c r="AZ57" s="0" t="str">
        <f aca="false">IFERROR(INDEX($A$1:$A$5,MATCH(2,$AS57:$AW57,0)),IF(2=MAX($AS57:$AW57)+1,"取消",""))</f>
        <v>王师傅</v>
      </c>
      <c r="BA57" s="0" t="str">
        <f aca="false">IFERROR(INDEX($A$1:$A$5,MATCH(3,$AS57:$AW57,0)),IF(3=MAX($AS57:$AW57)+1,"取消",""))</f>
        <v>陈师傅</v>
      </c>
      <c r="BB57" s="0" t="str">
        <f aca="false">IFERROR(INDEX($A$1:$A$5,MATCH(4,$AS57:$AW57,0)),IF(4=MAX($AS57:$AW57)+1,"取消",""))</f>
        <v>刘师傅</v>
      </c>
      <c r="BC57" s="0" t="str">
        <f aca="false">IFERROR(INDEX($A$1:$A$5,MATCH(5,$AS57:$AW57,0)),IF(5=MAX($AS57:$AW57)+1,"取消",""))</f>
        <v>取消</v>
      </c>
      <c r="BD57" s="0" t="str">
        <f aca="false">IFERROR(INDEX($A$1:$A$5,MATCH(6,$AS57:$AW57,0)),IF(6=MAX($AS57:$AW57)+1,"取消",""))</f>
        <v/>
      </c>
      <c r="FW57" s="0" t="str">
        <f aca="false">IF(AND(单元查询!$D$3&lt;&gt;"",IF(单元查询!$B$3="公区维修",公区维修!$E57&lt;&gt;"",入户维修!$E57&lt;&gt;""),IF(单元查询!$B$3="公区维修",公区维修!$C57,入户维修!$C57)=单元查询!$D$3,OR(单元查询!$F$3="",IF(单元查询!$B$3="公区维修",公区维修!$D57,入户维修!$D57)&amp;""=(单元查询!$F$3)&amp;"")),MAX($FW$4:$FW56)+1,"")</f>
        <v/>
      </c>
    </row>
    <row r="58" customFormat="false" ht="15" hidden="false" customHeight="true" outlineLevel="0" collapsed="false">
      <c r="F58" s="0" t="n">
        <f aca="false">IF(OR($A$1=入户维修!$F58,$BN$1=1),0,1-SUMPRODUCT(--(($A$1=入户维修!$F58)+$BN$1&gt;0)))</f>
        <v>0</v>
      </c>
      <c r="G58" s="0" t="n">
        <f aca="false">IF(OR($A$2=入户维修!$F58,$BN$2=1),0,2-SUMPRODUCT(--(($A$1:$A$2=入户维修!$F58)+$BN$1:$BN$2&gt;0)))</f>
        <v>0</v>
      </c>
      <c r="H58" s="0" t="n">
        <f aca="false">IF(OR($A$3=入户维修!$F58,$BN$3=1),0,3-SUMPRODUCT(--(($A$1:$A$3=入户维修!$F58)+$BN$1:$BN$3&gt;0)))</f>
        <v>1</v>
      </c>
      <c r="I58" s="0" t="n">
        <f aca="false">IF(OR($A$4=入户维修!$F58,$BN$4=1),0,4-SUMPRODUCT(--(($A$1:$A$4=入户维修!$F58)+$BN$1:$BN$4&gt;0)))</f>
        <v>2</v>
      </c>
      <c r="J58" s="0" t="n">
        <f aca="false">IF(OR($A$5=入户维修!$F58,$BN$5=1),0,5-SUMPRODUCT(--(($A$1:$A$5=入户维修!$F58)+$BN$1:$BN$5&gt;0)))</f>
        <v>3</v>
      </c>
      <c r="L58" s="0" t="str">
        <f aca="false">IFERROR(INDEX($A$1:$A$5,MATCH(1,$F58:$J58,0)),IF(1=MAX($F58:$J58)+1,"取消",""))</f>
        <v>王师傅</v>
      </c>
      <c r="M58" s="0" t="str">
        <f aca="false">IFERROR(INDEX($A$1:$A$5,MATCH(2,$F58:$J58,0)),IF(2=MAX($F58:$J58)+1,"取消",""))</f>
        <v>陈师傅</v>
      </c>
      <c r="N58" s="0" t="str">
        <f aca="false">IFERROR(INDEX($A$1:$A$5,MATCH(3,$F58:$J58,0)),IF(3=MAX($F58:$J58)+1,"取消",""))</f>
        <v>刘师傅</v>
      </c>
      <c r="O58" s="0" t="str">
        <f aca="false">IFERROR(INDEX($A$1:$A$5,MATCH(4,$F58:$J58,0)),IF(4=MAX($F58:$J58)+1,"取消",""))</f>
        <v>取消</v>
      </c>
      <c r="P58" s="0" t="str">
        <f aca="false">IFERROR(INDEX($A$1:$A$5,MATCH(5,$F58:$J58,0)),IF(5=MAX($F58:$J58)+1,"取消",""))</f>
        <v/>
      </c>
      <c r="Q58" s="0" t="str">
        <f aca="false">IFERROR(INDEX($A$1:$A$5,MATCH(6,$F58:$J58,0)),IF(6=MAX($F58:$J58)+1,"取消",""))</f>
        <v/>
      </c>
      <c r="S58" s="0" t="n">
        <f aca="false">IF(OR($A$1=入户维修!$F58,$A$1=入户维修!$G58,$BN$1=1),0,1-SUMPRODUCT(--(($A$1=入户维修!$F58)+($A$1=入户维修!$G58)+$BN$1&gt;0)))</f>
        <v>0</v>
      </c>
      <c r="T58" s="0" t="n">
        <f aca="false">IF(OR($A$2=入户维修!$F58,$A$2=入户维修!$G58,$BN$2=1),0,2-SUMPRODUCT(--(($A$1:$A$2=入户维修!$F58)+($A$1:$A$2=入户维修!$G58)+$BN$1:$BN$2&gt;0)))</f>
        <v>0</v>
      </c>
      <c r="U58" s="0" t="n">
        <f aca="false">IF(OR($A$3=入户维修!$F58,$A$3=入户维修!$G58,$BN$3=1),0,3-SUMPRODUCT(--(($A$1:$A$3=入户维修!$F58)+($A$1:$A$3=入户维修!$G58)+$BN$1:$BN$3&gt;0)))</f>
        <v>1</v>
      </c>
      <c r="V58" s="0" t="n">
        <f aca="false">IF(OR($A$4=入户维修!$F58,$A$4=入户维修!$G58,$BN$4=1),0,4-SUMPRODUCT(--(($A$1:$A$4=入户维修!$F58)+($A$1:$A$4=入户维修!$G58)+$BN$1:$BN$4&gt;0)))</f>
        <v>2</v>
      </c>
      <c r="W58" s="0" t="n">
        <f aca="false">IF(OR($A$5=入户维修!$F58,$A$5=入户维修!$G58,$BN$5=1),0,5-SUMPRODUCT(--(($A$1:$A$5=入户维修!$F58)+($A$1:$A$5=入户维修!$G58)+$BN$1:$BN$5&gt;0)))</f>
        <v>3</v>
      </c>
      <c r="Y58" s="0" t="str">
        <f aca="false">IFERROR(INDEX($A$1:$A$5,MATCH(1,$S58:$W58,0)),IF(1=MAX($S58:$W58)+1,"取消",""))</f>
        <v>王师傅</v>
      </c>
      <c r="Z58" s="0" t="str">
        <f aca="false">IFERROR(INDEX($A$1:$A$5,MATCH(2,$S58:$W58,0)),IF(2=MAX($S58:$W58)+1,"取消",""))</f>
        <v>陈师傅</v>
      </c>
      <c r="AA58" s="0" t="str">
        <f aca="false">IFERROR(INDEX($A$1:$A$5,MATCH(3,$S58:$W58,0)),IF(3=MAX($S58:$W58)+1,"取消",""))</f>
        <v>刘师傅</v>
      </c>
      <c r="AB58" s="0" t="str">
        <f aca="false">IFERROR(INDEX($A$1:$A$5,MATCH(4,$S58:$W58,0)),IF(4=MAX($S58:$W58)+1,"取消",""))</f>
        <v>取消</v>
      </c>
      <c r="AC58" s="0" t="str">
        <f aca="false">IFERROR(INDEX($A$1:$A$5,MATCH(5,$S58:$W58,0)),IF(5=MAX($S58:$W58)+1,"取消",""))</f>
        <v/>
      </c>
      <c r="AD58" s="0" t="str">
        <f aca="false">IFERROR(INDEX($A$1:$A$5,MATCH(6,$S58:$W58,0)),IF(6=MAX($S58:$W58)+1,"取消",""))</f>
        <v/>
      </c>
      <c r="AF58" s="0" t="n">
        <f aca="false">IF(OR($A$1=公区维修!$F58,$BN$1=1),0,1-SUMPRODUCT(--(($A$1=公区维修!$F58)+$BN$1&gt;0)))</f>
        <v>0</v>
      </c>
      <c r="AG58" s="0" t="n">
        <f aca="false">IF(OR($A$2=公区维修!$F58,$BN$2=1),0,2-SUMPRODUCT(--(($A$1:$A$2=公区维修!$F58)+$BN$1:$BN$2&gt;0)))</f>
        <v>1</v>
      </c>
      <c r="AH58" s="0" t="n">
        <f aca="false">IF(OR($A$3=公区维修!$F58,$BN$3=1),0,3-SUMPRODUCT(--(($A$1:$A$3=公区维修!$F58)+$BN$1:$BN$3&gt;0)))</f>
        <v>2</v>
      </c>
      <c r="AI58" s="0" t="n">
        <f aca="false">IF(OR($A$4=公区维修!$F58,$BN$4=1),0,4-SUMPRODUCT(--(($A$1:$A$4=公区维修!$F58)+$BN$1:$BN$4&gt;0)))</f>
        <v>3</v>
      </c>
      <c r="AJ58" s="0" t="n">
        <f aca="false">IF(OR($A$5=公区维修!$F58,$BN$5=1),0,5-SUMPRODUCT(--(($A$1:$A$5=公区维修!$F58)+$BN$1:$BN$5&gt;0)))</f>
        <v>4</v>
      </c>
      <c r="AL58" s="0" t="str">
        <f aca="false">IFERROR(INDEX($A$1:$A$5,MATCH(1,$AF58:$AJ58,0)),IF(1=MAX($AF58:$AJ58)+1,"取消",""))</f>
        <v>李师傅</v>
      </c>
      <c r="AM58" s="0" t="str">
        <f aca="false">IFERROR(INDEX($A$1:$A$5,MATCH(2,$AF58:$AJ58,0)),IF(2=MAX($AF58:$AJ58)+1,"取消",""))</f>
        <v>王师傅</v>
      </c>
      <c r="AN58" s="0" t="str">
        <f aca="false">IFERROR(INDEX($A$1:$A$5,MATCH(3,$AF58:$AJ58,0)),IF(3=MAX($AF58:$AJ58)+1,"取消",""))</f>
        <v>陈师傅</v>
      </c>
      <c r="AO58" s="0" t="str">
        <f aca="false">IFERROR(INDEX($A$1:$A$5,MATCH(4,$AF58:$AJ58,0)),IF(4=MAX($AF58:$AJ58)+1,"取消",""))</f>
        <v>刘师傅</v>
      </c>
      <c r="AP58" s="0" t="str">
        <f aca="false">IFERROR(INDEX($A$1:$A$5,MATCH(5,$AF58:$AJ58,0)),IF(5=MAX($AF58:$AJ58)+1,"取消",""))</f>
        <v>取消</v>
      </c>
      <c r="AQ58" s="0" t="str">
        <f aca="false">IFERROR(INDEX($A$1:$A$5,MATCH(6,$AF58:$AJ58,0)),IF(6=MAX($AF58:$AJ58)+1,"取消",""))</f>
        <v/>
      </c>
      <c r="AS58" s="0" t="n">
        <f aca="false">IF(OR($A$1=公区维修!$F58,$A$1=公区维修!$G58,$BN$1=1),0,1-SUMPRODUCT(--(($A$1=公区维修!$F58)+($A$1=公区维修!$G58)+$BN$1&gt;0)))</f>
        <v>0</v>
      </c>
      <c r="AT58" s="0" t="n">
        <f aca="false">IF(OR($A$2=公区维修!$F58,$A$2=公区维修!$G58,$BN$2=1),0,2-SUMPRODUCT(--(($A$1:$A$2=公区维修!$F58)+($A$1:$A$2=公区维修!$G58)+$BN$1:$BN$2&gt;0)))</f>
        <v>1</v>
      </c>
      <c r="AU58" s="0" t="n">
        <f aca="false">IF(OR($A$3=公区维修!$F58,$A$3=公区维修!$G58,$BN$3=1),0,3-SUMPRODUCT(--(($A$1:$A$3=公区维修!$F58)+($A$1:$A$3=公区维修!$G58)+$BN$1:$BN$3&gt;0)))</f>
        <v>2</v>
      </c>
      <c r="AV58" s="0" t="n">
        <f aca="false">IF(OR($A$4=公区维修!$F58,$A$4=公区维修!$G58,$BN$4=1),0,4-SUMPRODUCT(--(($A$1:$A$4=公区维修!$F58)+($A$1:$A$4=公区维修!$G58)+$BN$1:$BN$4&gt;0)))</f>
        <v>3</v>
      </c>
      <c r="AW58" s="0" t="n">
        <f aca="false">IF(OR($A$5=公区维修!$F58,$A$5=公区维修!$G58,$BN$5=1),0,5-SUMPRODUCT(--(($A$1:$A$5=公区维修!$F58)+($A$1:$A$5=公区维修!$G58)+$BN$1:$BN$5&gt;0)))</f>
        <v>4</v>
      </c>
      <c r="AY58" s="0" t="str">
        <f aca="false">IFERROR(INDEX($A$1:$A$5,MATCH(1,$AS58:$AW58,0)),IF(1=MAX($AS58:$AW58)+1,"取消",""))</f>
        <v>李师傅</v>
      </c>
      <c r="AZ58" s="0" t="str">
        <f aca="false">IFERROR(INDEX($A$1:$A$5,MATCH(2,$AS58:$AW58,0)),IF(2=MAX($AS58:$AW58)+1,"取消",""))</f>
        <v>王师傅</v>
      </c>
      <c r="BA58" s="0" t="str">
        <f aca="false">IFERROR(INDEX($A$1:$A$5,MATCH(3,$AS58:$AW58,0)),IF(3=MAX($AS58:$AW58)+1,"取消",""))</f>
        <v>陈师傅</v>
      </c>
      <c r="BB58" s="0" t="str">
        <f aca="false">IFERROR(INDEX($A$1:$A$5,MATCH(4,$AS58:$AW58,0)),IF(4=MAX($AS58:$AW58)+1,"取消",""))</f>
        <v>刘师傅</v>
      </c>
      <c r="BC58" s="0" t="str">
        <f aca="false">IFERROR(INDEX($A$1:$A$5,MATCH(5,$AS58:$AW58,0)),IF(5=MAX($AS58:$AW58)+1,"取消",""))</f>
        <v>取消</v>
      </c>
      <c r="BD58" s="0" t="str">
        <f aca="false">IFERROR(INDEX($A$1:$A$5,MATCH(6,$AS58:$AW58,0)),IF(6=MAX($AS58:$AW58)+1,"取消",""))</f>
        <v/>
      </c>
      <c r="FW58" s="0" t="str">
        <f aca="false">IF(AND(单元查询!$D$3&lt;&gt;"",IF(单元查询!$B$3="公区维修",公区维修!$E58&lt;&gt;"",入户维修!$E58&lt;&gt;""),IF(单元查询!$B$3="公区维修",公区维修!$C58,入户维修!$C58)=单元查询!$D$3,OR(单元查询!$F$3="",IF(单元查询!$B$3="公区维修",公区维修!$D58,入户维修!$D58)&amp;""=(单元查询!$F$3)&amp;"")),MAX($FW$4:$FW57)+1,"")</f>
        <v/>
      </c>
    </row>
    <row r="59" customFormat="false" ht="15" hidden="false" customHeight="true" outlineLevel="0" collapsed="false">
      <c r="F59" s="0" t="n">
        <f aca="false">IF(OR($A$1=入户维修!$F59,$BN$1=1),0,1-SUMPRODUCT(--(($A$1=入户维修!$F59)+$BN$1&gt;0)))</f>
        <v>0</v>
      </c>
      <c r="G59" s="0" t="n">
        <f aca="false">IF(OR($A$2=入户维修!$F59,$BN$2=1),0,2-SUMPRODUCT(--(($A$1:$A$2=入户维修!$F59)+$BN$1:$BN$2&gt;0)))</f>
        <v>1</v>
      </c>
      <c r="H59" s="0" t="n">
        <f aca="false">IF(OR($A$3=入户维修!$F59,$BN$3=1),0,3-SUMPRODUCT(--(($A$1:$A$3=入户维修!$F59)+$BN$1:$BN$3&gt;0)))</f>
        <v>2</v>
      </c>
      <c r="I59" s="0" t="n">
        <f aca="false">IF(OR($A$4=入户维修!$F59,$BN$4=1),0,4-SUMPRODUCT(--(($A$1:$A$4=入户维修!$F59)+$BN$1:$BN$4&gt;0)))</f>
        <v>3</v>
      </c>
      <c r="J59" s="0" t="n">
        <f aca="false">IF(OR($A$5=入户维修!$F59,$BN$5=1),0,5-SUMPRODUCT(--(($A$1:$A$5=入户维修!$F59)+$BN$1:$BN$5&gt;0)))</f>
        <v>4</v>
      </c>
      <c r="L59" s="0" t="str">
        <f aca="false">IFERROR(INDEX($A$1:$A$5,MATCH(1,$F59:$J59,0)),IF(1=MAX($F59:$J59)+1,"取消",""))</f>
        <v>李师傅</v>
      </c>
      <c r="M59" s="0" t="str">
        <f aca="false">IFERROR(INDEX($A$1:$A$5,MATCH(2,$F59:$J59,0)),IF(2=MAX($F59:$J59)+1,"取消",""))</f>
        <v>王师傅</v>
      </c>
      <c r="N59" s="0" t="str">
        <f aca="false">IFERROR(INDEX($A$1:$A$5,MATCH(3,$F59:$J59,0)),IF(3=MAX($F59:$J59)+1,"取消",""))</f>
        <v>陈师傅</v>
      </c>
      <c r="O59" s="0" t="str">
        <f aca="false">IFERROR(INDEX($A$1:$A$5,MATCH(4,$F59:$J59,0)),IF(4=MAX($F59:$J59)+1,"取消",""))</f>
        <v>刘师傅</v>
      </c>
      <c r="P59" s="0" t="str">
        <f aca="false">IFERROR(INDEX($A$1:$A$5,MATCH(5,$F59:$J59,0)),IF(5=MAX($F59:$J59)+1,"取消",""))</f>
        <v>取消</v>
      </c>
      <c r="Q59" s="0" t="str">
        <f aca="false">IFERROR(INDEX($A$1:$A$5,MATCH(6,$F59:$J59,0)),IF(6=MAX($F59:$J59)+1,"取消",""))</f>
        <v/>
      </c>
      <c r="S59" s="0" t="n">
        <f aca="false">IF(OR($A$1=入户维修!$F59,$A$1=入户维修!$G59,$BN$1=1),0,1-SUMPRODUCT(--(($A$1=入户维修!$F59)+($A$1=入户维修!$G59)+$BN$1&gt;0)))</f>
        <v>0</v>
      </c>
      <c r="T59" s="0" t="n">
        <f aca="false">IF(OR($A$2=入户维修!$F59,$A$2=入户维修!$G59,$BN$2=1),0,2-SUMPRODUCT(--(($A$1:$A$2=入户维修!$F59)+($A$1:$A$2=入户维修!$G59)+$BN$1:$BN$2&gt;0)))</f>
        <v>1</v>
      </c>
      <c r="U59" s="0" t="n">
        <f aca="false">IF(OR($A$3=入户维修!$F59,$A$3=入户维修!$G59,$BN$3=1),0,3-SUMPRODUCT(--(($A$1:$A$3=入户维修!$F59)+($A$1:$A$3=入户维修!$G59)+$BN$1:$BN$3&gt;0)))</f>
        <v>2</v>
      </c>
      <c r="V59" s="0" t="n">
        <f aca="false">IF(OR($A$4=入户维修!$F59,$A$4=入户维修!$G59,$BN$4=1),0,4-SUMPRODUCT(--(($A$1:$A$4=入户维修!$F59)+($A$1:$A$4=入户维修!$G59)+$BN$1:$BN$4&gt;0)))</f>
        <v>3</v>
      </c>
      <c r="W59" s="0" t="n">
        <f aca="false">IF(OR($A$5=入户维修!$F59,$A$5=入户维修!$G59,$BN$5=1),0,5-SUMPRODUCT(--(($A$1:$A$5=入户维修!$F59)+($A$1:$A$5=入户维修!$G59)+$BN$1:$BN$5&gt;0)))</f>
        <v>4</v>
      </c>
      <c r="Y59" s="0" t="str">
        <f aca="false">IFERROR(INDEX($A$1:$A$5,MATCH(1,$S59:$W59,0)),IF(1=MAX($S59:$W59)+1,"取消",""))</f>
        <v>李师傅</v>
      </c>
      <c r="Z59" s="0" t="str">
        <f aca="false">IFERROR(INDEX($A$1:$A$5,MATCH(2,$S59:$W59,0)),IF(2=MAX($S59:$W59)+1,"取消",""))</f>
        <v>王师傅</v>
      </c>
      <c r="AA59" s="0" t="str">
        <f aca="false">IFERROR(INDEX($A$1:$A$5,MATCH(3,$S59:$W59,0)),IF(3=MAX($S59:$W59)+1,"取消",""))</f>
        <v>陈师傅</v>
      </c>
      <c r="AB59" s="0" t="str">
        <f aca="false">IFERROR(INDEX($A$1:$A$5,MATCH(4,$S59:$W59,0)),IF(4=MAX($S59:$W59)+1,"取消",""))</f>
        <v>刘师傅</v>
      </c>
      <c r="AC59" s="0" t="str">
        <f aca="false">IFERROR(INDEX($A$1:$A$5,MATCH(5,$S59:$W59,0)),IF(5=MAX($S59:$W59)+1,"取消",""))</f>
        <v>取消</v>
      </c>
      <c r="AD59" s="0" t="str">
        <f aca="false">IFERROR(INDEX($A$1:$A$5,MATCH(6,$S59:$W59,0)),IF(6=MAX($S59:$W59)+1,"取消",""))</f>
        <v/>
      </c>
      <c r="AF59" s="0" t="n">
        <f aca="false">IF(OR($A$1=公区维修!$F59,$BN$1=1),0,1-SUMPRODUCT(--(($A$1=公区维修!$F59)+$BN$1&gt;0)))</f>
        <v>0</v>
      </c>
      <c r="AG59" s="0" t="n">
        <f aca="false">IF(OR($A$2=公区维修!$F59,$BN$2=1),0,2-SUMPRODUCT(--(($A$1:$A$2=公区维修!$F59)+$BN$1:$BN$2&gt;0)))</f>
        <v>1</v>
      </c>
      <c r="AH59" s="0" t="n">
        <f aca="false">IF(OR($A$3=公区维修!$F59,$BN$3=1),0,3-SUMPRODUCT(--(($A$1:$A$3=公区维修!$F59)+$BN$1:$BN$3&gt;0)))</f>
        <v>2</v>
      </c>
      <c r="AI59" s="0" t="n">
        <f aca="false">IF(OR($A$4=公区维修!$F59,$BN$4=1),0,4-SUMPRODUCT(--(($A$1:$A$4=公区维修!$F59)+$BN$1:$BN$4&gt;0)))</f>
        <v>3</v>
      </c>
      <c r="AJ59" s="0" t="n">
        <f aca="false">IF(OR($A$5=公区维修!$F59,$BN$5=1),0,5-SUMPRODUCT(--(($A$1:$A$5=公区维修!$F59)+$BN$1:$BN$5&gt;0)))</f>
        <v>4</v>
      </c>
      <c r="AL59" s="0" t="str">
        <f aca="false">IFERROR(INDEX($A$1:$A$5,MATCH(1,$AF59:$AJ59,0)),IF(1=MAX($AF59:$AJ59)+1,"取消",""))</f>
        <v>李师傅</v>
      </c>
      <c r="AM59" s="0" t="str">
        <f aca="false">IFERROR(INDEX($A$1:$A$5,MATCH(2,$AF59:$AJ59,0)),IF(2=MAX($AF59:$AJ59)+1,"取消",""))</f>
        <v>王师傅</v>
      </c>
      <c r="AN59" s="0" t="str">
        <f aca="false">IFERROR(INDEX($A$1:$A$5,MATCH(3,$AF59:$AJ59,0)),IF(3=MAX($AF59:$AJ59)+1,"取消",""))</f>
        <v>陈师傅</v>
      </c>
      <c r="AO59" s="0" t="str">
        <f aca="false">IFERROR(INDEX($A$1:$A$5,MATCH(4,$AF59:$AJ59,0)),IF(4=MAX($AF59:$AJ59)+1,"取消",""))</f>
        <v>刘师傅</v>
      </c>
      <c r="AP59" s="0" t="str">
        <f aca="false">IFERROR(INDEX($A$1:$A$5,MATCH(5,$AF59:$AJ59,0)),IF(5=MAX($AF59:$AJ59)+1,"取消",""))</f>
        <v>取消</v>
      </c>
      <c r="AQ59" s="0" t="str">
        <f aca="false">IFERROR(INDEX($A$1:$A$5,MATCH(6,$AF59:$AJ59,0)),IF(6=MAX($AF59:$AJ59)+1,"取消",""))</f>
        <v/>
      </c>
      <c r="AS59" s="0" t="n">
        <f aca="false">IF(OR($A$1=公区维修!$F59,$A$1=公区维修!$G59,$BN$1=1),0,1-SUMPRODUCT(--(($A$1=公区维修!$F59)+($A$1=公区维修!$G59)+$BN$1&gt;0)))</f>
        <v>0</v>
      </c>
      <c r="AT59" s="0" t="n">
        <f aca="false">IF(OR($A$2=公区维修!$F59,$A$2=公区维修!$G59,$BN$2=1),0,2-SUMPRODUCT(--(($A$1:$A$2=公区维修!$F59)+($A$1:$A$2=公区维修!$G59)+$BN$1:$BN$2&gt;0)))</f>
        <v>1</v>
      </c>
      <c r="AU59" s="0" t="n">
        <f aca="false">IF(OR($A$3=公区维修!$F59,$A$3=公区维修!$G59,$BN$3=1),0,3-SUMPRODUCT(--(($A$1:$A$3=公区维修!$F59)+($A$1:$A$3=公区维修!$G59)+$BN$1:$BN$3&gt;0)))</f>
        <v>2</v>
      </c>
      <c r="AV59" s="0" t="n">
        <f aca="false">IF(OR($A$4=公区维修!$F59,$A$4=公区维修!$G59,$BN$4=1),0,4-SUMPRODUCT(--(($A$1:$A$4=公区维修!$F59)+($A$1:$A$4=公区维修!$G59)+$BN$1:$BN$4&gt;0)))</f>
        <v>3</v>
      </c>
      <c r="AW59" s="0" t="n">
        <f aca="false">IF(OR($A$5=公区维修!$F59,$A$5=公区维修!$G59,$BN$5=1),0,5-SUMPRODUCT(--(($A$1:$A$5=公区维修!$F59)+($A$1:$A$5=公区维修!$G59)+$BN$1:$BN$5&gt;0)))</f>
        <v>4</v>
      </c>
      <c r="AY59" s="0" t="str">
        <f aca="false">IFERROR(INDEX($A$1:$A$5,MATCH(1,$AS59:$AW59,0)),IF(1=MAX($AS59:$AW59)+1,"取消",""))</f>
        <v>李师傅</v>
      </c>
      <c r="AZ59" s="0" t="str">
        <f aca="false">IFERROR(INDEX($A$1:$A$5,MATCH(2,$AS59:$AW59,0)),IF(2=MAX($AS59:$AW59)+1,"取消",""))</f>
        <v>王师傅</v>
      </c>
      <c r="BA59" s="0" t="str">
        <f aca="false">IFERROR(INDEX($A$1:$A$5,MATCH(3,$AS59:$AW59,0)),IF(3=MAX($AS59:$AW59)+1,"取消",""))</f>
        <v>陈师傅</v>
      </c>
      <c r="BB59" s="0" t="str">
        <f aca="false">IFERROR(INDEX($A$1:$A$5,MATCH(4,$AS59:$AW59,0)),IF(4=MAX($AS59:$AW59)+1,"取消",""))</f>
        <v>刘师傅</v>
      </c>
      <c r="BC59" s="0" t="str">
        <f aca="false">IFERROR(INDEX($A$1:$A$5,MATCH(5,$AS59:$AW59,0)),IF(5=MAX($AS59:$AW59)+1,"取消",""))</f>
        <v>取消</v>
      </c>
      <c r="BD59" s="0" t="str">
        <f aca="false">IFERROR(INDEX($A$1:$A$5,MATCH(6,$AS59:$AW59,0)),IF(6=MAX($AS59:$AW59)+1,"取消",""))</f>
        <v/>
      </c>
      <c r="FW59" s="0" t="str">
        <f aca="false">IF(AND(单元查询!$D$3&lt;&gt;"",IF(单元查询!$B$3="公区维修",公区维修!$E59&lt;&gt;"",入户维修!$E59&lt;&gt;""),IF(单元查询!$B$3="公区维修",公区维修!$C59,入户维修!$C59)=单元查询!$D$3,OR(单元查询!$F$3="",IF(单元查询!$B$3="公区维修",公区维修!$D59,入户维修!$D59)&amp;""=(单元查询!$F$3)&amp;"")),MAX($FW$4:$FW58)+1,"")</f>
        <v/>
      </c>
    </row>
    <row r="60" customFormat="false" ht="15" hidden="false" customHeight="true" outlineLevel="0" collapsed="false">
      <c r="F60" s="0" t="n">
        <f aca="false">IF(OR($A$1=入户维修!$F60,$BN$1=1),0,1-SUMPRODUCT(--(($A$1=入户维修!$F60)+$BN$1&gt;0)))</f>
        <v>0</v>
      </c>
      <c r="G60" s="0" t="n">
        <f aca="false">IF(OR($A$2=入户维修!$F60,$BN$2=1),0,2-SUMPRODUCT(--(($A$1:$A$2=入户维修!$F60)+$BN$1:$BN$2&gt;0)))</f>
        <v>1</v>
      </c>
      <c r="H60" s="0" t="n">
        <f aca="false">IF(OR($A$3=入户维修!$F60,$BN$3=1),0,3-SUMPRODUCT(--(($A$1:$A$3=入户维修!$F60)+$BN$1:$BN$3&gt;0)))</f>
        <v>2</v>
      </c>
      <c r="I60" s="0" t="n">
        <f aca="false">IF(OR($A$4=入户维修!$F60,$BN$4=1),0,4-SUMPRODUCT(--(($A$1:$A$4=入户维修!$F60)+$BN$1:$BN$4&gt;0)))</f>
        <v>3</v>
      </c>
      <c r="J60" s="0" t="n">
        <f aca="false">IF(OR($A$5=入户维修!$F60,$BN$5=1),0,5-SUMPRODUCT(--(($A$1:$A$5=入户维修!$F60)+$BN$1:$BN$5&gt;0)))</f>
        <v>4</v>
      </c>
      <c r="L60" s="0" t="str">
        <f aca="false">IFERROR(INDEX($A$1:$A$5,MATCH(1,$F60:$J60,0)),IF(1=MAX($F60:$J60)+1,"取消",""))</f>
        <v>李师傅</v>
      </c>
      <c r="M60" s="0" t="str">
        <f aca="false">IFERROR(INDEX($A$1:$A$5,MATCH(2,$F60:$J60,0)),IF(2=MAX($F60:$J60)+1,"取消",""))</f>
        <v>王师傅</v>
      </c>
      <c r="N60" s="0" t="str">
        <f aca="false">IFERROR(INDEX($A$1:$A$5,MATCH(3,$F60:$J60,0)),IF(3=MAX($F60:$J60)+1,"取消",""))</f>
        <v>陈师傅</v>
      </c>
      <c r="O60" s="0" t="str">
        <f aca="false">IFERROR(INDEX($A$1:$A$5,MATCH(4,$F60:$J60,0)),IF(4=MAX($F60:$J60)+1,"取消",""))</f>
        <v>刘师傅</v>
      </c>
      <c r="P60" s="0" t="str">
        <f aca="false">IFERROR(INDEX($A$1:$A$5,MATCH(5,$F60:$J60,0)),IF(5=MAX($F60:$J60)+1,"取消",""))</f>
        <v>取消</v>
      </c>
      <c r="Q60" s="0" t="str">
        <f aca="false">IFERROR(INDEX($A$1:$A$5,MATCH(6,$F60:$J60,0)),IF(6=MAX($F60:$J60)+1,"取消",""))</f>
        <v/>
      </c>
      <c r="S60" s="0" t="n">
        <f aca="false">IF(OR($A$1=入户维修!$F60,$A$1=入户维修!$G60,$BN$1=1),0,1-SUMPRODUCT(--(($A$1=入户维修!$F60)+($A$1=入户维修!$G60)+$BN$1&gt;0)))</f>
        <v>0</v>
      </c>
      <c r="T60" s="0" t="n">
        <f aca="false">IF(OR($A$2=入户维修!$F60,$A$2=入户维修!$G60,$BN$2=1),0,2-SUMPRODUCT(--(($A$1:$A$2=入户维修!$F60)+($A$1:$A$2=入户维修!$G60)+$BN$1:$BN$2&gt;0)))</f>
        <v>1</v>
      </c>
      <c r="U60" s="0" t="n">
        <f aca="false">IF(OR($A$3=入户维修!$F60,$A$3=入户维修!$G60,$BN$3=1),0,3-SUMPRODUCT(--(($A$1:$A$3=入户维修!$F60)+($A$1:$A$3=入户维修!$G60)+$BN$1:$BN$3&gt;0)))</f>
        <v>2</v>
      </c>
      <c r="V60" s="0" t="n">
        <f aca="false">IF(OR($A$4=入户维修!$F60,$A$4=入户维修!$G60,$BN$4=1),0,4-SUMPRODUCT(--(($A$1:$A$4=入户维修!$F60)+($A$1:$A$4=入户维修!$G60)+$BN$1:$BN$4&gt;0)))</f>
        <v>3</v>
      </c>
      <c r="W60" s="0" t="n">
        <f aca="false">IF(OR($A$5=入户维修!$F60,$A$5=入户维修!$G60,$BN$5=1),0,5-SUMPRODUCT(--(($A$1:$A$5=入户维修!$F60)+($A$1:$A$5=入户维修!$G60)+$BN$1:$BN$5&gt;0)))</f>
        <v>4</v>
      </c>
      <c r="Y60" s="0" t="str">
        <f aca="false">IFERROR(INDEX($A$1:$A$5,MATCH(1,$S60:$W60,0)),IF(1=MAX($S60:$W60)+1,"取消",""))</f>
        <v>李师傅</v>
      </c>
      <c r="Z60" s="0" t="str">
        <f aca="false">IFERROR(INDEX($A$1:$A$5,MATCH(2,$S60:$W60,0)),IF(2=MAX($S60:$W60)+1,"取消",""))</f>
        <v>王师傅</v>
      </c>
      <c r="AA60" s="0" t="str">
        <f aca="false">IFERROR(INDEX($A$1:$A$5,MATCH(3,$S60:$W60,0)),IF(3=MAX($S60:$W60)+1,"取消",""))</f>
        <v>陈师傅</v>
      </c>
      <c r="AB60" s="0" t="str">
        <f aca="false">IFERROR(INDEX($A$1:$A$5,MATCH(4,$S60:$W60,0)),IF(4=MAX($S60:$W60)+1,"取消",""))</f>
        <v>刘师傅</v>
      </c>
      <c r="AC60" s="0" t="str">
        <f aca="false">IFERROR(INDEX($A$1:$A$5,MATCH(5,$S60:$W60,0)),IF(5=MAX($S60:$W60)+1,"取消",""))</f>
        <v>取消</v>
      </c>
      <c r="AD60" s="0" t="str">
        <f aca="false">IFERROR(INDEX($A$1:$A$5,MATCH(6,$S60:$W60,0)),IF(6=MAX($S60:$W60)+1,"取消",""))</f>
        <v/>
      </c>
      <c r="AF60" s="0" t="n">
        <f aca="false">IF(OR($A$1=公区维修!$F60,$BN$1=1),0,1-SUMPRODUCT(--(($A$1=公区维修!$F60)+$BN$1&gt;0)))</f>
        <v>0</v>
      </c>
      <c r="AG60" s="0" t="n">
        <f aca="false">IF(OR($A$2=公区维修!$F60,$BN$2=1),0,2-SUMPRODUCT(--(($A$1:$A$2=公区维修!$F60)+$BN$1:$BN$2&gt;0)))</f>
        <v>1</v>
      </c>
      <c r="AH60" s="0" t="n">
        <f aca="false">IF(OR($A$3=公区维修!$F60,$BN$3=1),0,3-SUMPRODUCT(--(($A$1:$A$3=公区维修!$F60)+$BN$1:$BN$3&gt;0)))</f>
        <v>2</v>
      </c>
      <c r="AI60" s="0" t="n">
        <f aca="false">IF(OR($A$4=公区维修!$F60,$BN$4=1),0,4-SUMPRODUCT(--(($A$1:$A$4=公区维修!$F60)+$BN$1:$BN$4&gt;0)))</f>
        <v>3</v>
      </c>
      <c r="AJ60" s="0" t="n">
        <f aca="false">IF(OR($A$5=公区维修!$F60,$BN$5=1),0,5-SUMPRODUCT(--(($A$1:$A$5=公区维修!$F60)+$BN$1:$BN$5&gt;0)))</f>
        <v>4</v>
      </c>
      <c r="AL60" s="0" t="str">
        <f aca="false">IFERROR(INDEX($A$1:$A$5,MATCH(1,$AF60:$AJ60,0)),IF(1=MAX($AF60:$AJ60)+1,"取消",""))</f>
        <v>李师傅</v>
      </c>
      <c r="AM60" s="0" t="str">
        <f aca="false">IFERROR(INDEX($A$1:$A$5,MATCH(2,$AF60:$AJ60,0)),IF(2=MAX($AF60:$AJ60)+1,"取消",""))</f>
        <v>王师傅</v>
      </c>
      <c r="AN60" s="0" t="str">
        <f aca="false">IFERROR(INDEX($A$1:$A$5,MATCH(3,$AF60:$AJ60,0)),IF(3=MAX($AF60:$AJ60)+1,"取消",""))</f>
        <v>陈师傅</v>
      </c>
      <c r="AO60" s="0" t="str">
        <f aca="false">IFERROR(INDEX($A$1:$A$5,MATCH(4,$AF60:$AJ60,0)),IF(4=MAX($AF60:$AJ60)+1,"取消",""))</f>
        <v>刘师傅</v>
      </c>
      <c r="AP60" s="0" t="str">
        <f aca="false">IFERROR(INDEX($A$1:$A$5,MATCH(5,$AF60:$AJ60,0)),IF(5=MAX($AF60:$AJ60)+1,"取消",""))</f>
        <v>取消</v>
      </c>
      <c r="AQ60" s="0" t="str">
        <f aca="false">IFERROR(INDEX($A$1:$A$5,MATCH(6,$AF60:$AJ60,0)),IF(6=MAX($AF60:$AJ60)+1,"取消",""))</f>
        <v/>
      </c>
      <c r="AS60" s="0" t="n">
        <f aca="false">IF(OR($A$1=公区维修!$F60,$A$1=公区维修!$G60,$BN$1=1),0,1-SUMPRODUCT(--(($A$1=公区维修!$F60)+($A$1=公区维修!$G60)+$BN$1&gt;0)))</f>
        <v>0</v>
      </c>
      <c r="AT60" s="0" t="n">
        <f aca="false">IF(OR($A$2=公区维修!$F60,$A$2=公区维修!$G60,$BN$2=1),0,2-SUMPRODUCT(--(($A$1:$A$2=公区维修!$F60)+($A$1:$A$2=公区维修!$G60)+$BN$1:$BN$2&gt;0)))</f>
        <v>1</v>
      </c>
      <c r="AU60" s="0" t="n">
        <f aca="false">IF(OR($A$3=公区维修!$F60,$A$3=公区维修!$G60,$BN$3=1),0,3-SUMPRODUCT(--(($A$1:$A$3=公区维修!$F60)+($A$1:$A$3=公区维修!$G60)+$BN$1:$BN$3&gt;0)))</f>
        <v>2</v>
      </c>
      <c r="AV60" s="0" t="n">
        <f aca="false">IF(OR($A$4=公区维修!$F60,$A$4=公区维修!$G60,$BN$4=1),0,4-SUMPRODUCT(--(($A$1:$A$4=公区维修!$F60)+($A$1:$A$4=公区维修!$G60)+$BN$1:$BN$4&gt;0)))</f>
        <v>3</v>
      </c>
      <c r="AW60" s="0" t="n">
        <f aca="false">IF(OR($A$5=公区维修!$F60,$A$5=公区维修!$G60,$BN$5=1),0,5-SUMPRODUCT(--(($A$1:$A$5=公区维修!$F60)+($A$1:$A$5=公区维修!$G60)+$BN$1:$BN$5&gt;0)))</f>
        <v>4</v>
      </c>
      <c r="AY60" s="0" t="str">
        <f aca="false">IFERROR(INDEX($A$1:$A$5,MATCH(1,$AS60:$AW60,0)),IF(1=MAX($AS60:$AW60)+1,"取消",""))</f>
        <v>李师傅</v>
      </c>
      <c r="AZ60" s="0" t="str">
        <f aca="false">IFERROR(INDEX($A$1:$A$5,MATCH(2,$AS60:$AW60,0)),IF(2=MAX($AS60:$AW60)+1,"取消",""))</f>
        <v>王师傅</v>
      </c>
      <c r="BA60" s="0" t="str">
        <f aca="false">IFERROR(INDEX($A$1:$A$5,MATCH(3,$AS60:$AW60,0)),IF(3=MAX($AS60:$AW60)+1,"取消",""))</f>
        <v>陈师傅</v>
      </c>
      <c r="BB60" s="0" t="str">
        <f aca="false">IFERROR(INDEX($A$1:$A$5,MATCH(4,$AS60:$AW60,0)),IF(4=MAX($AS60:$AW60)+1,"取消",""))</f>
        <v>刘师傅</v>
      </c>
      <c r="BC60" s="0" t="str">
        <f aca="false">IFERROR(INDEX($A$1:$A$5,MATCH(5,$AS60:$AW60,0)),IF(5=MAX($AS60:$AW60)+1,"取消",""))</f>
        <v>取消</v>
      </c>
      <c r="BD60" s="0" t="str">
        <f aca="false">IFERROR(INDEX($A$1:$A$5,MATCH(6,$AS60:$AW60,0)),IF(6=MAX($AS60:$AW60)+1,"取消",""))</f>
        <v/>
      </c>
      <c r="FW60" s="0" t="str">
        <f aca="false">IF(AND(单元查询!$D$3&lt;&gt;"",IF(单元查询!$B$3="公区维修",公区维修!$E60&lt;&gt;"",入户维修!$E60&lt;&gt;""),IF(单元查询!$B$3="公区维修",公区维修!$C60,入户维修!$C60)=单元查询!$D$3,OR(单元查询!$F$3="",IF(单元查询!$B$3="公区维修",公区维修!$D60,入户维修!$D60)&amp;""=(单元查询!$F$3)&amp;"")),MAX($FW$4:$FW59)+1,"")</f>
        <v/>
      </c>
    </row>
    <row r="61" customFormat="false" ht="15" hidden="false" customHeight="true" outlineLevel="0" collapsed="false">
      <c r="F61" s="0" t="n">
        <f aca="false">IF(OR($A$1=入户维修!$F61,$BN$1=1),0,1-SUMPRODUCT(--(($A$1=入户维修!$F61)+$BN$1&gt;0)))</f>
        <v>0</v>
      </c>
      <c r="G61" s="0" t="n">
        <f aca="false">IF(OR($A$2=入户维修!$F61,$BN$2=1),0,2-SUMPRODUCT(--(($A$1:$A$2=入户维修!$F61)+$BN$1:$BN$2&gt;0)))</f>
        <v>1</v>
      </c>
      <c r="H61" s="0" t="n">
        <f aca="false">IF(OR($A$3=入户维修!$F61,$BN$3=1),0,3-SUMPRODUCT(--(($A$1:$A$3=入户维修!$F61)+$BN$1:$BN$3&gt;0)))</f>
        <v>2</v>
      </c>
      <c r="I61" s="0" t="n">
        <f aca="false">IF(OR($A$4=入户维修!$F61,$BN$4=1),0,4-SUMPRODUCT(--(($A$1:$A$4=入户维修!$F61)+$BN$1:$BN$4&gt;0)))</f>
        <v>3</v>
      </c>
      <c r="J61" s="0" t="n">
        <f aca="false">IF(OR($A$5=入户维修!$F61,$BN$5=1),0,5-SUMPRODUCT(--(($A$1:$A$5=入户维修!$F61)+$BN$1:$BN$5&gt;0)))</f>
        <v>4</v>
      </c>
      <c r="L61" s="0" t="str">
        <f aca="false">IFERROR(INDEX($A$1:$A$5,MATCH(1,$F61:$J61,0)),IF(1=MAX($F61:$J61)+1,"取消",""))</f>
        <v>李师傅</v>
      </c>
      <c r="M61" s="0" t="str">
        <f aca="false">IFERROR(INDEX($A$1:$A$5,MATCH(2,$F61:$J61,0)),IF(2=MAX($F61:$J61)+1,"取消",""))</f>
        <v>王师傅</v>
      </c>
      <c r="N61" s="0" t="str">
        <f aca="false">IFERROR(INDEX($A$1:$A$5,MATCH(3,$F61:$J61,0)),IF(3=MAX($F61:$J61)+1,"取消",""))</f>
        <v>陈师傅</v>
      </c>
      <c r="O61" s="0" t="str">
        <f aca="false">IFERROR(INDEX($A$1:$A$5,MATCH(4,$F61:$J61,0)),IF(4=MAX($F61:$J61)+1,"取消",""))</f>
        <v>刘师傅</v>
      </c>
      <c r="P61" s="0" t="str">
        <f aca="false">IFERROR(INDEX($A$1:$A$5,MATCH(5,$F61:$J61,0)),IF(5=MAX($F61:$J61)+1,"取消",""))</f>
        <v>取消</v>
      </c>
      <c r="Q61" s="0" t="str">
        <f aca="false">IFERROR(INDEX($A$1:$A$5,MATCH(6,$F61:$J61,0)),IF(6=MAX($F61:$J61)+1,"取消",""))</f>
        <v/>
      </c>
      <c r="S61" s="0" t="n">
        <f aca="false">IF(OR($A$1=入户维修!$F61,$A$1=入户维修!$G61,$BN$1=1),0,1-SUMPRODUCT(--(($A$1=入户维修!$F61)+($A$1=入户维修!$G61)+$BN$1&gt;0)))</f>
        <v>0</v>
      </c>
      <c r="T61" s="0" t="n">
        <f aca="false">IF(OR($A$2=入户维修!$F61,$A$2=入户维修!$G61,$BN$2=1),0,2-SUMPRODUCT(--(($A$1:$A$2=入户维修!$F61)+($A$1:$A$2=入户维修!$G61)+$BN$1:$BN$2&gt;0)))</f>
        <v>1</v>
      </c>
      <c r="U61" s="0" t="n">
        <f aca="false">IF(OR($A$3=入户维修!$F61,$A$3=入户维修!$G61,$BN$3=1),0,3-SUMPRODUCT(--(($A$1:$A$3=入户维修!$F61)+($A$1:$A$3=入户维修!$G61)+$BN$1:$BN$3&gt;0)))</f>
        <v>2</v>
      </c>
      <c r="V61" s="0" t="n">
        <f aca="false">IF(OR($A$4=入户维修!$F61,$A$4=入户维修!$G61,$BN$4=1),0,4-SUMPRODUCT(--(($A$1:$A$4=入户维修!$F61)+($A$1:$A$4=入户维修!$G61)+$BN$1:$BN$4&gt;0)))</f>
        <v>3</v>
      </c>
      <c r="W61" s="0" t="n">
        <f aca="false">IF(OR($A$5=入户维修!$F61,$A$5=入户维修!$G61,$BN$5=1),0,5-SUMPRODUCT(--(($A$1:$A$5=入户维修!$F61)+($A$1:$A$5=入户维修!$G61)+$BN$1:$BN$5&gt;0)))</f>
        <v>4</v>
      </c>
      <c r="Y61" s="0" t="str">
        <f aca="false">IFERROR(INDEX($A$1:$A$5,MATCH(1,$S61:$W61,0)),IF(1=MAX($S61:$W61)+1,"取消",""))</f>
        <v>李师傅</v>
      </c>
      <c r="Z61" s="0" t="str">
        <f aca="false">IFERROR(INDEX($A$1:$A$5,MATCH(2,$S61:$W61,0)),IF(2=MAX($S61:$W61)+1,"取消",""))</f>
        <v>王师傅</v>
      </c>
      <c r="AA61" s="0" t="str">
        <f aca="false">IFERROR(INDEX($A$1:$A$5,MATCH(3,$S61:$W61,0)),IF(3=MAX($S61:$W61)+1,"取消",""))</f>
        <v>陈师傅</v>
      </c>
      <c r="AB61" s="0" t="str">
        <f aca="false">IFERROR(INDEX($A$1:$A$5,MATCH(4,$S61:$W61,0)),IF(4=MAX($S61:$W61)+1,"取消",""))</f>
        <v>刘师傅</v>
      </c>
      <c r="AC61" s="0" t="str">
        <f aca="false">IFERROR(INDEX($A$1:$A$5,MATCH(5,$S61:$W61,0)),IF(5=MAX($S61:$W61)+1,"取消",""))</f>
        <v>取消</v>
      </c>
      <c r="AD61" s="0" t="str">
        <f aca="false">IFERROR(INDEX($A$1:$A$5,MATCH(6,$S61:$W61,0)),IF(6=MAX($S61:$W61)+1,"取消",""))</f>
        <v/>
      </c>
      <c r="AF61" s="0" t="n">
        <f aca="false">IF(OR($A$1=公区维修!$F61,$BN$1=1),0,1-SUMPRODUCT(--(($A$1=公区维修!$F61)+$BN$1&gt;0)))</f>
        <v>0</v>
      </c>
      <c r="AG61" s="0" t="n">
        <f aca="false">IF(OR($A$2=公区维修!$F61,$BN$2=1),0,2-SUMPRODUCT(--(($A$1:$A$2=公区维修!$F61)+$BN$1:$BN$2&gt;0)))</f>
        <v>1</v>
      </c>
      <c r="AH61" s="0" t="n">
        <f aca="false">IF(OR($A$3=公区维修!$F61,$BN$3=1),0,3-SUMPRODUCT(--(($A$1:$A$3=公区维修!$F61)+$BN$1:$BN$3&gt;0)))</f>
        <v>2</v>
      </c>
      <c r="AI61" s="0" t="n">
        <f aca="false">IF(OR($A$4=公区维修!$F61,$BN$4=1),0,4-SUMPRODUCT(--(($A$1:$A$4=公区维修!$F61)+$BN$1:$BN$4&gt;0)))</f>
        <v>3</v>
      </c>
      <c r="AJ61" s="0" t="n">
        <f aca="false">IF(OR($A$5=公区维修!$F61,$BN$5=1),0,5-SUMPRODUCT(--(($A$1:$A$5=公区维修!$F61)+$BN$1:$BN$5&gt;0)))</f>
        <v>4</v>
      </c>
      <c r="AL61" s="0" t="str">
        <f aca="false">IFERROR(INDEX($A$1:$A$5,MATCH(1,$AF61:$AJ61,0)),IF(1=MAX($AF61:$AJ61)+1,"取消",""))</f>
        <v>李师傅</v>
      </c>
      <c r="AM61" s="0" t="str">
        <f aca="false">IFERROR(INDEX($A$1:$A$5,MATCH(2,$AF61:$AJ61,0)),IF(2=MAX($AF61:$AJ61)+1,"取消",""))</f>
        <v>王师傅</v>
      </c>
      <c r="AN61" s="0" t="str">
        <f aca="false">IFERROR(INDEX($A$1:$A$5,MATCH(3,$AF61:$AJ61,0)),IF(3=MAX($AF61:$AJ61)+1,"取消",""))</f>
        <v>陈师傅</v>
      </c>
      <c r="AO61" s="0" t="str">
        <f aca="false">IFERROR(INDEX($A$1:$A$5,MATCH(4,$AF61:$AJ61,0)),IF(4=MAX($AF61:$AJ61)+1,"取消",""))</f>
        <v>刘师傅</v>
      </c>
      <c r="AP61" s="0" t="str">
        <f aca="false">IFERROR(INDEX($A$1:$A$5,MATCH(5,$AF61:$AJ61,0)),IF(5=MAX($AF61:$AJ61)+1,"取消",""))</f>
        <v>取消</v>
      </c>
      <c r="AQ61" s="0" t="str">
        <f aca="false">IFERROR(INDEX($A$1:$A$5,MATCH(6,$AF61:$AJ61,0)),IF(6=MAX($AF61:$AJ61)+1,"取消",""))</f>
        <v/>
      </c>
      <c r="AS61" s="0" t="n">
        <f aca="false">IF(OR($A$1=公区维修!$F61,$A$1=公区维修!$G61,$BN$1=1),0,1-SUMPRODUCT(--(($A$1=公区维修!$F61)+($A$1=公区维修!$G61)+$BN$1&gt;0)))</f>
        <v>0</v>
      </c>
      <c r="AT61" s="0" t="n">
        <f aca="false">IF(OR($A$2=公区维修!$F61,$A$2=公区维修!$G61,$BN$2=1),0,2-SUMPRODUCT(--(($A$1:$A$2=公区维修!$F61)+($A$1:$A$2=公区维修!$G61)+$BN$1:$BN$2&gt;0)))</f>
        <v>1</v>
      </c>
      <c r="AU61" s="0" t="n">
        <f aca="false">IF(OR($A$3=公区维修!$F61,$A$3=公区维修!$G61,$BN$3=1),0,3-SUMPRODUCT(--(($A$1:$A$3=公区维修!$F61)+($A$1:$A$3=公区维修!$G61)+$BN$1:$BN$3&gt;0)))</f>
        <v>2</v>
      </c>
      <c r="AV61" s="0" t="n">
        <f aca="false">IF(OR($A$4=公区维修!$F61,$A$4=公区维修!$G61,$BN$4=1),0,4-SUMPRODUCT(--(($A$1:$A$4=公区维修!$F61)+($A$1:$A$4=公区维修!$G61)+$BN$1:$BN$4&gt;0)))</f>
        <v>3</v>
      </c>
      <c r="AW61" s="0" t="n">
        <f aca="false">IF(OR($A$5=公区维修!$F61,$A$5=公区维修!$G61,$BN$5=1),0,5-SUMPRODUCT(--(($A$1:$A$5=公区维修!$F61)+($A$1:$A$5=公区维修!$G61)+$BN$1:$BN$5&gt;0)))</f>
        <v>4</v>
      </c>
      <c r="AY61" s="0" t="str">
        <f aca="false">IFERROR(INDEX($A$1:$A$5,MATCH(1,$AS61:$AW61,0)),IF(1=MAX($AS61:$AW61)+1,"取消",""))</f>
        <v>李师傅</v>
      </c>
      <c r="AZ61" s="0" t="str">
        <f aca="false">IFERROR(INDEX($A$1:$A$5,MATCH(2,$AS61:$AW61,0)),IF(2=MAX($AS61:$AW61)+1,"取消",""))</f>
        <v>王师傅</v>
      </c>
      <c r="BA61" s="0" t="str">
        <f aca="false">IFERROR(INDEX($A$1:$A$5,MATCH(3,$AS61:$AW61,0)),IF(3=MAX($AS61:$AW61)+1,"取消",""))</f>
        <v>陈师傅</v>
      </c>
      <c r="BB61" s="0" t="str">
        <f aca="false">IFERROR(INDEX($A$1:$A$5,MATCH(4,$AS61:$AW61,0)),IF(4=MAX($AS61:$AW61)+1,"取消",""))</f>
        <v>刘师傅</v>
      </c>
      <c r="BC61" s="0" t="str">
        <f aca="false">IFERROR(INDEX($A$1:$A$5,MATCH(5,$AS61:$AW61,0)),IF(5=MAX($AS61:$AW61)+1,"取消",""))</f>
        <v>取消</v>
      </c>
      <c r="BD61" s="0" t="str">
        <f aca="false">IFERROR(INDEX($A$1:$A$5,MATCH(6,$AS61:$AW61,0)),IF(6=MAX($AS61:$AW61)+1,"取消",""))</f>
        <v/>
      </c>
      <c r="FW61" s="0" t="str">
        <f aca="false">IF(AND(单元查询!$D$3&lt;&gt;"",IF(单元查询!$B$3="公区维修",公区维修!$E61&lt;&gt;"",入户维修!$E61&lt;&gt;""),IF(单元查询!$B$3="公区维修",公区维修!$C61,入户维修!$C61)=单元查询!$D$3,OR(单元查询!$F$3="",IF(单元查询!$B$3="公区维修",公区维修!$D61,入户维修!$D61)&amp;""=(单元查询!$F$3)&amp;"")),MAX($FW$4:$FW60)+1,"")</f>
        <v/>
      </c>
    </row>
    <row r="62" customFormat="false" ht="15" hidden="false" customHeight="true" outlineLevel="0" collapsed="false">
      <c r="F62" s="0" t="n">
        <f aca="false">IF(OR($A$1=入户维修!$F62,$BN$1=1),0,1-SUMPRODUCT(--(($A$1=入户维修!$F62)+$BN$1&gt;0)))</f>
        <v>0</v>
      </c>
      <c r="G62" s="0" t="n">
        <f aca="false">IF(OR($A$2=入户维修!$F62,$BN$2=1),0,2-SUMPRODUCT(--(($A$1:$A$2=入户维修!$F62)+$BN$1:$BN$2&gt;0)))</f>
        <v>1</v>
      </c>
      <c r="H62" s="0" t="n">
        <f aca="false">IF(OR($A$3=入户维修!$F62,$BN$3=1),0,3-SUMPRODUCT(--(($A$1:$A$3=入户维修!$F62)+$BN$1:$BN$3&gt;0)))</f>
        <v>2</v>
      </c>
      <c r="I62" s="0" t="n">
        <f aca="false">IF(OR($A$4=入户维修!$F62,$BN$4=1),0,4-SUMPRODUCT(--(($A$1:$A$4=入户维修!$F62)+$BN$1:$BN$4&gt;0)))</f>
        <v>3</v>
      </c>
      <c r="J62" s="0" t="n">
        <f aca="false">IF(OR($A$5=入户维修!$F62,$BN$5=1),0,5-SUMPRODUCT(--(($A$1:$A$5=入户维修!$F62)+$BN$1:$BN$5&gt;0)))</f>
        <v>4</v>
      </c>
      <c r="L62" s="0" t="str">
        <f aca="false">IFERROR(INDEX($A$1:$A$5,MATCH(1,$F62:$J62,0)),IF(1=MAX($F62:$J62)+1,"取消",""))</f>
        <v>李师傅</v>
      </c>
      <c r="M62" s="0" t="str">
        <f aca="false">IFERROR(INDEX($A$1:$A$5,MATCH(2,$F62:$J62,0)),IF(2=MAX($F62:$J62)+1,"取消",""))</f>
        <v>王师傅</v>
      </c>
      <c r="N62" s="0" t="str">
        <f aca="false">IFERROR(INDEX($A$1:$A$5,MATCH(3,$F62:$J62,0)),IF(3=MAX($F62:$J62)+1,"取消",""))</f>
        <v>陈师傅</v>
      </c>
      <c r="O62" s="0" t="str">
        <f aca="false">IFERROR(INDEX($A$1:$A$5,MATCH(4,$F62:$J62,0)),IF(4=MAX($F62:$J62)+1,"取消",""))</f>
        <v>刘师傅</v>
      </c>
      <c r="P62" s="0" t="str">
        <f aca="false">IFERROR(INDEX($A$1:$A$5,MATCH(5,$F62:$J62,0)),IF(5=MAX($F62:$J62)+1,"取消",""))</f>
        <v>取消</v>
      </c>
      <c r="Q62" s="0" t="str">
        <f aca="false">IFERROR(INDEX($A$1:$A$5,MATCH(6,$F62:$J62,0)),IF(6=MAX($F62:$J62)+1,"取消",""))</f>
        <v/>
      </c>
      <c r="S62" s="0" t="n">
        <f aca="false">IF(OR($A$1=入户维修!$F62,$A$1=入户维修!$G62,$BN$1=1),0,1-SUMPRODUCT(--(($A$1=入户维修!$F62)+($A$1=入户维修!$G62)+$BN$1&gt;0)))</f>
        <v>0</v>
      </c>
      <c r="T62" s="0" t="n">
        <f aca="false">IF(OR($A$2=入户维修!$F62,$A$2=入户维修!$G62,$BN$2=1),0,2-SUMPRODUCT(--(($A$1:$A$2=入户维修!$F62)+($A$1:$A$2=入户维修!$G62)+$BN$1:$BN$2&gt;0)))</f>
        <v>1</v>
      </c>
      <c r="U62" s="0" t="n">
        <f aca="false">IF(OR($A$3=入户维修!$F62,$A$3=入户维修!$G62,$BN$3=1),0,3-SUMPRODUCT(--(($A$1:$A$3=入户维修!$F62)+($A$1:$A$3=入户维修!$G62)+$BN$1:$BN$3&gt;0)))</f>
        <v>2</v>
      </c>
      <c r="V62" s="0" t="n">
        <f aca="false">IF(OR($A$4=入户维修!$F62,$A$4=入户维修!$G62,$BN$4=1),0,4-SUMPRODUCT(--(($A$1:$A$4=入户维修!$F62)+($A$1:$A$4=入户维修!$G62)+$BN$1:$BN$4&gt;0)))</f>
        <v>3</v>
      </c>
      <c r="W62" s="0" t="n">
        <f aca="false">IF(OR($A$5=入户维修!$F62,$A$5=入户维修!$G62,$BN$5=1),0,5-SUMPRODUCT(--(($A$1:$A$5=入户维修!$F62)+($A$1:$A$5=入户维修!$G62)+$BN$1:$BN$5&gt;0)))</f>
        <v>4</v>
      </c>
      <c r="Y62" s="0" t="str">
        <f aca="false">IFERROR(INDEX($A$1:$A$5,MATCH(1,$S62:$W62,0)),IF(1=MAX($S62:$W62)+1,"取消",""))</f>
        <v>李师傅</v>
      </c>
      <c r="Z62" s="0" t="str">
        <f aca="false">IFERROR(INDEX($A$1:$A$5,MATCH(2,$S62:$W62,0)),IF(2=MAX($S62:$W62)+1,"取消",""))</f>
        <v>王师傅</v>
      </c>
      <c r="AA62" s="0" t="str">
        <f aca="false">IFERROR(INDEX($A$1:$A$5,MATCH(3,$S62:$W62,0)),IF(3=MAX($S62:$W62)+1,"取消",""))</f>
        <v>陈师傅</v>
      </c>
      <c r="AB62" s="0" t="str">
        <f aca="false">IFERROR(INDEX($A$1:$A$5,MATCH(4,$S62:$W62,0)),IF(4=MAX($S62:$W62)+1,"取消",""))</f>
        <v>刘师傅</v>
      </c>
      <c r="AC62" s="0" t="str">
        <f aca="false">IFERROR(INDEX($A$1:$A$5,MATCH(5,$S62:$W62,0)),IF(5=MAX($S62:$W62)+1,"取消",""))</f>
        <v>取消</v>
      </c>
      <c r="AD62" s="0" t="str">
        <f aca="false">IFERROR(INDEX($A$1:$A$5,MATCH(6,$S62:$W62,0)),IF(6=MAX($S62:$W62)+1,"取消",""))</f>
        <v/>
      </c>
      <c r="AF62" s="0" t="n">
        <f aca="false">IF(OR($A$1=公区维修!$F62,$BN$1=1),0,1-SUMPRODUCT(--(($A$1=公区维修!$F62)+$BN$1&gt;0)))</f>
        <v>0</v>
      </c>
      <c r="AG62" s="0" t="n">
        <f aca="false">IF(OR($A$2=公区维修!$F62,$BN$2=1),0,2-SUMPRODUCT(--(($A$1:$A$2=公区维修!$F62)+$BN$1:$BN$2&gt;0)))</f>
        <v>1</v>
      </c>
      <c r="AH62" s="0" t="n">
        <f aca="false">IF(OR($A$3=公区维修!$F62,$BN$3=1),0,3-SUMPRODUCT(--(($A$1:$A$3=公区维修!$F62)+$BN$1:$BN$3&gt;0)))</f>
        <v>2</v>
      </c>
      <c r="AI62" s="0" t="n">
        <f aca="false">IF(OR($A$4=公区维修!$F62,$BN$4=1),0,4-SUMPRODUCT(--(($A$1:$A$4=公区维修!$F62)+$BN$1:$BN$4&gt;0)))</f>
        <v>3</v>
      </c>
      <c r="AJ62" s="0" t="n">
        <f aca="false">IF(OR($A$5=公区维修!$F62,$BN$5=1),0,5-SUMPRODUCT(--(($A$1:$A$5=公区维修!$F62)+$BN$1:$BN$5&gt;0)))</f>
        <v>4</v>
      </c>
      <c r="AL62" s="0" t="str">
        <f aca="false">IFERROR(INDEX($A$1:$A$5,MATCH(1,$AF62:$AJ62,0)),IF(1=MAX($AF62:$AJ62)+1,"取消",""))</f>
        <v>李师傅</v>
      </c>
      <c r="AM62" s="0" t="str">
        <f aca="false">IFERROR(INDEX($A$1:$A$5,MATCH(2,$AF62:$AJ62,0)),IF(2=MAX($AF62:$AJ62)+1,"取消",""))</f>
        <v>王师傅</v>
      </c>
      <c r="AN62" s="0" t="str">
        <f aca="false">IFERROR(INDEX($A$1:$A$5,MATCH(3,$AF62:$AJ62,0)),IF(3=MAX($AF62:$AJ62)+1,"取消",""))</f>
        <v>陈师傅</v>
      </c>
      <c r="AO62" s="0" t="str">
        <f aca="false">IFERROR(INDEX($A$1:$A$5,MATCH(4,$AF62:$AJ62,0)),IF(4=MAX($AF62:$AJ62)+1,"取消",""))</f>
        <v>刘师傅</v>
      </c>
      <c r="AP62" s="0" t="str">
        <f aca="false">IFERROR(INDEX($A$1:$A$5,MATCH(5,$AF62:$AJ62,0)),IF(5=MAX($AF62:$AJ62)+1,"取消",""))</f>
        <v>取消</v>
      </c>
      <c r="AQ62" s="0" t="str">
        <f aca="false">IFERROR(INDEX($A$1:$A$5,MATCH(6,$AF62:$AJ62,0)),IF(6=MAX($AF62:$AJ62)+1,"取消",""))</f>
        <v/>
      </c>
      <c r="AS62" s="0" t="n">
        <f aca="false">IF(OR($A$1=公区维修!$F62,$A$1=公区维修!$G62,$BN$1=1),0,1-SUMPRODUCT(--(($A$1=公区维修!$F62)+($A$1=公区维修!$G62)+$BN$1&gt;0)))</f>
        <v>0</v>
      </c>
      <c r="AT62" s="0" t="n">
        <f aca="false">IF(OR($A$2=公区维修!$F62,$A$2=公区维修!$G62,$BN$2=1),0,2-SUMPRODUCT(--(($A$1:$A$2=公区维修!$F62)+($A$1:$A$2=公区维修!$G62)+$BN$1:$BN$2&gt;0)))</f>
        <v>1</v>
      </c>
      <c r="AU62" s="0" t="n">
        <f aca="false">IF(OR($A$3=公区维修!$F62,$A$3=公区维修!$G62,$BN$3=1),0,3-SUMPRODUCT(--(($A$1:$A$3=公区维修!$F62)+($A$1:$A$3=公区维修!$G62)+$BN$1:$BN$3&gt;0)))</f>
        <v>2</v>
      </c>
      <c r="AV62" s="0" t="n">
        <f aca="false">IF(OR($A$4=公区维修!$F62,$A$4=公区维修!$G62,$BN$4=1),0,4-SUMPRODUCT(--(($A$1:$A$4=公区维修!$F62)+($A$1:$A$4=公区维修!$G62)+$BN$1:$BN$4&gt;0)))</f>
        <v>3</v>
      </c>
      <c r="AW62" s="0" t="n">
        <f aca="false">IF(OR($A$5=公区维修!$F62,$A$5=公区维修!$G62,$BN$5=1),0,5-SUMPRODUCT(--(($A$1:$A$5=公区维修!$F62)+($A$1:$A$5=公区维修!$G62)+$BN$1:$BN$5&gt;0)))</f>
        <v>4</v>
      </c>
      <c r="AY62" s="0" t="str">
        <f aca="false">IFERROR(INDEX($A$1:$A$5,MATCH(1,$AS62:$AW62,0)),IF(1=MAX($AS62:$AW62)+1,"取消",""))</f>
        <v>李师傅</v>
      </c>
      <c r="AZ62" s="0" t="str">
        <f aca="false">IFERROR(INDEX($A$1:$A$5,MATCH(2,$AS62:$AW62,0)),IF(2=MAX($AS62:$AW62)+1,"取消",""))</f>
        <v>王师傅</v>
      </c>
      <c r="BA62" s="0" t="str">
        <f aca="false">IFERROR(INDEX($A$1:$A$5,MATCH(3,$AS62:$AW62,0)),IF(3=MAX($AS62:$AW62)+1,"取消",""))</f>
        <v>陈师傅</v>
      </c>
      <c r="BB62" s="0" t="str">
        <f aca="false">IFERROR(INDEX($A$1:$A$5,MATCH(4,$AS62:$AW62,0)),IF(4=MAX($AS62:$AW62)+1,"取消",""))</f>
        <v>刘师傅</v>
      </c>
      <c r="BC62" s="0" t="str">
        <f aca="false">IFERROR(INDEX($A$1:$A$5,MATCH(5,$AS62:$AW62,0)),IF(5=MAX($AS62:$AW62)+1,"取消",""))</f>
        <v>取消</v>
      </c>
      <c r="BD62" s="0" t="str">
        <f aca="false">IFERROR(INDEX($A$1:$A$5,MATCH(6,$AS62:$AW62,0)),IF(6=MAX($AS62:$AW62)+1,"取消",""))</f>
        <v/>
      </c>
      <c r="FW62" s="0" t="str">
        <f aca="false">IF(AND(单元查询!$D$3&lt;&gt;"",IF(单元查询!$B$3="公区维修",公区维修!$E62&lt;&gt;"",入户维修!$E62&lt;&gt;""),IF(单元查询!$B$3="公区维修",公区维修!$C62,入户维修!$C62)=单元查询!$D$3,OR(单元查询!$F$3="",IF(单元查询!$B$3="公区维修",公区维修!$D62,入户维修!$D62)&amp;""=(单元查询!$F$3)&amp;"")),MAX($FW$4:$FW61)+1,"")</f>
        <v/>
      </c>
    </row>
    <row r="63" customFormat="false" ht="15" hidden="false" customHeight="true" outlineLevel="0" collapsed="false">
      <c r="F63" s="0" t="n">
        <f aca="false">IF(OR($A$1=入户维修!$F63,$BN$1=1),0,1-SUMPRODUCT(--(($A$1=入户维修!$F63)+$BN$1&gt;0)))</f>
        <v>0</v>
      </c>
      <c r="G63" s="0" t="n">
        <f aca="false">IF(OR($A$2=入户维修!$F63,$BN$2=1),0,2-SUMPRODUCT(--(($A$1:$A$2=入户维修!$F63)+$BN$1:$BN$2&gt;0)))</f>
        <v>1</v>
      </c>
      <c r="H63" s="0" t="n">
        <f aca="false">IF(OR($A$3=入户维修!$F63,$BN$3=1),0,3-SUMPRODUCT(--(($A$1:$A$3=入户维修!$F63)+$BN$1:$BN$3&gt;0)))</f>
        <v>2</v>
      </c>
      <c r="I63" s="0" t="n">
        <f aca="false">IF(OR($A$4=入户维修!$F63,$BN$4=1),0,4-SUMPRODUCT(--(($A$1:$A$4=入户维修!$F63)+$BN$1:$BN$4&gt;0)))</f>
        <v>3</v>
      </c>
      <c r="J63" s="0" t="n">
        <f aca="false">IF(OR($A$5=入户维修!$F63,$BN$5=1),0,5-SUMPRODUCT(--(($A$1:$A$5=入户维修!$F63)+$BN$1:$BN$5&gt;0)))</f>
        <v>4</v>
      </c>
      <c r="L63" s="0" t="str">
        <f aca="false">IFERROR(INDEX($A$1:$A$5,MATCH(1,$F63:$J63,0)),IF(1=MAX($F63:$J63)+1,"取消",""))</f>
        <v>李师傅</v>
      </c>
      <c r="M63" s="0" t="str">
        <f aca="false">IFERROR(INDEX($A$1:$A$5,MATCH(2,$F63:$J63,0)),IF(2=MAX($F63:$J63)+1,"取消",""))</f>
        <v>王师傅</v>
      </c>
      <c r="N63" s="0" t="str">
        <f aca="false">IFERROR(INDEX($A$1:$A$5,MATCH(3,$F63:$J63,0)),IF(3=MAX($F63:$J63)+1,"取消",""))</f>
        <v>陈师傅</v>
      </c>
      <c r="O63" s="0" t="str">
        <f aca="false">IFERROR(INDEX($A$1:$A$5,MATCH(4,$F63:$J63,0)),IF(4=MAX($F63:$J63)+1,"取消",""))</f>
        <v>刘师傅</v>
      </c>
      <c r="P63" s="0" t="str">
        <f aca="false">IFERROR(INDEX($A$1:$A$5,MATCH(5,$F63:$J63,0)),IF(5=MAX($F63:$J63)+1,"取消",""))</f>
        <v>取消</v>
      </c>
      <c r="Q63" s="0" t="str">
        <f aca="false">IFERROR(INDEX($A$1:$A$5,MATCH(6,$F63:$J63,0)),IF(6=MAX($F63:$J63)+1,"取消",""))</f>
        <v/>
      </c>
      <c r="S63" s="0" t="n">
        <f aca="false">IF(OR($A$1=入户维修!$F63,$A$1=入户维修!$G63,$BN$1=1),0,1-SUMPRODUCT(--(($A$1=入户维修!$F63)+($A$1=入户维修!$G63)+$BN$1&gt;0)))</f>
        <v>0</v>
      </c>
      <c r="T63" s="0" t="n">
        <f aca="false">IF(OR($A$2=入户维修!$F63,$A$2=入户维修!$G63,$BN$2=1),0,2-SUMPRODUCT(--(($A$1:$A$2=入户维修!$F63)+($A$1:$A$2=入户维修!$G63)+$BN$1:$BN$2&gt;0)))</f>
        <v>1</v>
      </c>
      <c r="U63" s="0" t="n">
        <f aca="false">IF(OR($A$3=入户维修!$F63,$A$3=入户维修!$G63,$BN$3=1),0,3-SUMPRODUCT(--(($A$1:$A$3=入户维修!$F63)+($A$1:$A$3=入户维修!$G63)+$BN$1:$BN$3&gt;0)))</f>
        <v>2</v>
      </c>
      <c r="V63" s="0" t="n">
        <f aca="false">IF(OR($A$4=入户维修!$F63,$A$4=入户维修!$G63,$BN$4=1),0,4-SUMPRODUCT(--(($A$1:$A$4=入户维修!$F63)+($A$1:$A$4=入户维修!$G63)+$BN$1:$BN$4&gt;0)))</f>
        <v>3</v>
      </c>
      <c r="W63" s="0" t="n">
        <f aca="false">IF(OR($A$5=入户维修!$F63,$A$5=入户维修!$G63,$BN$5=1),0,5-SUMPRODUCT(--(($A$1:$A$5=入户维修!$F63)+($A$1:$A$5=入户维修!$G63)+$BN$1:$BN$5&gt;0)))</f>
        <v>4</v>
      </c>
      <c r="Y63" s="0" t="str">
        <f aca="false">IFERROR(INDEX($A$1:$A$5,MATCH(1,$S63:$W63,0)),IF(1=MAX($S63:$W63)+1,"取消",""))</f>
        <v>李师傅</v>
      </c>
      <c r="Z63" s="0" t="str">
        <f aca="false">IFERROR(INDEX($A$1:$A$5,MATCH(2,$S63:$W63,0)),IF(2=MAX($S63:$W63)+1,"取消",""))</f>
        <v>王师傅</v>
      </c>
      <c r="AA63" s="0" t="str">
        <f aca="false">IFERROR(INDEX($A$1:$A$5,MATCH(3,$S63:$W63,0)),IF(3=MAX($S63:$W63)+1,"取消",""))</f>
        <v>陈师傅</v>
      </c>
      <c r="AB63" s="0" t="str">
        <f aca="false">IFERROR(INDEX($A$1:$A$5,MATCH(4,$S63:$W63,0)),IF(4=MAX($S63:$W63)+1,"取消",""))</f>
        <v>刘师傅</v>
      </c>
      <c r="AC63" s="0" t="str">
        <f aca="false">IFERROR(INDEX($A$1:$A$5,MATCH(5,$S63:$W63,0)),IF(5=MAX($S63:$W63)+1,"取消",""))</f>
        <v>取消</v>
      </c>
      <c r="AD63" s="0" t="str">
        <f aca="false">IFERROR(INDEX($A$1:$A$5,MATCH(6,$S63:$W63,0)),IF(6=MAX($S63:$W63)+1,"取消",""))</f>
        <v/>
      </c>
      <c r="AF63" s="0" t="n">
        <f aca="false">IF(OR($A$1=公区维修!$F63,$BN$1=1),0,1-SUMPRODUCT(--(($A$1=公区维修!$F63)+$BN$1&gt;0)))</f>
        <v>0</v>
      </c>
      <c r="AG63" s="0" t="n">
        <f aca="false">IF(OR($A$2=公区维修!$F63,$BN$2=1),0,2-SUMPRODUCT(--(($A$1:$A$2=公区维修!$F63)+$BN$1:$BN$2&gt;0)))</f>
        <v>1</v>
      </c>
      <c r="AH63" s="0" t="n">
        <f aca="false">IF(OR($A$3=公区维修!$F63,$BN$3=1),0,3-SUMPRODUCT(--(($A$1:$A$3=公区维修!$F63)+$BN$1:$BN$3&gt;0)))</f>
        <v>2</v>
      </c>
      <c r="AI63" s="0" t="n">
        <f aca="false">IF(OR($A$4=公区维修!$F63,$BN$4=1),0,4-SUMPRODUCT(--(($A$1:$A$4=公区维修!$F63)+$BN$1:$BN$4&gt;0)))</f>
        <v>3</v>
      </c>
      <c r="AJ63" s="0" t="n">
        <f aca="false">IF(OR($A$5=公区维修!$F63,$BN$5=1),0,5-SUMPRODUCT(--(($A$1:$A$5=公区维修!$F63)+$BN$1:$BN$5&gt;0)))</f>
        <v>4</v>
      </c>
      <c r="AL63" s="0" t="str">
        <f aca="false">IFERROR(INDEX($A$1:$A$5,MATCH(1,$AF63:$AJ63,0)),IF(1=MAX($AF63:$AJ63)+1,"取消",""))</f>
        <v>李师傅</v>
      </c>
      <c r="AM63" s="0" t="str">
        <f aca="false">IFERROR(INDEX($A$1:$A$5,MATCH(2,$AF63:$AJ63,0)),IF(2=MAX($AF63:$AJ63)+1,"取消",""))</f>
        <v>王师傅</v>
      </c>
      <c r="AN63" s="0" t="str">
        <f aca="false">IFERROR(INDEX($A$1:$A$5,MATCH(3,$AF63:$AJ63,0)),IF(3=MAX($AF63:$AJ63)+1,"取消",""))</f>
        <v>陈师傅</v>
      </c>
      <c r="AO63" s="0" t="str">
        <f aca="false">IFERROR(INDEX($A$1:$A$5,MATCH(4,$AF63:$AJ63,0)),IF(4=MAX($AF63:$AJ63)+1,"取消",""))</f>
        <v>刘师傅</v>
      </c>
      <c r="AP63" s="0" t="str">
        <f aca="false">IFERROR(INDEX($A$1:$A$5,MATCH(5,$AF63:$AJ63,0)),IF(5=MAX($AF63:$AJ63)+1,"取消",""))</f>
        <v>取消</v>
      </c>
      <c r="AQ63" s="0" t="str">
        <f aca="false">IFERROR(INDEX($A$1:$A$5,MATCH(6,$AF63:$AJ63,0)),IF(6=MAX($AF63:$AJ63)+1,"取消",""))</f>
        <v/>
      </c>
      <c r="AS63" s="0" t="n">
        <f aca="false">IF(OR($A$1=公区维修!$F63,$A$1=公区维修!$G63,$BN$1=1),0,1-SUMPRODUCT(--(($A$1=公区维修!$F63)+($A$1=公区维修!$G63)+$BN$1&gt;0)))</f>
        <v>0</v>
      </c>
      <c r="AT63" s="0" t="n">
        <f aca="false">IF(OR($A$2=公区维修!$F63,$A$2=公区维修!$G63,$BN$2=1),0,2-SUMPRODUCT(--(($A$1:$A$2=公区维修!$F63)+($A$1:$A$2=公区维修!$G63)+$BN$1:$BN$2&gt;0)))</f>
        <v>1</v>
      </c>
      <c r="AU63" s="0" t="n">
        <f aca="false">IF(OR($A$3=公区维修!$F63,$A$3=公区维修!$G63,$BN$3=1),0,3-SUMPRODUCT(--(($A$1:$A$3=公区维修!$F63)+($A$1:$A$3=公区维修!$G63)+$BN$1:$BN$3&gt;0)))</f>
        <v>2</v>
      </c>
      <c r="AV63" s="0" t="n">
        <f aca="false">IF(OR($A$4=公区维修!$F63,$A$4=公区维修!$G63,$BN$4=1),0,4-SUMPRODUCT(--(($A$1:$A$4=公区维修!$F63)+($A$1:$A$4=公区维修!$G63)+$BN$1:$BN$4&gt;0)))</f>
        <v>3</v>
      </c>
      <c r="AW63" s="0" t="n">
        <f aca="false">IF(OR($A$5=公区维修!$F63,$A$5=公区维修!$G63,$BN$5=1),0,5-SUMPRODUCT(--(($A$1:$A$5=公区维修!$F63)+($A$1:$A$5=公区维修!$G63)+$BN$1:$BN$5&gt;0)))</f>
        <v>4</v>
      </c>
      <c r="AY63" s="0" t="str">
        <f aca="false">IFERROR(INDEX($A$1:$A$5,MATCH(1,$AS63:$AW63,0)),IF(1=MAX($AS63:$AW63)+1,"取消",""))</f>
        <v>李师傅</v>
      </c>
      <c r="AZ63" s="0" t="str">
        <f aca="false">IFERROR(INDEX($A$1:$A$5,MATCH(2,$AS63:$AW63,0)),IF(2=MAX($AS63:$AW63)+1,"取消",""))</f>
        <v>王师傅</v>
      </c>
      <c r="BA63" s="0" t="str">
        <f aca="false">IFERROR(INDEX($A$1:$A$5,MATCH(3,$AS63:$AW63,0)),IF(3=MAX($AS63:$AW63)+1,"取消",""))</f>
        <v>陈师傅</v>
      </c>
      <c r="BB63" s="0" t="str">
        <f aca="false">IFERROR(INDEX($A$1:$A$5,MATCH(4,$AS63:$AW63,0)),IF(4=MAX($AS63:$AW63)+1,"取消",""))</f>
        <v>刘师傅</v>
      </c>
      <c r="BC63" s="0" t="str">
        <f aca="false">IFERROR(INDEX($A$1:$A$5,MATCH(5,$AS63:$AW63,0)),IF(5=MAX($AS63:$AW63)+1,"取消",""))</f>
        <v>取消</v>
      </c>
      <c r="BD63" s="0" t="str">
        <f aca="false">IFERROR(INDEX($A$1:$A$5,MATCH(6,$AS63:$AW63,0)),IF(6=MAX($AS63:$AW63)+1,"取消",""))</f>
        <v/>
      </c>
      <c r="FW63" s="0" t="str">
        <f aca="false">IF(AND(单元查询!$D$3&lt;&gt;"",IF(单元查询!$B$3="公区维修",公区维修!$E63&lt;&gt;"",入户维修!$E63&lt;&gt;""),IF(单元查询!$B$3="公区维修",公区维修!$C63,入户维修!$C63)=单元查询!$D$3,OR(单元查询!$F$3="",IF(单元查询!$B$3="公区维修",公区维修!$D63,入户维修!$D63)&amp;""=(单元查询!$F$3)&amp;"")),MAX($FW$4:$FW62)+1,"")</f>
        <v/>
      </c>
    </row>
    <row r="64" customFormat="false" ht="15" hidden="false" customHeight="true" outlineLevel="0" collapsed="false">
      <c r="F64" s="0" t="n">
        <f aca="false">IF(OR($A$1=入户维修!$F64,$BN$1=1),0,1-SUMPRODUCT(--(($A$1=入户维修!$F64)+$BN$1&gt;0)))</f>
        <v>0</v>
      </c>
      <c r="G64" s="0" t="n">
        <f aca="false">IF(OR($A$2=入户维修!$F64,$BN$2=1),0,2-SUMPRODUCT(--(($A$1:$A$2=入户维修!$F64)+$BN$1:$BN$2&gt;0)))</f>
        <v>1</v>
      </c>
      <c r="H64" s="0" t="n">
        <f aca="false">IF(OR($A$3=入户维修!$F64,$BN$3=1),0,3-SUMPRODUCT(--(($A$1:$A$3=入户维修!$F64)+$BN$1:$BN$3&gt;0)))</f>
        <v>2</v>
      </c>
      <c r="I64" s="0" t="n">
        <f aca="false">IF(OR($A$4=入户维修!$F64,$BN$4=1),0,4-SUMPRODUCT(--(($A$1:$A$4=入户维修!$F64)+$BN$1:$BN$4&gt;0)))</f>
        <v>3</v>
      </c>
      <c r="J64" s="0" t="n">
        <f aca="false">IF(OR($A$5=入户维修!$F64,$BN$5=1),0,5-SUMPRODUCT(--(($A$1:$A$5=入户维修!$F64)+$BN$1:$BN$5&gt;0)))</f>
        <v>4</v>
      </c>
      <c r="L64" s="0" t="str">
        <f aca="false">IFERROR(INDEX($A$1:$A$5,MATCH(1,$F64:$J64,0)),IF(1=MAX($F64:$J64)+1,"取消",""))</f>
        <v>李师傅</v>
      </c>
      <c r="M64" s="0" t="str">
        <f aca="false">IFERROR(INDEX($A$1:$A$5,MATCH(2,$F64:$J64,0)),IF(2=MAX($F64:$J64)+1,"取消",""))</f>
        <v>王师傅</v>
      </c>
      <c r="N64" s="0" t="str">
        <f aca="false">IFERROR(INDEX($A$1:$A$5,MATCH(3,$F64:$J64,0)),IF(3=MAX($F64:$J64)+1,"取消",""))</f>
        <v>陈师傅</v>
      </c>
      <c r="O64" s="0" t="str">
        <f aca="false">IFERROR(INDEX($A$1:$A$5,MATCH(4,$F64:$J64,0)),IF(4=MAX($F64:$J64)+1,"取消",""))</f>
        <v>刘师傅</v>
      </c>
      <c r="P64" s="0" t="str">
        <f aca="false">IFERROR(INDEX($A$1:$A$5,MATCH(5,$F64:$J64,0)),IF(5=MAX($F64:$J64)+1,"取消",""))</f>
        <v>取消</v>
      </c>
      <c r="Q64" s="0" t="str">
        <f aca="false">IFERROR(INDEX($A$1:$A$5,MATCH(6,$F64:$J64,0)),IF(6=MAX($F64:$J64)+1,"取消",""))</f>
        <v/>
      </c>
      <c r="S64" s="0" t="n">
        <f aca="false">IF(OR($A$1=入户维修!$F64,$A$1=入户维修!$G64,$BN$1=1),0,1-SUMPRODUCT(--(($A$1=入户维修!$F64)+($A$1=入户维修!$G64)+$BN$1&gt;0)))</f>
        <v>0</v>
      </c>
      <c r="T64" s="0" t="n">
        <f aca="false">IF(OR($A$2=入户维修!$F64,$A$2=入户维修!$G64,$BN$2=1),0,2-SUMPRODUCT(--(($A$1:$A$2=入户维修!$F64)+($A$1:$A$2=入户维修!$G64)+$BN$1:$BN$2&gt;0)))</f>
        <v>1</v>
      </c>
      <c r="U64" s="0" t="n">
        <f aca="false">IF(OR($A$3=入户维修!$F64,$A$3=入户维修!$G64,$BN$3=1),0,3-SUMPRODUCT(--(($A$1:$A$3=入户维修!$F64)+($A$1:$A$3=入户维修!$G64)+$BN$1:$BN$3&gt;0)))</f>
        <v>2</v>
      </c>
      <c r="V64" s="0" t="n">
        <f aca="false">IF(OR($A$4=入户维修!$F64,$A$4=入户维修!$G64,$BN$4=1),0,4-SUMPRODUCT(--(($A$1:$A$4=入户维修!$F64)+($A$1:$A$4=入户维修!$G64)+$BN$1:$BN$4&gt;0)))</f>
        <v>3</v>
      </c>
      <c r="W64" s="0" t="n">
        <f aca="false">IF(OR($A$5=入户维修!$F64,$A$5=入户维修!$G64,$BN$5=1),0,5-SUMPRODUCT(--(($A$1:$A$5=入户维修!$F64)+($A$1:$A$5=入户维修!$G64)+$BN$1:$BN$5&gt;0)))</f>
        <v>4</v>
      </c>
      <c r="Y64" s="0" t="str">
        <f aca="false">IFERROR(INDEX($A$1:$A$5,MATCH(1,$S64:$W64,0)),IF(1=MAX($S64:$W64)+1,"取消",""))</f>
        <v>李师傅</v>
      </c>
      <c r="Z64" s="0" t="str">
        <f aca="false">IFERROR(INDEX($A$1:$A$5,MATCH(2,$S64:$W64,0)),IF(2=MAX($S64:$W64)+1,"取消",""))</f>
        <v>王师傅</v>
      </c>
      <c r="AA64" s="0" t="str">
        <f aca="false">IFERROR(INDEX($A$1:$A$5,MATCH(3,$S64:$W64,0)),IF(3=MAX($S64:$W64)+1,"取消",""))</f>
        <v>陈师傅</v>
      </c>
      <c r="AB64" s="0" t="str">
        <f aca="false">IFERROR(INDEX($A$1:$A$5,MATCH(4,$S64:$W64,0)),IF(4=MAX($S64:$W64)+1,"取消",""))</f>
        <v>刘师傅</v>
      </c>
      <c r="AC64" s="0" t="str">
        <f aca="false">IFERROR(INDEX($A$1:$A$5,MATCH(5,$S64:$W64,0)),IF(5=MAX($S64:$W64)+1,"取消",""))</f>
        <v>取消</v>
      </c>
      <c r="AD64" s="0" t="str">
        <f aca="false">IFERROR(INDEX($A$1:$A$5,MATCH(6,$S64:$W64,0)),IF(6=MAX($S64:$W64)+1,"取消",""))</f>
        <v/>
      </c>
      <c r="AF64" s="0" t="n">
        <f aca="false">IF(OR($A$1=公区维修!$F64,$BN$1=1),0,1-SUMPRODUCT(--(($A$1=公区维修!$F64)+$BN$1&gt;0)))</f>
        <v>0</v>
      </c>
      <c r="AG64" s="0" t="n">
        <f aca="false">IF(OR($A$2=公区维修!$F64,$BN$2=1),0,2-SUMPRODUCT(--(($A$1:$A$2=公区维修!$F64)+$BN$1:$BN$2&gt;0)))</f>
        <v>1</v>
      </c>
      <c r="AH64" s="0" t="n">
        <f aca="false">IF(OR($A$3=公区维修!$F64,$BN$3=1),0,3-SUMPRODUCT(--(($A$1:$A$3=公区维修!$F64)+$BN$1:$BN$3&gt;0)))</f>
        <v>2</v>
      </c>
      <c r="AI64" s="0" t="n">
        <f aca="false">IF(OR($A$4=公区维修!$F64,$BN$4=1),0,4-SUMPRODUCT(--(($A$1:$A$4=公区维修!$F64)+$BN$1:$BN$4&gt;0)))</f>
        <v>3</v>
      </c>
      <c r="AJ64" s="0" t="n">
        <f aca="false">IF(OR($A$5=公区维修!$F64,$BN$5=1),0,5-SUMPRODUCT(--(($A$1:$A$5=公区维修!$F64)+$BN$1:$BN$5&gt;0)))</f>
        <v>4</v>
      </c>
      <c r="AL64" s="0" t="str">
        <f aca="false">IFERROR(INDEX($A$1:$A$5,MATCH(1,$AF64:$AJ64,0)),IF(1=MAX($AF64:$AJ64)+1,"取消",""))</f>
        <v>李师傅</v>
      </c>
      <c r="AM64" s="0" t="str">
        <f aca="false">IFERROR(INDEX($A$1:$A$5,MATCH(2,$AF64:$AJ64,0)),IF(2=MAX($AF64:$AJ64)+1,"取消",""))</f>
        <v>王师傅</v>
      </c>
      <c r="AN64" s="0" t="str">
        <f aca="false">IFERROR(INDEX($A$1:$A$5,MATCH(3,$AF64:$AJ64,0)),IF(3=MAX($AF64:$AJ64)+1,"取消",""))</f>
        <v>陈师傅</v>
      </c>
      <c r="AO64" s="0" t="str">
        <f aca="false">IFERROR(INDEX($A$1:$A$5,MATCH(4,$AF64:$AJ64,0)),IF(4=MAX($AF64:$AJ64)+1,"取消",""))</f>
        <v>刘师傅</v>
      </c>
      <c r="AP64" s="0" t="str">
        <f aca="false">IFERROR(INDEX($A$1:$A$5,MATCH(5,$AF64:$AJ64,0)),IF(5=MAX($AF64:$AJ64)+1,"取消",""))</f>
        <v>取消</v>
      </c>
      <c r="AQ64" s="0" t="str">
        <f aca="false">IFERROR(INDEX($A$1:$A$5,MATCH(6,$AF64:$AJ64,0)),IF(6=MAX($AF64:$AJ64)+1,"取消",""))</f>
        <v/>
      </c>
      <c r="AS64" s="0" t="n">
        <f aca="false">IF(OR($A$1=公区维修!$F64,$A$1=公区维修!$G64,$BN$1=1),0,1-SUMPRODUCT(--(($A$1=公区维修!$F64)+($A$1=公区维修!$G64)+$BN$1&gt;0)))</f>
        <v>0</v>
      </c>
      <c r="AT64" s="0" t="n">
        <f aca="false">IF(OR($A$2=公区维修!$F64,$A$2=公区维修!$G64,$BN$2=1),0,2-SUMPRODUCT(--(($A$1:$A$2=公区维修!$F64)+($A$1:$A$2=公区维修!$G64)+$BN$1:$BN$2&gt;0)))</f>
        <v>1</v>
      </c>
      <c r="AU64" s="0" t="n">
        <f aca="false">IF(OR($A$3=公区维修!$F64,$A$3=公区维修!$G64,$BN$3=1),0,3-SUMPRODUCT(--(($A$1:$A$3=公区维修!$F64)+($A$1:$A$3=公区维修!$G64)+$BN$1:$BN$3&gt;0)))</f>
        <v>2</v>
      </c>
      <c r="AV64" s="0" t="n">
        <f aca="false">IF(OR($A$4=公区维修!$F64,$A$4=公区维修!$G64,$BN$4=1),0,4-SUMPRODUCT(--(($A$1:$A$4=公区维修!$F64)+($A$1:$A$4=公区维修!$G64)+$BN$1:$BN$4&gt;0)))</f>
        <v>3</v>
      </c>
      <c r="AW64" s="0" t="n">
        <f aca="false">IF(OR($A$5=公区维修!$F64,$A$5=公区维修!$G64,$BN$5=1),0,5-SUMPRODUCT(--(($A$1:$A$5=公区维修!$F64)+($A$1:$A$5=公区维修!$G64)+$BN$1:$BN$5&gt;0)))</f>
        <v>4</v>
      </c>
      <c r="AY64" s="0" t="str">
        <f aca="false">IFERROR(INDEX($A$1:$A$5,MATCH(1,$AS64:$AW64,0)),IF(1=MAX($AS64:$AW64)+1,"取消",""))</f>
        <v>李师傅</v>
      </c>
      <c r="AZ64" s="0" t="str">
        <f aca="false">IFERROR(INDEX($A$1:$A$5,MATCH(2,$AS64:$AW64,0)),IF(2=MAX($AS64:$AW64)+1,"取消",""))</f>
        <v>王师傅</v>
      </c>
      <c r="BA64" s="0" t="str">
        <f aca="false">IFERROR(INDEX($A$1:$A$5,MATCH(3,$AS64:$AW64,0)),IF(3=MAX($AS64:$AW64)+1,"取消",""))</f>
        <v>陈师傅</v>
      </c>
      <c r="BB64" s="0" t="str">
        <f aca="false">IFERROR(INDEX($A$1:$A$5,MATCH(4,$AS64:$AW64,0)),IF(4=MAX($AS64:$AW64)+1,"取消",""))</f>
        <v>刘师傅</v>
      </c>
      <c r="BC64" s="0" t="str">
        <f aca="false">IFERROR(INDEX($A$1:$A$5,MATCH(5,$AS64:$AW64,0)),IF(5=MAX($AS64:$AW64)+1,"取消",""))</f>
        <v>取消</v>
      </c>
      <c r="BD64" s="0" t="str">
        <f aca="false">IFERROR(INDEX($A$1:$A$5,MATCH(6,$AS64:$AW64,0)),IF(6=MAX($AS64:$AW64)+1,"取消",""))</f>
        <v/>
      </c>
      <c r="FW64" s="0" t="str">
        <f aca="false">IF(AND(单元查询!$D$3&lt;&gt;"",IF(单元查询!$B$3="公区维修",公区维修!$E64&lt;&gt;"",入户维修!$E64&lt;&gt;""),IF(单元查询!$B$3="公区维修",公区维修!$C64,入户维修!$C64)=单元查询!$D$3,OR(单元查询!$F$3="",IF(单元查询!$B$3="公区维修",公区维修!$D64,入户维修!$D64)&amp;""=(单元查询!$F$3)&amp;"")),MAX($FW$4:$FW63)+1,"")</f>
        <v/>
      </c>
    </row>
    <row r="65" customFormat="false" ht="15" hidden="false" customHeight="true" outlineLevel="0" collapsed="false">
      <c r="F65" s="0" t="n">
        <f aca="false">IF(OR($A$1=入户维修!$F65,$BN$1=1),0,1-SUMPRODUCT(--(($A$1=入户维修!$F65)+$BN$1&gt;0)))</f>
        <v>0</v>
      </c>
      <c r="G65" s="0" t="n">
        <f aca="false">IF(OR($A$2=入户维修!$F65,$BN$2=1),0,2-SUMPRODUCT(--(($A$1:$A$2=入户维修!$F65)+$BN$1:$BN$2&gt;0)))</f>
        <v>1</v>
      </c>
      <c r="H65" s="0" t="n">
        <f aca="false">IF(OR($A$3=入户维修!$F65,$BN$3=1),0,3-SUMPRODUCT(--(($A$1:$A$3=入户维修!$F65)+$BN$1:$BN$3&gt;0)))</f>
        <v>2</v>
      </c>
      <c r="I65" s="0" t="n">
        <f aca="false">IF(OR($A$4=入户维修!$F65,$BN$4=1),0,4-SUMPRODUCT(--(($A$1:$A$4=入户维修!$F65)+$BN$1:$BN$4&gt;0)))</f>
        <v>3</v>
      </c>
      <c r="J65" s="0" t="n">
        <f aca="false">IF(OR($A$5=入户维修!$F65,$BN$5=1),0,5-SUMPRODUCT(--(($A$1:$A$5=入户维修!$F65)+$BN$1:$BN$5&gt;0)))</f>
        <v>4</v>
      </c>
      <c r="L65" s="0" t="str">
        <f aca="false">IFERROR(INDEX($A$1:$A$5,MATCH(1,$F65:$J65,0)),IF(1=MAX($F65:$J65)+1,"取消",""))</f>
        <v>李师傅</v>
      </c>
      <c r="M65" s="0" t="str">
        <f aca="false">IFERROR(INDEX($A$1:$A$5,MATCH(2,$F65:$J65,0)),IF(2=MAX($F65:$J65)+1,"取消",""))</f>
        <v>王师傅</v>
      </c>
      <c r="N65" s="0" t="str">
        <f aca="false">IFERROR(INDEX($A$1:$A$5,MATCH(3,$F65:$J65,0)),IF(3=MAX($F65:$J65)+1,"取消",""))</f>
        <v>陈师傅</v>
      </c>
      <c r="O65" s="0" t="str">
        <f aca="false">IFERROR(INDEX($A$1:$A$5,MATCH(4,$F65:$J65,0)),IF(4=MAX($F65:$J65)+1,"取消",""))</f>
        <v>刘师傅</v>
      </c>
      <c r="P65" s="0" t="str">
        <f aca="false">IFERROR(INDEX($A$1:$A$5,MATCH(5,$F65:$J65,0)),IF(5=MAX($F65:$J65)+1,"取消",""))</f>
        <v>取消</v>
      </c>
      <c r="Q65" s="0" t="str">
        <f aca="false">IFERROR(INDEX($A$1:$A$5,MATCH(6,$F65:$J65,0)),IF(6=MAX($F65:$J65)+1,"取消",""))</f>
        <v/>
      </c>
      <c r="S65" s="0" t="n">
        <f aca="false">IF(OR($A$1=入户维修!$F65,$A$1=入户维修!$G65,$BN$1=1),0,1-SUMPRODUCT(--(($A$1=入户维修!$F65)+($A$1=入户维修!$G65)+$BN$1&gt;0)))</f>
        <v>0</v>
      </c>
      <c r="T65" s="0" t="n">
        <f aca="false">IF(OR($A$2=入户维修!$F65,$A$2=入户维修!$G65,$BN$2=1),0,2-SUMPRODUCT(--(($A$1:$A$2=入户维修!$F65)+($A$1:$A$2=入户维修!$G65)+$BN$1:$BN$2&gt;0)))</f>
        <v>1</v>
      </c>
      <c r="U65" s="0" t="n">
        <f aca="false">IF(OR($A$3=入户维修!$F65,$A$3=入户维修!$G65,$BN$3=1),0,3-SUMPRODUCT(--(($A$1:$A$3=入户维修!$F65)+($A$1:$A$3=入户维修!$G65)+$BN$1:$BN$3&gt;0)))</f>
        <v>2</v>
      </c>
      <c r="V65" s="0" t="n">
        <f aca="false">IF(OR($A$4=入户维修!$F65,$A$4=入户维修!$G65,$BN$4=1),0,4-SUMPRODUCT(--(($A$1:$A$4=入户维修!$F65)+($A$1:$A$4=入户维修!$G65)+$BN$1:$BN$4&gt;0)))</f>
        <v>3</v>
      </c>
      <c r="W65" s="0" t="n">
        <f aca="false">IF(OR($A$5=入户维修!$F65,$A$5=入户维修!$G65,$BN$5=1),0,5-SUMPRODUCT(--(($A$1:$A$5=入户维修!$F65)+($A$1:$A$5=入户维修!$G65)+$BN$1:$BN$5&gt;0)))</f>
        <v>4</v>
      </c>
      <c r="Y65" s="0" t="str">
        <f aca="false">IFERROR(INDEX($A$1:$A$5,MATCH(1,$S65:$W65,0)),IF(1=MAX($S65:$W65)+1,"取消",""))</f>
        <v>李师傅</v>
      </c>
      <c r="Z65" s="0" t="str">
        <f aca="false">IFERROR(INDEX($A$1:$A$5,MATCH(2,$S65:$W65,0)),IF(2=MAX($S65:$W65)+1,"取消",""))</f>
        <v>王师傅</v>
      </c>
      <c r="AA65" s="0" t="str">
        <f aca="false">IFERROR(INDEX($A$1:$A$5,MATCH(3,$S65:$W65,0)),IF(3=MAX($S65:$W65)+1,"取消",""))</f>
        <v>陈师傅</v>
      </c>
      <c r="AB65" s="0" t="str">
        <f aca="false">IFERROR(INDEX($A$1:$A$5,MATCH(4,$S65:$W65,0)),IF(4=MAX($S65:$W65)+1,"取消",""))</f>
        <v>刘师傅</v>
      </c>
      <c r="AC65" s="0" t="str">
        <f aca="false">IFERROR(INDEX($A$1:$A$5,MATCH(5,$S65:$W65,0)),IF(5=MAX($S65:$W65)+1,"取消",""))</f>
        <v>取消</v>
      </c>
      <c r="AD65" s="0" t="str">
        <f aca="false">IFERROR(INDEX($A$1:$A$5,MATCH(6,$S65:$W65,0)),IF(6=MAX($S65:$W65)+1,"取消",""))</f>
        <v/>
      </c>
      <c r="AF65" s="0" t="n">
        <f aca="false">IF(OR($A$1=公区维修!$F65,$BN$1=1),0,1-SUMPRODUCT(--(($A$1=公区维修!$F65)+$BN$1&gt;0)))</f>
        <v>0</v>
      </c>
      <c r="AG65" s="0" t="n">
        <f aca="false">IF(OR($A$2=公区维修!$F65,$BN$2=1),0,2-SUMPRODUCT(--(($A$1:$A$2=公区维修!$F65)+$BN$1:$BN$2&gt;0)))</f>
        <v>1</v>
      </c>
      <c r="AH65" s="0" t="n">
        <f aca="false">IF(OR($A$3=公区维修!$F65,$BN$3=1),0,3-SUMPRODUCT(--(($A$1:$A$3=公区维修!$F65)+$BN$1:$BN$3&gt;0)))</f>
        <v>2</v>
      </c>
      <c r="AI65" s="0" t="n">
        <f aca="false">IF(OR($A$4=公区维修!$F65,$BN$4=1),0,4-SUMPRODUCT(--(($A$1:$A$4=公区维修!$F65)+$BN$1:$BN$4&gt;0)))</f>
        <v>3</v>
      </c>
      <c r="AJ65" s="0" t="n">
        <f aca="false">IF(OR($A$5=公区维修!$F65,$BN$5=1),0,5-SUMPRODUCT(--(($A$1:$A$5=公区维修!$F65)+$BN$1:$BN$5&gt;0)))</f>
        <v>4</v>
      </c>
      <c r="AL65" s="0" t="str">
        <f aca="false">IFERROR(INDEX($A$1:$A$5,MATCH(1,$AF65:$AJ65,0)),IF(1=MAX($AF65:$AJ65)+1,"取消",""))</f>
        <v>李师傅</v>
      </c>
      <c r="AM65" s="0" t="str">
        <f aca="false">IFERROR(INDEX($A$1:$A$5,MATCH(2,$AF65:$AJ65,0)),IF(2=MAX($AF65:$AJ65)+1,"取消",""))</f>
        <v>王师傅</v>
      </c>
      <c r="AN65" s="0" t="str">
        <f aca="false">IFERROR(INDEX($A$1:$A$5,MATCH(3,$AF65:$AJ65,0)),IF(3=MAX($AF65:$AJ65)+1,"取消",""))</f>
        <v>陈师傅</v>
      </c>
      <c r="AO65" s="0" t="str">
        <f aca="false">IFERROR(INDEX($A$1:$A$5,MATCH(4,$AF65:$AJ65,0)),IF(4=MAX($AF65:$AJ65)+1,"取消",""))</f>
        <v>刘师傅</v>
      </c>
      <c r="AP65" s="0" t="str">
        <f aca="false">IFERROR(INDEX($A$1:$A$5,MATCH(5,$AF65:$AJ65,0)),IF(5=MAX($AF65:$AJ65)+1,"取消",""))</f>
        <v>取消</v>
      </c>
      <c r="AQ65" s="0" t="str">
        <f aca="false">IFERROR(INDEX($A$1:$A$5,MATCH(6,$AF65:$AJ65,0)),IF(6=MAX($AF65:$AJ65)+1,"取消",""))</f>
        <v/>
      </c>
      <c r="AS65" s="0" t="n">
        <f aca="false">IF(OR($A$1=公区维修!$F65,$A$1=公区维修!$G65,$BN$1=1),0,1-SUMPRODUCT(--(($A$1=公区维修!$F65)+($A$1=公区维修!$G65)+$BN$1&gt;0)))</f>
        <v>0</v>
      </c>
      <c r="AT65" s="0" t="n">
        <f aca="false">IF(OR($A$2=公区维修!$F65,$A$2=公区维修!$G65,$BN$2=1),0,2-SUMPRODUCT(--(($A$1:$A$2=公区维修!$F65)+($A$1:$A$2=公区维修!$G65)+$BN$1:$BN$2&gt;0)))</f>
        <v>1</v>
      </c>
      <c r="AU65" s="0" t="n">
        <f aca="false">IF(OR($A$3=公区维修!$F65,$A$3=公区维修!$G65,$BN$3=1),0,3-SUMPRODUCT(--(($A$1:$A$3=公区维修!$F65)+($A$1:$A$3=公区维修!$G65)+$BN$1:$BN$3&gt;0)))</f>
        <v>2</v>
      </c>
      <c r="AV65" s="0" t="n">
        <f aca="false">IF(OR($A$4=公区维修!$F65,$A$4=公区维修!$G65,$BN$4=1),0,4-SUMPRODUCT(--(($A$1:$A$4=公区维修!$F65)+($A$1:$A$4=公区维修!$G65)+$BN$1:$BN$4&gt;0)))</f>
        <v>3</v>
      </c>
      <c r="AW65" s="0" t="n">
        <f aca="false">IF(OR($A$5=公区维修!$F65,$A$5=公区维修!$G65,$BN$5=1),0,5-SUMPRODUCT(--(($A$1:$A$5=公区维修!$F65)+($A$1:$A$5=公区维修!$G65)+$BN$1:$BN$5&gt;0)))</f>
        <v>4</v>
      </c>
      <c r="AY65" s="0" t="str">
        <f aca="false">IFERROR(INDEX($A$1:$A$5,MATCH(1,$AS65:$AW65,0)),IF(1=MAX($AS65:$AW65)+1,"取消",""))</f>
        <v>李师傅</v>
      </c>
      <c r="AZ65" s="0" t="str">
        <f aca="false">IFERROR(INDEX($A$1:$A$5,MATCH(2,$AS65:$AW65,0)),IF(2=MAX($AS65:$AW65)+1,"取消",""))</f>
        <v>王师傅</v>
      </c>
      <c r="BA65" s="0" t="str">
        <f aca="false">IFERROR(INDEX($A$1:$A$5,MATCH(3,$AS65:$AW65,0)),IF(3=MAX($AS65:$AW65)+1,"取消",""))</f>
        <v>陈师傅</v>
      </c>
      <c r="BB65" s="0" t="str">
        <f aca="false">IFERROR(INDEX($A$1:$A$5,MATCH(4,$AS65:$AW65,0)),IF(4=MAX($AS65:$AW65)+1,"取消",""))</f>
        <v>刘师傅</v>
      </c>
      <c r="BC65" s="0" t="str">
        <f aca="false">IFERROR(INDEX($A$1:$A$5,MATCH(5,$AS65:$AW65,0)),IF(5=MAX($AS65:$AW65)+1,"取消",""))</f>
        <v>取消</v>
      </c>
      <c r="BD65" s="0" t="str">
        <f aca="false">IFERROR(INDEX($A$1:$A$5,MATCH(6,$AS65:$AW65,0)),IF(6=MAX($AS65:$AW65)+1,"取消",""))</f>
        <v/>
      </c>
      <c r="FW65" s="0" t="str">
        <f aca="false">IF(AND(单元查询!$D$3&lt;&gt;"",IF(单元查询!$B$3="公区维修",公区维修!$E65&lt;&gt;"",入户维修!$E65&lt;&gt;""),IF(单元查询!$B$3="公区维修",公区维修!$C65,入户维修!$C65)=单元查询!$D$3,OR(单元查询!$F$3="",IF(单元查询!$B$3="公区维修",公区维修!$D65,入户维修!$D65)&amp;""=(单元查询!$F$3)&amp;"")),MAX($FW$4:$FW64)+1,"")</f>
        <v/>
      </c>
    </row>
    <row r="66" customFormat="false" ht="15" hidden="false" customHeight="true" outlineLevel="0" collapsed="false">
      <c r="F66" s="0" t="n">
        <f aca="false">IF(OR($A$1=入户维修!$F66,$BN$1=1),0,1-SUMPRODUCT(--(($A$1=入户维修!$F66)+$BN$1&gt;0)))</f>
        <v>0</v>
      </c>
      <c r="G66" s="0" t="n">
        <f aca="false">IF(OR($A$2=入户维修!$F66,$BN$2=1),0,2-SUMPRODUCT(--(($A$1:$A$2=入户维修!$F66)+$BN$1:$BN$2&gt;0)))</f>
        <v>1</v>
      </c>
      <c r="H66" s="0" t="n">
        <f aca="false">IF(OR($A$3=入户维修!$F66,$BN$3=1),0,3-SUMPRODUCT(--(($A$1:$A$3=入户维修!$F66)+$BN$1:$BN$3&gt;0)))</f>
        <v>2</v>
      </c>
      <c r="I66" s="0" t="n">
        <f aca="false">IF(OR($A$4=入户维修!$F66,$BN$4=1),0,4-SUMPRODUCT(--(($A$1:$A$4=入户维修!$F66)+$BN$1:$BN$4&gt;0)))</f>
        <v>3</v>
      </c>
      <c r="J66" s="0" t="n">
        <f aca="false">IF(OR($A$5=入户维修!$F66,$BN$5=1),0,5-SUMPRODUCT(--(($A$1:$A$5=入户维修!$F66)+$BN$1:$BN$5&gt;0)))</f>
        <v>4</v>
      </c>
      <c r="L66" s="0" t="str">
        <f aca="false">IFERROR(INDEX($A$1:$A$5,MATCH(1,$F66:$J66,0)),IF(1=MAX($F66:$J66)+1,"取消",""))</f>
        <v>李师傅</v>
      </c>
      <c r="M66" s="0" t="str">
        <f aca="false">IFERROR(INDEX($A$1:$A$5,MATCH(2,$F66:$J66,0)),IF(2=MAX($F66:$J66)+1,"取消",""))</f>
        <v>王师傅</v>
      </c>
      <c r="N66" s="0" t="str">
        <f aca="false">IFERROR(INDEX($A$1:$A$5,MATCH(3,$F66:$J66,0)),IF(3=MAX($F66:$J66)+1,"取消",""))</f>
        <v>陈师傅</v>
      </c>
      <c r="O66" s="0" t="str">
        <f aca="false">IFERROR(INDEX($A$1:$A$5,MATCH(4,$F66:$J66,0)),IF(4=MAX($F66:$J66)+1,"取消",""))</f>
        <v>刘师傅</v>
      </c>
      <c r="P66" s="0" t="str">
        <f aca="false">IFERROR(INDEX($A$1:$A$5,MATCH(5,$F66:$J66,0)),IF(5=MAX($F66:$J66)+1,"取消",""))</f>
        <v>取消</v>
      </c>
      <c r="Q66" s="0" t="str">
        <f aca="false">IFERROR(INDEX($A$1:$A$5,MATCH(6,$F66:$J66,0)),IF(6=MAX($F66:$J66)+1,"取消",""))</f>
        <v/>
      </c>
      <c r="S66" s="0" t="n">
        <f aca="false">IF(OR($A$1=入户维修!$F66,$A$1=入户维修!$G66,$BN$1=1),0,1-SUMPRODUCT(--(($A$1=入户维修!$F66)+($A$1=入户维修!$G66)+$BN$1&gt;0)))</f>
        <v>0</v>
      </c>
      <c r="T66" s="0" t="n">
        <f aca="false">IF(OR($A$2=入户维修!$F66,$A$2=入户维修!$G66,$BN$2=1),0,2-SUMPRODUCT(--(($A$1:$A$2=入户维修!$F66)+($A$1:$A$2=入户维修!$G66)+$BN$1:$BN$2&gt;0)))</f>
        <v>1</v>
      </c>
      <c r="U66" s="0" t="n">
        <f aca="false">IF(OR($A$3=入户维修!$F66,$A$3=入户维修!$G66,$BN$3=1),0,3-SUMPRODUCT(--(($A$1:$A$3=入户维修!$F66)+($A$1:$A$3=入户维修!$G66)+$BN$1:$BN$3&gt;0)))</f>
        <v>2</v>
      </c>
      <c r="V66" s="0" t="n">
        <f aca="false">IF(OR($A$4=入户维修!$F66,$A$4=入户维修!$G66,$BN$4=1),0,4-SUMPRODUCT(--(($A$1:$A$4=入户维修!$F66)+($A$1:$A$4=入户维修!$G66)+$BN$1:$BN$4&gt;0)))</f>
        <v>3</v>
      </c>
      <c r="W66" s="0" t="n">
        <f aca="false">IF(OR($A$5=入户维修!$F66,$A$5=入户维修!$G66,$BN$5=1),0,5-SUMPRODUCT(--(($A$1:$A$5=入户维修!$F66)+($A$1:$A$5=入户维修!$G66)+$BN$1:$BN$5&gt;0)))</f>
        <v>4</v>
      </c>
      <c r="Y66" s="0" t="str">
        <f aca="false">IFERROR(INDEX($A$1:$A$5,MATCH(1,$S66:$W66,0)),IF(1=MAX($S66:$W66)+1,"取消",""))</f>
        <v>李师傅</v>
      </c>
      <c r="Z66" s="0" t="str">
        <f aca="false">IFERROR(INDEX($A$1:$A$5,MATCH(2,$S66:$W66,0)),IF(2=MAX($S66:$W66)+1,"取消",""))</f>
        <v>王师傅</v>
      </c>
      <c r="AA66" s="0" t="str">
        <f aca="false">IFERROR(INDEX($A$1:$A$5,MATCH(3,$S66:$W66,0)),IF(3=MAX($S66:$W66)+1,"取消",""))</f>
        <v>陈师傅</v>
      </c>
      <c r="AB66" s="0" t="str">
        <f aca="false">IFERROR(INDEX($A$1:$A$5,MATCH(4,$S66:$W66,0)),IF(4=MAX($S66:$W66)+1,"取消",""))</f>
        <v>刘师傅</v>
      </c>
      <c r="AC66" s="0" t="str">
        <f aca="false">IFERROR(INDEX($A$1:$A$5,MATCH(5,$S66:$W66,0)),IF(5=MAX($S66:$W66)+1,"取消",""))</f>
        <v>取消</v>
      </c>
      <c r="AD66" s="0" t="str">
        <f aca="false">IFERROR(INDEX($A$1:$A$5,MATCH(6,$S66:$W66,0)),IF(6=MAX($S66:$W66)+1,"取消",""))</f>
        <v/>
      </c>
      <c r="AF66" s="0" t="n">
        <f aca="false">IF(OR($A$1=公区维修!$F66,$BN$1=1),0,1-SUMPRODUCT(--(($A$1=公区维修!$F66)+$BN$1&gt;0)))</f>
        <v>0</v>
      </c>
      <c r="AG66" s="0" t="n">
        <f aca="false">IF(OR($A$2=公区维修!$F66,$BN$2=1),0,2-SUMPRODUCT(--(($A$1:$A$2=公区维修!$F66)+$BN$1:$BN$2&gt;0)))</f>
        <v>1</v>
      </c>
      <c r="AH66" s="0" t="n">
        <f aca="false">IF(OR($A$3=公区维修!$F66,$BN$3=1),0,3-SUMPRODUCT(--(($A$1:$A$3=公区维修!$F66)+$BN$1:$BN$3&gt;0)))</f>
        <v>2</v>
      </c>
      <c r="AI66" s="0" t="n">
        <f aca="false">IF(OR($A$4=公区维修!$F66,$BN$4=1),0,4-SUMPRODUCT(--(($A$1:$A$4=公区维修!$F66)+$BN$1:$BN$4&gt;0)))</f>
        <v>3</v>
      </c>
      <c r="AJ66" s="0" t="n">
        <f aca="false">IF(OR($A$5=公区维修!$F66,$BN$5=1),0,5-SUMPRODUCT(--(($A$1:$A$5=公区维修!$F66)+$BN$1:$BN$5&gt;0)))</f>
        <v>4</v>
      </c>
      <c r="AL66" s="0" t="str">
        <f aca="false">IFERROR(INDEX($A$1:$A$5,MATCH(1,$AF66:$AJ66,0)),IF(1=MAX($AF66:$AJ66)+1,"取消",""))</f>
        <v>李师傅</v>
      </c>
      <c r="AM66" s="0" t="str">
        <f aca="false">IFERROR(INDEX($A$1:$A$5,MATCH(2,$AF66:$AJ66,0)),IF(2=MAX($AF66:$AJ66)+1,"取消",""))</f>
        <v>王师傅</v>
      </c>
      <c r="AN66" s="0" t="str">
        <f aca="false">IFERROR(INDEX($A$1:$A$5,MATCH(3,$AF66:$AJ66,0)),IF(3=MAX($AF66:$AJ66)+1,"取消",""))</f>
        <v>陈师傅</v>
      </c>
      <c r="AO66" s="0" t="str">
        <f aca="false">IFERROR(INDEX($A$1:$A$5,MATCH(4,$AF66:$AJ66,0)),IF(4=MAX($AF66:$AJ66)+1,"取消",""))</f>
        <v>刘师傅</v>
      </c>
      <c r="AP66" s="0" t="str">
        <f aca="false">IFERROR(INDEX($A$1:$A$5,MATCH(5,$AF66:$AJ66,0)),IF(5=MAX($AF66:$AJ66)+1,"取消",""))</f>
        <v>取消</v>
      </c>
      <c r="AQ66" s="0" t="str">
        <f aca="false">IFERROR(INDEX($A$1:$A$5,MATCH(6,$AF66:$AJ66,0)),IF(6=MAX($AF66:$AJ66)+1,"取消",""))</f>
        <v/>
      </c>
      <c r="AS66" s="0" t="n">
        <f aca="false">IF(OR($A$1=公区维修!$F66,$A$1=公区维修!$G66,$BN$1=1),0,1-SUMPRODUCT(--(($A$1=公区维修!$F66)+($A$1=公区维修!$G66)+$BN$1&gt;0)))</f>
        <v>0</v>
      </c>
      <c r="AT66" s="0" t="n">
        <f aca="false">IF(OR($A$2=公区维修!$F66,$A$2=公区维修!$G66,$BN$2=1),0,2-SUMPRODUCT(--(($A$1:$A$2=公区维修!$F66)+($A$1:$A$2=公区维修!$G66)+$BN$1:$BN$2&gt;0)))</f>
        <v>1</v>
      </c>
      <c r="AU66" s="0" t="n">
        <f aca="false">IF(OR($A$3=公区维修!$F66,$A$3=公区维修!$G66,$BN$3=1),0,3-SUMPRODUCT(--(($A$1:$A$3=公区维修!$F66)+($A$1:$A$3=公区维修!$G66)+$BN$1:$BN$3&gt;0)))</f>
        <v>2</v>
      </c>
      <c r="AV66" s="0" t="n">
        <f aca="false">IF(OR($A$4=公区维修!$F66,$A$4=公区维修!$G66,$BN$4=1),0,4-SUMPRODUCT(--(($A$1:$A$4=公区维修!$F66)+($A$1:$A$4=公区维修!$G66)+$BN$1:$BN$4&gt;0)))</f>
        <v>3</v>
      </c>
      <c r="AW66" s="0" t="n">
        <f aca="false">IF(OR($A$5=公区维修!$F66,$A$5=公区维修!$G66,$BN$5=1),0,5-SUMPRODUCT(--(($A$1:$A$5=公区维修!$F66)+($A$1:$A$5=公区维修!$G66)+$BN$1:$BN$5&gt;0)))</f>
        <v>4</v>
      </c>
      <c r="AY66" s="0" t="str">
        <f aca="false">IFERROR(INDEX($A$1:$A$5,MATCH(1,$AS66:$AW66,0)),IF(1=MAX($AS66:$AW66)+1,"取消",""))</f>
        <v>李师傅</v>
      </c>
      <c r="AZ66" s="0" t="str">
        <f aca="false">IFERROR(INDEX($A$1:$A$5,MATCH(2,$AS66:$AW66,0)),IF(2=MAX($AS66:$AW66)+1,"取消",""))</f>
        <v>王师傅</v>
      </c>
      <c r="BA66" s="0" t="str">
        <f aca="false">IFERROR(INDEX($A$1:$A$5,MATCH(3,$AS66:$AW66,0)),IF(3=MAX($AS66:$AW66)+1,"取消",""))</f>
        <v>陈师傅</v>
      </c>
      <c r="BB66" s="0" t="str">
        <f aca="false">IFERROR(INDEX($A$1:$A$5,MATCH(4,$AS66:$AW66,0)),IF(4=MAX($AS66:$AW66)+1,"取消",""))</f>
        <v>刘师傅</v>
      </c>
      <c r="BC66" s="0" t="str">
        <f aca="false">IFERROR(INDEX($A$1:$A$5,MATCH(5,$AS66:$AW66,0)),IF(5=MAX($AS66:$AW66)+1,"取消",""))</f>
        <v>取消</v>
      </c>
      <c r="BD66" s="0" t="str">
        <f aca="false">IFERROR(INDEX($A$1:$A$5,MATCH(6,$AS66:$AW66,0)),IF(6=MAX($AS66:$AW66)+1,"取消",""))</f>
        <v/>
      </c>
      <c r="FW66" s="0" t="str">
        <f aca="false">IF(AND(单元查询!$D$3&lt;&gt;"",IF(单元查询!$B$3="公区维修",公区维修!$E66&lt;&gt;"",入户维修!$E66&lt;&gt;""),IF(单元查询!$B$3="公区维修",公区维修!$C66,入户维修!$C66)=单元查询!$D$3,OR(单元查询!$F$3="",IF(单元查询!$B$3="公区维修",公区维修!$D66,入户维修!$D66)&amp;""=(单元查询!$F$3)&amp;"")),MAX($FW$4:$FW65)+1,"")</f>
        <v/>
      </c>
    </row>
    <row r="67" customFormat="false" ht="15" hidden="false" customHeight="true" outlineLevel="0" collapsed="false">
      <c r="F67" s="0" t="n">
        <f aca="false">IF(OR($A$1=入户维修!$F67,$BN$1=1),0,1-SUMPRODUCT(--(($A$1=入户维修!$F67)+$BN$1&gt;0)))</f>
        <v>0</v>
      </c>
      <c r="G67" s="0" t="n">
        <f aca="false">IF(OR($A$2=入户维修!$F67,$BN$2=1),0,2-SUMPRODUCT(--(($A$1:$A$2=入户维修!$F67)+$BN$1:$BN$2&gt;0)))</f>
        <v>1</v>
      </c>
      <c r="H67" s="0" t="n">
        <f aca="false">IF(OR($A$3=入户维修!$F67,$BN$3=1),0,3-SUMPRODUCT(--(($A$1:$A$3=入户维修!$F67)+$BN$1:$BN$3&gt;0)))</f>
        <v>2</v>
      </c>
      <c r="I67" s="0" t="n">
        <f aca="false">IF(OR($A$4=入户维修!$F67,$BN$4=1),0,4-SUMPRODUCT(--(($A$1:$A$4=入户维修!$F67)+$BN$1:$BN$4&gt;0)))</f>
        <v>3</v>
      </c>
      <c r="J67" s="0" t="n">
        <f aca="false">IF(OR($A$5=入户维修!$F67,$BN$5=1),0,5-SUMPRODUCT(--(($A$1:$A$5=入户维修!$F67)+$BN$1:$BN$5&gt;0)))</f>
        <v>4</v>
      </c>
      <c r="L67" s="0" t="str">
        <f aca="false">IFERROR(INDEX($A$1:$A$5,MATCH(1,$F67:$J67,0)),IF(1=MAX($F67:$J67)+1,"取消",""))</f>
        <v>李师傅</v>
      </c>
      <c r="M67" s="0" t="str">
        <f aca="false">IFERROR(INDEX($A$1:$A$5,MATCH(2,$F67:$J67,0)),IF(2=MAX($F67:$J67)+1,"取消",""))</f>
        <v>王师傅</v>
      </c>
      <c r="N67" s="0" t="str">
        <f aca="false">IFERROR(INDEX($A$1:$A$5,MATCH(3,$F67:$J67,0)),IF(3=MAX($F67:$J67)+1,"取消",""))</f>
        <v>陈师傅</v>
      </c>
      <c r="O67" s="0" t="str">
        <f aca="false">IFERROR(INDEX($A$1:$A$5,MATCH(4,$F67:$J67,0)),IF(4=MAX($F67:$J67)+1,"取消",""))</f>
        <v>刘师傅</v>
      </c>
      <c r="P67" s="0" t="str">
        <f aca="false">IFERROR(INDEX($A$1:$A$5,MATCH(5,$F67:$J67,0)),IF(5=MAX($F67:$J67)+1,"取消",""))</f>
        <v>取消</v>
      </c>
      <c r="Q67" s="0" t="str">
        <f aca="false">IFERROR(INDEX($A$1:$A$5,MATCH(6,$F67:$J67,0)),IF(6=MAX($F67:$J67)+1,"取消",""))</f>
        <v/>
      </c>
      <c r="S67" s="0" t="n">
        <f aca="false">IF(OR($A$1=入户维修!$F67,$A$1=入户维修!$G67,$BN$1=1),0,1-SUMPRODUCT(--(($A$1=入户维修!$F67)+($A$1=入户维修!$G67)+$BN$1&gt;0)))</f>
        <v>0</v>
      </c>
      <c r="T67" s="0" t="n">
        <f aca="false">IF(OR($A$2=入户维修!$F67,$A$2=入户维修!$G67,$BN$2=1),0,2-SUMPRODUCT(--(($A$1:$A$2=入户维修!$F67)+($A$1:$A$2=入户维修!$G67)+$BN$1:$BN$2&gt;0)))</f>
        <v>1</v>
      </c>
      <c r="U67" s="0" t="n">
        <f aca="false">IF(OR($A$3=入户维修!$F67,$A$3=入户维修!$G67,$BN$3=1),0,3-SUMPRODUCT(--(($A$1:$A$3=入户维修!$F67)+($A$1:$A$3=入户维修!$G67)+$BN$1:$BN$3&gt;0)))</f>
        <v>2</v>
      </c>
      <c r="V67" s="0" t="n">
        <f aca="false">IF(OR($A$4=入户维修!$F67,$A$4=入户维修!$G67,$BN$4=1),0,4-SUMPRODUCT(--(($A$1:$A$4=入户维修!$F67)+($A$1:$A$4=入户维修!$G67)+$BN$1:$BN$4&gt;0)))</f>
        <v>3</v>
      </c>
      <c r="W67" s="0" t="n">
        <f aca="false">IF(OR($A$5=入户维修!$F67,$A$5=入户维修!$G67,$BN$5=1),0,5-SUMPRODUCT(--(($A$1:$A$5=入户维修!$F67)+($A$1:$A$5=入户维修!$G67)+$BN$1:$BN$5&gt;0)))</f>
        <v>4</v>
      </c>
      <c r="Y67" s="0" t="str">
        <f aca="false">IFERROR(INDEX($A$1:$A$5,MATCH(1,$S67:$W67,0)),IF(1=MAX($S67:$W67)+1,"取消",""))</f>
        <v>李师傅</v>
      </c>
      <c r="Z67" s="0" t="str">
        <f aca="false">IFERROR(INDEX($A$1:$A$5,MATCH(2,$S67:$W67,0)),IF(2=MAX($S67:$W67)+1,"取消",""))</f>
        <v>王师傅</v>
      </c>
      <c r="AA67" s="0" t="str">
        <f aca="false">IFERROR(INDEX($A$1:$A$5,MATCH(3,$S67:$W67,0)),IF(3=MAX($S67:$W67)+1,"取消",""))</f>
        <v>陈师傅</v>
      </c>
      <c r="AB67" s="0" t="str">
        <f aca="false">IFERROR(INDEX($A$1:$A$5,MATCH(4,$S67:$W67,0)),IF(4=MAX($S67:$W67)+1,"取消",""))</f>
        <v>刘师傅</v>
      </c>
      <c r="AC67" s="0" t="str">
        <f aca="false">IFERROR(INDEX($A$1:$A$5,MATCH(5,$S67:$W67,0)),IF(5=MAX($S67:$W67)+1,"取消",""))</f>
        <v>取消</v>
      </c>
      <c r="AD67" s="0" t="str">
        <f aca="false">IFERROR(INDEX($A$1:$A$5,MATCH(6,$S67:$W67,0)),IF(6=MAX($S67:$W67)+1,"取消",""))</f>
        <v/>
      </c>
      <c r="AF67" s="0" t="n">
        <f aca="false">IF(OR($A$1=公区维修!$F67,$BN$1=1),0,1-SUMPRODUCT(--(($A$1=公区维修!$F67)+$BN$1&gt;0)))</f>
        <v>0</v>
      </c>
      <c r="AG67" s="0" t="n">
        <f aca="false">IF(OR($A$2=公区维修!$F67,$BN$2=1),0,2-SUMPRODUCT(--(($A$1:$A$2=公区维修!$F67)+$BN$1:$BN$2&gt;0)))</f>
        <v>1</v>
      </c>
      <c r="AH67" s="0" t="n">
        <f aca="false">IF(OR($A$3=公区维修!$F67,$BN$3=1),0,3-SUMPRODUCT(--(($A$1:$A$3=公区维修!$F67)+$BN$1:$BN$3&gt;0)))</f>
        <v>2</v>
      </c>
      <c r="AI67" s="0" t="n">
        <f aca="false">IF(OR($A$4=公区维修!$F67,$BN$4=1),0,4-SUMPRODUCT(--(($A$1:$A$4=公区维修!$F67)+$BN$1:$BN$4&gt;0)))</f>
        <v>3</v>
      </c>
      <c r="AJ67" s="0" t="n">
        <f aca="false">IF(OR($A$5=公区维修!$F67,$BN$5=1),0,5-SUMPRODUCT(--(($A$1:$A$5=公区维修!$F67)+$BN$1:$BN$5&gt;0)))</f>
        <v>4</v>
      </c>
      <c r="AL67" s="0" t="str">
        <f aca="false">IFERROR(INDEX($A$1:$A$5,MATCH(1,$AF67:$AJ67,0)),IF(1=MAX($AF67:$AJ67)+1,"取消",""))</f>
        <v>李师傅</v>
      </c>
      <c r="AM67" s="0" t="str">
        <f aca="false">IFERROR(INDEX($A$1:$A$5,MATCH(2,$AF67:$AJ67,0)),IF(2=MAX($AF67:$AJ67)+1,"取消",""))</f>
        <v>王师傅</v>
      </c>
      <c r="AN67" s="0" t="str">
        <f aca="false">IFERROR(INDEX($A$1:$A$5,MATCH(3,$AF67:$AJ67,0)),IF(3=MAX($AF67:$AJ67)+1,"取消",""))</f>
        <v>陈师傅</v>
      </c>
      <c r="AO67" s="0" t="str">
        <f aca="false">IFERROR(INDEX($A$1:$A$5,MATCH(4,$AF67:$AJ67,0)),IF(4=MAX($AF67:$AJ67)+1,"取消",""))</f>
        <v>刘师傅</v>
      </c>
      <c r="AP67" s="0" t="str">
        <f aca="false">IFERROR(INDEX($A$1:$A$5,MATCH(5,$AF67:$AJ67,0)),IF(5=MAX($AF67:$AJ67)+1,"取消",""))</f>
        <v>取消</v>
      </c>
      <c r="AQ67" s="0" t="str">
        <f aca="false">IFERROR(INDEX($A$1:$A$5,MATCH(6,$AF67:$AJ67,0)),IF(6=MAX($AF67:$AJ67)+1,"取消",""))</f>
        <v/>
      </c>
      <c r="AS67" s="0" t="n">
        <f aca="false">IF(OR($A$1=公区维修!$F67,$A$1=公区维修!$G67,$BN$1=1),0,1-SUMPRODUCT(--(($A$1=公区维修!$F67)+($A$1=公区维修!$G67)+$BN$1&gt;0)))</f>
        <v>0</v>
      </c>
      <c r="AT67" s="0" t="n">
        <f aca="false">IF(OR($A$2=公区维修!$F67,$A$2=公区维修!$G67,$BN$2=1),0,2-SUMPRODUCT(--(($A$1:$A$2=公区维修!$F67)+($A$1:$A$2=公区维修!$G67)+$BN$1:$BN$2&gt;0)))</f>
        <v>1</v>
      </c>
      <c r="AU67" s="0" t="n">
        <f aca="false">IF(OR($A$3=公区维修!$F67,$A$3=公区维修!$G67,$BN$3=1),0,3-SUMPRODUCT(--(($A$1:$A$3=公区维修!$F67)+($A$1:$A$3=公区维修!$G67)+$BN$1:$BN$3&gt;0)))</f>
        <v>2</v>
      </c>
      <c r="AV67" s="0" t="n">
        <f aca="false">IF(OR($A$4=公区维修!$F67,$A$4=公区维修!$G67,$BN$4=1),0,4-SUMPRODUCT(--(($A$1:$A$4=公区维修!$F67)+($A$1:$A$4=公区维修!$G67)+$BN$1:$BN$4&gt;0)))</f>
        <v>3</v>
      </c>
      <c r="AW67" s="0" t="n">
        <f aca="false">IF(OR($A$5=公区维修!$F67,$A$5=公区维修!$G67,$BN$5=1),0,5-SUMPRODUCT(--(($A$1:$A$5=公区维修!$F67)+($A$1:$A$5=公区维修!$G67)+$BN$1:$BN$5&gt;0)))</f>
        <v>4</v>
      </c>
      <c r="AY67" s="0" t="str">
        <f aca="false">IFERROR(INDEX($A$1:$A$5,MATCH(1,$AS67:$AW67,0)),IF(1=MAX($AS67:$AW67)+1,"取消",""))</f>
        <v>李师傅</v>
      </c>
      <c r="AZ67" s="0" t="str">
        <f aca="false">IFERROR(INDEX($A$1:$A$5,MATCH(2,$AS67:$AW67,0)),IF(2=MAX($AS67:$AW67)+1,"取消",""))</f>
        <v>王师傅</v>
      </c>
      <c r="BA67" s="0" t="str">
        <f aca="false">IFERROR(INDEX($A$1:$A$5,MATCH(3,$AS67:$AW67,0)),IF(3=MAX($AS67:$AW67)+1,"取消",""))</f>
        <v>陈师傅</v>
      </c>
      <c r="BB67" s="0" t="str">
        <f aca="false">IFERROR(INDEX($A$1:$A$5,MATCH(4,$AS67:$AW67,0)),IF(4=MAX($AS67:$AW67)+1,"取消",""))</f>
        <v>刘师傅</v>
      </c>
      <c r="BC67" s="0" t="str">
        <f aca="false">IFERROR(INDEX($A$1:$A$5,MATCH(5,$AS67:$AW67,0)),IF(5=MAX($AS67:$AW67)+1,"取消",""))</f>
        <v>取消</v>
      </c>
      <c r="BD67" s="0" t="str">
        <f aca="false">IFERROR(INDEX($A$1:$A$5,MATCH(6,$AS67:$AW67,0)),IF(6=MAX($AS67:$AW67)+1,"取消",""))</f>
        <v/>
      </c>
      <c r="FW67" s="0" t="str">
        <f aca="false">IF(AND(单元查询!$D$3&lt;&gt;"",IF(单元查询!$B$3="公区维修",公区维修!$E67&lt;&gt;"",入户维修!$E67&lt;&gt;""),IF(单元查询!$B$3="公区维修",公区维修!$C67,入户维修!$C67)=单元查询!$D$3,OR(单元查询!$F$3="",IF(单元查询!$B$3="公区维修",公区维修!$D67,入户维修!$D67)&amp;""=(单元查询!$F$3)&amp;"")),MAX($FW$4:$FW66)+1,"")</f>
        <v/>
      </c>
    </row>
    <row r="68" customFormat="false" ht="15" hidden="false" customHeight="true" outlineLevel="0" collapsed="false">
      <c r="F68" s="0" t="n">
        <f aca="false">IF(OR($A$1=入户维修!$F68,$BN$1=1),0,1-SUMPRODUCT(--(($A$1=入户维修!$F68)+$BN$1&gt;0)))</f>
        <v>0</v>
      </c>
      <c r="G68" s="0" t="n">
        <f aca="false">IF(OR($A$2=入户维修!$F68,$BN$2=1),0,2-SUMPRODUCT(--(($A$1:$A$2=入户维修!$F68)+$BN$1:$BN$2&gt;0)))</f>
        <v>1</v>
      </c>
      <c r="H68" s="0" t="n">
        <f aca="false">IF(OR($A$3=入户维修!$F68,$BN$3=1),0,3-SUMPRODUCT(--(($A$1:$A$3=入户维修!$F68)+$BN$1:$BN$3&gt;0)))</f>
        <v>2</v>
      </c>
      <c r="I68" s="0" t="n">
        <f aca="false">IF(OR($A$4=入户维修!$F68,$BN$4=1),0,4-SUMPRODUCT(--(($A$1:$A$4=入户维修!$F68)+$BN$1:$BN$4&gt;0)))</f>
        <v>3</v>
      </c>
      <c r="J68" s="0" t="n">
        <f aca="false">IF(OR($A$5=入户维修!$F68,$BN$5=1),0,5-SUMPRODUCT(--(($A$1:$A$5=入户维修!$F68)+$BN$1:$BN$5&gt;0)))</f>
        <v>4</v>
      </c>
      <c r="L68" s="0" t="str">
        <f aca="false">IFERROR(INDEX($A$1:$A$5,MATCH(1,$F68:$J68,0)),IF(1=MAX($F68:$J68)+1,"取消",""))</f>
        <v>李师傅</v>
      </c>
      <c r="M68" s="0" t="str">
        <f aca="false">IFERROR(INDEX($A$1:$A$5,MATCH(2,$F68:$J68,0)),IF(2=MAX($F68:$J68)+1,"取消",""))</f>
        <v>王师傅</v>
      </c>
      <c r="N68" s="0" t="str">
        <f aca="false">IFERROR(INDEX($A$1:$A$5,MATCH(3,$F68:$J68,0)),IF(3=MAX($F68:$J68)+1,"取消",""))</f>
        <v>陈师傅</v>
      </c>
      <c r="O68" s="0" t="str">
        <f aca="false">IFERROR(INDEX($A$1:$A$5,MATCH(4,$F68:$J68,0)),IF(4=MAX($F68:$J68)+1,"取消",""))</f>
        <v>刘师傅</v>
      </c>
      <c r="P68" s="0" t="str">
        <f aca="false">IFERROR(INDEX($A$1:$A$5,MATCH(5,$F68:$J68,0)),IF(5=MAX($F68:$J68)+1,"取消",""))</f>
        <v>取消</v>
      </c>
      <c r="Q68" s="0" t="str">
        <f aca="false">IFERROR(INDEX($A$1:$A$5,MATCH(6,$F68:$J68,0)),IF(6=MAX($F68:$J68)+1,"取消",""))</f>
        <v/>
      </c>
      <c r="S68" s="0" t="n">
        <f aca="false">IF(OR($A$1=入户维修!$F68,$A$1=入户维修!$G68,$BN$1=1),0,1-SUMPRODUCT(--(($A$1=入户维修!$F68)+($A$1=入户维修!$G68)+$BN$1&gt;0)))</f>
        <v>0</v>
      </c>
      <c r="T68" s="0" t="n">
        <f aca="false">IF(OR($A$2=入户维修!$F68,$A$2=入户维修!$G68,$BN$2=1),0,2-SUMPRODUCT(--(($A$1:$A$2=入户维修!$F68)+($A$1:$A$2=入户维修!$G68)+$BN$1:$BN$2&gt;0)))</f>
        <v>1</v>
      </c>
      <c r="U68" s="0" t="n">
        <f aca="false">IF(OR($A$3=入户维修!$F68,$A$3=入户维修!$G68,$BN$3=1),0,3-SUMPRODUCT(--(($A$1:$A$3=入户维修!$F68)+($A$1:$A$3=入户维修!$G68)+$BN$1:$BN$3&gt;0)))</f>
        <v>2</v>
      </c>
      <c r="V68" s="0" t="n">
        <f aca="false">IF(OR($A$4=入户维修!$F68,$A$4=入户维修!$G68,$BN$4=1),0,4-SUMPRODUCT(--(($A$1:$A$4=入户维修!$F68)+($A$1:$A$4=入户维修!$G68)+$BN$1:$BN$4&gt;0)))</f>
        <v>3</v>
      </c>
      <c r="W68" s="0" t="n">
        <f aca="false">IF(OR($A$5=入户维修!$F68,$A$5=入户维修!$G68,$BN$5=1),0,5-SUMPRODUCT(--(($A$1:$A$5=入户维修!$F68)+($A$1:$A$5=入户维修!$G68)+$BN$1:$BN$5&gt;0)))</f>
        <v>4</v>
      </c>
      <c r="Y68" s="0" t="str">
        <f aca="false">IFERROR(INDEX($A$1:$A$5,MATCH(1,$S68:$W68,0)),IF(1=MAX($S68:$W68)+1,"取消",""))</f>
        <v>李师傅</v>
      </c>
      <c r="Z68" s="0" t="str">
        <f aca="false">IFERROR(INDEX($A$1:$A$5,MATCH(2,$S68:$W68,0)),IF(2=MAX($S68:$W68)+1,"取消",""))</f>
        <v>王师傅</v>
      </c>
      <c r="AA68" s="0" t="str">
        <f aca="false">IFERROR(INDEX($A$1:$A$5,MATCH(3,$S68:$W68,0)),IF(3=MAX($S68:$W68)+1,"取消",""))</f>
        <v>陈师傅</v>
      </c>
      <c r="AB68" s="0" t="str">
        <f aca="false">IFERROR(INDEX($A$1:$A$5,MATCH(4,$S68:$W68,0)),IF(4=MAX($S68:$W68)+1,"取消",""))</f>
        <v>刘师傅</v>
      </c>
      <c r="AC68" s="0" t="str">
        <f aca="false">IFERROR(INDEX($A$1:$A$5,MATCH(5,$S68:$W68,0)),IF(5=MAX($S68:$W68)+1,"取消",""))</f>
        <v>取消</v>
      </c>
      <c r="AD68" s="0" t="str">
        <f aca="false">IFERROR(INDEX($A$1:$A$5,MATCH(6,$S68:$W68,0)),IF(6=MAX($S68:$W68)+1,"取消",""))</f>
        <v/>
      </c>
      <c r="AF68" s="0" t="n">
        <f aca="false">IF(OR($A$1=公区维修!$F68,$BN$1=1),0,1-SUMPRODUCT(--(($A$1=公区维修!$F68)+$BN$1&gt;0)))</f>
        <v>0</v>
      </c>
      <c r="AG68" s="0" t="n">
        <f aca="false">IF(OR($A$2=公区维修!$F68,$BN$2=1),0,2-SUMPRODUCT(--(($A$1:$A$2=公区维修!$F68)+$BN$1:$BN$2&gt;0)))</f>
        <v>1</v>
      </c>
      <c r="AH68" s="0" t="n">
        <f aca="false">IF(OR($A$3=公区维修!$F68,$BN$3=1),0,3-SUMPRODUCT(--(($A$1:$A$3=公区维修!$F68)+$BN$1:$BN$3&gt;0)))</f>
        <v>2</v>
      </c>
      <c r="AI68" s="0" t="n">
        <f aca="false">IF(OR($A$4=公区维修!$F68,$BN$4=1),0,4-SUMPRODUCT(--(($A$1:$A$4=公区维修!$F68)+$BN$1:$BN$4&gt;0)))</f>
        <v>3</v>
      </c>
      <c r="AJ68" s="0" t="n">
        <f aca="false">IF(OR($A$5=公区维修!$F68,$BN$5=1),0,5-SUMPRODUCT(--(($A$1:$A$5=公区维修!$F68)+$BN$1:$BN$5&gt;0)))</f>
        <v>4</v>
      </c>
      <c r="AL68" s="0" t="str">
        <f aca="false">IFERROR(INDEX($A$1:$A$5,MATCH(1,$AF68:$AJ68,0)),IF(1=MAX($AF68:$AJ68)+1,"取消",""))</f>
        <v>李师傅</v>
      </c>
      <c r="AM68" s="0" t="str">
        <f aca="false">IFERROR(INDEX($A$1:$A$5,MATCH(2,$AF68:$AJ68,0)),IF(2=MAX($AF68:$AJ68)+1,"取消",""))</f>
        <v>王师傅</v>
      </c>
      <c r="AN68" s="0" t="str">
        <f aca="false">IFERROR(INDEX($A$1:$A$5,MATCH(3,$AF68:$AJ68,0)),IF(3=MAX($AF68:$AJ68)+1,"取消",""))</f>
        <v>陈师傅</v>
      </c>
      <c r="AO68" s="0" t="str">
        <f aca="false">IFERROR(INDEX($A$1:$A$5,MATCH(4,$AF68:$AJ68,0)),IF(4=MAX($AF68:$AJ68)+1,"取消",""))</f>
        <v>刘师傅</v>
      </c>
      <c r="AP68" s="0" t="str">
        <f aca="false">IFERROR(INDEX($A$1:$A$5,MATCH(5,$AF68:$AJ68,0)),IF(5=MAX($AF68:$AJ68)+1,"取消",""))</f>
        <v>取消</v>
      </c>
      <c r="AQ68" s="0" t="str">
        <f aca="false">IFERROR(INDEX($A$1:$A$5,MATCH(6,$AF68:$AJ68,0)),IF(6=MAX($AF68:$AJ68)+1,"取消",""))</f>
        <v/>
      </c>
      <c r="AS68" s="0" t="n">
        <f aca="false">IF(OR($A$1=公区维修!$F68,$A$1=公区维修!$G68,$BN$1=1),0,1-SUMPRODUCT(--(($A$1=公区维修!$F68)+($A$1=公区维修!$G68)+$BN$1&gt;0)))</f>
        <v>0</v>
      </c>
      <c r="AT68" s="0" t="n">
        <f aca="false">IF(OR($A$2=公区维修!$F68,$A$2=公区维修!$G68,$BN$2=1),0,2-SUMPRODUCT(--(($A$1:$A$2=公区维修!$F68)+($A$1:$A$2=公区维修!$G68)+$BN$1:$BN$2&gt;0)))</f>
        <v>1</v>
      </c>
      <c r="AU68" s="0" t="n">
        <f aca="false">IF(OR($A$3=公区维修!$F68,$A$3=公区维修!$G68,$BN$3=1),0,3-SUMPRODUCT(--(($A$1:$A$3=公区维修!$F68)+($A$1:$A$3=公区维修!$G68)+$BN$1:$BN$3&gt;0)))</f>
        <v>2</v>
      </c>
      <c r="AV68" s="0" t="n">
        <f aca="false">IF(OR($A$4=公区维修!$F68,$A$4=公区维修!$G68,$BN$4=1),0,4-SUMPRODUCT(--(($A$1:$A$4=公区维修!$F68)+($A$1:$A$4=公区维修!$G68)+$BN$1:$BN$4&gt;0)))</f>
        <v>3</v>
      </c>
      <c r="AW68" s="0" t="n">
        <f aca="false">IF(OR($A$5=公区维修!$F68,$A$5=公区维修!$G68,$BN$5=1),0,5-SUMPRODUCT(--(($A$1:$A$5=公区维修!$F68)+($A$1:$A$5=公区维修!$G68)+$BN$1:$BN$5&gt;0)))</f>
        <v>4</v>
      </c>
      <c r="AY68" s="0" t="str">
        <f aca="false">IFERROR(INDEX($A$1:$A$5,MATCH(1,$AS68:$AW68,0)),IF(1=MAX($AS68:$AW68)+1,"取消",""))</f>
        <v>李师傅</v>
      </c>
      <c r="AZ68" s="0" t="str">
        <f aca="false">IFERROR(INDEX($A$1:$A$5,MATCH(2,$AS68:$AW68,0)),IF(2=MAX($AS68:$AW68)+1,"取消",""))</f>
        <v>王师傅</v>
      </c>
      <c r="BA68" s="0" t="str">
        <f aca="false">IFERROR(INDEX($A$1:$A$5,MATCH(3,$AS68:$AW68,0)),IF(3=MAX($AS68:$AW68)+1,"取消",""))</f>
        <v>陈师傅</v>
      </c>
      <c r="BB68" s="0" t="str">
        <f aca="false">IFERROR(INDEX($A$1:$A$5,MATCH(4,$AS68:$AW68,0)),IF(4=MAX($AS68:$AW68)+1,"取消",""))</f>
        <v>刘师傅</v>
      </c>
      <c r="BC68" s="0" t="str">
        <f aca="false">IFERROR(INDEX($A$1:$A$5,MATCH(5,$AS68:$AW68,0)),IF(5=MAX($AS68:$AW68)+1,"取消",""))</f>
        <v>取消</v>
      </c>
      <c r="BD68" s="0" t="str">
        <f aca="false">IFERROR(INDEX($A$1:$A$5,MATCH(6,$AS68:$AW68,0)),IF(6=MAX($AS68:$AW68)+1,"取消",""))</f>
        <v/>
      </c>
      <c r="FW68" s="0" t="str">
        <f aca="false">IF(AND(单元查询!$D$3&lt;&gt;"",IF(单元查询!$B$3="公区维修",公区维修!$E68&lt;&gt;"",入户维修!$E68&lt;&gt;""),IF(单元查询!$B$3="公区维修",公区维修!$C68,入户维修!$C68)=单元查询!$D$3,OR(单元查询!$F$3="",IF(单元查询!$B$3="公区维修",公区维修!$D68,入户维修!$D68)&amp;""=(单元查询!$F$3)&amp;"")),MAX($FW$4:$FW67)+1,"")</f>
        <v/>
      </c>
    </row>
    <row r="69" customFormat="false" ht="15" hidden="false" customHeight="true" outlineLevel="0" collapsed="false">
      <c r="F69" s="0" t="n">
        <f aca="false">IF(OR($A$1=入户维修!$F69,$BN$1=1),0,1-SUMPRODUCT(--(($A$1=入户维修!$F69)+$BN$1&gt;0)))</f>
        <v>0</v>
      </c>
      <c r="G69" s="0" t="n">
        <f aca="false">IF(OR($A$2=入户维修!$F69,$BN$2=1),0,2-SUMPRODUCT(--(($A$1:$A$2=入户维修!$F69)+$BN$1:$BN$2&gt;0)))</f>
        <v>1</v>
      </c>
      <c r="H69" s="0" t="n">
        <f aca="false">IF(OR($A$3=入户维修!$F69,$BN$3=1),0,3-SUMPRODUCT(--(($A$1:$A$3=入户维修!$F69)+$BN$1:$BN$3&gt;0)))</f>
        <v>2</v>
      </c>
      <c r="I69" s="0" t="n">
        <f aca="false">IF(OR($A$4=入户维修!$F69,$BN$4=1),0,4-SUMPRODUCT(--(($A$1:$A$4=入户维修!$F69)+$BN$1:$BN$4&gt;0)))</f>
        <v>3</v>
      </c>
      <c r="J69" s="0" t="n">
        <f aca="false">IF(OR($A$5=入户维修!$F69,$BN$5=1),0,5-SUMPRODUCT(--(($A$1:$A$5=入户维修!$F69)+$BN$1:$BN$5&gt;0)))</f>
        <v>4</v>
      </c>
      <c r="L69" s="0" t="str">
        <f aca="false">IFERROR(INDEX($A$1:$A$5,MATCH(1,$F69:$J69,0)),IF(1=MAX($F69:$J69)+1,"取消",""))</f>
        <v>李师傅</v>
      </c>
      <c r="M69" s="0" t="str">
        <f aca="false">IFERROR(INDEX($A$1:$A$5,MATCH(2,$F69:$J69,0)),IF(2=MAX($F69:$J69)+1,"取消",""))</f>
        <v>王师傅</v>
      </c>
      <c r="N69" s="0" t="str">
        <f aca="false">IFERROR(INDEX($A$1:$A$5,MATCH(3,$F69:$J69,0)),IF(3=MAX($F69:$J69)+1,"取消",""))</f>
        <v>陈师傅</v>
      </c>
      <c r="O69" s="0" t="str">
        <f aca="false">IFERROR(INDEX($A$1:$A$5,MATCH(4,$F69:$J69,0)),IF(4=MAX($F69:$J69)+1,"取消",""))</f>
        <v>刘师傅</v>
      </c>
      <c r="P69" s="0" t="str">
        <f aca="false">IFERROR(INDEX($A$1:$A$5,MATCH(5,$F69:$J69,0)),IF(5=MAX($F69:$J69)+1,"取消",""))</f>
        <v>取消</v>
      </c>
      <c r="Q69" s="0" t="str">
        <f aca="false">IFERROR(INDEX($A$1:$A$5,MATCH(6,$F69:$J69,0)),IF(6=MAX($F69:$J69)+1,"取消",""))</f>
        <v/>
      </c>
      <c r="S69" s="0" t="n">
        <f aca="false">IF(OR($A$1=入户维修!$F69,$A$1=入户维修!$G69,$BN$1=1),0,1-SUMPRODUCT(--(($A$1=入户维修!$F69)+($A$1=入户维修!$G69)+$BN$1&gt;0)))</f>
        <v>0</v>
      </c>
      <c r="T69" s="0" t="n">
        <f aca="false">IF(OR($A$2=入户维修!$F69,$A$2=入户维修!$G69,$BN$2=1),0,2-SUMPRODUCT(--(($A$1:$A$2=入户维修!$F69)+($A$1:$A$2=入户维修!$G69)+$BN$1:$BN$2&gt;0)))</f>
        <v>1</v>
      </c>
      <c r="U69" s="0" t="n">
        <f aca="false">IF(OR($A$3=入户维修!$F69,$A$3=入户维修!$G69,$BN$3=1),0,3-SUMPRODUCT(--(($A$1:$A$3=入户维修!$F69)+($A$1:$A$3=入户维修!$G69)+$BN$1:$BN$3&gt;0)))</f>
        <v>2</v>
      </c>
      <c r="V69" s="0" t="n">
        <f aca="false">IF(OR($A$4=入户维修!$F69,$A$4=入户维修!$G69,$BN$4=1),0,4-SUMPRODUCT(--(($A$1:$A$4=入户维修!$F69)+($A$1:$A$4=入户维修!$G69)+$BN$1:$BN$4&gt;0)))</f>
        <v>3</v>
      </c>
      <c r="W69" s="0" t="n">
        <f aca="false">IF(OR($A$5=入户维修!$F69,$A$5=入户维修!$G69,$BN$5=1),0,5-SUMPRODUCT(--(($A$1:$A$5=入户维修!$F69)+($A$1:$A$5=入户维修!$G69)+$BN$1:$BN$5&gt;0)))</f>
        <v>4</v>
      </c>
      <c r="Y69" s="0" t="str">
        <f aca="false">IFERROR(INDEX($A$1:$A$5,MATCH(1,$S69:$W69,0)),IF(1=MAX($S69:$W69)+1,"取消",""))</f>
        <v>李师傅</v>
      </c>
      <c r="Z69" s="0" t="str">
        <f aca="false">IFERROR(INDEX($A$1:$A$5,MATCH(2,$S69:$W69,0)),IF(2=MAX($S69:$W69)+1,"取消",""))</f>
        <v>王师傅</v>
      </c>
      <c r="AA69" s="0" t="str">
        <f aca="false">IFERROR(INDEX($A$1:$A$5,MATCH(3,$S69:$W69,0)),IF(3=MAX($S69:$W69)+1,"取消",""))</f>
        <v>陈师傅</v>
      </c>
      <c r="AB69" s="0" t="str">
        <f aca="false">IFERROR(INDEX($A$1:$A$5,MATCH(4,$S69:$W69,0)),IF(4=MAX($S69:$W69)+1,"取消",""))</f>
        <v>刘师傅</v>
      </c>
      <c r="AC69" s="0" t="str">
        <f aca="false">IFERROR(INDEX($A$1:$A$5,MATCH(5,$S69:$W69,0)),IF(5=MAX($S69:$W69)+1,"取消",""))</f>
        <v>取消</v>
      </c>
      <c r="AD69" s="0" t="str">
        <f aca="false">IFERROR(INDEX($A$1:$A$5,MATCH(6,$S69:$W69,0)),IF(6=MAX($S69:$W69)+1,"取消",""))</f>
        <v/>
      </c>
      <c r="AF69" s="0" t="n">
        <f aca="false">IF(OR($A$1=公区维修!$F69,$BN$1=1),0,1-SUMPRODUCT(--(($A$1=公区维修!$F69)+$BN$1&gt;0)))</f>
        <v>0</v>
      </c>
      <c r="AG69" s="0" t="n">
        <f aca="false">IF(OR($A$2=公区维修!$F69,$BN$2=1),0,2-SUMPRODUCT(--(($A$1:$A$2=公区维修!$F69)+$BN$1:$BN$2&gt;0)))</f>
        <v>1</v>
      </c>
      <c r="AH69" s="0" t="n">
        <f aca="false">IF(OR($A$3=公区维修!$F69,$BN$3=1),0,3-SUMPRODUCT(--(($A$1:$A$3=公区维修!$F69)+$BN$1:$BN$3&gt;0)))</f>
        <v>2</v>
      </c>
      <c r="AI69" s="0" t="n">
        <f aca="false">IF(OR($A$4=公区维修!$F69,$BN$4=1),0,4-SUMPRODUCT(--(($A$1:$A$4=公区维修!$F69)+$BN$1:$BN$4&gt;0)))</f>
        <v>3</v>
      </c>
      <c r="AJ69" s="0" t="n">
        <f aca="false">IF(OR($A$5=公区维修!$F69,$BN$5=1),0,5-SUMPRODUCT(--(($A$1:$A$5=公区维修!$F69)+$BN$1:$BN$5&gt;0)))</f>
        <v>4</v>
      </c>
      <c r="AL69" s="0" t="str">
        <f aca="false">IFERROR(INDEX($A$1:$A$5,MATCH(1,$AF69:$AJ69,0)),IF(1=MAX($AF69:$AJ69)+1,"取消",""))</f>
        <v>李师傅</v>
      </c>
      <c r="AM69" s="0" t="str">
        <f aca="false">IFERROR(INDEX($A$1:$A$5,MATCH(2,$AF69:$AJ69,0)),IF(2=MAX($AF69:$AJ69)+1,"取消",""))</f>
        <v>王师傅</v>
      </c>
      <c r="AN69" s="0" t="str">
        <f aca="false">IFERROR(INDEX($A$1:$A$5,MATCH(3,$AF69:$AJ69,0)),IF(3=MAX($AF69:$AJ69)+1,"取消",""))</f>
        <v>陈师傅</v>
      </c>
      <c r="AO69" s="0" t="str">
        <f aca="false">IFERROR(INDEX($A$1:$A$5,MATCH(4,$AF69:$AJ69,0)),IF(4=MAX($AF69:$AJ69)+1,"取消",""))</f>
        <v>刘师傅</v>
      </c>
      <c r="AP69" s="0" t="str">
        <f aca="false">IFERROR(INDEX($A$1:$A$5,MATCH(5,$AF69:$AJ69,0)),IF(5=MAX($AF69:$AJ69)+1,"取消",""))</f>
        <v>取消</v>
      </c>
      <c r="AQ69" s="0" t="str">
        <f aca="false">IFERROR(INDEX($A$1:$A$5,MATCH(6,$AF69:$AJ69,0)),IF(6=MAX($AF69:$AJ69)+1,"取消",""))</f>
        <v/>
      </c>
      <c r="AS69" s="0" t="n">
        <f aca="false">IF(OR($A$1=公区维修!$F69,$A$1=公区维修!$G69,$BN$1=1),0,1-SUMPRODUCT(--(($A$1=公区维修!$F69)+($A$1=公区维修!$G69)+$BN$1&gt;0)))</f>
        <v>0</v>
      </c>
      <c r="AT69" s="0" t="n">
        <f aca="false">IF(OR($A$2=公区维修!$F69,$A$2=公区维修!$G69,$BN$2=1),0,2-SUMPRODUCT(--(($A$1:$A$2=公区维修!$F69)+($A$1:$A$2=公区维修!$G69)+$BN$1:$BN$2&gt;0)))</f>
        <v>1</v>
      </c>
      <c r="AU69" s="0" t="n">
        <f aca="false">IF(OR($A$3=公区维修!$F69,$A$3=公区维修!$G69,$BN$3=1),0,3-SUMPRODUCT(--(($A$1:$A$3=公区维修!$F69)+($A$1:$A$3=公区维修!$G69)+$BN$1:$BN$3&gt;0)))</f>
        <v>2</v>
      </c>
      <c r="AV69" s="0" t="n">
        <f aca="false">IF(OR($A$4=公区维修!$F69,$A$4=公区维修!$G69,$BN$4=1),0,4-SUMPRODUCT(--(($A$1:$A$4=公区维修!$F69)+($A$1:$A$4=公区维修!$G69)+$BN$1:$BN$4&gt;0)))</f>
        <v>3</v>
      </c>
      <c r="AW69" s="0" t="n">
        <f aca="false">IF(OR($A$5=公区维修!$F69,$A$5=公区维修!$G69,$BN$5=1),0,5-SUMPRODUCT(--(($A$1:$A$5=公区维修!$F69)+($A$1:$A$5=公区维修!$G69)+$BN$1:$BN$5&gt;0)))</f>
        <v>4</v>
      </c>
      <c r="AY69" s="0" t="str">
        <f aca="false">IFERROR(INDEX($A$1:$A$5,MATCH(1,$AS69:$AW69,0)),IF(1=MAX($AS69:$AW69)+1,"取消",""))</f>
        <v>李师傅</v>
      </c>
      <c r="AZ69" s="0" t="str">
        <f aca="false">IFERROR(INDEX($A$1:$A$5,MATCH(2,$AS69:$AW69,0)),IF(2=MAX($AS69:$AW69)+1,"取消",""))</f>
        <v>王师傅</v>
      </c>
      <c r="BA69" s="0" t="str">
        <f aca="false">IFERROR(INDEX($A$1:$A$5,MATCH(3,$AS69:$AW69,0)),IF(3=MAX($AS69:$AW69)+1,"取消",""))</f>
        <v>陈师傅</v>
      </c>
      <c r="BB69" s="0" t="str">
        <f aca="false">IFERROR(INDEX($A$1:$A$5,MATCH(4,$AS69:$AW69,0)),IF(4=MAX($AS69:$AW69)+1,"取消",""))</f>
        <v>刘师傅</v>
      </c>
      <c r="BC69" s="0" t="str">
        <f aca="false">IFERROR(INDEX($A$1:$A$5,MATCH(5,$AS69:$AW69,0)),IF(5=MAX($AS69:$AW69)+1,"取消",""))</f>
        <v>取消</v>
      </c>
      <c r="BD69" s="0" t="str">
        <f aca="false">IFERROR(INDEX($A$1:$A$5,MATCH(6,$AS69:$AW69,0)),IF(6=MAX($AS69:$AW69)+1,"取消",""))</f>
        <v/>
      </c>
      <c r="FW69" s="0" t="str">
        <f aca="false">IF(AND(单元查询!$D$3&lt;&gt;"",IF(单元查询!$B$3="公区维修",公区维修!$E69&lt;&gt;"",入户维修!$E69&lt;&gt;""),IF(单元查询!$B$3="公区维修",公区维修!$C69,入户维修!$C69)=单元查询!$D$3,OR(单元查询!$F$3="",IF(单元查询!$B$3="公区维修",公区维修!$D69,入户维修!$D69)&amp;""=(单元查询!$F$3)&amp;"")),MAX($FW$4:$FW68)+1,"")</f>
        <v/>
      </c>
    </row>
    <row r="70" customFormat="false" ht="15" hidden="false" customHeight="true" outlineLevel="0" collapsed="false">
      <c r="F70" s="0" t="n">
        <f aca="false">IF(OR($A$1=入户维修!$F70,$BN$1=1),0,1-SUMPRODUCT(--(($A$1=入户维修!$F70)+$BN$1&gt;0)))</f>
        <v>0</v>
      </c>
      <c r="G70" s="0" t="n">
        <f aca="false">IF(OR($A$2=入户维修!$F70,$BN$2=1),0,2-SUMPRODUCT(--(($A$1:$A$2=入户维修!$F70)+$BN$1:$BN$2&gt;0)))</f>
        <v>1</v>
      </c>
      <c r="H70" s="0" t="n">
        <f aca="false">IF(OR($A$3=入户维修!$F70,$BN$3=1),0,3-SUMPRODUCT(--(($A$1:$A$3=入户维修!$F70)+$BN$1:$BN$3&gt;0)))</f>
        <v>2</v>
      </c>
      <c r="I70" s="0" t="n">
        <f aca="false">IF(OR($A$4=入户维修!$F70,$BN$4=1),0,4-SUMPRODUCT(--(($A$1:$A$4=入户维修!$F70)+$BN$1:$BN$4&gt;0)))</f>
        <v>3</v>
      </c>
      <c r="J70" s="0" t="n">
        <f aca="false">IF(OR($A$5=入户维修!$F70,$BN$5=1),0,5-SUMPRODUCT(--(($A$1:$A$5=入户维修!$F70)+$BN$1:$BN$5&gt;0)))</f>
        <v>4</v>
      </c>
      <c r="L70" s="0" t="str">
        <f aca="false">IFERROR(INDEX($A$1:$A$5,MATCH(1,$F70:$J70,0)),IF(1=MAX($F70:$J70)+1,"取消",""))</f>
        <v>李师傅</v>
      </c>
      <c r="M70" s="0" t="str">
        <f aca="false">IFERROR(INDEX($A$1:$A$5,MATCH(2,$F70:$J70,0)),IF(2=MAX($F70:$J70)+1,"取消",""))</f>
        <v>王师傅</v>
      </c>
      <c r="N70" s="0" t="str">
        <f aca="false">IFERROR(INDEX($A$1:$A$5,MATCH(3,$F70:$J70,0)),IF(3=MAX($F70:$J70)+1,"取消",""))</f>
        <v>陈师傅</v>
      </c>
      <c r="O70" s="0" t="str">
        <f aca="false">IFERROR(INDEX($A$1:$A$5,MATCH(4,$F70:$J70,0)),IF(4=MAX($F70:$J70)+1,"取消",""))</f>
        <v>刘师傅</v>
      </c>
      <c r="P70" s="0" t="str">
        <f aca="false">IFERROR(INDEX($A$1:$A$5,MATCH(5,$F70:$J70,0)),IF(5=MAX($F70:$J70)+1,"取消",""))</f>
        <v>取消</v>
      </c>
      <c r="Q70" s="0" t="str">
        <f aca="false">IFERROR(INDEX($A$1:$A$5,MATCH(6,$F70:$J70,0)),IF(6=MAX($F70:$J70)+1,"取消",""))</f>
        <v/>
      </c>
      <c r="S70" s="0" t="n">
        <f aca="false">IF(OR($A$1=入户维修!$F70,$A$1=入户维修!$G70,$BN$1=1),0,1-SUMPRODUCT(--(($A$1=入户维修!$F70)+($A$1=入户维修!$G70)+$BN$1&gt;0)))</f>
        <v>0</v>
      </c>
      <c r="T70" s="0" t="n">
        <f aca="false">IF(OR($A$2=入户维修!$F70,$A$2=入户维修!$G70,$BN$2=1),0,2-SUMPRODUCT(--(($A$1:$A$2=入户维修!$F70)+($A$1:$A$2=入户维修!$G70)+$BN$1:$BN$2&gt;0)))</f>
        <v>1</v>
      </c>
      <c r="U70" s="0" t="n">
        <f aca="false">IF(OR($A$3=入户维修!$F70,$A$3=入户维修!$G70,$BN$3=1),0,3-SUMPRODUCT(--(($A$1:$A$3=入户维修!$F70)+($A$1:$A$3=入户维修!$G70)+$BN$1:$BN$3&gt;0)))</f>
        <v>2</v>
      </c>
      <c r="V70" s="0" t="n">
        <f aca="false">IF(OR($A$4=入户维修!$F70,$A$4=入户维修!$G70,$BN$4=1),0,4-SUMPRODUCT(--(($A$1:$A$4=入户维修!$F70)+($A$1:$A$4=入户维修!$G70)+$BN$1:$BN$4&gt;0)))</f>
        <v>3</v>
      </c>
      <c r="W70" s="0" t="n">
        <f aca="false">IF(OR($A$5=入户维修!$F70,$A$5=入户维修!$G70,$BN$5=1),0,5-SUMPRODUCT(--(($A$1:$A$5=入户维修!$F70)+($A$1:$A$5=入户维修!$G70)+$BN$1:$BN$5&gt;0)))</f>
        <v>4</v>
      </c>
      <c r="Y70" s="0" t="str">
        <f aca="false">IFERROR(INDEX($A$1:$A$5,MATCH(1,$S70:$W70,0)),IF(1=MAX($S70:$W70)+1,"取消",""))</f>
        <v>李师傅</v>
      </c>
      <c r="Z70" s="0" t="str">
        <f aca="false">IFERROR(INDEX($A$1:$A$5,MATCH(2,$S70:$W70,0)),IF(2=MAX($S70:$W70)+1,"取消",""))</f>
        <v>王师傅</v>
      </c>
      <c r="AA70" s="0" t="str">
        <f aca="false">IFERROR(INDEX($A$1:$A$5,MATCH(3,$S70:$W70,0)),IF(3=MAX($S70:$W70)+1,"取消",""))</f>
        <v>陈师傅</v>
      </c>
      <c r="AB70" s="0" t="str">
        <f aca="false">IFERROR(INDEX($A$1:$A$5,MATCH(4,$S70:$W70,0)),IF(4=MAX($S70:$W70)+1,"取消",""))</f>
        <v>刘师傅</v>
      </c>
      <c r="AC70" s="0" t="str">
        <f aca="false">IFERROR(INDEX($A$1:$A$5,MATCH(5,$S70:$W70,0)),IF(5=MAX($S70:$W70)+1,"取消",""))</f>
        <v>取消</v>
      </c>
      <c r="AD70" s="0" t="str">
        <f aca="false">IFERROR(INDEX($A$1:$A$5,MATCH(6,$S70:$W70,0)),IF(6=MAX($S70:$W70)+1,"取消",""))</f>
        <v/>
      </c>
      <c r="AF70" s="0" t="n">
        <f aca="false">IF(OR($A$1=公区维修!$F70,$BN$1=1),0,1-SUMPRODUCT(--(($A$1=公区维修!$F70)+$BN$1&gt;0)))</f>
        <v>0</v>
      </c>
      <c r="AG70" s="0" t="n">
        <f aca="false">IF(OR($A$2=公区维修!$F70,$BN$2=1),0,2-SUMPRODUCT(--(($A$1:$A$2=公区维修!$F70)+$BN$1:$BN$2&gt;0)))</f>
        <v>1</v>
      </c>
      <c r="AH70" s="0" t="n">
        <f aca="false">IF(OR($A$3=公区维修!$F70,$BN$3=1),0,3-SUMPRODUCT(--(($A$1:$A$3=公区维修!$F70)+$BN$1:$BN$3&gt;0)))</f>
        <v>2</v>
      </c>
      <c r="AI70" s="0" t="n">
        <f aca="false">IF(OR($A$4=公区维修!$F70,$BN$4=1),0,4-SUMPRODUCT(--(($A$1:$A$4=公区维修!$F70)+$BN$1:$BN$4&gt;0)))</f>
        <v>3</v>
      </c>
      <c r="AJ70" s="0" t="n">
        <f aca="false">IF(OR($A$5=公区维修!$F70,$BN$5=1),0,5-SUMPRODUCT(--(($A$1:$A$5=公区维修!$F70)+$BN$1:$BN$5&gt;0)))</f>
        <v>4</v>
      </c>
      <c r="AL70" s="0" t="str">
        <f aca="false">IFERROR(INDEX($A$1:$A$5,MATCH(1,$AF70:$AJ70,0)),IF(1=MAX($AF70:$AJ70)+1,"取消",""))</f>
        <v>李师傅</v>
      </c>
      <c r="AM70" s="0" t="str">
        <f aca="false">IFERROR(INDEX($A$1:$A$5,MATCH(2,$AF70:$AJ70,0)),IF(2=MAX($AF70:$AJ70)+1,"取消",""))</f>
        <v>王师傅</v>
      </c>
      <c r="AN70" s="0" t="str">
        <f aca="false">IFERROR(INDEX($A$1:$A$5,MATCH(3,$AF70:$AJ70,0)),IF(3=MAX($AF70:$AJ70)+1,"取消",""))</f>
        <v>陈师傅</v>
      </c>
      <c r="AO70" s="0" t="str">
        <f aca="false">IFERROR(INDEX($A$1:$A$5,MATCH(4,$AF70:$AJ70,0)),IF(4=MAX($AF70:$AJ70)+1,"取消",""))</f>
        <v>刘师傅</v>
      </c>
      <c r="AP70" s="0" t="str">
        <f aca="false">IFERROR(INDEX($A$1:$A$5,MATCH(5,$AF70:$AJ70,0)),IF(5=MAX($AF70:$AJ70)+1,"取消",""))</f>
        <v>取消</v>
      </c>
      <c r="AQ70" s="0" t="str">
        <f aca="false">IFERROR(INDEX($A$1:$A$5,MATCH(6,$AF70:$AJ70,0)),IF(6=MAX($AF70:$AJ70)+1,"取消",""))</f>
        <v/>
      </c>
      <c r="AS70" s="0" t="n">
        <f aca="false">IF(OR($A$1=公区维修!$F70,$A$1=公区维修!$G70,$BN$1=1),0,1-SUMPRODUCT(--(($A$1=公区维修!$F70)+($A$1=公区维修!$G70)+$BN$1&gt;0)))</f>
        <v>0</v>
      </c>
      <c r="AT70" s="0" t="n">
        <f aca="false">IF(OR($A$2=公区维修!$F70,$A$2=公区维修!$G70,$BN$2=1),0,2-SUMPRODUCT(--(($A$1:$A$2=公区维修!$F70)+($A$1:$A$2=公区维修!$G70)+$BN$1:$BN$2&gt;0)))</f>
        <v>1</v>
      </c>
      <c r="AU70" s="0" t="n">
        <f aca="false">IF(OR($A$3=公区维修!$F70,$A$3=公区维修!$G70,$BN$3=1),0,3-SUMPRODUCT(--(($A$1:$A$3=公区维修!$F70)+($A$1:$A$3=公区维修!$G70)+$BN$1:$BN$3&gt;0)))</f>
        <v>2</v>
      </c>
      <c r="AV70" s="0" t="n">
        <f aca="false">IF(OR($A$4=公区维修!$F70,$A$4=公区维修!$G70,$BN$4=1),0,4-SUMPRODUCT(--(($A$1:$A$4=公区维修!$F70)+($A$1:$A$4=公区维修!$G70)+$BN$1:$BN$4&gt;0)))</f>
        <v>3</v>
      </c>
      <c r="AW70" s="0" t="n">
        <f aca="false">IF(OR($A$5=公区维修!$F70,$A$5=公区维修!$G70,$BN$5=1),0,5-SUMPRODUCT(--(($A$1:$A$5=公区维修!$F70)+($A$1:$A$5=公区维修!$G70)+$BN$1:$BN$5&gt;0)))</f>
        <v>4</v>
      </c>
      <c r="AY70" s="0" t="str">
        <f aca="false">IFERROR(INDEX($A$1:$A$5,MATCH(1,$AS70:$AW70,0)),IF(1=MAX($AS70:$AW70)+1,"取消",""))</f>
        <v>李师傅</v>
      </c>
      <c r="AZ70" s="0" t="str">
        <f aca="false">IFERROR(INDEX($A$1:$A$5,MATCH(2,$AS70:$AW70,0)),IF(2=MAX($AS70:$AW70)+1,"取消",""))</f>
        <v>王师傅</v>
      </c>
      <c r="BA70" s="0" t="str">
        <f aca="false">IFERROR(INDEX($A$1:$A$5,MATCH(3,$AS70:$AW70,0)),IF(3=MAX($AS70:$AW70)+1,"取消",""))</f>
        <v>陈师傅</v>
      </c>
      <c r="BB70" s="0" t="str">
        <f aca="false">IFERROR(INDEX($A$1:$A$5,MATCH(4,$AS70:$AW70,0)),IF(4=MAX($AS70:$AW70)+1,"取消",""))</f>
        <v>刘师傅</v>
      </c>
      <c r="BC70" s="0" t="str">
        <f aca="false">IFERROR(INDEX($A$1:$A$5,MATCH(5,$AS70:$AW70,0)),IF(5=MAX($AS70:$AW70)+1,"取消",""))</f>
        <v>取消</v>
      </c>
      <c r="BD70" s="0" t="str">
        <f aca="false">IFERROR(INDEX($A$1:$A$5,MATCH(6,$AS70:$AW70,0)),IF(6=MAX($AS70:$AW70)+1,"取消",""))</f>
        <v/>
      </c>
      <c r="FW70" s="0" t="str">
        <f aca="false">IF(AND(单元查询!$D$3&lt;&gt;"",IF(单元查询!$B$3="公区维修",公区维修!$E70&lt;&gt;"",入户维修!$E70&lt;&gt;""),IF(单元查询!$B$3="公区维修",公区维修!$C70,入户维修!$C70)=单元查询!$D$3,OR(单元查询!$F$3="",IF(单元查询!$B$3="公区维修",公区维修!$D70,入户维修!$D70)&amp;""=(单元查询!$F$3)&amp;"")),MAX($FW$4:$FW69)+1,"")</f>
        <v/>
      </c>
    </row>
    <row r="71" customFormat="false" ht="15" hidden="false" customHeight="true" outlineLevel="0" collapsed="false">
      <c r="F71" s="0" t="n">
        <f aca="false">IF(OR($A$1=入户维修!$F71,$BN$1=1),0,1-SUMPRODUCT(--(($A$1=入户维修!$F71)+$BN$1&gt;0)))</f>
        <v>0</v>
      </c>
      <c r="G71" s="0" t="n">
        <f aca="false">IF(OR($A$2=入户维修!$F71,$BN$2=1),0,2-SUMPRODUCT(--(($A$1:$A$2=入户维修!$F71)+$BN$1:$BN$2&gt;0)))</f>
        <v>1</v>
      </c>
      <c r="H71" s="0" t="n">
        <f aca="false">IF(OR($A$3=入户维修!$F71,$BN$3=1),0,3-SUMPRODUCT(--(($A$1:$A$3=入户维修!$F71)+$BN$1:$BN$3&gt;0)))</f>
        <v>2</v>
      </c>
      <c r="I71" s="0" t="n">
        <f aca="false">IF(OR($A$4=入户维修!$F71,$BN$4=1),0,4-SUMPRODUCT(--(($A$1:$A$4=入户维修!$F71)+$BN$1:$BN$4&gt;0)))</f>
        <v>3</v>
      </c>
      <c r="J71" s="0" t="n">
        <f aca="false">IF(OR($A$5=入户维修!$F71,$BN$5=1),0,5-SUMPRODUCT(--(($A$1:$A$5=入户维修!$F71)+$BN$1:$BN$5&gt;0)))</f>
        <v>4</v>
      </c>
      <c r="L71" s="0" t="str">
        <f aca="false">IFERROR(INDEX($A$1:$A$5,MATCH(1,$F71:$J71,0)),IF(1=MAX($F71:$J71)+1,"取消",""))</f>
        <v>李师傅</v>
      </c>
      <c r="M71" s="0" t="str">
        <f aca="false">IFERROR(INDEX($A$1:$A$5,MATCH(2,$F71:$J71,0)),IF(2=MAX($F71:$J71)+1,"取消",""))</f>
        <v>王师傅</v>
      </c>
      <c r="N71" s="0" t="str">
        <f aca="false">IFERROR(INDEX($A$1:$A$5,MATCH(3,$F71:$J71,0)),IF(3=MAX($F71:$J71)+1,"取消",""))</f>
        <v>陈师傅</v>
      </c>
      <c r="O71" s="0" t="str">
        <f aca="false">IFERROR(INDEX($A$1:$A$5,MATCH(4,$F71:$J71,0)),IF(4=MAX($F71:$J71)+1,"取消",""))</f>
        <v>刘师傅</v>
      </c>
      <c r="P71" s="0" t="str">
        <f aca="false">IFERROR(INDEX($A$1:$A$5,MATCH(5,$F71:$J71,0)),IF(5=MAX($F71:$J71)+1,"取消",""))</f>
        <v>取消</v>
      </c>
      <c r="Q71" s="0" t="str">
        <f aca="false">IFERROR(INDEX($A$1:$A$5,MATCH(6,$F71:$J71,0)),IF(6=MAX($F71:$J71)+1,"取消",""))</f>
        <v/>
      </c>
      <c r="S71" s="0" t="n">
        <f aca="false">IF(OR($A$1=入户维修!$F71,$A$1=入户维修!$G71,$BN$1=1),0,1-SUMPRODUCT(--(($A$1=入户维修!$F71)+($A$1=入户维修!$G71)+$BN$1&gt;0)))</f>
        <v>0</v>
      </c>
      <c r="T71" s="0" t="n">
        <f aca="false">IF(OR($A$2=入户维修!$F71,$A$2=入户维修!$G71,$BN$2=1),0,2-SUMPRODUCT(--(($A$1:$A$2=入户维修!$F71)+($A$1:$A$2=入户维修!$G71)+$BN$1:$BN$2&gt;0)))</f>
        <v>1</v>
      </c>
      <c r="U71" s="0" t="n">
        <f aca="false">IF(OR($A$3=入户维修!$F71,$A$3=入户维修!$G71,$BN$3=1),0,3-SUMPRODUCT(--(($A$1:$A$3=入户维修!$F71)+($A$1:$A$3=入户维修!$G71)+$BN$1:$BN$3&gt;0)))</f>
        <v>2</v>
      </c>
      <c r="V71" s="0" t="n">
        <f aca="false">IF(OR($A$4=入户维修!$F71,$A$4=入户维修!$G71,$BN$4=1),0,4-SUMPRODUCT(--(($A$1:$A$4=入户维修!$F71)+($A$1:$A$4=入户维修!$G71)+$BN$1:$BN$4&gt;0)))</f>
        <v>3</v>
      </c>
      <c r="W71" s="0" t="n">
        <f aca="false">IF(OR($A$5=入户维修!$F71,$A$5=入户维修!$G71,$BN$5=1),0,5-SUMPRODUCT(--(($A$1:$A$5=入户维修!$F71)+($A$1:$A$5=入户维修!$G71)+$BN$1:$BN$5&gt;0)))</f>
        <v>4</v>
      </c>
      <c r="Y71" s="0" t="str">
        <f aca="false">IFERROR(INDEX($A$1:$A$5,MATCH(1,$S71:$W71,0)),IF(1=MAX($S71:$W71)+1,"取消",""))</f>
        <v>李师傅</v>
      </c>
      <c r="Z71" s="0" t="str">
        <f aca="false">IFERROR(INDEX($A$1:$A$5,MATCH(2,$S71:$W71,0)),IF(2=MAX($S71:$W71)+1,"取消",""))</f>
        <v>王师傅</v>
      </c>
      <c r="AA71" s="0" t="str">
        <f aca="false">IFERROR(INDEX($A$1:$A$5,MATCH(3,$S71:$W71,0)),IF(3=MAX($S71:$W71)+1,"取消",""))</f>
        <v>陈师傅</v>
      </c>
      <c r="AB71" s="0" t="str">
        <f aca="false">IFERROR(INDEX($A$1:$A$5,MATCH(4,$S71:$W71,0)),IF(4=MAX($S71:$W71)+1,"取消",""))</f>
        <v>刘师傅</v>
      </c>
      <c r="AC71" s="0" t="str">
        <f aca="false">IFERROR(INDEX($A$1:$A$5,MATCH(5,$S71:$W71,0)),IF(5=MAX($S71:$W71)+1,"取消",""))</f>
        <v>取消</v>
      </c>
      <c r="AD71" s="0" t="str">
        <f aca="false">IFERROR(INDEX($A$1:$A$5,MATCH(6,$S71:$W71,0)),IF(6=MAX($S71:$W71)+1,"取消",""))</f>
        <v/>
      </c>
      <c r="AF71" s="0" t="n">
        <f aca="false">IF(OR($A$1=公区维修!$F71,$BN$1=1),0,1-SUMPRODUCT(--(($A$1=公区维修!$F71)+$BN$1&gt;0)))</f>
        <v>0</v>
      </c>
      <c r="AG71" s="0" t="n">
        <f aca="false">IF(OR($A$2=公区维修!$F71,$BN$2=1),0,2-SUMPRODUCT(--(($A$1:$A$2=公区维修!$F71)+$BN$1:$BN$2&gt;0)))</f>
        <v>1</v>
      </c>
      <c r="AH71" s="0" t="n">
        <f aca="false">IF(OR($A$3=公区维修!$F71,$BN$3=1),0,3-SUMPRODUCT(--(($A$1:$A$3=公区维修!$F71)+$BN$1:$BN$3&gt;0)))</f>
        <v>2</v>
      </c>
      <c r="AI71" s="0" t="n">
        <f aca="false">IF(OR($A$4=公区维修!$F71,$BN$4=1),0,4-SUMPRODUCT(--(($A$1:$A$4=公区维修!$F71)+$BN$1:$BN$4&gt;0)))</f>
        <v>3</v>
      </c>
      <c r="AJ71" s="0" t="n">
        <f aca="false">IF(OR($A$5=公区维修!$F71,$BN$5=1),0,5-SUMPRODUCT(--(($A$1:$A$5=公区维修!$F71)+$BN$1:$BN$5&gt;0)))</f>
        <v>4</v>
      </c>
      <c r="AL71" s="0" t="str">
        <f aca="false">IFERROR(INDEX($A$1:$A$5,MATCH(1,$AF71:$AJ71,0)),IF(1=MAX($AF71:$AJ71)+1,"取消",""))</f>
        <v>李师傅</v>
      </c>
      <c r="AM71" s="0" t="str">
        <f aca="false">IFERROR(INDEX($A$1:$A$5,MATCH(2,$AF71:$AJ71,0)),IF(2=MAX($AF71:$AJ71)+1,"取消",""))</f>
        <v>王师傅</v>
      </c>
      <c r="AN71" s="0" t="str">
        <f aca="false">IFERROR(INDEX($A$1:$A$5,MATCH(3,$AF71:$AJ71,0)),IF(3=MAX($AF71:$AJ71)+1,"取消",""))</f>
        <v>陈师傅</v>
      </c>
      <c r="AO71" s="0" t="str">
        <f aca="false">IFERROR(INDEX($A$1:$A$5,MATCH(4,$AF71:$AJ71,0)),IF(4=MAX($AF71:$AJ71)+1,"取消",""))</f>
        <v>刘师傅</v>
      </c>
      <c r="AP71" s="0" t="str">
        <f aca="false">IFERROR(INDEX($A$1:$A$5,MATCH(5,$AF71:$AJ71,0)),IF(5=MAX($AF71:$AJ71)+1,"取消",""))</f>
        <v>取消</v>
      </c>
      <c r="AQ71" s="0" t="str">
        <f aca="false">IFERROR(INDEX($A$1:$A$5,MATCH(6,$AF71:$AJ71,0)),IF(6=MAX($AF71:$AJ71)+1,"取消",""))</f>
        <v/>
      </c>
      <c r="AS71" s="0" t="n">
        <f aca="false">IF(OR($A$1=公区维修!$F71,$A$1=公区维修!$G71,$BN$1=1),0,1-SUMPRODUCT(--(($A$1=公区维修!$F71)+($A$1=公区维修!$G71)+$BN$1&gt;0)))</f>
        <v>0</v>
      </c>
      <c r="AT71" s="0" t="n">
        <f aca="false">IF(OR($A$2=公区维修!$F71,$A$2=公区维修!$G71,$BN$2=1),0,2-SUMPRODUCT(--(($A$1:$A$2=公区维修!$F71)+($A$1:$A$2=公区维修!$G71)+$BN$1:$BN$2&gt;0)))</f>
        <v>1</v>
      </c>
      <c r="AU71" s="0" t="n">
        <f aca="false">IF(OR($A$3=公区维修!$F71,$A$3=公区维修!$G71,$BN$3=1),0,3-SUMPRODUCT(--(($A$1:$A$3=公区维修!$F71)+($A$1:$A$3=公区维修!$G71)+$BN$1:$BN$3&gt;0)))</f>
        <v>2</v>
      </c>
      <c r="AV71" s="0" t="n">
        <f aca="false">IF(OR($A$4=公区维修!$F71,$A$4=公区维修!$G71,$BN$4=1),0,4-SUMPRODUCT(--(($A$1:$A$4=公区维修!$F71)+($A$1:$A$4=公区维修!$G71)+$BN$1:$BN$4&gt;0)))</f>
        <v>3</v>
      </c>
      <c r="AW71" s="0" t="n">
        <f aca="false">IF(OR($A$5=公区维修!$F71,$A$5=公区维修!$G71,$BN$5=1),0,5-SUMPRODUCT(--(($A$1:$A$5=公区维修!$F71)+($A$1:$A$5=公区维修!$G71)+$BN$1:$BN$5&gt;0)))</f>
        <v>4</v>
      </c>
      <c r="AY71" s="0" t="str">
        <f aca="false">IFERROR(INDEX($A$1:$A$5,MATCH(1,$AS71:$AW71,0)),IF(1=MAX($AS71:$AW71)+1,"取消",""))</f>
        <v>李师傅</v>
      </c>
      <c r="AZ71" s="0" t="str">
        <f aca="false">IFERROR(INDEX($A$1:$A$5,MATCH(2,$AS71:$AW71,0)),IF(2=MAX($AS71:$AW71)+1,"取消",""))</f>
        <v>王师傅</v>
      </c>
      <c r="BA71" s="0" t="str">
        <f aca="false">IFERROR(INDEX($A$1:$A$5,MATCH(3,$AS71:$AW71,0)),IF(3=MAX($AS71:$AW71)+1,"取消",""))</f>
        <v>陈师傅</v>
      </c>
      <c r="BB71" s="0" t="str">
        <f aca="false">IFERROR(INDEX($A$1:$A$5,MATCH(4,$AS71:$AW71,0)),IF(4=MAX($AS71:$AW71)+1,"取消",""))</f>
        <v>刘师傅</v>
      </c>
      <c r="BC71" s="0" t="str">
        <f aca="false">IFERROR(INDEX($A$1:$A$5,MATCH(5,$AS71:$AW71,0)),IF(5=MAX($AS71:$AW71)+1,"取消",""))</f>
        <v>取消</v>
      </c>
      <c r="BD71" s="0" t="str">
        <f aca="false">IFERROR(INDEX($A$1:$A$5,MATCH(6,$AS71:$AW71,0)),IF(6=MAX($AS71:$AW71)+1,"取消",""))</f>
        <v/>
      </c>
      <c r="FW71" s="0" t="n">
        <f aca="false">IF(AND(单元查询!$D$3&lt;&gt;"",IF(单元查询!$B$3="公区维修",公区维修!$E71&lt;&gt;"",入户维修!$E71&lt;&gt;""),IF(单元查询!$B$3="公区维修",公区维修!$C71,入户维修!$C71)=单元查询!$D$3,OR(单元查询!$F$3="",IF(单元查询!$B$3="公区维修",公区维修!$D71,入户维修!$D71)&amp;""=(单元查询!$F$3)&amp;"")),MAX($FW$4:$FW70)+1,"")</f>
        <v>12</v>
      </c>
    </row>
    <row r="72" customFormat="false" ht="15" hidden="false" customHeight="true" outlineLevel="0" collapsed="false">
      <c r="F72" s="0" t="n">
        <f aca="false">IF(OR($A$1=入户维修!$F72,$BN$1=1),0,1-SUMPRODUCT(--(($A$1=入户维修!$F72)+$BN$1&gt;0)))</f>
        <v>0</v>
      </c>
      <c r="G72" s="0" t="n">
        <f aca="false">IF(OR($A$2=入户维修!$F72,$BN$2=1),0,2-SUMPRODUCT(--(($A$1:$A$2=入户维修!$F72)+$BN$1:$BN$2&gt;0)))</f>
        <v>1</v>
      </c>
      <c r="H72" s="0" t="n">
        <f aca="false">IF(OR($A$3=入户维修!$F72,$BN$3=1),0,3-SUMPRODUCT(--(($A$1:$A$3=入户维修!$F72)+$BN$1:$BN$3&gt;0)))</f>
        <v>2</v>
      </c>
      <c r="I72" s="0" t="n">
        <f aca="false">IF(OR($A$4=入户维修!$F72,$BN$4=1),0,4-SUMPRODUCT(--(($A$1:$A$4=入户维修!$F72)+$BN$1:$BN$4&gt;0)))</f>
        <v>3</v>
      </c>
      <c r="J72" s="0" t="n">
        <f aca="false">IF(OR($A$5=入户维修!$F72,$BN$5=1),0,5-SUMPRODUCT(--(($A$1:$A$5=入户维修!$F72)+$BN$1:$BN$5&gt;0)))</f>
        <v>4</v>
      </c>
      <c r="L72" s="0" t="str">
        <f aca="false">IFERROR(INDEX($A$1:$A$5,MATCH(1,$F72:$J72,0)),IF(1=MAX($F72:$J72)+1,"取消",""))</f>
        <v>李师傅</v>
      </c>
      <c r="M72" s="0" t="str">
        <f aca="false">IFERROR(INDEX($A$1:$A$5,MATCH(2,$F72:$J72,0)),IF(2=MAX($F72:$J72)+1,"取消",""))</f>
        <v>王师傅</v>
      </c>
      <c r="N72" s="0" t="str">
        <f aca="false">IFERROR(INDEX($A$1:$A$5,MATCH(3,$F72:$J72,0)),IF(3=MAX($F72:$J72)+1,"取消",""))</f>
        <v>陈师傅</v>
      </c>
      <c r="O72" s="0" t="str">
        <f aca="false">IFERROR(INDEX($A$1:$A$5,MATCH(4,$F72:$J72,0)),IF(4=MAX($F72:$J72)+1,"取消",""))</f>
        <v>刘师傅</v>
      </c>
      <c r="P72" s="0" t="str">
        <f aca="false">IFERROR(INDEX($A$1:$A$5,MATCH(5,$F72:$J72,0)),IF(5=MAX($F72:$J72)+1,"取消",""))</f>
        <v>取消</v>
      </c>
      <c r="Q72" s="0" t="str">
        <f aca="false">IFERROR(INDEX($A$1:$A$5,MATCH(6,$F72:$J72,0)),IF(6=MAX($F72:$J72)+1,"取消",""))</f>
        <v/>
      </c>
      <c r="S72" s="0" t="n">
        <f aca="false">IF(OR($A$1=入户维修!$F72,$A$1=入户维修!$G72,$BN$1=1),0,1-SUMPRODUCT(--(($A$1=入户维修!$F72)+($A$1=入户维修!$G72)+$BN$1&gt;0)))</f>
        <v>0</v>
      </c>
      <c r="T72" s="0" t="n">
        <f aca="false">IF(OR($A$2=入户维修!$F72,$A$2=入户维修!$G72,$BN$2=1),0,2-SUMPRODUCT(--(($A$1:$A$2=入户维修!$F72)+($A$1:$A$2=入户维修!$G72)+$BN$1:$BN$2&gt;0)))</f>
        <v>1</v>
      </c>
      <c r="U72" s="0" t="n">
        <f aca="false">IF(OR($A$3=入户维修!$F72,$A$3=入户维修!$G72,$BN$3=1),0,3-SUMPRODUCT(--(($A$1:$A$3=入户维修!$F72)+($A$1:$A$3=入户维修!$G72)+$BN$1:$BN$3&gt;0)))</f>
        <v>2</v>
      </c>
      <c r="V72" s="0" t="n">
        <f aca="false">IF(OR($A$4=入户维修!$F72,$A$4=入户维修!$G72,$BN$4=1),0,4-SUMPRODUCT(--(($A$1:$A$4=入户维修!$F72)+($A$1:$A$4=入户维修!$G72)+$BN$1:$BN$4&gt;0)))</f>
        <v>3</v>
      </c>
      <c r="W72" s="0" t="n">
        <f aca="false">IF(OR($A$5=入户维修!$F72,$A$5=入户维修!$G72,$BN$5=1),0,5-SUMPRODUCT(--(($A$1:$A$5=入户维修!$F72)+($A$1:$A$5=入户维修!$G72)+$BN$1:$BN$5&gt;0)))</f>
        <v>4</v>
      </c>
      <c r="Y72" s="0" t="str">
        <f aca="false">IFERROR(INDEX($A$1:$A$5,MATCH(1,$S72:$W72,0)),IF(1=MAX($S72:$W72)+1,"取消",""))</f>
        <v>李师傅</v>
      </c>
      <c r="Z72" s="0" t="str">
        <f aca="false">IFERROR(INDEX($A$1:$A$5,MATCH(2,$S72:$W72,0)),IF(2=MAX($S72:$W72)+1,"取消",""))</f>
        <v>王师傅</v>
      </c>
      <c r="AA72" s="0" t="str">
        <f aca="false">IFERROR(INDEX($A$1:$A$5,MATCH(3,$S72:$W72,0)),IF(3=MAX($S72:$W72)+1,"取消",""))</f>
        <v>陈师傅</v>
      </c>
      <c r="AB72" s="0" t="str">
        <f aca="false">IFERROR(INDEX($A$1:$A$5,MATCH(4,$S72:$W72,0)),IF(4=MAX($S72:$W72)+1,"取消",""))</f>
        <v>刘师傅</v>
      </c>
      <c r="AC72" s="0" t="str">
        <f aca="false">IFERROR(INDEX($A$1:$A$5,MATCH(5,$S72:$W72,0)),IF(5=MAX($S72:$W72)+1,"取消",""))</f>
        <v>取消</v>
      </c>
      <c r="AD72" s="0" t="str">
        <f aca="false">IFERROR(INDEX($A$1:$A$5,MATCH(6,$S72:$W72,0)),IF(6=MAX($S72:$W72)+1,"取消",""))</f>
        <v/>
      </c>
      <c r="AF72" s="0" t="n">
        <f aca="false">IF(OR($A$1=公区维修!$F72,$BN$1=1),0,1-SUMPRODUCT(--(($A$1=公区维修!$F72)+$BN$1&gt;0)))</f>
        <v>0</v>
      </c>
      <c r="AG72" s="0" t="n">
        <f aca="false">IF(OR($A$2=公区维修!$F72,$BN$2=1),0,2-SUMPRODUCT(--(($A$1:$A$2=公区维修!$F72)+$BN$1:$BN$2&gt;0)))</f>
        <v>1</v>
      </c>
      <c r="AH72" s="0" t="n">
        <f aca="false">IF(OR($A$3=公区维修!$F72,$BN$3=1),0,3-SUMPRODUCT(--(($A$1:$A$3=公区维修!$F72)+$BN$1:$BN$3&gt;0)))</f>
        <v>2</v>
      </c>
      <c r="AI72" s="0" t="n">
        <f aca="false">IF(OR($A$4=公区维修!$F72,$BN$4=1),0,4-SUMPRODUCT(--(($A$1:$A$4=公区维修!$F72)+$BN$1:$BN$4&gt;0)))</f>
        <v>3</v>
      </c>
      <c r="AJ72" s="0" t="n">
        <f aca="false">IF(OR($A$5=公区维修!$F72,$BN$5=1),0,5-SUMPRODUCT(--(($A$1:$A$5=公区维修!$F72)+$BN$1:$BN$5&gt;0)))</f>
        <v>4</v>
      </c>
      <c r="AL72" s="0" t="str">
        <f aca="false">IFERROR(INDEX($A$1:$A$5,MATCH(1,$AF72:$AJ72,0)),IF(1=MAX($AF72:$AJ72)+1,"取消",""))</f>
        <v>李师傅</v>
      </c>
      <c r="AM72" s="0" t="str">
        <f aca="false">IFERROR(INDEX($A$1:$A$5,MATCH(2,$AF72:$AJ72,0)),IF(2=MAX($AF72:$AJ72)+1,"取消",""))</f>
        <v>王师傅</v>
      </c>
      <c r="AN72" s="0" t="str">
        <f aca="false">IFERROR(INDEX($A$1:$A$5,MATCH(3,$AF72:$AJ72,0)),IF(3=MAX($AF72:$AJ72)+1,"取消",""))</f>
        <v>陈师傅</v>
      </c>
      <c r="AO72" s="0" t="str">
        <f aca="false">IFERROR(INDEX($A$1:$A$5,MATCH(4,$AF72:$AJ72,0)),IF(4=MAX($AF72:$AJ72)+1,"取消",""))</f>
        <v>刘师傅</v>
      </c>
      <c r="AP72" s="0" t="str">
        <f aca="false">IFERROR(INDEX($A$1:$A$5,MATCH(5,$AF72:$AJ72,0)),IF(5=MAX($AF72:$AJ72)+1,"取消",""))</f>
        <v>取消</v>
      </c>
      <c r="AQ72" s="0" t="str">
        <f aca="false">IFERROR(INDEX($A$1:$A$5,MATCH(6,$AF72:$AJ72,0)),IF(6=MAX($AF72:$AJ72)+1,"取消",""))</f>
        <v/>
      </c>
      <c r="AS72" s="0" t="n">
        <f aca="false">IF(OR($A$1=公区维修!$F72,$A$1=公区维修!$G72,$BN$1=1),0,1-SUMPRODUCT(--(($A$1=公区维修!$F72)+($A$1=公区维修!$G72)+$BN$1&gt;0)))</f>
        <v>0</v>
      </c>
      <c r="AT72" s="0" t="n">
        <f aca="false">IF(OR($A$2=公区维修!$F72,$A$2=公区维修!$G72,$BN$2=1),0,2-SUMPRODUCT(--(($A$1:$A$2=公区维修!$F72)+($A$1:$A$2=公区维修!$G72)+$BN$1:$BN$2&gt;0)))</f>
        <v>1</v>
      </c>
      <c r="AU72" s="0" t="n">
        <f aca="false">IF(OR($A$3=公区维修!$F72,$A$3=公区维修!$G72,$BN$3=1),0,3-SUMPRODUCT(--(($A$1:$A$3=公区维修!$F72)+($A$1:$A$3=公区维修!$G72)+$BN$1:$BN$3&gt;0)))</f>
        <v>2</v>
      </c>
      <c r="AV72" s="0" t="n">
        <f aca="false">IF(OR($A$4=公区维修!$F72,$A$4=公区维修!$G72,$BN$4=1),0,4-SUMPRODUCT(--(($A$1:$A$4=公区维修!$F72)+($A$1:$A$4=公区维修!$G72)+$BN$1:$BN$4&gt;0)))</f>
        <v>3</v>
      </c>
      <c r="AW72" s="0" t="n">
        <f aca="false">IF(OR($A$5=公区维修!$F72,$A$5=公区维修!$G72,$BN$5=1),0,5-SUMPRODUCT(--(($A$1:$A$5=公区维修!$F72)+($A$1:$A$5=公区维修!$G72)+$BN$1:$BN$5&gt;0)))</f>
        <v>4</v>
      </c>
      <c r="AY72" s="0" t="str">
        <f aca="false">IFERROR(INDEX($A$1:$A$5,MATCH(1,$AS72:$AW72,0)),IF(1=MAX($AS72:$AW72)+1,"取消",""))</f>
        <v>李师傅</v>
      </c>
      <c r="AZ72" s="0" t="str">
        <f aca="false">IFERROR(INDEX($A$1:$A$5,MATCH(2,$AS72:$AW72,0)),IF(2=MAX($AS72:$AW72)+1,"取消",""))</f>
        <v>王师傅</v>
      </c>
      <c r="BA72" s="0" t="str">
        <f aca="false">IFERROR(INDEX($A$1:$A$5,MATCH(3,$AS72:$AW72,0)),IF(3=MAX($AS72:$AW72)+1,"取消",""))</f>
        <v>陈师傅</v>
      </c>
      <c r="BB72" s="0" t="str">
        <f aca="false">IFERROR(INDEX($A$1:$A$5,MATCH(4,$AS72:$AW72,0)),IF(4=MAX($AS72:$AW72)+1,"取消",""))</f>
        <v>刘师傅</v>
      </c>
      <c r="BC72" s="0" t="str">
        <f aca="false">IFERROR(INDEX($A$1:$A$5,MATCH(5,$AS72:$AW72,0)),IF(5=MAX($AS72:$AW72)+1,"取消",""))</f>
        <v>取消</v>
      </c>
      <c r="BD72" s="0" t="str">
        <f aca="false">IFERROR(INDEX($A$1:$A$5,MATCH(6,$AS72:$AW72,0)),IF(6=MAX($AS72:$AW72)+1,"取消",""))</f>
        <v/>
      </c>
      <c r="FW72" s="0" t="str">
        <f aca="false">IF(AND(单元查询!$D$3&lt;&gt;"",IF(单元查询!$B$3="公区维修",公区维修!$E72&lt;&gt;"",入户维修!$E72&lt;&gt;""),IF(单元查询!$B$3="公区维修",公区维修!$C72,入户维修!$C72)=单元查询!$D$3,OR(单元查询!$F$3="",IF(单元查询!$B$3="公区维修",公区维修!$D72,入户维修!$D72)&amp;""=(单元查询!$F$3)&amp;"")),MAX($FW$4:$FW71)+1,"")</f>
        <v/>
      </c>
    </row>
    <row r="73" customFormat="false" ht="15" hidden="false" customHeight="true" outlineLevel="0" collapsed="false">
      <c r="F73" s="0" t="n">
        <f aca="false">IF(OR($A$1=入户维修!$F73,$BN$1=1),0,1-SUMPRODUCT(--(($A$1=入户维修!$F73)+$BN$1&gt;0)))</f>
        <v>0</v>
      </c>
      <c r="G73" s="0" t="n">
        <f aca="false">IF(OR($A$2=入户维修!$F73,$BN$2=1),0,2-SUMPRODUCT(--(($A$1:$A$2=入户维修!$F73)+$BN$1:$BN$2&gt;0)))</f>
        <v>1</v>
      </c>
      <c r="H73" s="0" t="n">
        <f aca="false">IF(OR($A$3=入户维修!$F73,$BN$3=1),0,3-SUMPRODUCT(--(($A$1:$A$3=入户维修!$F73)+$BN$1:$BN$3&gt;0)))</f>
        <v>2</v>
      </c>
      <c r="I73" s="0" t="n">
        <f aca="false">IF(OR($A$4=入户维修!$F73,$BN$4=1),0,4-SUMPRODUCT(--(($A$1:$A$4=入户维修!$F73)+$BN$1:$BN$4&gt;0)))</f>
        <v>3</v>
      </c>
      <c r="J73" s="0" t="n">
        <f aca="false">IF(OR($A$5=入户维修!$F73,$BN$5=1),0,5-SUMPRODUCT(--(($A$1:$A$5=入户维修!$F73)+$BN$1:$BN$5&gt;0)))</f>
        <v>4</v>
      </c>
      <c r="L73" s="0" t="str">
        <f aca="false">IFERROR(INDEX($A$1:$A$5,MATCH(1,$F73:$J73,0)),IF(1=MAX($F73:$J73)+1,"取消",""))</f>
        <v>李师傅</v>
      </c>
      <c r="M73" s="0" t="str">
        <f aca="false">IFERROR(INDEX($A$1:$A$5,MATCH(2,$F73:$J73,0)),IF(2=MAX($F73:$J73)+1,"取消",""))</f>
        <v>王师傅</v>
      </c>
      <c r="N73" s="0" t="str">
        <f aca="false">IFERROR(INDEX($A$1:$A$5,MATCH(3,$F73:$J73,0)),IF(3=MAX($F73:$J73)+1,"取消",""))</f>
        <v>陈师傅</v>
      </c>
      <c r="O73" s="0" t="str">
        <f aca="false">IFERROR(INDEX($A$1:$A$5,MATCH(4,$F73:$J73,0)),IF(4=MAX($F73:$J73)+1,"取消",""))</f>
        <v>刘师傅</v>
      </c>
      <c r="P73" s="0" t="str">
        <f aca="false">IFERROR(INDEX($A$1:$A$5,MATCH(5,$F73:$J73,0)),IF(5=MAX($F73:$J73)+1,"取消",""))</f>
        <v>取消</v>
      </c>
      <c r="Q73" s="0" t="str">
        <f aca="false">IFERROR(INDEX($A$1:$A$5,MATCH(6,$F73:$J73,0)),IF(6=MAX($F73:$J73)+1,"取消",""))</f>
        <v/>
      </c>
      <c r="S73" s="0" t="n">
        <f aca="false">IF(OR($A$1=入户维修!$F73,$A$1=入户维修!$G73,$BN$1=1),0,1-SUMPRODUCT(--(($A$1=入户维修!$F73)+($A$1=入户维修!$G73)+$BN$1&gt;0)))</f>
        <v>0</v>
      </c>
      <c r="T73" s="0" t="n">
        <f aca="false">IF(OR($A$2=入户维修!$F73,$A$2=入户维修!$G73,$BN$2=1),0,2-SUMPRODUCT(--(($A$1:$A$2=入户维修!$F73)+($A$1:$A$2=入户维修!$G73)+$BN$1:$BN$2&gt;0)))</f>
        <v>1</v>
      </c>
      <c r="U73" s="0" t="n">
        <f aca="false">IF(OR($A$3=入户维修!$F73,$A$3=入户维修!$G73,$BN$3=1),0,3-SUMPRODUCT(--(($A$1:$A$3=入户维修!$F73)+($A$1:$A$3=入户维修!$G73)+$BN$1:$BN$3&gt;0)))</f>
        <v>2</v>
      </c>
      <c r="V73" s="0" t="n">
        <f aca="false">IF(OR($A$4=入户维修!$F73,$A$4=入户维修!$G73,$BN$4=1),0,4-SUMPRODUCT(--(($A$1:$A$4=入户维修!$F73)+($A$1:$A$4=入户维修!$G73)+$BN$1:$BN$4&gt;0)))</f>
        <v>3</v>
      </c>
      <c r="W73" s="0" t="n">
        <f aca="false">IF(OR($A$5=入户维修!$F73,$A$5=入户维修!$G73,$BN$5=1),0,5-SUMPRODUCT(--(($A$1:$A$5=入户维修!$F73)+($A$1:$A$5=入户维修!$G73)+$BN$1:$BN$5&gt;0)))</f>
        <v>4</v>
      </c>
      <c r="Y73" s="0" t="str">
        <f aca="false">IFERROR(INDEX($A$1:$A$5,MATCH(1,$S73:$W73,0)),IF(1=MAX($S73:$W73)+1,"取消",""))</f>
        <v>李师傅</v>
      </c>
      <c r="Z73" s="0" t="str">
        <f aca="false">IFERROR(INDEX($A$1:$A$5,MATCH(2,$S73:$W73,0)),IF(2=MAX($S73:$W73)+1,"取消",""))</f>
        <v>王师傅</v>
      </c>
      <c r="AA73" s="0" t="str">
        <f aca="false">IFERROR(INDEX($A$1:$A$5,MATCH(3,$S73:$W73,0)),IF(3=MAX($S73:$W73)+1,"取消",""))</f>
        <v>陈师傅</v>
      </c>
      <c r="AB73" s="0" t="str">
        <f aca="false">IFERROR(INDEX($A$1:$A$5,MATCH(4,$S73:$W73,0)),IF(4=MAX($S73:$W73)+1,"取消",""))</f>
        <v>刘师傅</v>
      </c>
      <c r="AC73" s="0" t="str">
        <f aca="false">IFERROR(INDEX($A$1:$A$5,MATCH(5,$S73:$W73,0)),IF(5=MAX($S73:$W73)+1,"取消",""))</f>
        <v>取消</v>
      </c>
      <c r="AD73" s="0" t="str">
        <f aca="false">IFERROR(INDEX($A$1:$A$5,MATCH(6,$S73:$W73,0)),IF(6=MAX($S73:$W73)+1,"取消",""))</f>
        <v/>
      </c>
      <c r="AF73" s="0" t="n">
        <f aca="false">IF(OR($A$1=公区维修!$F73,$BN$1=1),0,1-SUMPRODUCT(--(($A$1=公区维修!$F73)+$BN$1&gt;0)))</f>
        <v>0</v>
      </c>
      <c r="AG73" s="0" t="n">
        <f aca="false">IF(OR($A$2=公区维修!$F73,$BN$2=1),0,2-SUMPRODUCT(--(($A$1:$A$2=公区维修!$F73)+$BN$1:$BN$2&gt;0)))</f>
        <v>1</v>
      </c>
      <c r="AH73" s="0" t="n">
        <f aca="false">IF(OR($A$3=公区维修!$F73,$BN$3=1),0,3-SUMPRODUCT(--(($A$1:$A$3=公区维修!$F73)+$BN$1:$BN$3&gt;0)))</f>
        <v>2</v>
      </c>
      <c r="AI73" s="0" t="n">
        <f aca="false">IF(OR($A$4=公区维修!$F73,$BN$4=1),0,4-SUMPRODUCT(--(($A$1:$A$4=公区维修!$F73)+$BN$1:$BN$4&gt;0)))</f>
        <v>3</v>
      </c>
      <c r="AJ73" s="0" t="n">
        <f aca="false">IF(OR($A$5=公区维修!$F73,$BN$5=1),0,5-SUMPRODUCT(--(($A$1:$A$5=公区维修!$F73)+$BN$1:$BN$5&gt;0)))</f>
        <v>4</v>
      </c>
      <c r="AL73" s="0" t="str">
        <f aca="false">IFERROR(INDEX($A$1:$A$5,MATCH(1,$AF73:$AJ73,0)),IF(1=MAX($AF73:$AJ73)+1,"取消",""))</f>
        <v>李师傅</v>
      </c>
      <c r="AM73" s="0" t="str">
        <f aca="false">IFERROR(INDEX($A$1:$A$5,MATCH(2,$AF73:$AJ73,0)),IF(2=MAX($AF73:$AJ73)+1,"取消",""))</f>
        <v>王师傅</v>
      </c>
      <c r="AN73" s="0" t="str">
        <f aca="false">IFERROR(INDEX($A$1:$A$5,MATCH(3,$AF73:$AJ73,0)),IF(3=MAX($AF73:$AJ73)+1,"取消",""))</f>
        <v>陈师傅</v>
      </c>
      <c r="AO73" s="0" t="str">
        <f aca="false">IFERROR(INDEX($A$1:$A$5,MATCH(4,$AF73:$AJ73,0)),IF(4=MAX($AF73:$AJ73)+1,"取消",""))</f>
        <v>刘师傅</v>
      </c>
      <c r="AP73" s="0" t="str">
        <f aca="false">IFERROR(INDEX($A$1:$A$5,MATCH(5,$AF73:$AJ73,0)),IF(5=MAX($AF73:$AJ73)+1,"取消",""))</f>
        <v>取消</v>
      </c>
      <c r="AQ73" s="0" t="str">
        <f aca="false">IFERROR(INDEX($A$1:$A$5,MATCH(6,$AF73:$AJ73,0)),IF(6=MAX($AF73:$AJ73)+1,"取消",""))</f>
        <v/>
      </c>
      <c r="AS73" s="0" t="n">
        <f aca="false">IF(OR($A$1=公区维修!$F73,$A$1=公区维修!$G73,$BN$1=1),0,1-SUMPRODUCT(--(($A$1=公区维修!$F73)+($A$1=公区维修!$G73)+$BN$1&gt;0)))</f>
        <v>0</v>
      </c>
      <c r="AT73" s="0" t="n">
        <f aca="false">IF(OR($A$2=公区维修!$F73,$A$2=公区维修!$G73,$BN$2=1),0,2-SUMPRODUCT(--(($A$1:$A$2=公区维修!$F73)+($A$1:$A$2=公区维修!$G73)+$BN$1:$BN$2&gt;0)))</f>
        <v>1</v>
      </c>
      <c r="AU73" s="0" t="n">
        <f aca="false">IF(OR($A$3=公区维修!$F73,$A$3=公区维修!$G73,$BN$3=1),0,3-SUMPRODUCT(--(($A$1:$A$3=公区维修!$F73)+($A$1:$A$3=公区维修!$G73)+$BN$1:$BN$3&gt;0)))</f>
        <v>2</v>
      </c>
      <c r="AV73" s="0" t="n">
        <f aca="false">IF(OR($A$4=公区维修!$F73,$A$4=公区维修!$G73,$BN$4=1),0,4-SUMPRODUCT(--(($A$1:$A$4=公区维修!$F73)+($A$1:$A$4=公区维修!$G73)+$BN$1:$BN$4&gt;0)))</f>
        <v>3</v>
      </c>
      <c r="AW73" s="0" t="n">
        <f aca="false">IF(OR($A$5=公区维修!$F73,$A$5=公区维修!$G73,$BN$5=1),0,5-SUMPRODUCT(--(($A$1:$A$5=公区维修!$F73)+($A$1:$A$5=公区维修!$G73)+$BN$1:$BN$5&gt;0)))</f>
        <v>4</v>
      </c>
      <c r="AY73" s="0" t="str">
        <f aca="false">IFERROR(INDEX($A$1:$A$5,MATCH(1,$AS73:$AW73,0)),IF(1=MAX($AS73:$AW73)+1,"取消",""))</f>
        <v>李师傅</v>
      </c>
      <c r="AZ73" s="0" t="str">
        <f aca="false">IFERROR(INDEX($A$1:$A$5,MATCH(2,$AS73:$AW73,0)),IF(2=MAX($AS73:$AW73)+1,"取消",""))</f>
        <v>王师傅</v>
      </c>
      <c r="BA73" s="0" t="str">
        <f aca="false">IFERROR(INDEX($A$1:$A$5,MATCH(3,$AS73:$AW73,0)),IF(3=MAX($AS73:$AW73)+1,"取消",""))</f>
        <v>陈师傅</v>
      </c>
      <c r="BB73" s="0" t="str">
        <f aca="false">IFERROR(INDEX($A$1:$A$5,MATCH(4,$AS73:$AW73,0)),IF(4=MAX($AS73:$AW73)+1,"取消",""))</f>
        <v>刘师傅</v>
      </c>
      <c r="BC73" s="0" t="str">
        <f aca="false">IFERROR(INDEX($A$1:$A$5,MATCH(5,$AS73:$AW73,0)),IF(5=MAX($AS73:$AW73)+1,"取消",""))</f>
        <v>取消</v>
      </c>
      <c r="BD73" s="0" t="str">
        <f aca="false">IFERROR(INDEX($A$1:$A$5,MATCH(6,$AS73:$AW73,0)),IF(6=MAX($AS73:$AW73)+1,"取消",""))</f>
        <v/>
      </c>
      <c r="FW73" s="0" t="str">
        <f aca="false">IF(AND(单元查询!$D$3&lt;&gt;"",IF(单元查询!$B$3="公区维修",公区维修!$E73&lt;&gt;"",入户维修!$E73&lt;&gt;""),IF(单元查询!$B$3="公区维修",公区维修!$C73,入户维修!$C73)=单元查询!$D$3,OR(单元查询!$F$3="",IF(单元查询!$B$3="公区维修",公区维修!$D73,入户维修!$D73)&amp;""=(单元查询!$F$3)&amp;"")),MAX($FW$4:$FW72)+1,"")</f>
        <v/>
      </c>
    </row>
    <row r="74" customFormat="false" ht="15" hidden="false" customHeight="true" outlineLevel="0" collapsed="false">
      <c r="F74" s="0" t="n">
        <f aca="false">IF(OR($A$1=入户维修!$F74,$BN$1=1),0,1-SUMPRODUCT(--(($A$1=入户维修!$F74)+$BN$1&gt;0)))</f>
        <v>0</v>
      </c>
      <c r="G74" s="0" t="n">
        <f aca="false">IF(OR($A$2=入户维修!$F74,$BN$2=1),0,2-SUMPRODUCT(--(($A$1:$A$2=入户维修!$F74)+$BN$1:$BN$2&gt;0)))</f>
        <v>1</v>
      </c>
      <c r="H74" s="0" t="n">
        <f aca="false">IF(OR($A$3=入户维修!$F74,$BN$3=1),0,3-SUMPRODUCT(--(($A$1:$A$3=入户维修!$F74)+$BN$1:$BN$3&gt;0)))</f>
        <v>2</v>
      </c>
      <c r="I74" s="0" t="n">
        <f aca="false">IF(OR($A$4=入户维修!$F74,$BN$4=1),0,4-SUMPRODUCT(--(($A$1:$A$4=入户维修!$F74)+$BN$1:$BN$4&gt;0)))</f>
        <v>3</v>
      </c>
      <c r="J74" s="0" t="n">
        <f aca="false">IF(OR($A$5=入户维修!$F74,$BN$5=1),0,5-SUMPRODUCT(--(($A$1:$A$5=入户维修!$F74)+$BN$1:$BN$5&gt;0)))</f>
        <v>4</v>
      </c>
      <c r="L74" s="0" t="str">
        <f aca="false">IFERROR(INDEX($A$1:$A$5,MATCH(1,$F74:$J74,0)),IF(1=MAX($F74:$J74)+1,"取消",""))</f>
        <v>李师傅</v>
      </c>
      <c r="M74" s="0" t="str">
        <f aca="false">IFERROR(INDEX($A$1:$A$5,MATCH(2,$F74:$J74,0)),IF(2=MAX($F74:$J74)+1,"取消",""))</f>
        <v>王师傅</v>
      </c>
      <c r="N74" s="0" t="str">
        <f aca="false">IFERROR(INDEX($A$1:$A$5,MATCH(3,$F74:$J74,0)),IF(3=MAX($F74:$J74)+1,"取消",""))</f>
        <v>陈师傅</v>
      </c>
      <c r="O74" s="0" t="str">
        <f aca="false">IFERROR(INDEX($A$1:$A$5,MATCH(4,$F74:$J74,0)),IF(4=MAX($F74:$J74)+1,"取消",""))</f>
        <v>刘师傅</v>
      </c>
      <c r="P74" s="0" t="str">
        <f aca="false">IFERROR(INDEX($A$1:$A$5,MATCH(5,$F74:$J74,0)),IF(5=MAX($F74:$J74)+1,"取消",""))</f>
        <v>取消</v>
      </c>
      <c r="Q74" s="0" t="str">
        <f aca="false">IFERROR(INDEX($A$1:$A$5,MATCH(6,$F74:$J74,0)),IF(6=MAX($F74:$J74)+1,"取消",""))</f>
        <v/>
      </c>
      <c r="S74" s="0" t="n">
        <f aca="false">IF(OR($A$1=入户维修!$F74,$A$1=入户维修!$G74,$BN$1=1),0,1-SUMPRODUCT(--(($A$1=入户维修!$F74)+($A$1=入户维修!$G74)+$BN$1&gt;0)))</f>
        <v>0</v>
      </c>
      <c r="T74" s="0" t="n">
        <f aca="false">IF(OR($A$2=入户维修!$F74,$A$2=入户维修!$G74,$BN$2=1),0,2-SUMPRODUCT(--(($A$1:$A$2=入户维修!$F74)+($A$1:$A$2=入户维修!$G74)+$BN$1:$BN$2&gt;0)))</f>
        <v>1</v>
      </c>
      <c r="U74" s="0" t="n">
        <f aca="false">IF(OR($A$3=入户维修!$F74,$A$3=入户维修!$G74,$BN$3=1),0,3-SUMPRODUCT(--(($A$1:$A$3=入户维修!$F74)+($A$1:$A$3=入户维修!$G74)+$BN$1:$BN$3&gt;0)))</f>
        <v>2</v>
      </c>
      <c r="V74" s="0" t="n">
        <f aca="false">IF(OR($A$4=入户维修!$F74,$A$4=入户维修!$G74,$BN$4=1),0,4-SUMPRODUCT(--(($A$1:$A$4=入户维修!$F74)+($A$1:$A$4=入户维修!$G74)+$BN$1:$BN$4&gt;0)))</f>
        <v>3</v>
      </c>
      <c r="W74" s="0" t="n">
        <f aca="false">IF(OR($A$5=入户维修!$F74,$A$5=入户维修!$G74,$BN$5=1),0,5-SUMPRODUCT(--(($A$1:$A$5=入户维修!$F74)+($A$1:$A$5=入户维修!$G74)+$BN$1:$BN$5&gt;0)))</f>
        <v>4</v>
      </c>
      <c r="Y74" s="0" t="str">
        <f aca="false">IFERROR(INDEX($A$1:$A$5,MATCH(1,$S74:$W74,0)),IF(1=MAX($S74:$W74)+1,"取消",""))</f>
        <v>李师傅</v>
      </c>
      <c r="Z74" s="0" t="str">
        <f aca="false">IFERROR(INDEX($A$1:$A$5,MATCH(2,$S74:$W74,0)),IF(2=MAX($S74:$W74)+1,"取消",""))</f>
        <v>王师傅</v>
      </c>
      <c r="AA74" s="0" t="str">
        <f aca="false">IFERROR(INDEX($A$1:$A$5,MATCH(3,$S74:$W74,0)),IF(3=MAX($S74:$W74)+1,"取消",""))</f>
        <v>陈师傅</v>
      </c>
      <c r="AB74" s="0" t="str">
        <f aca="false">IFERROR(INDEX($A$1:$A$5,MATCH(4,$S74:$W74,0)),IF(4=MAX($S74:$W74)+1,"取消",""))</f>
        <v>刘师傅</v>
      </c>
      <c r="AC74" s="0" t="str">
        <f aca="false">IFERROR(INDEX($A$1:$A$5,MATCH(5,$S74:$W74,0)),IF(5=MAX($S74:$W74)+1,"取消",""))</f>
        <v>取消</v>
      </c>
      <c r="AD74" s="0" t="str">
        <f aca="false">IFERROR(INDEX($A$1:$A$5,MATCH(6,$S74:$W74,0)),IF(6=MAX($S74:$W74)+1,"取消",""))</f>
        <v/>
      </c>
      <c r="AF74" s="0" t="n">
        <f aca="false">IF(OR($A$1=公区维修!$F74,$BN$1=1),0,1-SUMPRODUCT(--(($A$1=公区维修!$F74)+$BN$1&gt;0)))</f>
        <v>0</v>
      </c>
      <c r="AG74" s="0" t="n">
        <f aca="false">IF(OR($A$2=公区维修!$F74,$BN$2=1),0,2-SUMPRODUCT(--(($A$1:$A$2=公区维修!$F74)+$BN$1:$BN$2&gt;0)))</f>
        <v>1</v>
      </c>
      <c r="AH74" s="0" t="n">
        <f aca="false">IF(OR($A$3=公区维修!$F74,$BN$3=1),0,3-SUMPRODUCT(--(($A$1:$A$3=公区维修!$F74)+$BN$1:$BN$3&gt;0)))</f>
        <v>2</v>
      </c>
      <c r="AI74" s="0" t="n">
        <f aca="false">IF(OR($A$4=公区维修!$F74,$BN$4=1),0,4-SUMPRODUCT(--(($A$1:$A$4=公区维修!$F74)+$BN$1:$BN$4&gt;0)))</f>
        <v>3</v>
      </c>
      <c r="AJ74" s="0" t="n">
        <f aca="false">IF(OR($A$5=公区维修!$F74,$BN$5=1),0,5-SUMPRODUCT(--(($A$1:$A$5=公区维修!$F74)+$BN$1:$BN$5&gt;0)))</f>
        <v>4</v>
      </c>
      <c r="AL74" s="0" t="str">
        <f aca="false">IFERROR(INDEX($A$1:$A$5,MATCH(1,$AF74:$AJ74,0)),IF(1=MAX($AF74:$AJ74)+1,"取消",""))</f>
        <v>李师傅</v>
      </c>
      <c r="AM74" s="0" t="str">
        <f aca="false">IFERROR(INDEX($A$1:$A$5,MATCH(2,$AF74:$AJ74,0)),IF(2=MAX($AF74:$AJ74)+1,"取消",""))</f>
        <v>王师傅</v>
      </c>
      <c r="AN74" s="0" t="str">
        <f aca="false">IFERROR(INDEX($A$1:$A$5,MATCH(3,$AF74:$AJ74,0)),IF(3=MAX($AF74:$AJ74)+1,"取消",""))</f>
        <v>陈师傅</v>
      </c>
      <c r="AO74" s="0" t="str">
        <f aca="false">IFERROR(INDEX($A$1:$A$5,MATCH(4,$AF74:$AJ74,0)),IF(4=MAX($AF74:$AJ74)+1,"取消",""))</f>
        <v>刘师傅</v>
      </c>
      <c r="AP74" s="0" t="str">
        <f aca="false">IFERROR(INDEX($A$1:$A$5,MATCH(5,$AF74:$AJ74,0)),IF(5=MAX($AF74:$AJ74)+1,"取消",""))</f>
        <v>取消</v>
      </c>
      <c r="AQ74" s="0" t="str">
        <f aca="false">IFERROR(INDEX($A$1:$A$5,MATCH(6,$AF74:$AJ74,0)),IF(6=MAX($AF74:$AJ74)+1,"取消",""))</f>
        <v/>
      </c>
      <c r="AS74" s="0" t="n">
        <f aca="false">IF(OR($A$1=公区维修!$F74,$A$1=公区维修!$G74,$BN$1=1),0,1-SUMPRODUCT(--(($A$1=公区维修!$F74)+($A$1=公区维修!$G74)+$BN$1&gt;0)))</f>
        <v>0</v>
      </c>
      <c r="AT74" s="0" t="n">
        <f aca="false">IF(OR($A$2=公区维修!$F74,$A$2=公区维修!$G74,$BN$2=1),0,2-SUMPRODUCT(--(($A$1:$A$2=公区维修!$F74)+($A$1:$A$2=公区维修!$G74)+$BN$1:$BN$2&gt;0)))</f>
        <v>1</v>
      </c>
      <c r="AU74" s="0" t="n">
        <f aca="false">IF(OR($A$3=公区维修!$F74,$A$3=公区维修!$G74,$BN$3=1),0,3-SUMPRODUCT(--(($A$1:$A$3=公区维修!$F74)+($A$1:$A$3=公区维修!$G74)+$BN$1:$BN$3&gt;0)))</f>
        <v>2</v>
      </c>
      <c r="AV74" s="0" t="n">
        <f aca="false">IF(OR($A$4=公区维修!$F74,$A$4=公区维修!$G74,$BN$4=1),0,4-SUMPRODUCT(--(($A$1:$A$4=公区维修!$F74)+($A$1:$A$4=公区维修!$G74)+$BN$1:$BN$4&gt;0)))</f>
        <v>3</v>
      </c>
      <c r="AW74" s="0" t="n">
        <f aca="false">IF(OR($A$5=公区维修!$F74,$A$5=公区维修!$G74,$BN$5=1),0,5-SUMPRODUCT(--(($A$1:$A$5=公区维修!$F74)+($A$1:$A$5=公区维修!$G74)+$BN$1:$BN$5&gt;0)))</f>
        <v>4</v>
      </c>
      <c r="AY74" s="0" t="str">
        <f aca="false">IFERROR(INDEX($A$1:$A$5,MATCH(1,$AS74:$AW74,0)),IF(1=MAX($AS74:$AW74)+1,"取消",""))</f>
        <v>李师傅</v>
      </c>
      <c r="AZ74" s="0" t="str">
        <f aca="false">IFERROR(INDEX($A$1:$A$5,MATCH(2,$AS74:$AW74,0)),IF(2=MAX($AS74:$AW74)+1,"取消",""))</f>
        <v>王师傅</v>
      </c>
      <c r="BA74" s="0" t="str">
        <f aca="false">IFERROR(INDEX($A$1:$A$5,MATCH(3,$AS74:$AW74,0)),IF(3=MAX($AS74:$AW74)+1,"取消",""))</f>
        <v>陈师傅</v>
      </c>
      <c r="BB74" s="0" t="str">
        <f aca="false">IFERROR(INDEX($A$1:$A$5,MATCH(4,$AS74:$AW74,0)),IF(4=MAX($AS74:$AW74)+1,"取消",""))</f>
        <v>刘师傅</v>
      </c>
      <c r="BC74" s="0" t="str">
        <f aca="false">IFERROR(INDEX($A$1:$A$5,MATCH(5,$AS74:$AW74,0)),IF(5=MAX($AS74:$AW74)+1,"取消",""))</f>
        <v>取消</v>
      </c>
      <c r="BD74" s="0" t="str">
        <f aca="false">IFERROR(INDEX($A$1:$A$5,MATCH(6,$AS74:$AW74,0)),IF(6=MAX($AS74:$AW74)+1,"取消",""))</f>
        <v/>
      </c>
      <c r="FW74" s="0" t="str">
        <f aca="false">IF(AND(单元查询!$D$3&lt;&gt;"",IF(单元查询!$B$3="公区维修",公区维修!$E74&lt;&gt;"",入户维修!$E74&lt;&gt;""),IF(单元查询!$B$3="公区维修",公区维修!$C74,入户维修!$C74)=单元查询!$D$3,OR(单元查询!$F$3="",IF(单元查询!$B$3="公区维修",公区维修!$D74,入户维修!$D74)&amp;""=(单元查询!$F$3)&amp;"")),MAX($FW$4:$FW73)+1,"")</f>
        <v/>
      </c>
    </row>
    <row r="75" customFormat="false" ht="15" hidden="false" customHeight="true" outlineLevel="0" collapsed="false">
      <c r="F75" s="0" t="n">
        <f aca="false">IF(OR($A$1=入户维修!$F75,$BN$1=1),0,1-SUMPRODUCT(--(($A$1=入户维修!$F75)+$BN$1&gt;0)))</f>
        <v>0</v>
      </c>
      <c r="G75" s="0" t="n">
        <f aca="false">IF(OR($A$2=入户维修!$F75,$BN$2=1),0,2-SUMPRODUCT(--(($A$1:$A$2=入户维修!$F75)+$BN$1:$BN$2&gt;0)))</f>
        <v>1</v>
      </c>
      <c r="H75" s="0" t="n">
        <f aca="false">IF(OR($A$3=入户维修!$F75,$BN$3=1),0,3-SUMPRODUCT(--(($A$1:$A$3=入户维修!$F75)+$BN$1:$BN$3&gt;0)))</f>
        <v>2</v>
      </c>
      <c r="I75" s="0" t="n">
        <f aca="false">IF(OR($A$4=入户维修!$F75,$BN$4=1),0,4-SUMPRODUCT(--(($A$1:$A$4=入户维修!$F75)+$BN$1:$BN$4&gt;0)))</f>
        <v>3</v>
      </c>
      <c r="J75" s="0" t="n">
        <f aca="false">IF(OR($A$5=入户维修!$F75,$BN$5=1),0,5-SUMPRODUCT(--(($A$1:$A$5=入户维修!$F75)+$BN$1:$BN$5&gt;0)))</f>
        <v>4</v>
      </c>
      <c r="L75" s="0" t="str">
        <f aca="false">IFERROR(INDEX($A$1:$A$5,MATCH(1,$F75:$J75,0)),IF(1=MAX($F75:$J75)+1,"取消",""))</f>
        <v>李师傅</v>
      </c>
      <c r="M75" s="0" t="str">
        <f aca="false">IFERROR(INDEX($A$1:$A$5,MATCH(2,$F75:$J75,0)),IF(2=MAX($F75:$J75)+1,"取消",""))</f>
        <v>王师傅</v>
      </c>
      <c r="N75" s="0" t="str">
        <f aca="false">IFERROR(INDEX($A$1:$A$5,MATCH(3,$F75:$J75,0)),IF(3=MAX($F75:$J75)+1,"取消",""))</f>
        <v>陈师傅</v>
      </c>
      <c r="O75" s="0" t="str">
        <f aca="false">IFERROR(INDEX($A$1:$A$5,MATCH(4,$F75:$J75,0)),IF(4=MAX($F75:$J75)+1,"取消",""))</f>
        <v>刘师傅</v>
      </c>
      <c r="P75" s="0" t="str">
        <f aca="false">IFERROR(INDEX($A$1:$A$5,MATCH(5,$F75:$J75,0)),IF(5=MAX($F75:$J75)+1,"取消",""))</f>
        <v>取消</v>
      </c>
      <c r="Q75" s="0" t="str">
        <f aca="false">IFERROR(INDEX($A$1:$A$5,MATCH(6,$F75:$J75,0)),IF(6=MAX($F75:$J75)+1,"取消",""))</f>
        <v/>
      </c>
      <c r="S75" s="0" t="n">
        <f aca="false">IF(OR($A$1=入户维修!$F75,$A$1=入户维修!$G75,$BN$1=1),0,1-SUMPRODUCT(--(($A$1=入户维修!$F75)+($A$1=入户维修!$G75)+$BN$1&gt;0)))</f>
        <v>0</v>
      </c>
      <c r="T75" s="0" t="n">
        <f aca="false">IF(OR($A$2=入户维修!$F75,$A$2=入户维修!$G75,$BN$2=1),0,2-SUMPRODUCT(--(($A$1:$A$2=入户维修!$F75)+($A$1:$A$2=入户维修!$G75)+$BN$1:$BN$2&gt;0)))</f>
        <v>1</v>
      </c>
      <c r="U75" s="0" t="n">
        <f aca="false">IF(OR($A$3=入户维修!$F75,$A$3=入户维修!$G75,$BN$3=1),0,3-SUMPRODUCT(--(($A$1:$A$3=入户维修!$F75)+($A$1:$A$3=入户维修!$G75)+$BN$1:$BN$3&gt;0)))</f>
        <v>2</v>
      </c>
      <c r="V75" s="0" t="n">
        <f aca="false">IF(OR($A$4=入户维修!$F75,$A$4=入户维修!$G75,$BN$4=1),0,4-SUMPRODUCT(--(($A$1:$A$4=入户维修!$F75)+($A$1:$A$4=入户维修!$G75)+$BN$1:$BN$4&gt;0)))</f>
        <v>3</v>
      </c>
      <c r="W75" s="0" t="n">
        <f aca="false">IF(OR($A$5=入户维修!$F75,$A$5=入户维修!$G75,$BN$5=1),0,5-SUMPRODUCT(--(($A$1:$A$5=入户维修!$F75)+($A$1:$A$5=入户维修!$G75)+$BN$1:$BN$5&gt;0)))</f>
        <v>4</v>
      </c>
      <c r="Y75" s="0" t="str">
        <f aca="false">IFERROR(INDEX($A$1:$A$5,MATCH(1,$S75:$W75,0)),IF(1=MAX($S75:$W75)+1,"取消",""))</f>
        <v>李师傅</v>
      </c>
      <c r="Z75" s="0" t="str">
        <f aca="false">IFERROR(INDEX($A$1:$A$5,MATCH(2,$S75:$W75,0)),IF(2=MAX($S75:$W75)+1,"取消",""))</f>
        <v>王师傅</v>
      </c>
      <c r="AA75" s="0" t="str">
        <f aca="false">IFERROR(INDEX($A$1:$A$5,MATCH(3,$S75:$W75,0)),IF(3=MAX($S75:$W75)+1,"取消",""))</f>
        <v>陈师傅</v>
      </c>
      <c r="AB75" s="0" t="str">
        <f aca="false">IFERROR(INDEX($A$1:$A$5,MATCH(4,$S75:$W75,0)),IF(4=MAX($S75:$W75)+1,"取消",""))</f>
        <v>刘师傅</v>
      </c>
      <c r="AC75" s="0" t="str">
        <f aca="false">IFERROR(INDEX($A$1:$A$5,MATCH(5,$S75:$W75,0)),IF(5=MAX($S75:$W75)+1,"取消",""))</f>
        <v>取消</v>
      </c>
      <c r="AD75" s="0" t="str">
        <f aca="false">IFERROR(INDEX($A$1:$A$5,MATCH(6,$S75:$W75,0)),IF(6=MAX($S75:$W75)+1,"取消",""))</f>
        <v/>
      </c>
      <c r="AF75" s="0" t="n">
        <f aca="false">IF(OR($A$1=公区维修!$F75,$BN$1=1),0,1-SUMPRODUCT(--(($A$1=公区维修!$F75)+$BN$1&gt;0)))</f>
        <v>0</v>
      </c>
      <c r="AG75" s="0" t="n">
        <f aca="false">IF(OR($A$2=公区维修!$F75,$BN$2=1),0,2-SUMPRODUCT(--(($A$1:$A$2=公区维修!$F75)+$BN$1:$BN$2&gt;0)))</f>
        <v>1</v>
      </c>
      <c r="AH75" s="0" t="n">
        <f aca="false">IF(OR($A$3=公区维修!$F75,$BN$3=1),0,3-SUMPRODUCT(--(($A$1:$A$3=公区维修!$F75)+$BN$1:$BN$3&gt;0)))</f>
        <v>2</v>
      </c>
      <c r="AI75" s="0" t="n">
        <f aca="false">IF(OR($A$4=公区维修!$F75,$BN$4=1),0,4-SUMPRODUCT(--(($A$1:$A$4=公区维修!$F75)+$BN$1:$BN$4&gt;0)))</f>
        <v>3</v>
      </c>
      <c r="AJ75" s="0" t="n">
        <f aca="false">IF(OR($A$5=公区维修!$F75,$BN$5=1),0,5-SUMPRODUCT(--(($A$1:$A$5=公区维修!$F75)+$BN$1:$BN$5&gt;0)))</f>
        <v>4</v>
      </c>
      <c r="AL75" s="0" t="str">
        <f aca="false">IFERROR(INDEX($A$1:$A$5,MATCH(1,$AF75:$AJ75,0)),IF(1=MAX($AF75:$AJ75)+1,"取消",""))</f>
        <v>李师傅</v>
      </c>
      <c r="AM75" s="0" t="str">
        <f aca="false">IFERROR(INDEX($A$1:$A$5,MATCH(2,$AF75:$AJ75,0)),IF(2=MAX($AF75:$AJ75)+1,"取消",""))</f>
        <v>王师傅</v>
      </c>
      <c r="AN75" s="0" t="str">
        <f aca="false">IFERROR(INDEX($A$1:$A$5,MATCH(3,$AF75:$AJ75,0)),IF(3=MAX($AF75:$AJ75)+1,"取消",""))</f>
        <v>陈师傅</v>
      </c>
      <c r="AO75" s="0" t="str">
        <f aca="false">IFERROR(INDEX($A$1:$A$5,MATCH(4,$AF75:$AJ75,0)),IF(4=MAX($AF75:$AJ75)+1,"取消",""))</f>
        <v>刘师傅</v>
      </c>
      <c r="AP75" s="0" t="str">
        <f aca="false">IFERROR(INDEX($A$1:$A$5,MATCH(5,$AF75:$AJ75,0)),IF(5=MAX($AF75:$AJ75)+1,"取消",""))</f>
        <v>取消</v>
      </c>
      <c r="AQ75" s="0" t="str">
        <f aca="false">IFERROR(INDEX($A$1:$A$5,MATCH(6,$AF75:$AJ75,0)),IF(6=MAX($AF75:$AJ75)+1,"取消",""))</f>
        <v/>
      </c>
      <c r="AS75" s="0" t="n">
        <f aca="false">IF(OR($A$1=公区维修!$F75,$A$1=公区维修!$G75,$BN$1=1),0,1-SUMPRODUCT(--(($A$1=公区维修!$F75)+($A$1=公区维修!$G75)+$BN$1&gt;0)))</f>
        <v>0</v>
      </c>
      <c r="AT75" s="0" t="n">
        <f aca="false">IF(OR($A$2=公区维修!$F75,$A$2=公区维修!$G75,$BN$2=1),0,2-SUMPRODUCT(--(($A$1:$A$2=公区维修!$F75)+($A$1:$A$2=公区维修!$G75)+$BN$1:$BN$2&gt;0)))</f>
        <v>1</v>
      </c>
      <c r="AU75" s="0" t="n">
        <f aca="false">IF(OR($A$3=公区维修!$F75,$A$3=公区维修!$G75,$BN$3=1),0,3-SUMPRODUCT(--(($A$1:$A$3=公区维修!$F75)+($A$1:$A$3=公区维修!$G75)+$BN$1:$BN$3&gt;0)))</f>
        <v>2</v>
      </c>
      <c r="AV75" s="0" t="n">
        <f aca="false">IF(OR($A$4=公区维修!$F75,$A$4=公区维修!$G75,$BN$4=1),0,4-SUMPRODUCT(--(($A$1:$A$4=公区维修!$F75)+($A$1:$A$4=公区维修!$G75)+$BN$1:$BN$4&gt;0)))</f>
        <v>3</v>
      </c>
      <c r="AW75" s="0" t="n">
        <f aca="false">IF(OR($A$5=公区维修!$F75,$A$5=公区维修!$G75,$BN$5=1),0,5-SUMPRODUCT(--(($A$1:$A$5=公区维修!$F75)+($A$1:$A$5=公区维修!$G75)+$BN$1:$BN$5&gt;0)))</f>
        <v>4</v>
      </c>
      <c r="AY75" s="0" t="str">
        <f aca="false">IFERROR(INDEX($A$1:$A$5,MATCH(1,$AS75:$AW75,0)),IF(1=MAX($AS75:$AW75)+1,"取消",""))</f>
        <v>李师傅</v>
      </c>
      <c r="AZ75" s="0" t="str">
        <f aca="false">IFERROR(INDEX($A$1:$A$5,MATCH(2,$AS75:$AW75,0)),IF(2=MAX($AS75:$AW75)+1,"取消",""))</f>
        <v>王师傅</v>
      </c>
      <c r="BA75" s="0" t="str">
        <f aca="false">IFERROR(INDEX($A$1:$A$5,MATCH(3,$AS75:$AW75,0)),IF(3=MAX($AS75:$AW75)+1,"取消",""))</f>
        <v>陈师傅</v>
      </c>
      <c r="BB75" s="0" t="str">
        <f aca="false">IFERROR(INDEX($A$1:$A$5,MATCH(4,$AS75:$AW75,0)),IF(4=MAX($AS75:$AW75)+1,"取消",""))</f>
        <v>刘师傅</v>
      </c>
      <c r="BC75" s="0" t="str">
        <f aca="false">IFERROR(INDEX($A$1:$A$5,MATCH(5,$AS75:$AW75,0)),IF(5=MAX($AS75:$AW75)+1,"取消",""))</f>
        <v>取消</v>
      </c>
      <c r="BD75" s="0" t="str">
        <f aca="false">IFERROR(INDEX($A$1:$A$5,MATCH(6,$AS75:$AW75,0)),IF(6=MAX($AS75:$AW75)+1,"取消",""))</f>
        <v/>
      </c>
      <c r="FW75" s="0" t="str">
        <f aca="false">IF(AND(单元查询!$D$3&lt;&gt;"",IF(单元查询!$B$3="公区维修",公区维修!$E75&lt;&gt;"",入户维修!$E75&lt;&gt;""),IF(单元查询!$B$3="公区维修",公区维修!$C75,入户维修!$C75)=单元查询!$D$3,OR(单元查询!$F$3="",IF(单元查询!$B$3="公区维修",公区维修!$D75,入户维修!$D75)&amp;""=(单元查询!$F$3)&amp;"")),MAX($FW$4:$FW74)+1,"")</f>
        <v/>
      </c>
    </row>
    <row r="76" customFormat="false" ht="15" hidden="false" customHeight="true" outlineLevel="0" collapsed="false">
      <c r="F76" s="0" t="n">
        <f aca="false">IF(OR($A$1=入户维修!$F76,$BN$1=1),0,1-SUMPRODUCT(--(($A$1=入户维修!$F76)+$BN$1&gt;0)))</f>
        <v>0</v>
      </c>
      <c r="G76" s="0" t="n">
        <f aca="false">IF(OR($A$2=入户维修!$F76,$BN$2=1),0,2-SUMPRODUCT(--(($A$1:$A$2=入户维修!$F76)+$BN$1:$BN$2&gt;0)))</f>
        <v>1</v>
      </c>
      <c r="H76" s="0" t="n">
        <f aca="false">IF(OR($A$3=入户维修!$F76,$BN$3=1),0,3-SUMPRODUCT(--(($A$1:$A$3=入户维修!$F76)+$BN$1:$BN$3&gt;0)))</f>
        <v>2</v>
      </c>
      <c r="I76" s="0" t="n">
        <f aca="false">IF(OR($A$4=入户维修!$F76,$BN$4=1),0,4-SUMPRODUCT(--(($A$1:$A$4=入户维修!$F76)+$BN$1:$BN$4&gt;0)))</f>
        <v>3</v>
      </c>
      <c r="J76" s="0" t="n">
        <f aca="false">IF(OR($A$5=入户维修!$F76,$BN$5=1),0,5-SUMPRODUCT(--(($A$1:$A$5=入户维修!$F76)+$BN$1:$BN$5&gt;0)))</f>
        <v>4</v>
      </c>
      <c r="L76" s="0" t="str">
        <f aca="false">IFERROR(INDEX($A$1:$A$5,MATCH(1,$F76:$J76,0)),IF(1=MAX($F76:$J76)+1,"取消",""))</f>
        <v>李师傅</v>
      </c>
      <c r="M76" s="0" t="str">
        <f aca="false">IFERROR(INDEX($A$1:$A$5,MATCH(2,$F76:$J76,0)),IF(2=MAX($F76:$J76)+1,"取消",""))</f>
        <v>王师傅</v>
      </c>
      <c r="N76" s="0" t="str">
        <f aca="false">IFERROR(INDEX($A$1:$A$5,MATCH(3,$F76:$J76,0)),IF(3=MAX($F76:$J76)+1,"取消",""))</f>
        <v>陈师傅</v>
      </c>
      <c r="O76" s="0" t="str">
        <f aca="false">IFERROR(INDEX($A$1:$A$5,MATCH(4,$F76:$J76,0)),IF(4=MAX($F76:$J76)+1,"取消",""))</f>
        <v>刘师傅</v>
      </c>
      <c r="P76" s="0" t="str">
        <f aca="false">IFERROR(INDEX($A$1:$A$5,MATCH(5,$F76:$J76,0)),IF(5=MAX($F76:$J76)+1,"取消",""))</f>
        <v>取消</v>
      </c>
      <c r="Q76" s="0" t="str">
        <f aca="false">IFERROR(INDEX($A$1:$A$5,MATCH(6,$F76:$J76,0)),IF(6=MAX($F76:$J76)+1,"取消",""))</f>
        <v/>
      </c>
      <c r="S76" s="0" t="n">
        <f aca="false">IF(OR($A$1=入户维修!$F76,$A$1=入户维修!$G76,$BN$1=1),0,1-SUMPRODUCT(--(($A$1=入户维修!$F76)+($A$1=入户维修!$G76)+$BN$1&gt;0)))</f>
        <v>0</v>
      </c>
      <c r="T76" s="0" t="n">
        <f aca="false">IF(OR($A$2=入户维修!$F76,$A$2=入户维修!$G76,$BN$2=1),0,2-SUMPRODUCT(--(($A$1:$A$2=入户维修!$F76)+($A$1:$A$2=入户维修!$G76)+$BN$1:$BN$2&gt;0)))</f>
        <v>1</v>
      </c>
      <c r="U76" s="0" t="n">
        <f aca="false">IF(OR($A$3=入户维修!$F76,$A$3=入户维修!$G76,$BN$3=1),0,3-SUMPRODUCT(--(($A$1:$A$3=入户维修!$F76)+($A$1:$A$3=入户维修!$G76)+$BN$1:$BN$3&gt;0)))</f>
        <v>2</v>
      </c>
      <c r="V76" s="0" t="n">
        <f aca="false">IF(OR($A$4=入户维修!$F76,$A$4=入户维修!$G76,$BN$4=1),0,4-SUMPRODUCT(--(($A$1:$A$4=入户维修!$F76)+($A$1:$A$4=入户维修!$G76)+$BN$1:$BN$4&gt;0)))</f>
        <v>3</v>
      </c>
      <c r="W76" s="0" t="n">
        <f aca="false">IF(OR($A$5=入户维修!$F76,$A$5=入户维修!$G76,$BN$5=1),0,5-SUMPRODUCT(--(($A$1:$A$5=入户维修!$F76)+($A$1:$A$5=入户维修!$G76)+$BN$1:$BN$5&gt;0)))</f>
        <v>4</v>
      </c>
      <c r="Y76" s="0" t="str">
        <f aca="false">IFERROR(INDEX($A$1:$A$5,MATCH(1,$S76:$W76,0)),IF(1=MAX($S76:$W76)+1,"取消",""))</f>
        <v>李师傅</v>
      </c>
      <c r="Z76" s="0" t="str">
        <f aca="false">IFERROR(INDEX($A$1:$A$5,MATCH(2,$S76:$W76,0)),IF(2=MAX($S76:$W76)+1,"取消",""))</f>
        <v>王师傅</v>
      </c>
      <c r="AA76" s="0" t="str">
        <f aca="false">IFERROR(INDEX($A$1:$A$5,MATCH(3,$S76:$W76,0)),IF(3=MAX($S76:$W76)+1,"取消",""))</f>
        <v>陈师傅</v>
      </c>
      <c r="AB76" s="0" t="str">
        <f aca="false">IFERROR(INDEX($A$1:$A$5,MATCH(4,$S76:$W76,0)),IF(4=MAX($S76:$W76)+1,"取消",""))</f>
        <v>刘师傅</v>
      </c>
      <c r="AC76" s="0" t="str">
        <f aca="false">IFERROR(INDEX($A$1:$A$5,MATCH(5,$S76:$W76,0)),IF(5=MAX($S76:$W76)+1,"取消",""))</f>
        <v>取消</v>
      </c>
      <c r="AD76" s="0" t="str">
        <f aca="false">IFERROR(INDEX($A$1:$A$5,MATCH(6,$S76:$W76,0)),IF(6=MAX($S76:$W76)+1,"取消",""))</f>
        <v/>
      </c>
      <c r="AF76" s="0" t="n">
        <f aca="false">IF(OR($A$1=公区维修!$F76,$BN$1=1),0,1-SUMPRODUCT(--(($A$1=公区维修!$F76)+$BN$1&gt;0)))</f>
        <v>0</v>
      </c>
      <c r="AG76" s="0" t="n">
        <f aca="false">IF(OR($A$2=公区维修!$F76,$BN$2=1),0,2-SUMPRODUCT(--(($A$1:$A$2=公区维修!$F76)+$BN$1:$BN$2&gt;0)))</f>
        <v>1</v>
      </c>
      <c r="AH76" s="0" t="n">
        <f aca="false">IF(OR($A$3=公区维修!$F76,$BN$3=1),0,3-SUMPRODUCT(--(($A$1:$A$3=公区维修!$F76)+$BN$1:$BN$3&gt;0)))</f>
        <v>2</v>
      </c>
      <c r="AI76" s="0" t="n">
        <f aca="false">IF(OR($A$4=公区维修!$F76,$BN$4=1),0,4-SUMPRODUCT(--(($A$1:$A$4=公区维修!$F76)+$BN$1:$BN$4&gt;0)))</f>
        <v>3</v>
      </c>
      <c r="AJ76" s="0" t="n">
        <f aca="false">IF(OR($A$5=公区维修!$F76,$BN$5=1),0,5-SUMPRODUCT(--(($A$1:$A$5=公区维修!$F76)+$BN$1:$BN$5&gt;0)))</f>
        <v>4</v>
      </c>
      <c r="AL76" s="0" t="str">
        <f aca="false">IFERROR(INDEX($A$1:$A$5,MATCH(1,$AF76:$AJ76,0)),IF(1=MAX($AF76:$AJ76)+1,"取消",""))</f>
        <v>李师傅</v>
      </c>
      <c r="AM76" s="0" t="str">
        <f aca="false">IFERROR(INDEX($A$1:$A$5,MATCH(2,$AF76:$AJ76,0)),IF(2=MAX($AF76:$AJ76)+1,"取消",""))</f>
        <v>王师傅</v>
      </c>
      <c r="AN76" s="0" t="str">
        <f aca="false">IFERROR(INDEX($A$1:$A$5,MATCH(3,$AF76:$AJ76,0)),IF(3=MAX($AF76:$AJ76)+1,"取消",""))</f>
        <v>陈师傅</v>
      </c>
      <c r="AO76" s="0" t="str">
        <f aca="false">IFERROR(INDEX($A$1:$A$5,MATCH(4,$AF76:$AJ76,0)),IF(4=MAX($AF76:$AJ76)+1,"取消",""))</f>
        <v>刘师傅</v>
      </c>
      <c r="AP76" s="0" t="str">
        <f aca="false">IFERROR(INDEX($A$1:$A$5,MATCH(5,$AF76:$AJ76,0)),IF(5=MAX($AF76:$AJ76)+1,"取消",""))</f>
        <v>取消</v>
      </c>
      <c r="AQ76" s="0" t="str">
        <f aca="false">IFERROR(INDEX($A$1:$A$5,MATCH(6,$AF76:$AJ76,0)),IF(6=MAX($AF76:$AJ76)+1,"取消",""))</f>
        <v/>
      </c>
      <c r="AS76" s="0" t="n">
        <f aca="false">IF(OR($A$1=公区维修!$F76,$A$1=公区维修!$G76,$BN$1=1),0,1-SUMPRODUCT(--(($A$1=公区维修!$F76)+($A$1=公区维修!$G76)+$BN$1&gt;0)))</f>
        <v>0</v>
      </c>
      <c r="AT76" s="0" t="n">
        <f aca="false">IF(OR($A$2=公区维修!$F76,$A$2=公区维修!$G76,$BN$2=1),0,2-SUMPRODUCT(--(($A$1:$A$2=公区维修!$F76)+($A$1:$A$2=公区维修!$G76)+$BN$1:$BN$2&gt;0)))</f>
        <v>1</v>
      </c>
      <c r="AU76" s="0" t="n">
        <f aca="false">IF(OR($A$3=公区维修!$F76,$A$3=公区维修!$G76,$BN$3=1),0,3-SUMPRODUCT(--(($A$1:$A$3=公区维修!$F76)+($A$1:$A$3=公区维修!$G76)+$BN$1:$BN$3&gt;0)))</f>
        <v>2</v>
      </c>
      <c r="AV76" s="0" t="n">
        <f aca="false">IF(OR($A$4=公区维修!$F76,$A$4=公区维修!$G76,$BN$4=1),0,4-SUMPRODUCT(--(($A$1:$A$4=公区维修!$F76)+($A$1:$A$4=公区维修!$G76)+$BN$1:$BN$4&gt;0)))</f>
        <v>3</v>
      </c>
      <c r="AW76" s="0" t="n">
        <f aca="false">IF(OR($A$5=公区维修!$F76,$A$5=公区维修!$G76,$BN$5=1),0,5-SUMPRODUCT(--(($A$1:$A$5=公区维修!$F76)+($A$1:$A$5=公区维修!$G76)+$BN$1:$BN$5&gt;0)))</f>
        <v>4</v>
      </c>
      <c r="AY76" s="0" t="str">
        <f aca="false">IFERROR(INDEX($A$1:$A$5,MATCH(1,$AS76:$AW76,0)),IF(1=MAX($AS76:$AW76)+1,"取消",""))</f>
        <v>李师傅</v>
      </c>
      <c r="AZ76" s="0" t="str">
        <f aca="false">IFERROR(INDEX($A$1:$A$5,MATCH(2,$AS76:$AW76,0)),IF(2=MAX($AS76:$AW76)+1,"取消",""))</f>
        <v>王师傅</v>
      </c>
      <c r="BA76" s="0" t="str">
        <f aca="false">IFERROR(INDEX($A$1:$A$5,MATCH(3,$AS76:$AW76,0)),IF(3=MAX($AS76:$AW76)+1,"取消",""))</f>
        <v>陈师傅</v>
      </c>
      <c r="BB76" s="0" t="str">
        <f aca="false">IFERROR(INDEX($A$1:$A$5,MATCH(4,$AS76:$AW76,0)),IF(4=MAX($AS76:$AW76)+1,"取消",""))</f>
        <v>刘师傅</v>
      </c>
      <c r="BC76" s="0" t="str">
        <f aca="false">IFERROR(INDEX($A$1:$A$5,MATCH(5,$AS76:$AW76,0)),IF(5=MAX($AS76:$AW76)+1,"取消",""))</f>
        <v>取消</v>
      </c>
      <c r="BD76" s="0" t="str">
        <f aca="false">IFERROR(INDEX($A$1:$A$5,MATCH(6,$AS76:$AW76,0)),IF(6=MAX($AS76:$AW76)+1,"取消",""))</f>
        <v/>
      </c>
      <c r="FW76" s="0" t="str">
        <f aca="false">IF(AND(单元查询!$D$3&lt;&gt;"",IF(单元查询!$B$3="公区维修",公区维修!$E76&lt;&gt;"",入户维修!$E76&lt;&gt;""),IF(单元查询!$B$3="公区维修",公区维修!$C76,入户维修!$C76)=单元查询!$D$3,OR(单元查询!$F$3="",IF(单元查询!$B$3="公区维修",公区维修!$D76,入户维修!$D76)&amp;""=(单元查询!$F$3)&amp;"")),MAX($FW$4:$FW75)+1,"")</f>
        <v/>
      </c>
    </row>
    <row r="77" customFormat="false" ht="15" hidden="false" customHeight="true" outlineLevel="0" collapsed="false">
      <c r="F77" s="0" t="n">
        <f aca="false">IF(OR($A$1=入户维修!$F77,$BN$1=1),0,1-SUMPRODUCT(--(($A$1=入户维修!$F77)+$BN$1&gt;0)))</f>
        <v>0</v>
      </c>
      <c r="G77" s="0" t="n">
        <f aca="false">IF(OR($A$2=入户维修!$F77,$BN$2=1),0,2-SUMPRODUCT(--(($A$1:$A$2=入户维修!$F77)+$BN$1:$BN$2&gt;0)))</f>
        <v>0</v>
      </c>
      <c r="H77" s="0" t="n">
        <f aca="false">IF(OR($A$3=入户维修!$F77,$BN$3=1),0,3-SUMPRODUCT(--(($A$1:$A$3=入户维修!$F77)+$BN$1:$BN$3&gt;0)))</f>
        <v>1</v>
      </c>
      <c r="I77" s="0" t="n">
        <f aca="false">IF(OR($A$4=入户维修!$F77,$BN$4=1),0,4-SUMPRODUCT(--(($A$1:$A$4=入户维修!$F77)+$BN$1:$BN$4&gt;0)))</f>
        <v>2</v>
      </c>
      <c r="J77" s="0" t="n">
        <f aca="false">IF(OR($A$5=入户维修!$F77,$BN$5=1),0,5-SUMPRODUCT(--(($A$1:$A$5=入户维修!$F77)+$BN$1:$BN$5&gt;0)))</f>
        <v>3</v>
      </c>
      <c r="L77" s="0" t="str">
        <f aca="false">IFERROR(INDEX($A$1:$A$5,MATCH(1,$F77:$J77,0)),IF(1=MAX($F77:$J77)+1,"取消",""))</f>
        <v>王师傅</v>
      </c>
      <c r="M77" s="0" t="str">
        <f aca="false">IFERROR(INDEX($A$1:$A$5,MATCH(2,$F77:$J77,0)),IF(2=MAX($F77:$J77)+1,"取消",""))</f>
        <v>陈师傅</v>
      </c>
      <c r="N77" s="0" t="str">
        <f aca="false">IFERROR(INDEX($A$1:$A$5,MATCH(3,$F77:$J77,0)),IF(3=MAX($F77:$J77)+1,"取消",""))</f>
        <v>刘师傅</v>
      </c>
      <c r="O77" s="0" t="str">
        <f aca="false">IFERROR(INDEX($A$1:$A$5,MATCH(4,$F77:$J77,0)),IF(4=MAX($F77:$J77)+1,"取消",""))</f>
        <v>取消</v>
      </c>
      <c r="P77" s="0" t="str">
        <f aca="false">IFERROR(INDEX($A$1:$A$5,MATCH(5,$F77:$J77,0)),IF(5=MAX($F77:$J77)+1,"取消",""))</f>
        <v/>
      </c>
      <c r="Q77" s="0" t="str">
        <f aca="false">IFERROR(INDEX($A$1:$A$5,MATCH(6,$F77:$J77,0)),IF(6=MAX($F77:$J77)+1,"取消",""))</f>
        <v/>
      </c>
      <c r="S77" s="0" t="n">
        <f aca="false">IF(OR($A$1=入户维修!$F77,$A$1=入户维修!$G77,$BN$1=1),0,1-SUMPRODUCT(--(($A$1=入户维修!$F77)+($A$1=入户维修!$G77)+$BN$1&gt;0)))</f>
        <v>0</v>
      </c>
      <c r="T77" s="0" t="n">
        <f aca="false">IF(OR($A$2=入户维修!$F77,$A$2=入户维修!$G77,$BN$2=1),0,2-SUMPRODUCT(--(($A$1:$A$2=入户维修!$F77)+($A$1:$A$2=入户维修!$G77)+$BN$1:$BN$2&gt;0)))</f>
        <v>0</v>
      </c>
      <c r="U77" s="0" t="n">
        <f aca="false">IF(OR($A$3=入户维修!$F77,$A$3=入户维修!$G77,$BN$3=1),0,3-SUMPRODUCT(--(($A$1:$A$3=入户维修!$F77)+($A$1:$A$3=入户维修!$G77)+$BN$1:$BN$3&gt;0)))</f>
        <v>1</v>
      </c>
      <c r="V77" s="0" t="n">
        <f aca="false">IF(OR($A$4=入户维修!$F77,$A$4=入户维修!$G77,$BN$4=1),0,4-SUMPRODUCT(--(($A$1:$A$4=入户维修!$F77)+($A$1:$A$4=入户维修!$G77)+$BN$1:$BN$4&gt;0)))</f>
        <v>2</v>
      </c>
      <c r="W77" s="0" t="n">
        <f aca="false">IF(OR($A$5=入户维修!$F77,$A$5=入户维修!$G77,$BN$5=1),0,5-SUMPRODUCT(--(($A$1:$A$5=入户维修!$F77)+($A$1:$A$5=入户维修!$G77)+$BN$1:$BN$5&gt;0)))</f>
        <v>3</v>
      </c>
      <c r="Y77" s="0" t="str">
        <f aca="false">IFERROR(INDEX($A$1:$A$5,MATCH(1,$S77:$W77,0)),IF(1=MAX($S77:$W77)+1,"取消",""))</f>
        <v>王师傅</v>
      </c>
      <c r="Z77" s="0" t="str">
        <f aca="false">IFERROR(INDEX($A$1:$A$5,MATCH(2,$S77:$W77,0)),IF(2=MAX($S77:$W77)+1,"取消",""))</f>
        <v>陈师傅</v>
      </c>
      <c r="AA77" s="0" t="str">
        <f aca="false">IFERROR(INDEX($A$1:$A$5,MATCH(3,$S77:$W77,0)),IF(3=MAX($S77:$W77)+1,"取消",""))</f>
        <v>刘师傅</v>
      </c>
      <c r="AB77" s="0" t="str">
        <f aca="false">IFERROR(INDEX($A$1:$A$5,MATCH(4,$S77:$W77,0)),IF(4=MAX($S77:$W77)+1,"取消",""))</f>
        <v>取消</v>
      </c>
      <c r="AC77" s="0" t="str">
        <f aca="false">IFERROR(INDEX($A$1:$A$5,MATCH(5,$S77:$W77,0)),IF(5=MAX($S77:$W77)+1,"取消",""))</f>
        <v/>
      </c>
      <c r="AD77" s="0" t="str">
        <f aca="false">IFERROR(INDEX($A$1:$A$5,MATCH(6,$S77:$W77,0)),IF(6=MAX($S77:$W77)+1,"取消",""))</f>
        <v/>
      </c>
      <c r="AF77" s="0" t="n">
        <f aca="false">IF(OR($A$1=公区维修!$F77,$BN$1=1),0,1-SUMPRODUCT(--(($A$1=公区维修!$F77)+$BN$1&gt;0)))</f>
        <v>0</v>
      </c>
      <c r="AG77" s="0" t="n">
        <f aca="false">IF(OR($A$2=公区维修!$F77,$BN$2=1),0,2-SUMPRODUCT(--(($A$1:$A$2=公区维修!$F77)+$BN$1:$BN$2&gt;0)))</f>
        <v>1</v>
      </c>
      <c r="AH77" s="0" t="n">
        <f aca="false">IF(OR($A$3=公区维修!$F77,$BN$3=1),0,3-SUMPRODUCT(--(($A$1:$A$3=公区维修!$F77)+$BN$1:$BN$3&gt;0)))</f>
        <v>2</v>
      </c>
      <c r="AI77" s="0" t="n">
        <f aca="false">IF(OR($A$4=公区维修!$F77,$BN$4=1),0,4-SUMPRODUCT(--(($A$1:$A$4=公区维修!$F77)+$BN$1:$BN$4&gt;0)))</f>
        <v>3</v>
      </c>
      <c r="AJ77" s="0" t="n">
        <f aca="false">IF(OR($A$5=公区维修!$F77,$BN$5=1),0,5-SUMPRODUCT(--(($A$1:$A$5=公区维修!$F77)+$BN$1:$BN$5&gt;0)))</f>
        <v>4</v>
      </c>
      <c r="AL77" s="0" t="str">
        <f aca="false">IFERROR(INDEX($A$1:$A$5,MATCH(1,$AF77:$AJ77,0)),IF(1=MAX($AF77:$AJ77)+1,"取消",""))</f>
        <v>李师傅</v>
      </c>
      <c r="AM77" s="0" t="str">
        <f aca="false">IFERROR(INDEX($A$1:$A$5,MATCH(2,$AF77:$AJ77,0)),IF(2=MAX($AF77:$AJ77)+1,"取消",""))</f>
        <v>王师傅</v>
      </c>
      <c r="AN77" s="0" t="str">
        <f aca="false">IFERROR(INDEX($A$1:$A$5,MATCH(3,$AF77:$AJ77,0)),IF(3=MAX($AF77:$AJ77)+1,"取消",""))</f>
        <v>陈师傅</v>
      </c>
      <c r="AO77" s="0" t="str">
        <f aca="false">IFERROR(INDEX($A$1:$A$5,MATCH(4,$AF77:$AJ77,0)),IF(4=MAX($AF77:$AJ77)+1,"取消",""))</f>
        <v>刘师傅</v>
      </c>
      <c r="AP77" s="0" t="str">
        <f aca="false">IFERROR(INDEX($A$1:$A$5,MATCH(5,$AF77:$AJ77,0)),IF(5=MAX($AF77:$AJ77)+1,"取消",""))</f>
        <v>取消</v>
      </c>
      <c r="AQ77" s="0" t="str">
        <f aca="false">IFERROR(INDEX($A$1:$A$5,MATCH(6,$AF77:$AJ77,0)),IF(6=MAX($AF77:$AJ77)+1,"取消",""))</f>
        <v/>
      </c>
      <c r="AS77" s="0" t="n">
        <f aca="false">IF(OR($A$1=公区维修!$F77,$A$1=公区维修!$G77,$BN$1=1),0,1-SUMPRODUCT(--(($A$1=公区维修!$F77)+($A$1=公区维修!$G77)+$BN$1&gt;0)))</f>
        <v>0</v>
      </c>
      <c r="AT77" s="0" t="n">
        <f aca="false">IF(OR($A$2=公区维修!$F77,$A$2=公区维修!$G77,$BN$2=1),0,2-SUMPRODUCT(--(($A$1:$A$2=公区维修!$F77)+($A$1:$A$2=公区维修!$G77)+$BN$1:$BN$2&gt;0)))</f>
        <v>1</v>
      </c>
      <c r="AU77" s="0" t="n">
        <f aca="false">IF(OR($A$3=公区维修!$F77,$A$3=公区维修!$G77,$BN$3=1),0,3-SUMPRODUCT(--(($A$1:$A$3=公区维修!$F77)+($A$1:$A$3=公区维修!$G77)+$BN$1:$BN$3&gt;0)))</f>
        <v>2</v>
      </c>
      <c r="AV77" s="0" t="n">
        <f aca="false">IF(OR($A$4=公区维修!$F77,$A$4=公区维修!$G77,$BN$4=1),0,4-SUMPRODUCT(--(($A$1:$A$4=公区维修!$F77)+($A$1:$A$4=公区维修!$G77)+$BN$1:$BN$4&gt;0)))</f>
        <v>3</v>
      </c>
      <c r="AW77" s="0" t="n">
        <f aca="false">IF(OR($A$5=公区维修!$F77,$A$5=公区维修!$G77,$BN$5=1),0,5-SUMPRODUCT(--(($A$1:$A$5=公区维修!$F77)+($A$1:$A$5=公区维修!$G77)+$BN$1:$BN$5&gt;0)))</f>
        <v>4</v>
      </c>
      <c r="AY77" s="0" t="str">
        <f aca="false">IFERROR(INDEX($A$1:$A$5,MATCH(1,$AS77:$AW77,0)),IF(1=MAX($AS77:$AW77)+1,"取消",""))</f>
        <v>李师傅</v>
      </c>
      <c r="AZ77" s="0" t="str">
        <f aca="false">IFERROR(INDEX($A$1:$A$5,MATCH(2,$AS77:$AW77,0)),IF(2=MAX($AS77:$AW77)+1,"取消",""))</f>
        <v>王师傅</v>
      </c>
      <c r="BA77" s="0" t="str">
        <f aca="false">IFERROR(INDEX($A$1:$A$5,MATCH(3,$AS77:$AW77,0)),IF(3=MAX($AS77:$AW77)+1,"取消",""))</f>
        <v>陈师傅</v>
      </c>
      <c r="BB77" s="0" t="str">
        <f aca="false">IFERROR(INDEX($A$1:$A$5,MATCH(4,$AS77:$AW77,0)),IF(4=MAX($AS77:$AW77)+1,"取消",""))</f>
        <v>刘师傅</v>
      </c>
      <c r="BC77" s="0" t="str">
        <f aca="false">IFERROR(INDEX($A$1:$A$5,MATCH(5,$AS77:$AW77,0)),IF(5=MAX($AS77:$AW77)+1,"取消",""))</f>
        <v>取消</v>
      </c>
      <c r="BD77" s="0" t="str">
        <f aca="false">IFERROR(INDEX($A$1:$A$5,MATCH(6,$AS77:$AW77,0)),IF(6=MAX($AS77:$AW77)+1,"取消",""))</f>
        <v/>
      </c>
      <c r="FW77" s="0" t="str">
        <f aca="false">IF(AND(单元查询!$D$3&lt;&gt;"",IF(单元查询!$B$3="公区维修",公区维修!$E77&lt;&gt;"",入户维修!$E77&lt;&gt;""),IF(单元查询!$B$3="公区维修",公区维修!$C77,入户维修!$C77)=单元查询!$D$3,OR(单元查询!$F$3="",IF(单元查询!$B$3="公区维修",公区维修!$D77,入户维修!$D77)&amp;""=(单元查询!$F$3)&amp;"")),MAX($FW$4:$FW76)+1,"")</f>
        <v/>
      </c>
    </row>
    <row r="78" customFormat="false" ht="15" hidden="false" customHeight="true" outlineLevel="0" collapsed="false">
      <c r="F78" s="0" t="n">
        <f aca="false">IF(OR($A$1=入户维修!$F78,$BN$1=1),0,1-SUMPRODUCT(--(($A$1=入户维修!$F78)+$BN$1&gt;0)))</f>
        <v>0</v>
      </c>
      <c r="G78" s="0" t="n">
        <f aca="false">IF(OR($A$2=入户维修!$F78,$BN$2=1),0,2-SUMPRODUCT(--(($A$1:$A$2=入户维修!$F78)+$BN$1:$BN$2&gt;0)))</f>
        <v>1</v>
      </c>
      <c r="H78" s="0" t="n">
        <f aca="false">IF(OR($A$3=入户维修!$F78,$BN$3=1),0,3-SUMPRODUCT(--(($A$1:$A$3=入户维修!$F78)+$BN$1:$BN$3&gt;0)))</f>
        <v>2</v>
      </c>
      <c r="I78" s="0" t="n">
        <f aca="false">IF(OR($A$4=入户维修!$F78,$BN$4=1),0,4-SUMPRODUCT(--(($A$1:$A$4=入户维修!$F78)+$BN$1:$BN$4&gt;0)))</f>
        <v>3</v>
      </c>
      <c r="J78" s="0" t="n">
        <f aca="false">IF(OR($A$5=入户维修!$F78,$BN$5=1),0,5-SUMPRODUCT(--(($A$1:$A$5=入户维修!$F78)+$BN$1:$BN$5&gt;0)))</f>
        <v>0</v>
      </c>
      <c r="L78" s="0" t="str">
        <f aca="false">IFERROR(INDEX($A$1:$A$5,MATCH(1,$F78:$J78,0)),IF(1=MAX($F78:$J78)+1,"取消",""))</f>
        <v>李师傅</v>
      </c>
      <c r="M78" s="0" t="str">
        <f aca="false">IFERROR(INDEX($A$1:$A$5,MATCH(2,$F78:$J78,0)),IF(2=MAX($F78:$J78)+1,"取消",""))</f>
        <v>王师傅</v>
      </c>
      <c r="N78" s="0" t="str">
        <f aca="false">IFERROR(INDEX($A$1:$A$5,MATCH(3,$F78:$J78,0)),IF(3=MAX($F78:$J78)+1,"取消",""))</f>
        <v>陈师傅</v>
      </c>
      <c r="O78" s="0" t="str">
        <f aca="false">IFERROR(INDEX($A$1:$A$5,MATCH(4,$F78:$J78,0)),IF(4=MAX($F78:$J78)+1,"取消",""))</f>
        <v>取消</v>
      </c>
      <c r="P78" s="0" t="str">
        <f aca="false">IFERROR(INDEX($A$1:$A$5,MATCH(5,$F78:$J78,0)),IF(5=MAX($F78:$J78)+1,"取消",""))</f>
        <v/>
      </c>
      <c r="Q78" s="0" t="str">
        <f aca="false">IFERROR(INDEX($A$1:$A$5,MATCH(6,$F78:$J78,0)),IF(6=MAX($F78:$J78)+1,"取消",""))</f>
        <v/>
      </c>
      <c r="S78" s="0" t="n">
        <f aca="false">IF(OR($A$1=入户维修!$F78,$A$1=入户维修!$G78,$BN$1=1),0,1-SUMPRODUCT(--(($A$1=入户维修!$F78)+($A$1=入户维修!$G78)+$BN$1&gt;0)))</f>
        <v>0</v>
      </c>
      <c r="T78" s="0" t="n">
        <f aca="false">IF(OR($A$2=入户维修!$F78,$A$2=入户维修!$G78,$BN$2=1),0,2-SUMPRODUCT(--(($A$1:$A$2=入户维修!$F78)+($A$1:$A$2=入户维修!$G78)+$BN$1:$BN$2&gt;0)))</f>
        <v>1</v>
      </c>
      <c r="U78" s="0" t="n">
        <f aca="false">IF(OR($A$3=入户维修!$F78,$A$3=入户维修!$G78,$BN$3=1),0,3-SUMPRODUCT(--(($A$1:$A$3=入户维修!$F78)+($A$1:$A$3=入户维修!$G78)+$BN$1:$BN$3&gt;0)))</f>
        <v>2</v>
      </c>
      <c r="V78" s="0" t="n">
        <f aca="false">IF(OR($A$4=入户维修!$F78,$A$4=入户维修!$G78,$BN$4=1),0,4-SUMPRODUCT(--(($A$1:$A$4=入户维修!$F78)+($A$1:$A$4=入户维修!$G78)+$BN$1:$BN$4&gt;0)))</f>
        <v>3</v>
      </c>
      <c r="W78" s="0" t="n">
        <f aca="false">IF(OR($A$5=入户维修!$F78,$A$5=入户维修!$G78,$BN$5=1),0,5-SUMPRODUCT(--(($A$1:$A$5=入户维修!$F78)+($A$1:$A$5=入户维修!$G78)+$BN$1:$BN$5&gt;0)))</f>
        <v>0</v>
      </c>
      <c r="Y78" s="0" t="str">
        <f aca="false">IFERROR(INDEX($A$1:$A$5,MATCH(1,$S78:$W78,0)),IF(1=MAX($S78:$W78)+1,"取消",""))</f>
        <v>李师傅</v>
      </c>
      <c r="Z78" s="0" t="str">
        <f aca="false">IFERROR(INDEX($A$1:$A$5,MATCH(2,$S78:$W78,0)),IF(2=MAX($S78:$W78)+1,"取消",""))</f>
        <v>王师傅</v>
      </c>
      <c r="AA78" s="0" t="str">
        <f aca="false">IFERROR(INDEX($A$1:$A$5,MATCH(3,$S78:$W78,0)),IF(3=MAX($S78:$W78)+1,"取消",""))</f>
        <v>陈师傅</v>
      </c>
      <c r="AB78" s="0" t="str">
        <f aca="false">IFERROR(INDEX($A$1:$A$5,MATCH(4,$S78:$W78,0)),IF(4=MAX($S78:$W78)+1,"取消",""))</f>
        <v>取消</v>
      </c>
      <c r="AC78" s="0" t="str">
        <f aca="false">IFERROR(INDEX($A$1:$A$5,MATCH(5,$S78:$W78,0)),IF(5=MAX($S78:$W78)+1,"取消",""))</f>
        <v/>
      </c>
      <c r="AD78" s="0" t="str">
        <f aca="false">IFERROR(INDEX($A$1:$A$5,MATCH(6,$S78:$W78,0)),IF(6=MAX($S78:$W78)+1,"取消",""))</f>
        <v/>
      </c>
      <c r="AF78" s="0" t="n">
        <f aca="false">IF(OR($A$1=公区维修!$F78,$BN$1=1),0,1-SUMPRODUCT(--(($A$1=公区维修!$F78)+$BN$1&gt;0)))</f>
        <v>0</v>
      </c>
      <c r="AG78" s="0" t="n">
        <f aca="false">IF(OR($A$2=公区维修!$F78,$BN$2=1),0,2-SUMPRODUCT(--(($A$1:$A$2=公区维修!$F78)+$BN$1:$BN$2&gt;0)))</f>
        <v>1</v>
      </c>
      <c r="AH78" s="0" t="n">
        <f aca="false">IF(OR($A$3=公区维修!$F78,$BN$3=1),0,3-SUMPRODUCT(--(($A$1:$A$3=公区维修!$F78)+$BN$1:$BN$3&gt;0)))</f>
        <v>2</v>
      </c>
      <c r="AI78" s="0" t="n">
        <f aca="false">IF(OR($A$4=公区维修!$F78,$BN$4=1),0,4-SUMPRODUCT(--(($A$1:$A$4=公区维修!$F78)+$BN$1:$BN$4&gt;0)))</f>
        <v>3</v>
      </c>
      <c r="AJ78" s="0" t="n">
        <f aca="false">IF(OR($A$5=公区维修!$F78,$BN$5=1),0,5-SUMPRODUCT(--(($A$1:$A$5=公区维修!$F78)+$BN$1:$BN$5&gt;0)))</f>
        <v>4</v>
      </c>
      <c r="AL78" s="0" t="str">
        <f aca="false">IFERROR(INDEX($A$1:$A$5,MATCH(1,$AF78:$AJ78,0)),IF(1=MAX($AF78:$AJ78)+1,"取消",""))</f>
        <v>李师傅</v>
      </c>
      <c r="AM78" s="0" t="str">
        <f aca="false">IFERROR(INDEX($A$1:$A$5,MATCH(2,$AF78:$AJ78,0)),IF(2=MAX($AF78:$AJ78)+1,"取消",""))</f>
        <v>王师傅</v>
      </c>
      <c r="AN78" s="0" t="str">
        <f aca="false">IFERROR(INDEX($A$1:$A$5,MATCH(3,$AF78:$AJ78,0)),IF(3=MAX($AF78:$AJ78)+1,"取消",""))</f>
        <v>陈师傅</v>
      </c>
      <c r="AO78" s="0" t="str">
        <f aca="false">IFERROR(INDEX($A$1:$A$5,MATCH(4,$AF78:$AJ78,0)),IF(4=MAX($AF78:$AJ78)+1,"取消",""))</f>
        <v>刘师傅</v>
      </c>
      <c r="AP78" s="0" t="str">
        <f aca="false">IFERROR(INDEX($A$1:$A$5,MATCH(5,$AF78:$AJ78,0)),IF(5=MAX($AF78:$AJ78)+1,"取消",""))</f>
        <v>取消</v>
      </c>
      <c r="AQ78" s="0" t="str">
        <f aca="false">IFERROR(INDEX($A$1:$A$5,MATCH(6,$AF78:$AJ78,0)),IF(6=MAX($AF78:$AJ78)+1,"取消",""))</f>
        <v/>
      </c>
      <c r="AS78" s="0" t="n">
        <f aca="false">IF(OR($A$1=公区维修!$F78,$A$1=公区维修!$G78,$BN$1=1),0,1-SUMPRODUCT(--(($A$1=公区维修!$F78)+($A$1=公区维修!$G78)+$BN$1&gt;0)))</f>
        <v>0</v>
      </c>
      <c r="AT78" s="0" t="n">
        <f aca="false">IF(OR($A$2=公区维修!$F78,$A$2=公区维修!$G78,$BN$2=1),0,2-SUMPRODUCT(--(($A$1:$A$2=公区维修!$F78)+($A$1:$A$2=公区维修!$G78)+$BN$1:$BN$2&gt;0)))</f>
        <v>1</v>
      </c>
      <c r="AU78" s="0" t="n">
        <f aca="false">IF(OR($A$3=公区维修!$F78,$A$3=公区维修!$G78,$BN$3=1),0,3-SUMPRODUCT(--(($A$1:$A$3=公区维修!$F78)+($A$1:$A$3=公区维修!$G78)+$BN$1:$BN$3&gt;0)))</f>
        <v>2</v>
      </c>
      <c r="AV78" s="0" t="n">
        <f aca="false">IF(OR($A$4=公区维修!$F78,$A$4=公区维修!$G78,$BN$4=1),0,4-SUMPRODUCT(--(($A$1:$A$4=公区维修!$F78)+($A$1:$A$4=公区维修!$G78)+$BN$1:$BN$4&gt;0)))</f>
        <v>3</v>
      </c>
      <c r="AW78" s="0" t="n">
        <f aca="false">IF(OR($A$5=公区维修!$F78,$A$5=公区维修!$G78,$BN$5=1),0,5-SUMPRODUCT(--(($A$1:$A$5=公区维修!$F78)+($A$1:$A$5=公区维修!$G78)+$BN$1:$BN$5&gt;0)))</f>
        <v>4</v>
      </c>
      <c r="AY78" s="0" t="str">
        <f aca="false">IFERROR(INDEX($A$1:$A$5,MATCH(1,$AS78:$AW78,0)),IF(1=MAX($AS78:$AW78)+1,"取消",""))</f>
        <v>李师傅</v>
      </c>
      <c r="AZ78" s="0" t="str">
        <f aca="false">IFERROR(INDEX($A$1:$A$5,MATCH(2,$AS78:$AW78,0)),IF(2=MAX($AS78:$AW78)+1,"取消",""))</f>
        <v>王师傅</v>
      </c>
      <c r="BA78" s="0" t="str">
        <f aca="false">IFERROR(INDEX($A$1:$A$5,MATCH(3,$AS78:$AW78,0)),IF(3=MAX($AS78:$AW78)+1,"取消",""))</f>
        <v>陈师傅</v>
      </c>
      <c r="BB78" s="0" t="str">
        <f aca="false">IFERROR(INDEX($A$1:$A$5,MATCH(4,$AS78:$AW78,0)),IF(4=MAX($AS78:$AW78)+1,"取消",""))</f>
        <v>刘师傅</v>
      </c>
      <c r="BC78" s="0" t="str">
        <f aca="false">IFERROR(INDEX($A$1:$A$5,MATCH(5,$AS78:$AW78,0)),IF(5=MAX($AS78:$AW78)+1,"取消",""))</f>
        <v>取消</v>
      </c>
      <c r="BD78" s="0" t="str">
        <f aca="false">IFERROR(INDEX($A$1:$A$5,MATCH(6,$AS78:$AW78,0)),IF(6=MAX($AS78:$AW78)+1,"取消",""))</f>
        <v/>
      </c>
      <c r="FW78" s="0" t="str">
        <f aca="false">IF(AND(单元查询!$D$3&lt;&gt;"",IF(单元查询!$B$3="公区维修",公区维修!$E78&lt;&gt;"",入户维修!$E78&lt;&gt;""),IF(单元查询!$B$3="公区维修",公区维修!$C78,入户维修!$C78)=单元查询!$D$3,OR(单元查询!$F$3="",IF(单元查询!$B$3="公区维修",公区维修!$D78,入户维修!$D78)&amp;""=(单元查询!$F$3)&amp;"")),MAX($FW$4:$FW77)+1,"")</f>
        <v/>
      </c>
    </row>
    <row r="79" customFormat="false" ht="15" hidden="false" customHeight="true" outlineLevel="0" collapsed="false">
      <c r="F79" s="0" t="n">
        <f aca="false">IF(OR($A$1=入户维修!$F79,$BN$1=1),0,1-SUMPRODUCT(--(($A$1=入户维修!$F79)+$BN$1&gt;0)))</f>
        <v>0</v>
      </c>
      <c r="G79" s="0" t="n">
        <f aca="false">IF(OR($A$2=入户维修!$F79,$BN$2=1),0,2-SUMPRODUCT(--(($A$1:$A$2=入户维修!$F79)+$BN$1:$BN$2&gt;0)))</f>
        <v>1</v>
      </c>
      <c r="H79" s="0" t="n">
        <f aca="false">IF(OR($A$3=入户维修!$F79,$BN$3=1),0,3-SUMPRODUCT(--(($A$1:$A$3=入户维修!$F79)+$BN$1:$BN$3&gt;0)))</f>
        <v>2</v>
      </c>
      <c r="I79" s="0" t="n">
        <f aca="false">IF(OR($A$4=入户维修!$F79,$BN$4=1),0,4-SUMPRODUCT(--(($A$1:$A$4=入户维修!$F79)+$BN$1:$BN$4&gt;0)))</f>
        <v>3</v>
      </c>
      <c r="J79" s="0" t="n">
        <f aca="false">IF(OR($A$5=入户维修!$F79,$BN$5=1),0,5-SUMPRODUCT(--(($A$1:$A$5=入户维修!$F79)+$BN$1:$BN$5&gt;0)))</f>
        <v>4</v>
      </c>
      <c r="L79" s="0" t="str">
        <f aca="false">IFERROR(INDEX($A$1:$A$5,MATCH(1,$F79:$J79,0)),IF(1=MAX($F79:$J79)+1,"取消",""))</f>
        <v>李师傅</v>
      </c>
      <c r="M79" s="0" t="str">
        <f aca="false">IFERROR(INDEX($A$1:$A$5,MATCH(2,$F79:$J79,0)),IF(2=MAX($F79:$J79)+1,"取消",""))</f>
        <v>王师傅</v>
      </c>
      <c r="N79" s="0" t="str">
        <f aca="false">IFERROR(INDEX($A$1:$A$5,MATCH(3,$F79:$J79,0)),IF(3=MAX($F79:$J79)+1,"取消",""))</f>
        <v>陈师傅</v>
      </c>
      <c r="O79" s="0" t="str">
        <f aca="false">IFERROR(INDEX($A$1:$A$5,MATCH(4,$F79:$J79,0)),IF(4=MAX($F79:$J79)+1,"取消",""))</f>
        <v>刘师傅</v>
      </c>
      <c r="P79" s="0" t="str">
        <f aca="false">IFERROR(INDEX($A$1:$A$5,MATCH(5,$F79:$J79,0)),IF(5=MAX($F79:$J79)+1,"取消",""))</f>
        <v>取消</v>
      </c>
      <c r="Q79" s="0" t="str">
        <f aca="false">IFERROR(INDEX($A$1:$A$5,MATCH(6,$F79:$J79,0)),IF(6=MAX($F79:$J79)+1,"取消",""))</f>
        <v/>
      </c>
      <c r="S79" s="0" t="n">
        <f aca="false">IF(OR($A$1=入户维修!$F79,$A$1=入户维修!$G79,$BN$1=1),0,1-SUMPRODUCT(--(($A$1=入户维修!$F79)+($A$1=入户维修!$G79)+$BN$1&gt;0)))</f>
        <v>0</v>
      </c>
      <c r="T79" s="0" t="n">
        <f aca="false">IF(OR($A$2=入户维修!$F79,$A$2=入户维修!$G79,$BN$2=1),0,2-SUMPRODUCT(--(($A$1:$A$2=入户维修!$F79)+($A$1:$A$2=入户维修!$G79)+$BN$1:$BN$2&gt;0)))</f>
        <v>1</v>
      </c>
      <c r="U79" s="0" t="n">
        <f aca="false">IF(OR($A$3=入户维修!$F79,$A$3=入户维修!$G79,$BN$3=1),0,3-SUMPRODUCT(--(($A$1:$A$3=入户维修!$F79)+($A$1:$A$3=入户维修!$G79)+$BN$1:$BN$3&gt;0)))</f>
        <v>2</v>
      </c>
      <c r="V79" s="0" t="n">
        <f aca="false">IF(OR($A$4=入户维修!$F79,$A$4=入户维修!$G79,$BN$4=1),0,4-SUMPRODUCT(--(($A$1:$A$4=入户维修!$F79)+($A$1:$A$4=入户维修!$G79)+$BN$1:$BN$4&gt;0)))</f>
        <v>3</v>
      </c>
      <c r="W79" s="0" t="n">
        <f aca="false">IF(OR($A$5=入户维修!$F79,$A$5=入户维修!$G79,$BN$5=1),0,5-SUMPRODUCT(--(($A$1:$A$5=入户维修!$F79)+($A$1:$A$5=入户维修!$G79)+$BN$1:$BN$5&gt;0)))</f>
        <v>4</v>
      </c>
      <c r="Y79" s="0" t="str">
        <f aca="false">IFERROR(INDEX($A$1:$A$5,MATCH(1,$S79:$W79,0)),IF(1=MAX($S79:$W79)+1,"取消",""))</f>
        <v>李师傅</v>
      </c>
      <c r="Z79" s="0" t="str">
        <f aca="false">IFERROR(INDEX($A$1:$A$5,MATCH(2,$S79:$W79,0)),IF(2=MAX($S79:$W79)+1,"取消",""))</f>
        <v>王师傅</v>
      </c>
      <c r="AA79" s="0" t="str">
        <f aca="false">IFERROR(INDEX($A$1:$A$5,MATCH(3,$S79:$W79,0)),IF(3=MAX($S79:$W79)+1,"取消",""))</f>
        <v>陈师傅</v>
      </c>
      <c r="AB79" s="0" t="str">
        <f aca="false">IFERROR(INDEX($A$1:$A$5,MATCH(4,$S79:$W79,0)),IF(4=MAX($S79:$W79)+1,"取消",""))</f>
        <v>刘师傅</v>
      </c>
      <c r="AC79" s="0" t="str">
        <f aca="false">IFERROR(INDEX($A$1:$A$5,MATCH(5,$S79:$W79,0)),IF(5=MAX($S79:$W79)+1,"取消",""))</f>
        <v>取消</v>
      </c>
      <c r="AD79" s="0" t="str">
        <f aca="false">IFERROR(INDEX($A$1:$A$5,MATCH(6,$S79:$W79,0)),IF(6=MAX($S79:$W79)+1,"取消",""))</f>
        <v/>
      </c>
      <c r="AF79" s="0" t="n">
        <f aca="false">IF(OR($A$1=公区维修!$F79,$BN$1=1),0,1-SUMPRODUCT(--(($A$1=公区维修!$F79)+$BN$1&gt;0)))</f>
        <v>0</v>
      </c>
      <c r="AG79" s="0" t="n">
        <f aca="false">IF(OR($A$2=公区维修!$F79,$BN$2=1),0,2-SUMPRODUCT(--(($A$1:$A$2=公区维修!$F79)+$BN$1:$BN$2&gt;0)))</f>
        <v>1</v>
      </c>
      <c r="AH79" s="0" t="n">
        <f aca="false">IF(OR($A$3=公区维修!$F79,$BN$3=1),0,3-SUMPRODUCT(--(($A$1:$A$3=公区维修!$F79)+$BN$1:$BN$3&gt;0)))</f>
        <v>2</v>
      </c>
      <c r="AI79" s="0" t="n">
        <f aca="false">IF(OR($A$4=公区维修!$F79,$BN$4=1),0,4-SUMPRODUCT(--(($A$1:$A$4=公区维修!$F79)+$BN$1:$BN$4&gt;0)))</f>
        <v>3</v>
      </c>
      <c r="AJ79" s="0" t="n">
        <f aca="false">IF(OR($A$5=公区维修!$F79,$BN$5=1),0,5-SUMPRODUCT(--(($A$1:$A$5=公区维修!$F79)+$BN$1:$BN$5&gt;0)))</f>
        <v>4</v>
      </c>
      <c r="AL79" s="0" t="str">
        <f aca="false">IFERROR(INDEX($A$1:$A$5,MATCH(1,$AF79:$AJ79,0)),IF(1=MAX($AF79:$AJ79)+1,"取消",""))</f>
        <v>李师傅</v>
      </c>
      <c r="AM79" s="0" t="str">
        <f aca="false">IFERROR(INDEX($A$1:$A$5,MATCH(2,$AF79:$AJ79,0)),IF(2=MAX($AF79:$AJ79)+1,"取消",""))</f>
        <v>王师傅</v>
      </c>
      <c r="AN79" s="0" t="str">
        <f aca="false">IFERROR(INDEX($A$1:$A$5,MATCH(3,$AF79:$AJ79,0)),IF(3=MAX($AF79:$AJ79)+1,"取消",""))</f>
        <v>陈师傅</v>
      </c>
      <c r="AO79" s="0" t="str">
        <f aca="false">IFERROR(INDEX($A$1:$A$5,MATCH(4,$AF79:$AJ79,0)),IF(4=MAX($AF79:$AJ79)+1,"取消",""))</f>
        <v>刘师傅</v>
      </c>
      <c r="AP79" s="0" t="str">
        <f aca="false">IFERROR(INDEX($A$1:$A$5,MATCH(5,$AF79:$AJ79,0)),IF(5=MAX($AF79:$AJ79)+1,"取消",""))</f>
        <v>取消</v>
      </c>
      <c r="AQ79" s="0" t="str">
        <f aca="false">IFERROR(INDEX($A$1:$A$5,MATCH(6,$AF79:$AJ79,0)),IF(6=MAX($AF79:$AJ79)+1,"取消",""))</f>
        <v/>
      </c>
      <c r="AS79" s="0" t="n">
        <f aca="false">IF(OR($A$1=公区维修!$F79,$A$1=公区维修!$G79,$BN$1=1),0,1-SUMPRODUCT(--(($A$1=公区维修!$F79)+($A$1=公区维修!$G79)+$BN$1&gt;0)))</f>
        <v>0</v>
      </c>
      <c r="AT79" s="0" t="n">
        <f aca="false">IF(OR($A$2=公区维修!$F79,$A$2=公区维修!$G79,$BN$2=1),0,2-SUMPRODUCT(--(($A$1:$A$2=公区维修!$F79)+($A$1:$A$2=公区维修!$G79)+$BN$1:$BN$2&gt;0)))</f>
        <v>1</v>
      </c>
      <c r="AU79" s="0" t="n">
        <f aca="false">IF(OR($A$3=公区维修!$F79,$A$3=公区维修!$G79,$BN$3=1),0,3-SUMPRODUCT(--(($A$1:$A$3=公区维修!$F79)+($A$1:$A$3=公区维修!$G79)+$BN$1:$BN$3&gt;0)))</f>
        <v>2</v>
      </c>
      <c r="AV79" s="0" t="n">
        <f aca="false">IF(OR($A$4=公区维修!$F79,$A$4=公区维修!$G79,$BN$4=1),0,4-SUMPRODUCT(--(($A$1:$A$4=公区维修!$F79)+($A$1:$A$4=公区维修!$G79)+$BN$1:$BN$4&gt;0)))</f>
        <v>3</v>
      </c>
      <c r="AW79" s="0" t="n">
        <f aca="false">IF(OR($A$5=公区维修!$F79,$A$5=公区维修!$G79,$BN$5=1),0,5-SUMPRODUCT(--(($A$1:$A$5=公区维修!$F79)+($A$1:$A$5=公区维修!$G79)+$BN$1:$BN$5&gt;0)))</f>
        <v>4</v>
      </c>
      <c r="AY79" s="0" t="str">
        <f aca="false">IFERROR(INDEX($A$1:$A$5,MATCH(1,$AS79:$AW79,0)),IF(1=MAX($AS79:$AW79)+1,"取消",""))</f>
        <v>李师傅</v>
      </c>
      <c r="AZ79" s="0" t="str">
        <f aca="false">IFERROR(INDEX($A$1:$A$5,MATCH(2,$AS79:$AW79,0)),IF(2=MAX($AS79:$AW79)+1,"取消",""))</f>
        <v>王师傅</v>
      </c>
      <c r="BA79" s="0" t="str">
        <f aca="false">IFERROR(INDEX($A$1:$A$5,MATCH(3,$AS79:$AW79,0)),IF(3=MAX($AS79:$AW79)+1,"取消",""))</f>
        <v>陈师傅</v>
      </c>
      <c r="BB79" s="0" t="str">
        <f aca="false">IFERROR(INDEX($A$1:$A$5,MATCH(4,$AS79:$AW79,0)),IF(4=MAX($AS79:$AW79)+1,"取消",""))</f>
        <v>刘师傅</v>
      </c>
      <c r="BC79" s="0" t="str">
        <f aca="false">IFERROR(INDEX($A$1:$A$5,MATCH(5,$AS79:$AW79,0)),IF(5=MAX($AS79:$AW79)+1,"取消",""))</f>
        <v>取消</v>
      </c>
      <c r="BD79" s="0" t="str">
        <f aca="false">IFERROR(INDEX($A$1:$A$5,MATCH(6,$AS79:$AW79,0)),IF(6=MAX($AS79:$AW79)+1,"取消",""))</f>
        <v/>
      </c>
      <c r="FW79" s="0" t="str">
        <f aca="false">IF(AND(单元查询!$D$3&lt;&gt;"",IF(单元查询!$B$3="公区维修",公区维修!$E79&lt;&gt;"",入户维修!$E79&lt;&gt;""),IF(单元查询!$B$3="公区维修",公区维修!$C79,入户维修!$C79)=单元查询!$D$3,OR(单元查询!$F$3="",IF(单元查询!$B$3="公区维修",公区维修!$D79,入户维修!$D79)&amp;""=(单元查询!$F$3)&amp;"")),MAX($FW$4:$FW78)+1,"")</f>
        <v/>
      </c>
    </row>
    <row r="80" customFormat="false" ht="15" hidden="false" customHeight="true" outlineLevel="0" collapsed="false">
      <c r="F80" s="0" t="n">
        <f aca="false">IF(OR($A$1=入户维修!$F80,$BN$1=1),0,1-SUMPRODUCT(--(($A$1=入户维修!$F80)+$BN$1&gt;0)))</f>
        <v>0</v>
      </c>
      <c r="G80" s="0" t="n">
        <f aca="false">IF(OR($A$2=入户维修!$F80,$BN$2=1),0,2-SUMPRODUCT(--(($A$1:$A$2=入户维修!$F80)+$BN$1:$BN$2&gt;0)))</f>
        <v>0</v>
      </c>
      <c r="H80" s="0" t="n">
        <f aca="false">IF(OR($A$3=入户维修!$F80,$BN$3=1),0,3-SUMPRODUCT(--(($A$1:$A$3=入户维修!$F80)+$BN$1:$BN$3&gt;0)))</f>
        <v>1</v>
      </c>
      <c r="I80" s="0" t="n">
        <f aca="false">IF(OR($A$4=入户维修!$F80,$BN$4=1),0,4-SUMPRODUCT(--(($A$1:$A$4=入户维修!$F80)+$BN$1:$BN$4&gt;0)))</f>
        <v>2</v>
      </c>
      <c r="J80" s="0" t="n">
        <f aca="false">IF(OR($A$5=入户维修!$F80,$BN$5=1),0,5-SUMPRODUCT(--(($A$1:$A$5=入户维修!$F80)+$BN$1:$BN$5&gt;0)))</f>
        <v>3</v>
      </c>
      <c r="L80" s="0" t="str">
        <f aca="false">IFERROR(INDEX($A$1:$A$5,MATCH(1,$F80:$J80,0)),IF(1=MAX($F80:$J80)+1,"取消",""))</f>
        <v>王师傅</v>
      </c>
      <c r="M80" s="0" t="str">
        <f aca="false">IFERROR(INDEX($A$1:$A$5,MATCH(2,$F80:$J80,0)),IF(2=MAX($F80:$J80)+1,"取消",""))</f>
        <v>陈师傅</v>
      </c>
      <c r="N80" s="0" t="str">
        <f aca="false">IFERROR(INDEX($A$1:$A$5,MATCH(3,$F80:$J80,0)),IF(3=MAX($F80:$J80)+1,"取消",""))</f>
        <v>刘师傅</v>
      </c>
      <c r="O80" s="0" t="str">
        <f aca="false">IFERROR(INDEX($A$1:$A$5,MATCH(4,$F80:$J80,0)),IF(4=MAX($F80:$J80)+1,"取消",""))</f>
        <v>取消</v>
      </c>
      <c r="P80" s="0" t="str">
        <f aca="false">IFERROR(INDEX($A$1:$A$5,MATCH(5,$F80:$J80,0)),IF(5=MAX($F80:$J80)+1,"取消",""))</f>
        <v/>
      </c>
      <c r="Q80" s="0" t="str">
        <f aca="false">IFERROR(INDEX($A$1:$A$5,MATCH(6,$F80:$J80,0)),IF(6=MAX($F80:$J80)+1,"取消",""))</f>
        <v/>
      </c>
      <c r="S80" s="0" t="n">
        <f aca="false">IF(OR($A$1=入户维修!$F80,$A$1=入户维修!$G80,$BN$1=1),0,1-SUMPRODUCT(--(($A$1=入户维修!$F80)+($A$1=入户维修!$G80)+$BN$1&gt;0)))</f>
        <v>0</v>
      </c>
      <c r="T80" s="0" t="n">
        <f aca="false">IF(OR($A$2=入户维修!$F80,$A$2=入户维修!$G80,$BN$2=1),0,2-SUMPRODUCT(--(($A$1:$A$2=入户维修!$F80)+($A$1:$A$2=入户维修!$G80)+$BN$1:$BN$2&gt;0)))</f>
        <v>0</v>
      </c>
      <c r="U80" s="0" t="n">
        <f aca="false">IF(OR($A$3=入户维修!$F80,$A$3=入户维修!$G80,$BN$3=1),0,3-SUMPRODUCT(--(($A$1:$A$3=入户维修!$F80)+($A$1:$A$3=入户维修!$G80)+$BN$1:$BN$3&gt;0)))</f>
        <v>1</v>
      </c>
      <c r="V80" s="0" t="n">
        <f aca="false">IF(OR($A$4=入户维修!$F80,$A$4=入户维修!$G80,$BN$4=1),0,4-SUMPRODUCT(--(($A$1:$A$4=入户维修!$F80)+($A$1:$A$4=入户维修!$G80)+$BN$1:$BN$4&gt;0)))</f>
        <v>2</v>
      </c>
      <c r="W80" s="0" t="n">
        <f aca="false">IF(OR($A$5=入户维修!$F80,$A$5=入户维修!$G80,$BN$5=1),0,5-SUMPRODUCT(--(($A$1:$A$5=入户维修!$F80)+($A$1:$A$5=入户维修!$G80)+$BN$1:$BN$5&gt;0)))</f>
        <v>3</v>
      </c>
      <c r="Y80" s="0" t="str">
        <f aca="false">IFERROR(INDEX($A$1:$A$5,MATCH(1,$S80:$W80,0)),IF(1=MAX($S80:$W80)+1,"取消",""))</f>
        <v>王师傅</v>
      </c>
      <c r="Z80" s="0" t="str">
        <f aca="false">IFERROR(INDEX($A$1:$A$5,MATCH(2,$S80:$W80,0)),IF(2=MAX($S80:$W80)+1,"取消",""))</f>
        <v>陈师傅</v>
      </c>
      <c r="AA80" s="0" t="str">
        <f aca="false">IFERROR(INDEX($A$1:$A$5,MATCH(3,$S80:$W80,0)),IF(3=MAX($S80:$W80)+1,"取消",""))</f>
        <v>刘师傅</v>
      </c>
      <c r="AB80" s="0" t="str">
        <f aca="false">IFERROR(INDEX($A$1:$A$5,MATCH(4,$S80:$W80,0)),IF(4=MAX($S80:$W80)+1,"取消",""))</f>
        <v>取消</v>
      </c>
      <c r="AC80" s="0" t="str">
        <f aca="false">IFERROR(INDEX($A$1:$A$5,MATCH(5,$S80:$W80,0)),IF(5=MAX($S80:$W80)+1,"取消",""))</f>
        <v/>
      </c>
      <c r="AD80" s="0" t="str">
        <f aca="false">IFERROR(INDEX($A$1:$A$5,MATCH(6,$S80:$W80,0)),IF(6=MAX($S80:$W80)+1,"取消",""))</f>
        <v/>
      </c>
      <c r="AF80" s="0" t="n">
        <f aca="false">IF(OR($A$1=公区维修!$F80,$BN$1=1),0,1-SUMPRODUCT(--(($A$1=公区维修!$F80)+$BN$1&gt;0)))</f>
        <v>0</v>
      </c>
      <c r="AG80" s="0" t="n">
        <f aca="false">IF(OR($A$2=公区维修!$F80,$BN$2=1),0,2-SUMPRODUCT(--(($A$1:$A$2=公区维修!$F80)+$BN$1:$BN$2&gt;0)))</f>
        <v>1</v>
      </c>
      <c r="AH80" s="0" t="n">
        <f aca="false">IF(OR($A$3=公区维修!$F80,$BN$3=1),0,3-SUMPRODUCT(--(($A$1:$A$3=公区维修!$F80)+$BN$1:$BN$3&gt;0)))</f>
        <v>2</v>
      </c>
      <c r="AI80" s="0" t="n">
        <f aca="false">IF(OR($A$4=公区维修!$F80,$BN$4=1),0,4-SUMPRODUCT(--(($A$1:$A$4=公区维修!$F80)+$BN$1:$BN$4&gt;0)))</f>
        <v>3</v>
      </c>
      <c r="AJ80" s="0" t="n">
        <f aca="false">IF(OR($A$5=公区维修!$F80,$BN$5=1),0,5-SUMPRODUCT(--(($A$1:$A$5=公区维修!$F80)+$BN$1:$BN$5&gt;0)))</f>
        <v>4</v>
      </c>
      <c r="AL80" s="0" t="str">
        <f aca="false">IFERROR(INDEX($A$1:$A$5,MATCH(1,$AF80:$AJ80,0)),IF(1=MAX($AF80:$AJ80)+1,"取消",""))</f>
        <v>李师傅</v>
      </c>
      <c r="AM80" s="0" t="str">
        <f aca="false">IFERROR(INDEX($A$1:$A$5,MATCH(2,$AF80:$AJ80,0)),IF(2=MAX($AF80:$AJ80)+1,"取消",""))</f>
        <v>王师傅</v>
      </c>
      <c r="AN80" s="0" t="str">
        <f aca="false">IFERROR(INDEX($A$1:$A$5,MATCH(3,$AF80:$AJ80,0)),IF(3=MAX($AF80:$AJ80)+1,"取消",""))</f>
        <v>陈师傅</v>
      </c>
      <c r="AO80" s="0" t="str">
        <f aca="false">IFERROR(INDEX($A$1:$A$5,MATCH(4,$AF80:$AJ80,0)),IF(4=MAX($AF80:$AJ80)+1,"取消",""))</f>
        <v>刘师傅</v>
      </c>
      <c r="AP80" s="0" t="str">
        <f aca="false">IFERROR(INDEX($A$1:$A$5,MATCH(5,$AF80:$AJ80,0)),IF(5=MAX($AF80:$AJ80)+1,"取消",""))</f>
        <v>取消</v>
      </c>
      <c r="AQ80" s="0" t="str">
        <f aca="false">IFERROR(INDEX($A$1:$A$5,MATCH(6,$AF80:$AJ80,0)),IF(6=MAX($AF80:$AJ80)+1,"取消",""))</f>
        <v/>
      </c>
      <c r="AS80" s="0" t="n">
        <f aca="false">IF(OR($A$1=公区维修!$F80,$A$1=公区维修!$G80,$BN$1=1),0,1-SUMPRODUCT(--(($A$1=公区维修!$F80)+($A$1=公区维修!$G80)+$BN$1&gt;0)))</f>
        <v>0</v>
      </c>
      <c r="AT80" s="0" t="n">
        <f aca="false">IF(OR($A$2=公区维修!$F80,$A$2=公区维修!$G80,$BN$2=1),0,2-SUMPRODUCT(--(($A$1:$A$2=公区维修!$F80)+($A$1:$A$2=公区维修!$G80)+$BN$1:$BN$2&gt;0)))</f>
        <v>1</v>
      </c>
      <c r="AU80" s="0" t="n">
        <f aca="false">IF(OR($A$3=公区维修!$F80,$A$3=公区维修!$G80,$BN$3=1),0,3-SUMPRODUCT(--(($A$1:$A$3=公区维修!$F80)+($A$1:$A$3=公区维修!$G80)+$BN$1:$BN$3&gt;0)))</f>
        <v>2</v>
      </c>
      <c r="AV80" s="0" t="n">
        <f aca="false">IF(OR($A$4=公区维修!$F80,$A$4=公区维修!$G80,$BN$4=1),0,4-SUMPRODUCT(--(($A$1:$A$4=公区维修!$F80)+($A$1:$A$4=公区维修!$G80)+$BN$1:$BN$4&gt;0)))</f>
        <v>3</v>
      </c>
      <c r="AW80" s="0" t="n">
        <f aca="false">IF(OR($A$5=公区维修!$F80,$A$5=公区维修!$G80,$BN$5=1),0,5-SUMPRODUCT(--(($A$1:$A$5=公区维修!$F80)+($A$1:$A$5=公区维修!$G80)+$BN$1:$BN$5&gt;0)))</f>
        <v>4</v>
      </c>
      <c r="AY80" s="0" t="str">
        <f aca="false">IFERROR(INDEX($A$1:$A$5,MATCH(1,$AS80:$AW80,0)),IF(1=MAX($AS80:$AW80)+1,"取消",""))</f>
        <v>李师傅</v>
      </c>
      <c r="AZ80" s="0" t="str">
        <f aca="false">IFERROR(INDEX($A$1:$A$5,MATCH(2,$AS80:$AW80,0)),IF(2=MAX($AS80:$AW80)+1,"取消",""))</f>
        <v>王师傅</v>
      </c>
      <c r="BA80" s="0" t="str">
        <f aca="false">IFERROR(INDEX($A$1:$A$5,MATCH(3,$AS80:$AW80,0)),IF(3=MAX($AS80:$AW80)+1,"取消",""))</f>
        <v>陈师傅</v>
      </c>
      <c r="BB80" s="0" t="str">
        <f aca="false">IFERROR(INDEX($A$1:$A$5,MATCH(4,$AS80:$AW80,0)),IF(4=MAX($AS80:$AW80)+1,"取消",""))</f>
        <v>刘师傅</v>
      </c>
      <c r="BC80" s="0" t="str">
        <f aca="false">IFERROR(INDEX($A$1:$A$5,MATCH(5,$AS80:$AW80,0)),IF(5=MAX($AS80:$AW80)+1,"取消",""))</f>
        <v>取消</v>
      </c>
      <c r="BD80" s="0" t="str">
        <f aca="false">IFERROR(INDEX($A$1:$A$5,MATCH(6,$AS80:$AW80,0)),IF(6=MAX($AS80:$AW80)+1,"取消",""))</f>
        <v/>
      </c>
      <c r="FW80" s="0" t="str">
        <f aca="false">IF(AND(单元查询!$D$3&lt;&gt;"",IF(单元查询!$B$3="公区维修",公区维修!$E80&lt;&gt;"",入户维修!$E80&lt;&gt;""),IF(单元查询!$B$3="公区维修",公区维修!$C80,入户维修!$C80)=单元查询!$D$3,OR(单元查询!$F$3="",IF(单元查询!$B$3="公区维修",公区维修!$D80,入户维修!$D80)&amp;""=(单元查询!$F$3)&amp;"")),MAX($FW$4:$FW79)+1,"")</f>
        <v/>
      </c>
    </row>
    <row r="81" customFormat="false" ht="15" hidden="false" customHeight="true" outlineLevel="0" collapsed="false">
      <c r="F81" s="0" t="n">
        <f aca="false">IF(OR($A$1=入户维修!$F81,$BN$1=1),0,1-SUMPRODUCT(--(($A$1=入户维修!$F81)+$BN$1&gt;0)))</f>
        <v>0</v>
      </c>
      <c r="G81" s="0" t="n">
        <f aca="false">IF(OR($A$2=入户维修!$F81,$BN$2=1),0,2-SUMPRODUCT(--(($A$1:$A$2=入户维修!$F81)+$BN$1:$BN$2&gt;0)))</f>
        <v>1</v>
      </c>
      <c r="H81" s="0" t="n">
        <f aca="false">IF(OR($A$3=入户维修!$F81,$BN$3=1),0,3-SUMPRODUCT(--(($A$1:$A$3=入户维修!$F81)+$BN$1:$BN$3&gt;0)))</f>
        <v>2</v>
      </c>
      <c r="I81" s="0" t="n">
        <f aca="false">IF(OR($A$4=入户维修!$F81,$BN$4=1),0,4-SUMPRODUCT(--(($A$1:$A$4=入户维修!$F81)+$BN$1:$BN$4&gt;0)))</f>
        <v>3</v>
      </c>
      <c r="J81" s="0" t="n">
        <f aca="false">IF(OR($A$5=入户维修!$F81,$BN$5=1),0,5-SUMPRODUCT(--(($A$1:$A$5=入户维修!$F81)+$BN$1:$BN$5&gt;0)))</f>
        <v>4</v>
      </c>
      <c r="L81" s="0" t="str">
        <f aca="false">IFERROR(INDEX($A$1:$A$5,MATCH(1,$F81:$J81,0)),IF(1=MAX($F81:$J81)+1,"取消",""))</f>
        <v>李师傅</v>
      </c>
      <c r="M81" s="0" t="str">
        <f aca="false">IFERROR(INDEX($A$1:$A$5,MATCH(2,$F81:$J81,0)),IF(2=MAX($F81:$J81)+1,"取消",""))</f>
        <v>王师傅</v>
      </c>
      <c r="N81" s="0" t="str">
        <f aca="false">IFERROR(INDEX($A$1:$A$5,MATCH(3,$F81:$J81,0)),IF(3=MAX($F81:$J81)+1,"取消",""))</f>
        <v>陈师傅</v>
      </c>
      <c r="O81" s="0" t="str">
        <f aca="false">IFERROR(INDEX($A$1:$A$5,MATCH(4,$F81:$J81,0)),IF(4=MAX($F81:$J81)+1,"取消",""))</f>
        <v>刘师傅</v>
      </c>
      <c r="P81" s="0" t="str">
        <f aca="false">IFERROR(INDEX($A$1:$A$5,MATCH(5,$F81:$J81,0)),IF(5=MAX($F81:$J81)+1,"取消",""))</f>
        <v>取消</v>
      </c>
      <c r="Q81" s="0" t="str">
        <f aca="false">IFERROR(INDEX($A$1:$A$5,MATCH(6,$F81:$J81,0)),IF(6=MAX($F81:$J81)+1,"取消",""))</f>
        <v/>
      </c>
      <c r="S81" s="0" t="n">
        <f aca="false">IF(OR($A$1=入户维修!$F81,$A$1=入户维修!$G81,$BN$1=1),0,1-SUMPRODUCT(--(($A$1=入户维修!$F81)+($A$1=入户维修!$G81)+$BN$1&gt;0)))</f>
        <v>0</v>
      </c>
      <c r="T81" s="0" t="n">
        <f aca="false">IF(OR($A$2=入户维修!$F81,$A$2=入户维修!$G81,$BN$2=1),0,2-SUMPRODUCT(--(($A$1:$A$2=入户维修!$F81)+($A$1:$A$2=入户维修!$G81)+$BN$1:$BN$2&gt;0)))</f>
        <v>1</v>
      </c>
      <c r="U81" s="0" t="n">
        <f aca="false">IF(OR($A$3=入户维修!$F81,$A$3=入户维修!$G81,$BN$3=1),0,3-SUMPRODUCT(--(($A$1:$A$3=入户维修!$F81)+($A$1:$A$3=入户维修!$G81)+$BN$1:$BN$3&gt;0)))</f>
        <v>2</v>
      </c>
      <c r="V81" s="0" t="n">
        <f aca="false">IF(OR($A$4=入户维修!$F81,$A$4=入户维修!$G81,$BN$4=1),0,4-SUMPRODUCT(--(($A$1:$A$4=入户维修!$F81)+($A$1:$A$4=入户维修!$G81)+$BN$1:$BN$4&gt;0)))</f>
        <v>3</v>
      </c>
      <c r="W81" s="0" t="n">
        <f aca="false">IF(OR($A$5=入户维修!$F81,$A$5=入户维修!$G81,$BN$5=1),0,5-SUMPRODUCT(--(($A$1:$A$5=入户维修!$F81)+($A$1:$A$5=入户维修!$G81)+$BN$1:$BN$5&gt;0)))</f>
        <v>4</v>
      </c>
      <c r="Y81" s="0" t="str">
        <f aca="false">IFERROR(INDEX($A$1:$A$5,MATCH(1,$S81:$W81,0)),IF(1=MAX($S81:$W81)+1,"取消",""))</f>
        <v>李师傅</v>
      </c>
      <c r="Z81" s="0" t="str">
        <f aca="false">IFERROR(INDEX($A$1:$A$5,MATCH(2,$S81:$W81,0)),IF(2=MAX($S81:$W81)+1,"取消",""))</f>
        <v>王师傅</v>
      </c>
      <c r="AA81" s="0" t="str">
        <f aca="false">IFERROR(INDEX($A$1:$A$5,MATCH(3,$S81:$W81,0)),IF(3=MAX($S81:$W81)+1,"取消",""))</f>
        <v>陈师傅</v>
      </c>
      <c r="AB81" s="0" t="str">
        <f aca="false">IFERROR(INDEX($A$1:$A$5,MATCH(4,$S81:$W81,0)),IF(4=MAX($S81:$W81)+1,"取消",""))</f>
        <v>刘师傅</v>
      </c>
      <c r="AC81" s="0" t="str">
        <f aca="false">IFERROR(INDEX($A$1:$A$5,MATCH(5,$S81:$W81,0)),IF(5=MAX($S81:$W81)+1,"取消",""))</f>
        <v>取消</v>
      </c>
      <c r="AD81" s="0" t="str">
        <f aca="false">IFERROR(INDEX($A$1:$A$5,MATCH(6,$S81:$W81,0)),IF(6=MAX($S81:$W81)+1,"取消",""))</f>
        <v/>
      </c>
      <c r="AF81" s="0" t="n">
        <f aca="false">IF(OR($A$1=公区维修!$F81,$BN$1=1),0,1-SUMPRODUCT(--(($A$1=公区维修!$F81)+$BN$1&gt;0)))</f>
        <v>0</v>
      </c>
      <c r="AG81" s="0" t="n">
        <f aca="false">IF(OR($A$2=公区维修!$F81,$BN$2=1),0,2-SUMPRODUCT(--(($A$1:$A$2=公区维修!$F81)+$BN$1:$BN$2&gt;0)))</f>
        <v>1</v>
      </c>
      <c r="AH81" s="0" t="n">
        <f aca="false">IF(OR($A$3=公区维修!$F81,$BN$3=1),0,3-SUMPRODUCT(--(($A$1:$A$3=公区维修!$F81)+$BN$1:$BN$3&gt;0)))</f>
        <v>2</v>
      </c>
      <c r="AI81" s="0" t="n">
        <f aca="false">IF(OR($A$4=公区维修!$F81,$BN$4=1),0,4-SUMPRODUCT(--(($A$1:$A$4=公区维修!$F81)+$BN$1:$BN$4&gt;0)))</f>
        <v>3</v>
      </c>
      <c r="AJ81" s="0" t="n">
        <f aca="false">IF(OR($A$5=公区维修!$F81,$BN$5=1),0,5-SUMPRODUCT(--(($A$1:$A$5=公区维修!$F81)+$BN$1:$BN$5&gt;0)))</f>
        <v>4</v>
      </c>
      <c r="AL81" s="0" t="str">
        <f aca="false">IFERROR(INDEX($A$1:$A$5,MATCH(1,$AF81:$AJ81,0)),IF(1=MAX($AF81:$AJ81)+1,"取消",""))</f>
        <v>李师傅</v>
      </c>
      <c r="AM81" s="0" t="str">
        <f aca="false">IFERROR(INDEX($A$1:$A$5,MATCH(2,$AF81:$AJ81,0)),IF(2=MAX($AF81:$AJ81)+1,"取消",""))</f>
        <v>王师傅</v>
      </c>
      <c r="AN81" s="0" t="str">
        <f aca="false">IFERROR(INDEX($A$1:$A$5,MATCH(3,$AF81:$AJ81,0)),IF(3=MAX($AF81:$AJ81)+1,"取消",""))</f>
        <v>陈师傅</v>
      </c>
      <c r="AO81" s="0" t="str">
        <f aca="false">IFERROR(INDEX($A$1:$A$5,MATCH(4,$AF81:$AJ81,0)),IF(4=MAX($AF81:$AJ81)+1,"取消",""))</f>
        <v>刘师傅</v>
      </c>
      <c r="AP81" s="0" t="str">
        <f aca="false">IFERROR(INDEX($A$1:$A$5,MATCH(5,$AF81:$AJ81,0)),IF(5=MAX($AF81:$AJ81)+1,"取消",""))</f>
        <v>取消</v>
      </c>
      <c r="AQ81" s="0" t="str">
        <f aca="false">IFERROR(INDEX($A$1:$A$5,MATCH(6,$AF81:$AJ81,0)),IF(6=MAX($AF81:$AJ81)+1,"取消",""))</f>
        <v/>
      </c>
      <c r="AS81" s="0" t="n">
        <f aca="false">IF(OR($A$1=公区维修!$F81,$A$1=公区维修!$G81,$BN$1=1),0,1-SUMPRODUCT(--(($A$1=公区维修!$F81)+($A$1=公区维修!$G81)+$BN$1&gt;0)))</f>
        <v>0</v>
      </c>
      <c r="AT81" s="0" t="n">
        <f aca="false">IF(OR($A$2=公区维修!$F81,$A$2=公区维修!$G81,$BN$2=1),0,2-SUMPRODUCT(--(($A$1:$A$2=公区维修!$F81)+($A$1:$A$2=公区维修!$G81)+$BN$1:$BN$2&gt;0)))</f>
        <v>1</v>
      </c>
      <c r="AU81" s="0" t="n">
        <f aca="false">IF(OR($A$3=公区维修!$F81,$A$3=公区维修!$G81,$BN$3=1),0,3-SUMPRODUCT(--(($A$1:$A$3=公区维修!$F81)+($A$1:$A$3=公区维修!$G81)+$BN$1:$BN$3&gt;0)))</f>
        <v>2</v>
      </c>
      <c r="AV81" s="0" t="n">
        <f aca="false">IF(OR($A$4=公区维修!$F81,$A$4=公区维修!$G81,$BN$4=1),0,4-SUMPRODUCT(--(($A$1:$A$4=公区维修!$F81)+($A$1:$A$4=公区维修!$G81)+$BN$1:$BN$4&gt;0)))</f>
        <v>3</v>
      </c>
      <c r="AW81" s="0" t="n">
        <f aca="false">IF(OR($A$5=公区维修!$F81,$A$5=公区维修!$G81,$BN$5=1),0,5-SUMPRODUCT(--(($A$1:$A$5=公区维修!$F81)+($A$1:$A$5=公区维修!$G81)+$BN$1:$BN$5&gt;0)))</f>
        <v>4</v>
      </c>
      <c r="AY81" s="0" t="str">
        <f aca="false">IFERROR(INDEX($A$1:$A$5,MATCH(1,$AS81:$AW81,0)),IF(1=MAX($AS81:$AW81)+1,"取消",""))</f>
        <v>李师傅</v>
      </c>
      <c r="AZ81" s="0" t="str">
        <f aca="false">IFERROR(INDEX($A$1:$A$5,MATCH(2,$AS81:$AW81,0)),IF(2=MAX($AS81:$AW81)+1,"取消",""))</f>
        <v>王师傅</v>
      </c>
      <c r="BA81" s="0" t="str">
        <f aca="false">IFERROR(INDEX($A$1:$A$5,MATCH(3,$AS81:$AW81,0)),IF(3=MAX($AS81:$AW81)+1,"取消",""))</f>
        <v>陈师傅</v>
      </c>
      <c r="BB81" s="0" t="str">
        <f aca="false">IFERROR(INDEX($A$1:$A$5,MATCH(4,$AS81:$AW81,0)),IF(4=MAX($AS81:$AW81)+1,"取消",""))</f>
        <v>刘师傅</v>
      </c>
      <c r="BC81" s="0" t="str">
        <f aca="false">IFERROR(INDEX($A$1:$A$5,MATCH(5,$AS81:$AW81,0)),IF(5=MAX($AS81:$AW81)+1,"取消",""))</f>
        <v>取消</v>
      </c>
      <c r="BD81" s="0" t="str">
        <f aca="false">IFERROR(INDEX($A$1:$A$5,MATCH(6,$AS81:$AW81,0)),IF(6=MAX($AS81:$AW81)+1,"取消",""))</f>
        <v/>
      </c>
      <c r="FW81" s="0" t="n">
        <f aca="false">IF(AND(单元查询!$D$3&lt;&gt;"",IF(单元查询!$B$3="公区维修",公区维修!$E81&lt;&gt;"",入户维修!$E81&lt;&gt;""),IF(单元查询!$B$3="公区维修",公区维修!$C81,入户维修!$C81)=单元查询!$D$3,OR(单元查询!$F$3="",IF(单元查询!$B$3="公区维修",公区维修!$D81,入户维修!$D81)&amp;""=(单元查询!$F$3)&amp;"")),MAX($FW$4:$FW80)+1,"")</f>
        <v>13</v>
      </c>
    </row>
    <row r="82" customFormat="false" ht="15" hidden="false" customHeight="true" outlineLevel="0" collapsed="false">
      <c r="F82" s="0" t="n">
        <f aca="false">IF(OR($A$1=入户维修!$F82,$BN$1=1),0,1-SUMPRODUCT(--(($A$1=入户维修!$F82)+$BN$1&gt;0)))</f>
        <v>0</v>
      </c>
      <c r="G82" s="0" t="n">
        <f aca="false">IF(OR($A$2=入户维修!$F82,$BN$2=1),0,2-SUMPRODUCT(--(($A$1:$A$2=入户维修!$F82)+$BN$1:$BN$2&gt;0)))</f>
        <v>1</v>
      </c>
      <c r="H82" s="0" t="n">
        <f aca="false">IF(OR($A$3=入户维修!$F82,$BN$3=1),0,3-SUMPRODUCT(--(($A$1:$A$3=入户维修!$F82)+$BN$1:$BN$3&gt;0)))</f>
        <v>2</v>
      </c>
      <c r="I82" s="0" t="n">
        <f aca="false">IF(OR($A$4=入户维修!$F82,$BN$4=1),0,4-SUMPRODUCT(--(($A$1:$A$4=入户维修!$F82)+$BN$1:$BN$4&gt;0)))</f>
        <v>3</v>
      </c>
      <c r="J82" s="0" t="n">
        <f aca="false">IF(OR($A$5=入户维修!$F82,$BN$5=1),0,5-SUMPRODUCT(--(($A$1:$A$5=入户维修!$F82)+$BN$1:$BN$5&gt;0)))</f>
        <v>4</v>
      </c>
      <c r="L82" s="0" t="str">
        <f aca="false">IFERROR(INDEX($A$1:$A$5,MATCH(1,$F82:$J82,0)),IF(1=MAX($F82:$J82)+1,"取消",""))</f>
        <v>李师傅</v>
      </c>
      <c r="M82" s="0" t="str">
        <f aca="false">IFERROR(INDEX($A$1:$A$5,MATCH(2,$F82:$J82,0)),IF(2=MAX($F82:$J82)+1,"取消",""))</f>
        <v>王师傅</v>
      </c>
      <c r="N82" s="0" t="str">
        <f aca="false">IFERROR(INDEX($A$1:$A$5,MATCH(3,$F82:$J82,0)),IF(3=MAX($F82:$J82)+1,"取消",""))</f>
        <v>陈师傅</v>
      </c>
      <c r="O82" s="0" t="str">
        <f aca="false">IFERROR(INDEX($A$1:$A$5,MATCH(4,$F82:$J82,0)),IF(4=MAX($F82:$J82)+1,"取消",""))</f>
        <v>刘师傅</v>
      </c>
      <c r="P82" s="0" t="str">
        <f aca="false">IFERROR(INDEX($A$1:$A$5,MATCH(5,$F82:$J82,0)),IF(5=MAX($F82:$J82)+1,"取消",""))</f>
        <v>取消</v>
      </c>
      <c r="Q82" s="0" t="str">
        <f aca="false">IFERROR(INDEX($A$1:$A$5,MATCH(6,$F82:$J82,0)),IF(6=MAX($F82:$J82)+1,"取消",""))</f>
        <v/>
      </c>
      <c r="S82" s="0" t="n">
        <f aca="false">IF(OR($A$1=入户维修!$F82,$A$1=入户维修!$G82,$BN$1=1),0,1-SUMPRODUCT(--(($A$1=入户维修!$F82)+($A$1=入户维修!$G82)+$BN$1&gt;0)))</f>
        <v>0</v>
      </c>
      <c r="T82" s="0" t="n">
        <f aca="false">IF(OR($A$2=入户维修!$F82,$A$2=入户维修!$G82,$BN$2=1),0,2-SUMPRODUCT(--(($A$1:$A$2=入户维修!$F82)+($A$1:$A$2=入户维修!$G82)+$BN$1:$BN$2&gt;0)))</f>
        <v>1</v>
      </c>
      <c r="U82" s="0" t="n">
        <f aca="false">IF(OR($A$3=入户维修!$F82,$A$3=入户维修!$G82,$BN$3=1),0,3-SUMPRODUCT(--(($A$1:$A$3=入户维修!$F82)+($A$1:$A$3=入户维修!$G82)+$BN$1:$BN$3&gt;0)))</f>
        <v>2</v>
      </c>
      <c r="V82" s="0" t="n">
        <f aca="false">IF(OR($A$4=入户维修!$F82,$A$4=入户维修!$G82,$BN$4=1),0,4-SUMPRODUCT(--(($A$1:$A$4=入户维修!$F82)+($A$1:$A$4=入户维修!$G82)+$BN$1:$BN$4&gt;0)))</f>
        <v>3</v>
      </c>
      <c r="W82" s="0" t="n">
        <f aca="false">IF(OR($A$5=入户维修!$F82,$A$5=入户维修!$G82,$BN$5=1),0,5-SUMPRODUCT(--(($A$1:$A$5=入户维修!$F82)+($A$1:$A$5=入户维修!$G82)+$BN$1:$BN$5&gt;0)))</f>
        <v>4</v>
      </c>
      <c r="Y82" s="0" t="str">
        <f aca="false">IFERROR(INDEX($A$1:$A$5,MATCH(1,$S82:$W82,0)),IF(1=MAX($S82:$W82)+1,"取消",""))</f>
        <v>李师傅</v>
      </c>
      <c r="Z82" s="0" t="str">
        <f aca="false">IFERROR(INDEX($A$1:$A$5,MATCH(2,$S82:$W82,0)),IF(2=MAX($S82:$W82)+1,"取消",""))</f>
        <v>王师傅</v>
      </c>
      <c r="AA82" s="0" t="str">
        <f aca="false">IFERROR(INDEX($A$1:$A$5,MATCH(3,$S82:$W82,0)),IF(3=MAX($S82:$W82)+1,"取消",""))</f>
        <v>陈师傅</v>
      </c>
      <c r="AB82" s="0" t="str">
        <f aca="false">IFERROR(INDEX($A$1:$A$5,MATCH(4,$S82:$W82,0)),IF(4=MAX($S82:$W82)+1,"取消",""))</f>
        <v>刘师傅</v>
      </c>
      <c r="AC82" s="0" t="str">
        <f aca="false">IFERROR(INDEX($A$1:$A$5,MATCH(5,$S82:$W82,0)),IF(5=MAX($S82:$W82)+1,"取消",""))</f>
        <v>取消</v>
      </c>
      <c r="AD82" s="0" t="str">
        <f aca="false">IFERROR(INDEX($A$1:$A$5,MATCH(6,$S82:$W82,0)),IF(6=MAX($S82:$W82)+1,"取消",""))</f>
        <v/>
      </c>
      <c r="AF82" s="0" t="n">
        <f aca="false">IF(OR($A$1=公区维修!$F82,$BN$1=1),0,1-SUMPRODUCT(--(($A$1=公区维修!$F82)+$BN$1&gt;0)))</f>
        <v>0</v>
      </c>
      <c r="AG82" s="0" t="n">
        <f aca="false">IF(OR($A$2=公区维修!$F82,$BN$2=1),0,2-SUMPRODUCT(--(($A$1:$A$2=公区维修!$F82)+$BN$1:$BN$2&gt;0)))</f>
        <v>1</v>
      </c>
      <c r="AH82" s="0" t="n">
        <f aca="false">IF(OR($A$3=公区维修!$F82,$BN$3=1),0,3-SUMPRODUCT(--(($A$1:$A$3=公区维修!$F82)+$BN$1:$BN$3&gt;0)))</f>
        <v>2</v>
      </c>
      <c r="AI82" s="0" t="n">
        <f aca="false">IF(OR($A$4=公区维修!$F82,$BN$4=1),0,4-SUMPRODUCT(--(($A$1:$A$4=公区维修!$F82)+$BN$1:$BN$4&gt;0)))</f>
        <v>3</v>
      </c>
      <c r="AJ82" s="0" t="n">
        <f aca="false">IF(OR($A$5=公区维修!$F82,$BN$5=1),0,5-SUMPRODUCT(--(($A$1:$A$5=公区维修!$F82)+$BN$1:$BN$5&gt;0)))</f>
        <v>4</v>
      </c>
      <c r="AL82" s="0" t="str">
        <f aca="false">IFERROR(INDEX($A$1:$A$5,MATCH(1,$AF82:$AJ82,0)),IF(1=MAX($AF82:$AJ82)+1,"取消",""))</f>
        <v>李师傅</v>
      </c>
      <c r="AM82" s="0" t="str">
        <f aca="false">IFERROR(INDEX($A$1:$A$5,MATCH(2,$AF82:$AJ82,0)),IF(2=MAX($AF82:$AJ82)+1,"取消",""))</f>
        <v>王师傅</v>
      </c>
      <c r="AN82" s="0" t="str">
        <f aca="false">IFERROR(INDEX($A$1:$A$5,MATCH(3,$AF82:$AJ82,0)),IF(3=MAX($AF82:$AJ82)+1,"取消",""))</f>
        <v>陈师傅</v>
      </c>
      <c r="AO82" s="0" t="str">
        <f aca="false">IFERROR(INDEX($A$1:$A$5,MATCH(4,$AF82:$AJ82,0)),IF(4=MAX($AF82:$AJ82)+1,"取消",""))</f>
        <v>刘师傅</v>
      </c>
      <c r="AP82" s="0" t="str">
        <f aca="false">IFERROR(INDEX($A$1:$A$5,MATCH(5,$AF82:$AJ82,0)),IF(5=MAX($AF82:$AJ82)+1,"取消",""))</f>
        <v>取消</v>
      </c>
      <c r="AQ82" s="0" t="str">
        <f aca="false">IFERROR(INDEX($A$1:$A$5,MATCH(6,$AF82:$AJ82,0)),IF(6=MAX($AF82:$AJ82)+1,"取消",""))</f>
        <v/>
      </c>
      <c r="AS82" s="0" t="n">
        <f aca="false">IF(OR($A$1=公区维修!$F82,$A$1=公区维修!$G82,$BN$1=1),0,1-SUMPRODUCT(--(($A$1=公区维修!$F82)+($A$1=公区维修!$G82)+$BN$1&gt;0)))</f>
        <v>0</v>
      </c>
      <c r="AT82" s="0" t="n">
        <f aca="false">IF(OR($A$2=公区维修!$F82,$A$2=公区维修!$G82,$BN$2=1),0,2-SUMPRODUCT(--(($A$1:$A$2=公区维修!$F82)+($A$1:$A$2=公区维修!$G82)+$BN$1:$BN$2&gt;0)))</f>
        <v>1</v>
      </c>
      <c r="AU82" s="0" t="n">
        <f aca="false">IF(OR($A$3=公区维修!$F82,$A$3=公区维修!$G82,$BN$3=1),0,3-SUMPRODUCT(--(($A$1:$A$3=公区维修!$F82)+($A$1:$A$3=公区维修!$G82)+$BN$1:$BN$3&gt;0)))</f>
        <v>2</v>
      </c>
      <c r="AV82" s="0" t="n">
        <f aca="false">IF(OR($A$4=公区维修!$F82,$A$4=公区维修!$G82,$BN$4=1),0,4-SUMPRODUCT(--(($A$1:$A$4=公区维修!$F82)+($A$1:$A$4=公区维修!$G82)+$BN$1:$BN$4&gt;0)))</f>
        <v>3</v>
      </c>
      <c r="AW82" s="0" t="n">
        <f aca="false">IF(OR($A$5=公区维修!$F82,$A$5=公区维修!$G82,$BN$5=1),0,5-SUMPRODUCT(--(($A$1:$A$5=公区维修!$F82)+($A$1:$A$5=公区维修!$G82)+$BN$1:$BN$5&gt;0)))</f>
        <v>4</v>
      </c>
      <c r="AY82" s="0" t="str">
        <f aca="false">IFERROR(INDEX($A$1:$A$5,MATCH(1,$AS82:$AW82,0)),IF(1=MAX($AS82:$AW82)+1,"取消",""))</f>
        <v>李师傅</v>
      </c>
      <c r="AZ82" s="0" t="str">
        <f aca="false">IFERROR(INDEX($A$1:$A$5,MATCH(2,$AS82:$AW82,0)),IF(2=MAX($AS82:$AW82)+1,"取消",""))</f>
        <v>王师傅</v>
      </c>
      <c r="BA82" s="0" t="str">
        <f aca="false">IFERROR(INDEX($A$1:$A$5,MATCH(3,$AS82:$AW82,0)),IF(3=MAX($AS82:$AW82)+1,"取消",""))</f>
        <v>陈师傅</v>
      </c>
      <c r="BB82" s="0" t="str">
        <f aca="false">IFERROR(INDEX($A$1:$A$5,MATCH(4,$AS82:$AW82,0)),IF(4=MAX($AS82:$AW82)+1,"取消",""))</f>
        <v>刘师傅</v>
      </c>
      <c r="BC82" s="0" t="str">
        <f aca="false">IFERROR(INDEX($A$1:$A$5,MATCH(5,$AS82:$AW82,0)),IF(5=MAX($AS82:$AW82)+1,"取消",""))</f>
        <v>取消</v>
      </c>
      <c r="BD82" s="0" t="str">
        <f aca="false">IFERROR(INDEX($A$1:$A$5,MATCH(6,$AS82:$AW82,0)),IF(6=MAX($AS82:$AW82)+1,"取消",""))</f>
        <v/>
      </c>
      <c r="FW82" s="0" t="str">
        <f aca="false">IF(AND(单元查询!$D$3&lt;&gt;"",IF(单元查询!$B$3="公区维修",公区维修!$E82&lt;&gt;"",入户维修!$E82&lt;&gt;""),IF(单元查询!$B$3="公区维修",公区维修!$C82,入户维修!$C82)=单元查询!$D$3,OR(单元查询!$F$3="",IF(单元查询!$B$3="公区维修",公区维修!$D82,入户维修!$D82)&amp;""=(单元查询!$F$3)&amp;"")),MAX($FW$4:$FW81)+1,"")</f>
        <v/>
      </c>
    </row>
    <row r="83" customFormat="false" ht="15" hidden="false" customHeight="true" outlineLevel="0" collapsed="false">
      <c r="F83" s="0" t="n">
        <f aca="false">IF(OR($A$1=入户维修!$F83,$BN$1=1),0,1-SUMPRODUCT(--(($A$1=入户维修!$F83)+$BN$1&gt;0)))</f>
        <v>0</v>
      </c>
      <c r="G83" s="0" t="n">
        <f aca="false">IF(OR($A$2=入户维修!$F83,$BN$2=1),0,2-SUMPRODUCT(--(($A$1:$A$2=入户维修!$F83)+$BN$1:$BN$2&gt;0)))</f>
        <v>0</v>
      </c>
      <c r="H83" s="0" t="n">
        <f aca="false">IF(OR($A$3=入户维修!$F83,$BN$3=1),0,3-SUMPRODUCT(--(($A$1:$A$3=入户维修!$F83)+$BN$1:$BN$3&gt;0)))</f>
        <v>1</v>
      </c>
      <c r="I83" s="0" t="n">
        <f aca="false">IF(OR($A$4=入户维修!$F83,$BN$4=1),0,4-SUMPRODUCT(--(($A$1:$A$4=入户维修!$F83)+$BN$1:$BN$4&gt;0)))</f>
        <v>2</v>
      </c>
      <c r="J83" s="0" t="n">
        <f aca="false">IF(OR($A$5=入户维修!$F83,$BN$5=1),0,5-SUMPRODUCT(--(($A$1:$A$5=入户维修!$F83)+$BN$1:$BN$5&gt;0)))</f>
        <v>3</v>
      </c>
      <c r="L83" s="0" t="str">
        <f aca="false">IFERROR(INDEX($A$1:$A$5,MATCH(1,$F83:$J83,0)),IF(1=MAX($F83:$J83)+1,"取消",""))</f>
        <v>王师傅</v>
      </c>
      <c r="M83" s="0" t="str">
        <f aca="false">IFERROR(INDEX($A$1:$A$5,MATCH(2,$F83:$J83,0)),IF(2=MAX($F83:$J83)+1,"取消",""))</f>
        <v>陈师傅</v>
      </c>
      <c r="N83" s="0" t="str">
        <f aca="false">IFERROR(INDEX($A$1:$A$5,MATCH(3,$F83:$J83,0)),IF(3=MAX($F83:$J83)+1,"取消",""))</f>
        <v>刘师傅</v>
      </c>
      <c r="O83" s="0" t="str">
        <f aca="false">IFERROR(INDEX($A$1:$A$5,MATCH(4,$F83:$J83,0)),IF(4=MAX($F83:$J83)+1,"取消",""))</f>
        <v>取消</v>
      </c>
      <c r="P83" s="0" t="str">
        <f aca="false">IFERROR(INDEX($A$1:$A$5,MATCH(5,$F83:$J83,0)),IF(5=MAX($F83:$J83)+1,"取消",""))</f>
        <v/>
      </c>
      <c r="Q83" s="0" t="str">
        <f aca="false">IFERROR(INDEX($A$1:$A$5,MATCH(6,$F83:$J83,0)),IF(6=MAX($F83:$J83)+1,"取消",""))</f>
        <v/>
      </c>
      <c r="S83" s="0" t="n">
        <f aca="false">IF(OR($A$1=入户维修!$F83,$A$1=入户维修!$G83,$BN$1=1),0,1-SUMPRODUCT(--(($A$1=入户维修!$F83)+($A$1=入户维修!$G83)+$BN$1&gt;0)))</f>
        <v>0</v>
      </c>
      <c r="T83" s="0" t="n">
        <f aca="false">IF(OR($A$2=入户维修!$F83,$A$2=入户维修!$G83,$BN$2=1),0,2-SUMPRODUCT(--(($A$1:$A$2=入户维修!$F83)+($A$1:$A$2=入户维修!$G83)+$BN$1:$BN$2&gt;0)))</f>
        <v>0</v>
      </c>
      <c r="U83" s="0" t="n">
        <f aca="false">IF(OR($A$3=入户维修!$F83,$A$3=入户维修!$G83,$BN$3=1),0,3-SUMPRODUCT(--(($A$1:$A$3=入户维修!$F83)+($A$1:$A$3=入户维修!$G83)+$BN$1:$BN$3&gt;0)))</f>
        <v>1</v>
      </c>
      <c r="V83" s="0" t="n">
        <f aca="false">IF(OR($A$4=入户维修!$F83,$A$4=入户维修!$G83,$BN$4=1),0,4-SUMPRODUCT(--(($A$1:$A$4=入户维修!$F83)+($A$1:$A$4=入户维修!$G83)+$BN$1:$BN$4&gt;0)))</f>
        <v>2</v>
      </c>
      <c r="W83" s="0" t="n">
        <f aca="false">IF(OR($A$5=入户维修!$F83,$A$5=入户维修!$G83,$BN$5=1),0,5-SUMPRODUCT(--(($A$1:$A$5=入户维修!$F83)+($A$1:$A$5=入户维修!$G83)+$BN$1:$BN$5&gt;0)))</f>
        <v>3</v>
      </c>
      <c r="Y83" s="0" t="str">
        <f aca="false">IFERROR(INDEX($A$1:$A$5,MATCH(1,$S83:$W83,0)),IF(1=MAX($S83:$W83)+1,"取消",""))</f>
        <v>王师傅</v>
      </c>
      <c r="Z83" s="0" t="str">
        <f aca="false">IFERROR(INDEX($A$1:$A$5,MATCH(2,$S83:$W83,0)),IF(2=MAX($S83:$W83)+1,"取消",""))</f>
        <v>陈师傅</v>
      </c>
      <c r="AA83" s="0" t="str">
        <f aca="false">IFERROR(INDEX($A$1:$A$5,MATCH(3,$S83:$W83,0)),IF(3=MAX($S83:$W83)+1,"取消",""))</f>
        <v>刘师傅</v>
      </c>
      <c r="AB83" s="0" t="str">
        <f aca="false">IFERROR(INDEX($A$1:$A$5,MATCH(4,$S83:$W83,0)),IF(4=MAX($S83:$W83)+1,"取消",""))</f>
        <v>取消</v>
      </c>
      <c r="AC83" s="0" t="str">
        <f aca="false">IFERROR(INDEX($A$1:$A$5,MATCH(5,$S83:$W83,0)),IF(5=MAX($S83:$W83)+1,"取消",""))</f>
        <v/>
      </c>
      <c r="AD83" s="0" t="str">
        <f aca="false">IFERROR(INDEX($A$1:$A$5,MATCH(6,$S83:$W83,0)),IF(6=MAX($S83:$W83)+1,"取消",""))</f>
        <v/>
      </c>
      <c r="AF83" s="0" t="n">
        <f aca="false">IF(OR($A$1=公区维修!$F83,$BN$1=1),0,1-SUMPRODUCT(--(($A$1=公区维修!$F83)+$BN$1&gt;0)))</f>
        <v>0</v>
      </c>
      <c r="AG83" s="0" t="n">
        <f aca="false">IF(OR($A$2=公区维修!$F83,$BN$2=1),0,2-SUMPRODUCT(--(($A$1:$A$2=公区维修!$F83)+$BN$1:$BN$2&gt;0)))</f>
        <v>1</v>
      </c>
      <c r="AH83" s="0" t="n">
        <f aca="false">IF(OR($A$3=公区维修!$F83,$BN$3=1),0,3-SUMPRODUCT(--(($A$1:$A$3=公区维修!$F83)+$BN$1:$BN$3&gt;0)))</f>
        <v>2</v>
      </c>
      <c r="AI83" s="0" t="n">
        <f aca="false">IF(OR($A$4=公区维修!$F83,$BN$4=1),0,4-SUMPRODUCT(--(($A$1:$A$4=公区维修!$F83)+$BN$1:$BN$4&gt;0)))</f>
        <v>3</v>
      </c>
      <c r="AJ83" s="0" t="n">
        <f aca="false">IF(OR($A$5=公区维修!$F83,$BN$5=1),0,5-SUMPRODUCT(--(($A$1:$A$5=公区维修!$F83)+$BN$1:$BN$5&gt;0)))</f>
        <v>4</v>
      </c>
      <c r="AL83" s="0" t="str">
        <f aca="false">IFERROR(INDEX($A$1:$A$5,MATCH(1,$AF83:$AJ83,0)),IF(1=MAX($AF83:$AJ83)+1,"取消",""))</f>
        <v>李师傅</v>
      </c>
      <c r="AM83" s="0" t="str">
        <f aca="false">IFERROR(INDEX($A$1:$A$5,MATCH(2,$AF83:$AJ83,0)),IF(2=MAX($AF83:$AJ83)+1,"取消",""))</f>
        <v>王师傅</v>
      </c>
      <c r="AN83" s="0" t="str">
        <f aca="false">IFERROR(INDEX($A$1:$A$5,MATCH(3,$AF83:$AJ83,0)),IF(3=MAX($AF83:$AJ83)+1,"取消",""))</f>
        <v>陈师傅</v>
      </c>
      <c r="AO83" s="0" t="str">
        <f aca="false">IFERROR(INDEX($A$1:$A$5,MATCH(4,$AF83:$AJ83,0)),IF(4=MAX($AF83:$AJ83)+1,"取消",""))</f>
        <v>刘师傅</v>
      </c>
      <c r="AP83" s="0" t="str">
        <f aca="false">IFERROR(INDEX($A$1:$A$5,MATCH(5,$AF83:$AJ83,0)),IF(5=MAX($AF83:$AJ83)+1,"取消",""))</f>
        <v>取消</v>
      </c>
      <c r="AQ83" s="0" t="str">
        <f aca="false">IFERROR(INDEX($A$1:$A$5,MATCH(6,$AF83:$AJ83,0)),IF(6=MAX($AF83:$AJ83)+1,"取消",""))</f>
        <v/>
      </c>
      <c r="AS83" s="0" t="n">
        <f aca="false">IF(OR($A$1=公区维修!$F83,$A$1=公区维修!$G83,$BN$1=1),0,1-SUMPRODUCT(--(($A$1=公区维修!$F83)+($A$1=公区维修!$G83)+$BN$1&gt;0)))</f>
        <v>0</v>
      </c>
      <c r="AT83" s="0" t="n">
        <f aca="false">IF(OR($A$2=公区维修!$F83,$A$2=公区维修!$G83,$BN$2=1),0,2-SUMPRODUCT(--(($A$1:$A$2=公区维修!$F83)+($A$1:$A$2=公区维修!$G83)+$BN$1:$BN$2&gt;0)))</f>
        <v>1</v>
      </c>
      <c r="AU83" s="0" t="n">
        <f aca="false">IF(OR($A$3=公区维修!$F83,$A$3=公区维修!$G83,$BN$3=1),0,3-SUMPRODUCT(--(($A$1:$A$3=公区维修!$F83)+($A$1:$A$3=公区维修!$G83)+$BN$1:$BN$3&gt;0)))</f>
        <v>2</v>
      </c>
      <c r="AV83" s="0" t="n">
        <f aca="false">IF(OR($A$4=公区维修!$F83,$A$4=公区维修!$G83,$BN$4=1),0,4-SUMPRODUCT(--(($A$1:$A$4=公区维修!$F83)+($A$1:$A$4=公区维修!$G83)+$BN$1:$BN$4&gt;0)))</f>
        <v>3</v>
      </c>
      <c r="AW83" s="0" t="n">
        <f aca="false">IF(OR($A$5=公区维修!$F83,$A$5=公区维修!$G83,$BN$5=1),0,5-SUMPRODUCT(--(($A$1:$A$5=公区维修!$F83)+($A$1:$A$5=公区维修!$G83)+$BN$1:$BN$5&gt;0)))</f>
        <v>4</v>
      </c>
      <c r="AY83" s="0" t="str">
        <f aca="false">IFERROR(INDEX($A$1:$A$5,MATCH(1,$AS83:$AW83,0)),IF(1=MAX($AS83:$AW83)+1,"取消",""))</f>
        <v>李师傅</v>
      </c>
      <c r="AZ83" s="0" t="str">
        <f aca="false">IFERROR(INDEX($A$1:$A$5,MATCH(2,$AS83:$AW83,0)),IF(2=MAX($AS83:$AW83)+1,"取消",""))</f>
        <v>王师傅</v>
      </c>
      <c r="BA83" s="0" t="str">
        <f aca="false">IFERROR(INDEX($A$1:$A$5,MATCH(3,$AS83:$AW83,0)),IF(3=MAX($AS83:$AW83)+1,"取消",""))</f>
        <v>陈师傅</v>
      </c>
      <c r="BB83" s="0" t="str">
        <f aca="false">IFERROR(INDEX($A$1:$A$5,MATCH(4,$AS83:$AW83,0)),IF(4=MAX($AS83:$AW83)+1,"取消",""))</f>
        <v>刘师傅</v>
      </c>
      <c r="BC83" s="0" t="str">
        <f aca="false">IFERROR(INDEX($A$1:$A$5,MATCH(5,$AS83:$AW83,0)),IF(5=MAX($AS83:$AW83)+1,"取消",""))</f>
        <v>取消</v>
      </c>
      <c r="BD83" s="0" t="str">
        <f aca="false">IFERROR(INDEX($A$1:$A$5,MATCH(6,$AS83:$AW83,0)),IF(6=MAX($AS83:$AW83)+1,"取消",""))</f>
        <v/>
      </c>
      <c r="FW83" s="0" t="str">
        <f aca="false">IF(AND(单元查询!$D$3&lt;&gt;"",IF(单元查询!$B$3="公区维修",公区维修!$E83&lt;&gt;"",入户维修!$E83&lt;&gt;""),IF(单元查询!$B$3="公区维修",公区维修!$C83,入户维修!$C83)=单元查询!$D$3,OR(单元查询!$F$3="",IF(单元查询!$B$3="公区维修",公区维修!$D83,入户维修!$D83)&amp;""=(单元查询!$F$3)&amp;"")),MAX($FW$4:$FW82)+1,"")</f>
        <v/>
      </c>
    </row>
    <row r="84" customFormat="false" ht="15" hidden="false" customHeight="true" outlineLevel="0" collapsed="false">
      <c r="F84" s="0" t="n">
        <f aca="false">IF(OR($A$1=入户维修!$F84,$BN$1=1),0,1-SUMPRODUCT(--(($A$1=入户维修!$F84)+$BN$1&gt;0)))</f>
        <v>0</v>
      </c>
      <c r="G84" s="0" t="n">
        <f aca="false">IF(OR($A$2=入户维修!$F84,$BN$2=1),0,2-SUMPRODUCT(--(($A$1:$A$2=入户维修!$F84)+$BN$1:$BN$2&gt;0)))</f>
        <v>1</v>
      </c>
      <c r="H84" s="0" t="n">
        <f aca="false">IF(OR($A$3=入户维修!$F84,$BN$3=1),0,3-SUMPRODUCT(--(($A$1:$A$3=入户维修!$F84)+$BN$1:$BN$3&gt;0)))</f>
        <v>2</v>
      </c>
      <c r="I84" s="0" t="n">
        <f aca="false">IF(OR($A$4=入户维修!$F84,$BN$4=1),0,4-SUMPRODUCT(--(($A$1:$A$4=入户维修!$F84)+$BN$1:$BN$4&gt;0)))</f>
        <v>0</v>
      </c>
      <c r="J84" s="0" t="n">
        <f aca="false">IF(OR($A$5=入户维修!$F84,$BN$5=1),0,5-SUMPRODUCT(--(($A$1:$A$5=入户维修!$F84)+$BN$1:$BN$5&gt;0)))</f>
        <v>3</v>
      </c>
      <c r="L84" s="0" t="str">
        <f aca="false">IFERROR(INDEX($A$1:$A$5,MATCH(1,$F84:$J84,0)),IF(1=MAX($F84:$J84)+1,"取消",""))</f>
        <v>李师傅</v>
      </c>
      <c r="M84" s="0" t="str">
        <f aca="false">IFERROR(INDEX($A$1:$A$5,MATCH(2,$F84:$J84,0)),IF(2=MAX($F84:$J84)+1,"取消",""))</f>
        <v>王师傅</v>
      </c>
      <c r="N84" s="0" t="str">
        <f aca="false">IFERROR(INDEX($A$1:$A$5,MATCH(3,$F84:$J84,0)),IF(3=MAX($F84:$J84)+1,"取消",""))</f>
        <v>刘师傅</v>
      </c>
      <c r="O84" s="0" t="str">
        <f aca="false">IFERROR(INDEX($A$1:$A$5,MATCH(4,$F84:$J84,0)),IF(4=MAX($F84:$J84)+1,"取消",""))</f>
        <v>取消</v>
      </c>
      <c r="P84" s="0" t="str">
        <f aca="false">IFERROR(INDEX($A$1:$A$5,MATCH(5,$F84:$J84,0)),IF(5=MAX($F84:$J84)+1,"取消",""))</f>
        <v/>
      </c>
      <c r="Q84" s="0" t="str">
        <f aca="false">IFERROR(INDEX($A$1:$A$5,MATCH(6,$F84:$J84,0)),IF(6=MAX($F84:$J84)+1,"取消",""))</f>
        <v/>
      </c>
      <c r="S84" s="0" t="n">
        <f aca="false">IF(OR($A$1=入户维修!$F84,$A$1=入户维修!$G84,$BN$1=1),0,1-SUMPRODUCT(--(($A$1=入户维修!$F84)+($A$1=入户维修!$G84)+$BN$1&gt;0)))</f>
        <v>0</v>
      </c>
      <c r="T84" s="0" t="n">
        <f aca="false">IF(OR($A$2=入户维修!$F84,$A$2=入户维修!$G84,$BN$2=1),0,2-SUMPRODUCT(--(($A$1:$A$2=入户维修!$F84)+($A$1:$A$2=入户维修!$G84)+$BN$1:$BN$2&gt;0)))</f>
        <v>1</v>
      </c>
      <c r="U84" s="0" t="n">
        <f aca="false">IF(OR($A$3=入户维修!$F84,$A$3=入户维修!$G84,$BN$3=1),0,3-SUMPRODUCT(--(($A$1:$A$3=入户维修!$F84)+($A$1:$A$3=入户维修!$G84)+$BN$1:$BN$3&gt;0)))</f>
        <v>2</v>
      </c>
      <c r="V84" s="0" t="n">
        <f aca="false">IF(OR($A$4=入户维修!$F84,$A$4=入户维修!$G84,$BN$4=1),0,4-SUMPRODUCT(--(($A$1:$A$4=入户维修!$F84)+($A$1:$A$4=入户维修!$G84)+$BN$1:$BN$4&gt;0)))</f>
        <v>0</v>
      </c>
      <c r="W84" s="0" t="n">
        <f aca="false">IF(OR($A$5=入户维修!$F84,$A$5=入户维修!$G84,$BN$5=1),0,5-SUMPRODUCT(--(($A$1:$A$5=入户维修!$F84)+($A$1:$A$5=入户维修!$G84)+$BN$1:$BN$5&gt;0)))</f>
        <v>3</v>
      </c>
      <c r="Y84" s="0" t="str">
        <f aca="false">IFERROR(INDEX($A$1:$A$5,MATCH(1,$S84:$W84,0)),IF(1=MAX($S84:$W84)+1,"取消",""))</f>
        <v>李师傅</v>
      </c>
      <c r="Z84" s="0" t="str">
        <f aca="false">IFERROR(INDEX($A$1:$A$5,MATCH(2,$S84:$W84,0)),IF(2=MAX($S84:$W84)+1,"取消",""))</f>
        <v>王师傅</v>
      </c>
      <c r="AA84" s="0" t="str">
        <f aca="false">IFERROR(INDEX($A$1:$A$5,MATCH(3,$S84:$W84,0)),IF(3=MAX($S84:$W84)+1,"取消",""))</f>
        <v>刘师傅</v>
      </c>
      <c r="AB84" s="0" t="str">
        <f aca="false">IFERROR(INDEX($A$1:$A$5,MATCH(4,$S84:$W84,0)),IF(4=MAX($S84:$W84)+1,"取消",""))</f>
        <v>取消</v>
      </c>
      <c r="AC84" s="0" t="str">
        <f aca="false">IFERROR(INDEX($A$1:$A$5,MATCH(5,$S84:$W84,0)),IF(5=MAX($S84:$W84)+1,"取消",""))</f>
        <v/>
      </c>
      <c r="AD84" s="0" t="str">
        <f aca="false">IFERROR(INDEX($A$1:$A$5,MATCH(6,$S84:$W84,0)),IF(6=MAX($S84:$W84)+1,"取消",""))</f>
        <v/>
      </c>
      <c r="AF84" s="0" t="n">
        <f aca="false">IF(OR($A$1=公区维修!$F84,$BN$1=1),0,1-SUMPRODUCT(--(($A$1=公区维修!$F84)+$BN$1&gt;0)))</f>
        <v>0</v>
      </c>
      <c r="AG84" s="0" t="n">
        <f aca="false">IF(OR($A$2=公区维修!$F84,$BN$2=1),0,2-SUMPRODUCT(--(($A$1:$A$2=公区维修!$F84)+$BN$1:$BN$2&gt;0)))</f>
        <v>1</v>
      </c>
      <c r="AH84" s="0" t="n">
        <f aca="false">IF(OR($A$3=公区维修!$F84,$BN$3=1),0,3-SUMPRODUCT(--(($A$1:$A$3=公区维修!$F84)+$BN$1:$BN$3&gt;0)))</f>
        <v>2</v>
      </c>
      <c r="AI84" s="0" t="n">
        <f aca="false">IF(OR($A$4=公区维修!$F84,$BN$4=1),0,4-SUMPRODUCT(--(($A$1:$A$4=公区维修!$F84)+$BN$1:$BN$4&gt;0)))</f>
        <v>3</v>
      </c>
      <c r="AJ84" s="0" t="n">
        <f aca="false">IF(OR($A$5=公区维修!$F84,$BN$5=1),0,5-SUMPRODUCT(--(($A$1:$A$5=公区维修!$F84)+$BN$1:$BN$5&gt;0)))</f>
        <v>4</v>
      </c>
      <c r="AL84" s="0" t="str">
        <f aca="false">IFERROR(INDEX($A$1:$A$5,MATCH(1,$AF84:$AJ84,0)),IF(1=MAX($AF84:$AJ84)+1,"取消",""))</f>
        <v>李师傅</v>
      </c>
      <c r="AM84" s="0" t="str">
        <f aca="false">IFERROR(INDEX($A$1:$A$5,MATCH(2,$AF84:$AJ84,0)),IF(2=MAX($AF84:$AJ84)+1,"取消",""))</f>
        <v>王师傅</v>
      </c>
      <c r="AN84" s="0" t="str">
        <f aca="false">IFERROR(INDEX($A$1:$A$5,MATCH(3,$AF84:$AJ84,0)),IF(3=MAX($AF84:$AJ84)+1,"取消",""))</f>
        <v>陈师傅</v>
      </c>
      <c r="AO84" s="0" t="str">
        <f aca="false">IFERROR(INDEX($A$1:$A$5,MATCH(4,$AF84:$AJ84,0)),IF(4=MAX($AF84:$AJ84)+1,"取消",""))</f>
        <v>刘师傅</v>
      </c>
      <c r="AP84" s="0" t="str">
        <f aca="false">IFERROR(INDEX($A$1:$A$5,MATCH(5,$AF84:$AJ84,0)),IF(5=MAX($AF84:$AJ84)+1,"取消",""))</f>
        <v>取消</v>
      </c>
      <c r="AQ84" s="0" t="str">
        <f aca="false">IFERROR(INDEX($A$1:$A$5,MATCH(6,$AF84:$AJ84,0)),IF(6=MAX($AF84:$AJ84)+1,"取消",""))</f>
        <v/>
      </c>
      <c r="AS84" s="0" t="n">
        <f aca="false">IF(OR($A$1=公区维修!$F84,$A$1=公区维修!$G84,$BN$1=1),0,1-SUMPRODUCT(--(($A$1=公区维修!$F84)+($A$1=公区维修!$G84)+$BN$1&gt;0)))</f>
        <v>0</v>
      </c>
      <c r="AT84" s="0" t="n">
        <f aca="false">IF(OR($A$2=公区维修!$F84,$A$2=公区维修!$G84,$BN$2=1),0,2-SUMPRODUCT(--(($A$1:$A$2=公区维修!$F84)+($A$1:$A$2=公区维修!$G84)+$BN$1:$BN$2&gt;0)))</f>
        <v>1</v>
      </c>
      <c r="AU84" s="0" t="n">
        <f aca="false">IF(OR($A$3=公区维修!$F84,$A$3=公区维修!$G84,$BN$3=1),0,3-SUMPRODUCT(--(($A$1:$A$3=公区维修!$F84)+($A$1:$A$3=公区维修!$G84)+$BN$1:$BN$3&gt;0)))</f>
        <v>2</v>
      </c>
      <c r="AV84" s="0" t="n">
        <f aca="false">IF(OR($A$4=公区维修!$F84,$A$4=公区维修!$G84,$BN$4=1),0,4-SUMPRODUCT(--(($A$1:$A$4=公区维修!$F84)+($A$1:$A$4=公区维修!$G84)+$BN$1:$BN$4&gt;0)))</f>
        <v>3</v>
      </c>
      <c r="AW84" s="0" t="n">
        <f aca="false">IF(OR($A$5=公区维修!$F84,$A$5=公区维修!$G84,$BN$5=1),0,5-SUMPRODUCT(--(($A$1:$A$5=公区维修!$F84)+($A$1:$A$5=公区维修!$G84)+$BN$1:$BN$5&gt;0)))</f>
        <v>4</v>
      </c>
      <c r="AY84" s="0" t="str">
        <f aca="false">IFERROR(INDEX($A$1:$A$5,MATCH(1,$AS84:$AW84,0)),IF(1=MAX($AS84:$AW84)+1,"取消",""))</f>
        <v>李师傅</v>
      </c>
      <c r="AZ84" s="0" t="str">
        <f aca="false">IFERROR(INDEX($A$1:$A$5,MATCH(2,$AS84:$AW84,0)),IF(2=MAX($AS84:$AW84)+1,"取消",""))</f>
        <v>王师傅</v>
      </c>
      <c r="BA84" s="0" t="str">
        <f aca="false">IFERROR(INDEX($A$1:$A$5,MATCH(3,$AS84:$AW84,0)),IF(3=MAX($AS84:$AW84)+1,"取消",""))</f>
        <v>陈师傅</v>
      </c>
      <c r="BB84" s="0" t="str">
        <f aca="false">IFERROR(INDEX($A$1:$A$5,MATCH(4,$AS84:$AW84,0)),IF(4=MAX($AS84:$AW84)+1,"取消",""))</f>
        <v>刘师傅</v>
      </c>
      <c r="BC84" s="0" t="str">
        <f aca="false">IFERROR(INDEX($A$1:$A$5,MATCH(5,$AS84:$AW84,0)),IF(5=MAX($AS84:$AW84)+1,"取消",""))</f>
        <v>取消</v>
      </c>
      <c r="BD84" s="0" t="str">
        <f aca="false">IFERROR(INDEX($A$1:$A$5,MATCH(6,$AS84:$AW84,0)),IF(6=MAX($AS84:$AW84)+1,"取消",""))</f>
        <v/>
      </c>
      <c r="FW84" s="0" t="str">
        <f aca="false">IF(AND(单元查询!$D$3&lt;&gt;"",IF(单元查询!$B$3="公区维修",公区维修!$E84&lt;&gt;"",入户维修!$E84&lt;&gt;""),IF(单元查询!$B$3="公区维修",公区维修!$C84,入户维修!$C84)=单元查询!$D$3,OR(单元查询!$F$3="",IF(单元查询!$B$3="公区维修",公区维修!$D84,入户维修!$D84)&amp;""=(单元查询!$F$3)&amp;"")),MAX($FW$4:$FW83)+1,"")</f>
        <v/>
      </c>
    </row>
    <row r="85" customFormat="false" ht="15" hidden="false" customHeight="true" outlineLevel="0" collapsed="false">
      <c r="F85" s="0" t="n">
        <f aca="false">IF(OR($A$1=入户维修!$F85,$BN$1=1),0,1-SUMPRODUCT(--(($A$1=入户维修!$F85)+$BN$1&gt;0)))</f>
        <v>0</v>
      </c>
      <c r="G85" s="0" t="n">
        <f aca="false">IF(OR($A$2=入户维修!$F85,$BN$2=1),0,2-SUMPRODUCT(--(($A$1:$A$2=入户维修!$F85)+$BN$1:$BN$2&gt;0)))</f>
        <v>1</v>
      </c>
      <c r="H85" s="0" t="n">
        <f aca="false">IF(OR($A$3=入户维修!$F85,$BN$3=1),0,3-SUMPRODUCT(--(($A$1:$A$3=入户维修!$F85)+$BN$1:$BN$3&gt;0)))</f>
        <v>2</v>
      </c>
      <c r="I85" s="0" t="n">
        <f aca="false">IF(OR($A$4=入户维修!$F85,$BN$4=1),0,4-SUMPRODUCT(--(($A$1:$A$4=入户维修!$F85)+$BN$1:$BN$4&gt;0)))</f>
        <v>3</v>
      </c>
      <c r="J85" s="0" t="n">
        <f aca="false">IF(OR($A$5=入户维修!$F85,$BN$5=1),0,5-SUMPRODUCT(--(($A$1:$A$5=入户维修!$F85)+$BN$1:$BN$5&gt;0)))</f>
        <v>4</v>
      </c>
      <c r="L85" s="0" t="str">
        <f aca="false">IFERROR(INDEX($A$1:$A$5,MATCH(1,$F85:$J85,0)),IF(1=MAX($F85:$J85)+1,"取消",""))</f>
        <v>李师傅</v>
      </c>
      <c r="M85" s="0" t="str">
        <f aca="false">IFERROR(INDEX($A$1:$A$5,MATCH(2,$F85:$J85,0)),IF(2=MAX($F85:$J85)+1,"取消",""))</f>
        <v>王师傅</v>
      </c>
      <c r="N85" s="0" t="str">
        <f aca="false">IFERROR(INDEX($A$1:$A$5,MATCH(3,$F85:$J85,0)),IF(3=MAX($F85:$J85)+1,"取消",""))</f>
        <v>陈师傅</v>
      </c>
      <c r="O85" s="0" t="str">
        <f aca="false">IFERROR(INDEX($A$1:$A$5,MATCH(4,$F85:$J85,0)),IF(4=MAX($F85:$J85)+1,"取消",""))</f>
        <v>刘师傅</v>
      </c>
      <c r="P85" s="0" t="str">
        <f aca="false">IFERROR(INDEX($A$1:$A$5,MATCH(5,$F85:$J85,0)),IF(5=MAX($F85:$J85)+1,"取消",""))</f>
        <v>取消</v>
      </c>
      <c r="Q85" s="0" t="str">
        <f aca="false">IFERROR(INDEX($A$1:$A$5,MATCH(6,$F85:$J85,0)),IF(6=MAX($F85:$J85)+1,"取消",""))</f>
        <v/>
      </c>
      <c r="S85" s="0" t="n">
        <f aca="false">IF(OR($A$1=入户维修!$F85,$A$1=入户维修!$G85,$BN$1=1),0,1-SUMPRODUCT(--(($A$1=入户维修!$F85)+($A$1=入户维修!$G85)+$BN$1&gt;0)))</f>
        <v>0</v>
      </c>
      <c r="T85" s="0" t="n">
        <f aca="false">IF(OR($A$2=入户维修!$F85,$A$2=入户维修!$G85,$BN$2=1),0,2-SUMPRODUCT(--(($A$1:$A$2=入户维修!$F85)+($A$1:$A$2=入户维修!$G85)+$BN$1:$BN$2&gt;0)))</f>
        <v>0</v>
      </c>
      <c r="U85" s="0" t="n">
        <f aca="false">IF(OR($A$3=入户维修!$F85,$A$3=入户维修!$G85,$BN$3=1),0,3-SUMPRODUCT(--(($A$1:$A$3=入户维修!$F85)+($A$1:$A$3=入户维修!$G85)+$BN$1:$BN$3&gt;0)))</f>
        <v>1</v>
      </c>
      <c r="V85" s="0" t="n">
        <f aca="false">IF(OR($A$4=入户维修!$F85,$A$4=入户维修!$G85,$BN$4=1),0,4-SUMPRODUCT(--(($A$1:$A$4=入户维修!$F85)+($A$1:$A$4=入户维修!$G85)+$BN$1:$BN$4&gt;0)))</f>
        <v>2</v>
      </c>
      <c r="W85" s="0" t="n">
        <f aca="false">IF(OR($A$5=入户维修!$F85,$A$5=入户维修!$G85,$BN$5=1),0,5-SUMPRODUCT(--(($A$1:$A$5=入户维修!$F85)+($A$1:$A$5=入户维修!$G85)+$BN$1:$BN$5&gt;0)))</f>
        <v>3</v>
      </c>
      <c r="Y85" s="0" t="str">
        <f aca="false">IFERROR(INDEX($A$1:$A$5,MATCH(1,$S85:$W85,0)),IF(1=MAX($S85:$W85)+1,"取消",""))</f>
        <v>王师傅</v>
      </c>
      <c r="Z85" s="0" t="str">
        <f aca="false">IFERROR(INDEX($A$1:$A$5,MATCH(2,$S85:$W85,0)),IF(2=MAX($S85:$W85)+1,"取消",""))</f>
        <v>陈师傅</v>
      </c>
      <c r="AA85" s="0" t="str">
        <f aca="false">IFERROR(INDEX($A$1:$A$5,MATCH(3,$S85:$W85,0)),IF(3=MAX($S85:$W85)+1,"取消",""))</f>
        <v>刘师傅</v>
      </c>
      <c r="AB85" s="0" t="str">
        <f aca="false">IFERROR(INDEX($A$1:$A$5,MATCH(4,$S85:$W85,0)),IF(4=MAX($S85:$W85)+1,"取消",""))</f>
        <v>取消</v>
      </c>
      <c r="AC85" s="0" t="str">
        <f aca="false">IFERROR(INDEX($A$1:$A$5,MATCH(5,$S85:$W85,0)),IF(5=MAX($S85:$W85)+1,"取消",""))</f>
        <v/>
      </c>
      <c r="AD85" s="0" t="str">
        <f aca="false">IFERROR(INDEX($A$1:$A$5,MATCH(6,$S85:$W85,0)),IF(6=MAX($S85:$W85)+1,"取消",""))</f>
        <v/>
      </c>
      <c r="AF85" s="0" t="n">
        <f aca="false">IF(OR($A$1=公区维修!$F85,$BN$1=1),0,1-SUMPRODUCT(--(($A$1=公区维修!$F85)+$BN$1&gt;0)))</f>
        <v>0</v>
      </c>
      <c r="AG85" s="0" t="n">
        <f aca="false">IF(OR($A$2=公区维修!$F85,$BN$2=1),0,2-SUMPRODUCT(--(($A$1:$A$2=公区维修!$F85)+$BN$1:$BN$2&gt;0)))</f>
        <v>1</v>
      </c>
      <c r="AH85" s="0" t="n">
        <f aca="false">IF(OR($A$3=公区维修!$F85,$BN$3=1),0,3-SUMPRODUCT(--(($A$1:$A$3=公区维修!$F85)+$BN$1:$BN$3&gt;0)))</f>
        <v>2</v>
      </c>
      <c r="AI85" s="0" t="n">
        <f aca="false">IF(OR($A$4=公区维修!$F85,$BN$4=1),0,4-SUMPRODUCT(--(($A$1:$A$4=公区维修!$F85)+$BN$1:$BN$4&gt;0)))</f>
        <v>3</v>
      </c>
      <c r="AJ85" s="0" t="n">
        <f aca="false">IF(OR($A$5=公区维修!$F85,$BN$5=1),0,5-SUMPRODUCT(--(($A$1:$A$5=公区维修!$F85)+$BN$1:$BN$5&gt;0)))</f>
        <v>4</v>
      </c>
      <c r="AL85" s="0" t="str">
        <f aca="false">IFERROR(INDEX($A$1:$A$5,MATCH(1,$AF85:$AJ85,0)),IF(1=MAX($AF85:$AJ85)+1,"取消",""))</f>
        <v>李师傅</v>
      </c>
      <c r="AM85" s="0" t="str">
        <f aca="false">IFERROR(INDEX($A$1:$A$5,MATCH(2,$AF85:$AJ85,0)),IF(2=MAX($AF85:$AJ85)+1,"取消",""))</f>
        <v>王师傅</v>
      </c>
      <c r="AN85" s="0" t="str">
        <f aca="false">IFERROR(INDEX($A$1:$A$5,MATCH(3,$AF85:$AJ85,0)),IF(3=MAX($AF85:$AJ85)+1,"取消",""))</f>
        <v>陈师傅</v>
      </c>
      <c r="AO85" s="0" t="str">
        <f aca="false">IFERROR(INDEX($A$1:$A$5,MATCH(4,$AF85:$AJ85,0)),IF(4=MAX($AF85:$AJ85)+1,"取消",""))</f>
        <v>刘师傅</v>
      </c>
      <c r="AP85" s="0" t="str">
        <f aca="false">IFERROR(INDEX($A$1:$A$5,MATCH(5,$AF85:$AJ85,0)),IF(5=MAX($AF85:$AJ85)+1,"取消",""))</f>
        <v>取消</v>
      </c>
      <c r="AQ85" s="0" t="str">
        <f aca="false">IFERROR(INDEX($A$1:$A$5,MATCH(6,$AF85:$AJ85,0)),IF(6=MAX($AF85:$AJ85)+1,"取消",""))</f>
        <v/>
      </c>
      <c r="AS85" s="0" t="n">
        <f aca="false">IF(OR($A$1=公区维修!$F85,$A$1=公区维修!$G85,$BN$1=1),0,1-SUMPRODUCT(--(($A$1=公区维修!$F85)+($A$1=公区维修!$G85)+$BN$1&gt;0)))</f>
        <v>0</v>
      </c>
      <c r="AT85" s="0" t="n">
        <f aca="false">IF(OR($A$2=公区维修!$F85,$A$2=公区维修!$G85,$BN$2=1),0,2-SUMPRODUCT(--(($A$1:$A$2=公区维修!$F85)+($A$1:$A$2=公区维修!$G85)+$BN$1:$BN$2&gt;0)))</f>
        <v>1</v>
      </c>
      <c r="AU85" s="0" t="n">
        <f aca="false">IF(OR($A$3=公区维修!$F85,$A$3=公区维修!$G85,$BN$3=1),0,3-SUMPRODUCT(--(($A$1:$A$3=公区维修!$F85)+($A$1:$A$3=公区维修!$G85)+$BN$1:$BN$3&gt;0)))</f>
        <v>2</v>
      </c>
      <c r="AV85" s="0" t="n">
        <f aca="false">IF(OR($A$4=公区维修!$F85,$A$4=公区维修!$G85,$BN$4=1),0,4-SUMPRODUCT(--(($A$1:$A$4=公区维修!$F85)+($A$1:$A$4=公区维修!$G85)+$BN$1:$BN$4&gt;0)))</f>
        <v>3</v>
      </c>
      <c r="AW85" s="0" t="n">
        <f aca="false">IF(OR($A$5=公区维修!$F85,$A$5=公区维修!$G85,$BN$5=1),0,5-SUMPRODUCT(--(($A$1:$A$5=公区维修!$F85)+($A$1:$A$5=公区维修!$G85)+$BN$1:$BN$5&gt;0)))</f>
        <v>4</v>
      </c>
      <c r="AY85" s="0" t="str">
        <f aca="false">IFERROR(INDEX($A$1:$A$5,MATCH(1,$AS85:$AW85,0)),IF(1=MAX($AS85:$AW85)+1,"取消",""))</f>
        <v>李师傅</v>
      </c>
      <c r="AZ85" s="0" t="str">
        <f aca="false">IFERROR(INDEX($A$1:$A$5,MATCH(2,$AS85:$AW85,0)),IF(2=MAX($AS85:$AW85)+1,"取消",""))</f>
        <v>王师傅</v>
      </c>
      <c r="BA85" s="0" t="str">
        <f aca="false">IFERROR(INDEX($A$1:$A$5,MATCH(3,$AS85:$AW85,0)),IF(3=MAX($AS85:$AW85)+1,"取消",""))</f>
        <v>陈师傅</v>
      </c>
      <c r="BB85" s="0" t="str">
        <f aca="false">IFERROR(INDEX($A$1:$A$5,MATCH(4,$AS85:$AW85,0)),IF(4=MAX($AS85:$AW85)+1,"取消",""))</f>
        <v>刘师傅</v>
      </c>
      <c r="BC85" s="0" t="str">
        <f aca="false">IFERROR(INDEX($A$1:$A$5,MATCH(5,$AS85:$AW85,0)),IF(5=MAX($AS85:$AW85)+1,"取消",""))</f>
        <v>取消</v>
      </c>
      <c r="BD85" s="0" t="str">
        <f aca="false">IFERROR(INDEX($A$1:$A$5,MATCH(6,$AS85:$AW85,0)),IF(6=MAX($AS85:$AW85)+1,"取消",""))</f>
        <v/>
      </c>
      <c r="FW85" s="0" t="str">
        <f aca="false">IF(AND(单元查询!$D$3&lt;&gt;"",IF(单元查询!$B$3="公区维修",公区维修!$E85&lt;&gt;"",入户维修!$E85&lt;&gt;""),IF(单元查询!$B$3="公区维修",公区维修!$C85,入户维修!$C85)=单元查询!$D$3,OR(单元查询!$F$3="",IF(单元查询!$B$3="公区维修",公区维修!$D85,入户维修!$D85)&amp;""=(单元查询!$F$3)&amp;"")),MAX($FW$4:$FW84)+1,"")</f>
        <v/>
      </c>
    </row>
    <row r="86" customFormat="false" ht="15" hidden="false" customHeight="true" outlineLevel="0" collapsed="false">
      <c r="F86" s="0" t="n">
        <f aca="false">IF(OR($A$1=入户维修!$F86,$BN$1=1),0,1-SUMPRODUCT(--(($A$1=入户维修!$F86)+$BN$1&gt;0)))</f>
        <v>0</v>
      </c>
      <c r="G86" s="0" t="n">
        <f aca="false">IF(OR($A$2=入户维修!$F86,$BN$2=1),0,2-SUMPRODUCT(--(($A$1:$A$2=入户维修!$F86)+$BN$1:$BN$2&gt;0)))</f>
        <v>1</v>
      </c>
      <c r="H86" s="0" t="n">
        <f aca="false">IF(OR($A$3=入户维修!$F86,$BN$3=1),0,3-SUMPRODUCT(--(($A$1:$A$3=入户维修!$F86)+$BN$1:$BN$3&gt;0)))</f>
        <v>2</v>
      </c>
      <c r="I86" s="0" t="n">
        <f aca="false">IF(OR($A$4=入户维修!$F86,$BN$4=1),0,4-SUMPRODUCT(--(($A$1:$A$4=入户维修!$F86)+$BN$1:$BN$4&gt;0)))</f>
        <v>3</v>
      </c>
      <c r="J86" s="0" t="n">
        <f aca="false">IF(OR($A$5=入户维修!$F86,$BN$5=1),0,5-SUMPRODUCT(--(($A$1:$A$5=入户维修!$F86)+$BN$1:$BN$5&gt;0)))</f>
        <v>0</v>
      </c>
      <c r="L86" s="0" t="str">
        <f aca="false">IFERROR(INDEX($A$1:$A$5,MATCH(1,$F86:$J86,0)),IF(1=MAX($F86:$J86)+1,"取消",""))</f>
        <v>李师傅</v>
      </c>
      <c r="M86" s="0" t="str">
        <f aca="false">IFERROR(INDEX($A$1:$A$5,MATCH(2,$F86:$J86,0)),IF(2=MAX($F86:$J86)+1,"取消",""))</f>
        <v>王师傅</v>
      </c>
      <c r="N86" s="0" t="str">
        <f aca="false">IFERROR(INDEX($A$1:$A$5,MATCH(3,$F86:$J86,0)),IF(3=MAX($F86:$J86)+1,"取消",""))</f>
        <v>陈师傅</v>
      </c>
      <c r="O86" s="0" t="str">
        <f aca="false">IFERROR(INDEX($A$1:$A$5,MATCH(4,$F86:$J86,0)),IF(4=MAX($F86:$J86)+1,"取消",""))</f>
        <v>取消</v>
      </c>
      <c r="P86" s="0" t="str">
        <f aca="false">IFERROR(INDEX($A$1:$A$5,MATCH(5,$F86:$J86,0)),IF(5=MAX($F86:$J86)+1,"取消",""))</f>
        <v/>
      </c>
      <c r="Q86" s="0" t="str">
        <f aca="false">IFERROR(INDEX($A$1:$A$5,MATCH(6,$F86:$J86,0)),IF(6=MAX($F86:$J86)+1,"取消",""))</f>
        <v/>
      </c>
      <c r="S86" s="0" t="n">
        <f aca="false">IF(OR($A$1=入户维修!$F86,$A$1=入户维修!$G86,$BN$1=1),0,1-SUMPRODUCT(--(($A$1=入户维修!$F86)+($A$1=入户维修!$G86)+$BN$1&gt;0)))</f>
        <v>0</v>
      </c>
      <c r="T86" s="0" t="n">
        <f aca="false">IF(OR($A$2=入户维修!$F86,$A$2=入户维修!$G86,$BN$2=1),0,2-SUMPRODUCT(--(($A$1:$A$2=入户维修!$F86)+($A$1:$A$2=入户维修!$G86)+$BN$1:$BN$2&gt;0)))</f>
        <v>1</v>
      </c>
      <c r="U86" s="0" t="n">
        <f aca="false">IF(OR($A$3=入户维修!$F86,$A$3=入户维修!$G86,$BN$3=1),0,3-SUMPRODUCT(--(($A$1:$A$3=入户维修!$F86)+($A$1:$A$3=入户维修!$G86)+$BN$1:$BN$3&gt;0)))</f>
        <v>2</v>
      </c>
      <c r="V86" s="0" t="n">
        <f aca="false">IF(OR($A$4=入户维修!$F86,$A$4=入户维修!$G86,$BN$4=1),0,4-SUMPRODUCT(--(($A$1:$A$4=入户维修!$F86)+($A$1:$A$4=入户维修!$G86)+$BN$1:$BN$4&gt;0)))</f>
        <v>3</v>
      </c>
      <c r="W86" s="0" t="n">
        <f aca="false">IF(OR($A$5=入户维修!$F86,$A$5=入户维修!$G86,$BN$5=1),0,5-SUMPRODUCT(--(($A$1:$A$5=入户维修!$F86)+($A$1:$A$5=入户维修!$G86)+$BN$1:$BN$5&gt;0)))</f>
        <v>0</v>
      </c>
      <c r="Y86" s="0" t="str">
        <f aca="false">IFERROR(INDEX($A$1:$A$5,MATCH(1,$S86:$W86,0)),IF(1=MAX($S86:$W86)+1,"取消",""))</f>
        <v>李师傅</v>
      </c>
      <c r="Z86" s="0" t="str">
        <f aca="false">IFERROR(INDEX($A$1:$A$5,MATCH(2,$S86:$W86,0)),IF(2=MAX($S86:$W86)+1,"取消",""))</f>
        <v>王师傅</v>
      </c>
      <c r="AA86" s="0" t="str">
        <f aca="false">IFERROR(INDEX($A$1:$A$5,MATCH(3,$S86:$W86,0)),IF(3=MAX($S86:$W86)+1,"取消",""))</f>
        <v>陈师傅</v>
      </c>
      <c r="AB86" s="0" t="str">
        <f aca="false">IFERROR(INDEX($A$1:$A$5,MATCH(4,$S86:$W86,0)),IF(4=MAX($S86:$W86)+1,"取消",""))</f>
        <v>取消</v>
      </c>
      <c r="AC86" s="0" t="str">
        <f aca="false">IFERROR(INDEX($A$1:$A$5,MATCH(5,$S86:$W86,0)),IF(5=MAX($S86:$W86)+1,"取消",""))</f>
        <v/>
      </c>
      <c r="AD86" s="0" t="str">
        <f aca="false">IFERROR(INDEX($A$1:$A$5,MATCH(6,$S86:$W86,0)),IF(6=MAX($S86:$W86)+1,"取消",""))</f>
        <v/>
      </c>
      <c r="AF86" s="0" t="n">
        <f aca="false">IF(OR($A$1=公区维修!$F86,$BN$1=1),0,1-SUMPRODUCT(--(($A$1=公区维修!$F86)+$BN$1&gt;0)))</f>
        <v>0</v>
      </c>
      <c r="AG86" s="0" t="n">
        <f aca="false">IF(OR($A$2=公区维修!$F86,$BN$2=1),0,2-SUMPRODUCT(--(($A$1:$A$2=公区维修!$F86)+$BN$1:$BN$2&gt;0)))</f>
        <v>1</v>
      </c>
      <c r="AH86" s="0" t="n">
        <f aca="false">IF(OR($A$3=公区维修!$F86,$BN$3=1),0,3-SUMPRODUCT(--(($A$1:$A$3=公区维修!$F86)+$BN$1:$BN$3&gt;0)))</f>
        <v>2</v>
      </c>
      <c r="AI86" s="0" t="n">
        <f aca="false">IF(OR($A$4=公区维修!$F86,$BN$4=1),0,4-SUMPRODUCT(--(($A$1:$A$4=公区维修!$F86)+$BN$1:$BN$4&gt;0)))</f>
        <v>3</v>
      </c>
      <c r="AJ86" s="0" t="n">
        <f aca="false">IF(OR($A$5=公区维修!$F86,$BN$5=1),0,5-SUMPRODUCT(--(($A$1:$A$5=公区维修!$F86)+$BN$1:$BN$5&gt;0)))</f>
        <v>4</v>
      </c>
      <c r="AL86" s="0" t="str">
        <f aca="false">IFERROR(INDEX($A$1:$A$5,MATCH(1,$AF86:$AJ86,0)),IF(1=MAX($AF86:$AJ86)+1,"取消",""))</f>
        <v>李师傅</v>
      </c>
      <c r="AM86" s="0" t="str">
        <f aca="false">IFERROR(INDEX($A$1:$A$5,MATCH(2,$AF86:$AJ86,0)),IF(2=MAX($AF86:$AJ86)+1,"取消",""))</f>
        <v>王师傅</v>
      </c>
      <c r="AN86" s="0" t="str">
        <f aca="false">IFERROR(INDEX($A$1:$A$5,MATCH(3,$AF86:$AJ86,0)),IF(3=MAX($AF86:$AJ86)+1,"取消",""))</f>
        <v>陈师傅</v>
      </c>
      <c r="AO86" s="0" t="str">
        <f aca="false">IFERROR(INDEX($A$1:$A$5,MATCH(4,$AF86:$AJ86,0)),IF(4=MAX($AF86:$AJ86)+1,"取消",""))</f>
        <v>刘师傅</v>
      </c>
      <c r="AP86" s="0" t="str">
        <f aca="false">IFERROR(INDEX($A$1:$A$5,MATCH(5,$AF86:$AJ86,0)),IF(5=MAX($AF86:$AJ86)+1,"取消",""))</f>
        <v>取消</v>
      </c>
      <c r="AQ86" s="0" t="str">
        <f aca="false">IFERROR(INDEX($A$1:$A$5,MATCH(6,$AF86:$AJ86,0)),IF(6=MAX($AF86:$AJ86)+1,"取消",""))</f>
        <v/>
      </c>
      <c r="AS86" s="0" t="n">
        <f aca="false">IF(OR($A$1=公区维修!$F86,$A$1=公区维修!$G86,$BN$1=1),0,1-SUMPRODUCT(--(($A$1=公区维修!$F86)+($A$1=公区维修!$G86)+$BN$1&gt;0)))</f>
        <v>0</v>
      </c>
      <c r="AT86" s="0" t="n">
        <f aca="false">IF(OR($A$2=公区维修!$F86,$A$2=公区维修!$G86,$BN$2=1),0,2-SUMPRODUCT(--(($A$1:$A$2=公区维修!$F86)+($A$1:$A$2=公区维修!$G86)+$BN$1:$BN$2&gt;0)))</f>
        <v>1</v>
      </c>
      <c r="AU86" s="0" t="n">
        <f aca="false">IF(OR($A$3=公区维修!$F86,$A$3=公区维修!$G86,$BN$3=1),0,3-SUMPRODUCT(--(($A$1:$A$3=公区维修!$F86)+($A$1:$A$3=公区维修!$G86)+$BN$1:$BN$3&gt;0)))</f>
        <v>2</v>
      </c>
      <c r="AV86" s="0" t="n">
        <f aca="false">IF(OR($A$4=公区维修!$F86,$A$4=公区维修!$G86,$BN$4=1),0,4-SUMPRODUCT(--(($A$1:$A$4=公区维修!$F86)+($A$1:$A$4=公区维修!$G86)+$BN$1:$BN$4&gt;0)))</f>
        <v>3</v>
      </c>
      <c r="AW86" s="0" t="n">
        <f aca="false">IF(OR($A$5=公区维修!$F86,$A$5=公区维修!$G86,$BN$5=1),0,5-SUMPRODUCT(--(($A$1:$A$5=公区维修!$F86)+($A$1:$A$5=公区维修!$G86)+$BN$1:$BN$5&gt;0)))</f>
        <v>4</v>
      </c>
      <c r="AY86" s="0" t="str">
        <f aca="false">IFERROR(INDEX($A$1:$A$5,MATCH(1,$AS86:$AW86,0)),IF(1=MAX($AS86:$AW86)+1,"取消",""))</f>
        <v>李师傅</v>
      </c>
      <c r="AZ86" s="0" t="str">
        <f aca="false">IFERROR(INDEX($A$1:$A$5,MATCH(2,$AS86:$AW86,0)),IF(2=MAX($AS86:$AW86)+1,"取消",""))</f>
        <v>王师傅</v>
      </c>
      <c r="BA86" s="0" t="str">
        <f aca="false">IFERROR(INDEX($A$1:$A$5,MATCH(3,$AS86:$AW86,0)),IF(3=MAX($AS86:$AW86)+1,"取消",""))</f>
        <v>陈师傅</v>
      </c>
      <c r="BB86" s="0" t="str">
        <f aca="false">IFERROR(INDEX($A$1:$A$5,MATCH(4,$AS86:$AW86,0)),IF(4=MAX($AS86:$AW86)+1,"取消",""))</f>
        <v>刘师傅</v>
      </c>
      <c r="BC86" s="0" t="str">
        <f aca="false">IFERROR(INDEX($A$1:$A$5,MATCH(5,$AS86:$AW86,0)),IF(5=MAX($AS86:$AW86)+1,"取消",""))</f>
        <v>取消</v>
      </c>
      <c r="BD86" s="0" t="str">
        <f aca="false">IFERROR(INDEX($A$1:$A$5,MATCH(6,$AS86:$AW86,0)),IF(6=MAX($AS86:$AW86)+1,"取消",""))</f>
        <v/>
      </c>
      <c r="FW86" s="0" t="str">
        <f aca="false">IF(AND(单元查询!$D$3&lt;&gt;"",IF(单元查询!$B$3="公区维修",公区维修!$E86&lt;&gt;"",入户维修!$E86&lt;&gt;""),IF(单元查询!$B$3="公区维修",公区维修!$C86,入户维修!$C86)=单元查询!$D$3,OR(单元查询!$F$3="",IF(单元查询!$B$3="公区维修",公区维修!$D86,入户维修!$D86)&amp;""=(单元查询!$F$3)&amp;"")),MAX($FW$4:$FW85)+1,"")</f>
        <v/>
      </c>
    </row>
    <row r="87" customFormat="false" ht="15" hidden="false" customHeight="true" outlineLevel="0" collapsed="false">
      <c r="F87" s="0" t="n">
        <f aca="false">IF(OR($A$1=入户维修!$F87,$BN$1=1),0,1-SUMPRODUCT(--(($A$1=入户维修!$F87)+$BN$1&gt;0)))</f>
        <v>0</v>
      </c>
      <c r="G87" s="0" t="n">
        <f aca="false">IF(OR($A$2=入户维修!$F87,$BN$2=1),0,2-SUMPRODUCT(--(($A$1:$A$2=入户维修!$F87)+$BN$1:$BN$2&gt;0)))</f>
        <v>0</v>
      </c>
      <c r="H87" s="0" t="n">
        <f aca="false">IF(OR($A$3=入户维修!$F87,$BN$3=1),0,3-SUMPRODUCT(--(($A$1:$A$3=入户维修!$F87)+$BN$1:$BN$3&gt;0)))</f>
        <v>1</v>
      </c>
      <c r="I87" s="0" t="n">
        <f aca="false">IF(OR($A$4=入户维修!$F87,$BN$4=1),0,4-SUMPRODUCT(--(($A$1:$A$4=入户维修!$F87)+$BN$1:$BN$4&gt;0)))</f>
        <v>2</v>
      </c>
      <c r="J87" s="0" t="n">
        <f aca="false">IF(OR($A$5=入户维修!$F87,$BN$5=1),0,5-SUMPRODUCT(--(($A$1:$A$5=入户维修!$F87)+$BN$1:$BN$5&gt;0)))</f>
        <v>3</v>
      </c>
      <c r="L87" s="0" t="str">
        <f aca="false">IFERROR(INDEX($A$1:$A$5,MATCH(1,$F87:$J87,0)),IF(1=MAX($F87:$J87)+1,"取消",""))</f>
        <v>王师傅</v>
      </c>
      <c r="M87" s="0" t="str">
        <f aca="false">IFERROR(INDEX($A$1:$A$5,MATCH(2,$F87:$J87,0)),IF(2=MAX($F87:$J87)+1,"取消",""))</f>
        <v>陈师傅</v>
      </c>
      <c r="N87" s="0" t="str">
        <f aca="false">IFERROR(INDEX($A$1:$A$5,MATCH(3,$F87:$J87,0)),IF(3=MAX($F87:$J87)+1,"取消",""))</f>
        <v>刘师傅</v>
      </c>
      <c r="O87" s="0" t="str">
        <f aca="false">IFERROR(INDEX($A$1:$A$5,MATCH(4,$F87:$J87,0)),IF(4=MAX($F87:$J87)+1,"取消",""))</f>
        <v>取消</v>
      </c>
      <c r="P87" s="0" t="str">
        <f aca="false">IFERROR(INDEX($A$1:$A$5,MATCH(5,$F87:$J87,0)),IF(5=MAX($F87:$J87)+1,"取消",""))</f>
        <v/>
      </c>
      <c r="Q87" s="0" t="str">
        <f aca="false">IFERROR(INDEX($A$1:$A$5,MATCH(6,$F87:$J87,0)),IF(6=MAX($F87:$J87)+1,"取消",""))</f>
        <v/>
      </c>
      <c r="S87" s="0" t="n">
        <f aca="false">IF(OR($A$1=入户维修!$F87,$A$1=入户维修!$G87,$BN$1=1),0,1-SUMPRODUCT(--(($A$1=入户维修!$F87)+($A$1=入户维修!$G87)+$BN$1&gt;0)))</f>
        <v>0</v>
      </c>
      <c r="T87" s="0" t="n">
        <f aca="false">IF(OR($A$2=入户维修!$F87,$A$2=入户维修!$G87,$BN$2=1),0,2-SUMPRODUCT(--(($A$1:$A$2=入户维修!$F87)+($A$1:$A$2=入户维修!$G87)+$BN$1:$BN$2&gt;0)))</f>
        <v>0</v>
      </c>
      <c r="U87" s="0" t="n">
        <f aca="false">IF(OR($A$3=入户维修!$F87,$A$3=入户维修!$G87,$BN$3=1),0,3-SUMPRODUCT(--(($A$1:$A$3=入户维修!$F87)+($A$1:$A$3=入户维修!$G87)+$BN$1:$BN$3&gt;0)))</f>
        <v>1</v>
      </c>
      <c r="V87" s="0" t="n">
        <f aca="false">IF(OR($A$4=入户维修!$F87,$A$4=入户维修!$G87,$BN$4=1),0,4-SUMPRODUCT(--(($A$1:$A$4=入户维修!$F87)+($A$1:$A$4=入户维修!$G87)+$BN$1:$BN$4&gt;0)))</f>
        <v>2</v>
      </c>
      <c r="W87" s="0" t="n">
        <f aca="false">IF(OR($A$5=入户维修!$F87,$A$5=入户维修!$G87,$BN$5=1),0,5-SUMPRODUCT(--(($A$1:$A$5=入户维修!$F87)+($A$1:$A$5=入户维修!$G87)+$BN$1:$BN$5&gt;0)))</f>
        <v>3</v>
      </c>
      <c r="Y87" s="0" t="str">
        <f aca="false">IFERROR(INDEX($A$1:$A$5,MATCH(1,$S87:$W87,0)),IF(1=MAX($S87:$W87)+1,"取消",""))</f>
        <v>王师傅</v>
      </c>
      <c r="Z87" s="0" t="str">
        <f aca="false">IFERROR(INDEX($A$1:$A$5,MATCH(2,$S87:$W87,0)),IF(2=MAX($S87:$W87)+1,"取消",""))</f>
        <v>陈师傅</v>
      </c>
      <c r="AA87" s="0" t="str">
        <f aca="false">IFERROR(INDEX($A$1:$A$5,MATCH(3,$S87:$W87,0)),IF(3=MAX($S87:$W87)+1,"取消",""))</f>
        <v>刘师傅</v>
      </c>
      <c r="AB87" s="0" t="str">
        <f aca="false">IFERROR(INDEX($A$1:$A$5,MATCH(4,$S87:$W87,0)),IF(4=MAX($S87:$W87)+1,"取消",""))</f>
        <v>取消</v>
      </c>
      <c r="AC87" s="0" t="str">
        <f aca="false">IFERROR(INDEX($A$1:$A$5,MATCH(5,$S87:$W87,0)),IF(5=MAX($S87:$W87)+1,"取消",""))</f>
        <v/>
      </c>
      <c r="AD87" s="0" t="str">
        <f aca="false">IFERROR(INDEX($A$1:$A$5,MATCH(6,$S87:$W87,0)),IF(6=MAX($S87:$W87)+1,"取消",""))</f>
        <v/>
      </c>
      <c r="AF87" s="0" t="n">
        <f aca="false">IF(OR($A$1=公区维修!$F87,$BN$1=1),0,1-SUMPRODUCT(--(($A$1=公区维修!$F87)+$BN$1&gt;0)))</f>
        <v>0</v>
      </c>
      <c r="AG87" s="0" t="n">
        <f aca="false">IF(OR($A$2=公区维修!$F87,$BN$2=1),0,2-SUMPRODUCT(--(($A$1:$A$2=公区维修!$F87)+$BN$1:$BN$2&gt;0)))</f>
        <v>1</v>
      </c>
      <c r="AH87" s="0" t="n">
        <f aca="false">IF(OR($A$3=公区维修!$F87,$BN$3=1),0,3-SUMPRODUCT(--(($A$1:$A$3=公区维修!$F87)+$BN$1:$BN$3&gt;0)))</f>
        <v>2</v>
      </c>
      <c r="AI87" s="0" t="n">
        <f aca="false">IF(OR($A$4=公区维修!$F87,$BN$4=1),0,4-SUMPRODUCT(--(($A$1:$A$4=公区维修!$F87)+$BN$1:$BN$4&gt;0)))</f>
        <v>3</v>
      </c>
      <c r="AJ87" s="0" t="n">
        <f aca="false">IF(OR($A$5=公区维修!$F87,$BN$5=1),0,5-SUMPRODUCT(--(($A$1:$A$5=公区维修!$F87)+$BN$1:$BN$5&gt;0)))</f>
        <v>4</v>
      </c>
      <c r="AL87" s="0" t="str">
        <f aca="false">IFERROR(INDEX($A$1:$A$5,MATCH(1,$AF87:$AJ87,0)),IF(1=MAX($AF87:$AJ87)+1,"取消",""))</f>
        <v>李师傅</v>
      </c>
      <c r="AM87" s="0" t="str">
        <f aca="false">IFERROR(INDEX($A$1:$A$5,MATCH(2,$AF87:$AJ87,0)),IF(2=MAX($AF87:$AJ87)+1,"取消",""))</f>
        <v>王师傅</v>
      </c>
      <c r="AN87" s="0" t="str">
        <f aca="false">IFERROR(INDEX($A$1:$A$5,MATCH(3,$AF87:$AJ87,0)),IF(3=MAX($AF87:$AJ87)+1,"取消",""))</f>
        <v>陈师傅</v>
      </c>
      <c r="AO87" s="0" t="str">
        <f aca="false">IFERROR(INDEX($A$1:$A$5,MATCH(4,$AF87:$AJ87,0)),IF(4=MAX($AF87:$AJ87)+1,"取消",""))</f>
        <v>刘师傅</v>
      </c>
      <c r="AP87" s="0" t="str">
        <f aca="false">IFERROR(INDEX($A$1:$A$5,MATCH(5,$AF87:$AJ87,0)),IF(5=MAX($AF87:$AJ87)+1,"取消",""))</f>
        <v>取消</v>
      </c>
      <c r="AQ87" s="0" t="str">
        <f aca="false">IFERROR(INDEX($A$1:$A$5,MATCH(6,$AF87:$AJ87,0)),IF(6=MAX($AF87:$AJ87)+1,"取消",""))</f>
        <v/>
      </c>
      <c r="AS87" s="0" t="n">
        <f aca="false">IF(OR($A$1=公区维修!$F87,$A$1=公区维修!$G87,$BN$1=1),0,1-SUMPRODUCT(--(($A$1=公区维修!$F87)+($A$1=公区维修!$G87)+$BN$1&gt;0)))</f>
        <v>0</v>
      </c>
      <c r="AT87" s="0" t="n">
        <f aca="false">IF(OR($A$2=公区维修!$F87,$A$2=公区维修!$G87,$BN$2=1),0,2-SUMPRODUCT(--(($A$1:$A$2=公区维修!$F87)+($A$1:$A$2=公区维修!$G87)+$BN$1:$BN$2&gt;0)))</f>
        <v>1</v>
      </c>
      <c r="AU87" s="0" t="n">
        <f aca="false">IF(OR($A$3=公区维修!$F87,$A$3=公区维修!$G87,$BN$3=1),0,3-SUMPRODUCT(--(($A$1:$A$3=公区维修!$F87)+($A$1:$A$3=公区维修!$G87)+$BN$1:$BN$3&gt;0)))</f>
        <v>2</v>
      </c>
      <c r="AV87" s="0" t="n">
        <f aca="false">IF(OR($A$4=公区维修!$F87,$A$4=公区维修!$G87,$BN$4=1),0,4-SUMPRODUCT(--(($A$1:$A$4=公区维修!$F87)+($A$1:$A$4=公区维修!$G87)+$BN$1:$BN$4&gt;0)))</f>
        <v>3</v>
      </c>
      <c r="AW87" s="0" t="n">
        <f aca="false">IF(OR($A$5=公区维修!$F87,$A$5=公区维修!$G87,$BN$5=1),0,5-SUMPRODUCT(--(($A$1:$A$5=公区维修!$F87)+($A$1:$A$5=公区维修!$G87)+$BN$1:$BN$5&gt;0)))</f>
        <v>4</v>
      </c>
      <c r="AY87" s="0" t="str">
        <f aca="false">IFERROR(INDEX($A$1:$A$5,MATCH(1,$AS87:$AW87,0)),IF(1=MAX($AS87:$AW87)+1,"取消",""))</f>
        <v>李师傅</v>
      </c>
      <c r="AZ87" s="0" t="str">
        <f aca="false">IFERROR(INDEX($A$1:$A$5,MATCH(2,$AS87:$AW87,0)),IF(2=MAX($AS87:$AW87)+1,"取消",""))</f>
        <v>王师傅</v>
      </c>
      <c r="BA87" s="0" t="str">
        <f aca="false">IFERROR(INDEX($A$1:$A$5,MATCH(3,$AS87:$AW87,0)),IF(3=MAX($AS87:$AW87)+1,"取消",""))</f>
        <v>陈师傅</v>
      </c>
      <c r="BB87" s="0" t="str">
        <f aca="false">IFERROR(INDEX($A$1:$A$5,MATCH(4,$AS87:$AW87,0)),IF(4=MAX($AS87:$AW87)+1,"取消",""))</f>
        <v>刘师傅</v>
      </c>
      <c r="BC87" s="0" t="str">
        <f aca="false">IFERROR(INDEX($A$1:$A$5,MATCH(5,$AS87:$AW87,0)),IF(5=MAX($AS87:$AW87)+1,"取消",""))</f>
        <v>取消</v>
      </c>
      <c r="BD87" s="0" t="str">
        <f aca="false">IFERROR(INDEX($A$1:$A$5,MATCH(6,$AS87:$AW87,0)),IF(6=MAX($AS87:$AW87)+1,"取消",""))</f>
        <v/>
      </c>
      <c r="FW87" s="0" t="str">
        <f aca="false">IF(AND(单元查询!$D$3&lt;&gt;"",IF(单元查询!$B$3="公区维修",公区维修!$E87&lt;&gt;"",入户维修!$E87&lt;&gt;""),IF(单元查询!$B$3="公区维修",公区维修!$C87,入户维修!$C87)=单元查询!$D$3,OR(单元查询!$F$3="",IF(单元查询!$B$3="公区维修",公区维修!$D87,入户维修!$D87)&amp;""=(单元查询!$F$3)&amp;"")),MAX($FW$4:$FW86)+1,"")</f>
        <v/>
      </c>
    </row>
    <row r="88" customFormat="false" ht="15" hidden="false" customHeight="true" outlineLevel="0" collapsed="false">
      <c r="F88" s="0" t="n">
        <f aca="false">IF(OR($A$1=入户维修!$F88,$BN$1=1),0,1-SUMPRODUCT(--(($A$1=入户维修!$F88)+$BN$1&gt;0)))</f>
        <v>0</v>
      </c>
      <c r="G88" s="0" t="n">
        <f aca="false">IF(OR($A$2=入户维修!$F88,$BN$2=1),0,2-SUMPRODUCT(--(($A$1:$A$2=入户维修!$F88)+$BN$1:$BN$2&gt;0)))</f>
        <v>1</v>
      </c>
      <c r="H88" s="0" t="n">
        <f aca="false">IF(OR($A$3=入户维修!$F88,$BN$3=1),0,3-SUMPRODUCT(--(($A$1:$A$3=入户维修!$F88)+$BN$1:$BN$3&gt;0)))</f>
        <v>2</v>
      </c>
      <c r="I88" s="0" t="n">
        <f aca="false">IF(OR($A$4=入户维修!$F88,$BN$4=1),0,4-SUMPRODUCT(--(($A$1:$A$4=入户维修!$F88)+$BN$1:$BN$4&gt;0)))</f>
        <v>3</v>
      </c>
      <c r="J88" s="0" t="n">
        <f aca="false">IF(OR($A$5=入户维修!$F88,$BN$5=1),0,5-SUMPRODUCT(--(($A$1:$A$5=入户维修!$F88)+$BN$1:$BN$5&gt;0)))</f>
        <v>4</v>
      </c>
      <c r="L88" s="0" t="str">
        <f aca="false">IFERROR(INDEX($A$1:$A$5,MATCH(1,$F88:$J88,0)),IF(1=MAX($F88:$J88)+1,"取消",""))</f>
        <v>李师傅</v>
      </c>
      <c r="M88" s="0" t="str">
        <f aca="false">IFERROR(INDEX($A$1:$A$5,MATCH(2,$F88:$J88,0)),IF(2=MAX($F88:$J88)+1,"取消",""))</f>
        <v>王师傅</v>
      </c>
      <c r="N88" s="0" t="str">
        <f aca="false">IFERROR(INDEX($A$1:$A$5,MATCH(3,$F88:$J88,0)),IF(3=MAX($F88:$J88)+1,"取消",""))</f>
        <v>陈师傅</v>
      </c>
      <c r="O88" s="0" t="str">
        <f aca="false">IFERROR(INDEX($A$1:$A$5,MATCH(4,$F88:$J88,0)),IF(4=MAX($F88:$J88)+1,"取消",""))</f>
        <v>刘师傅</v>
      </c>
      <c r="P88" s="0" t="str">
        <f aca="false">IFERROR(INDEX($A$1:$A$5,MATCH(5,$F88:$J88,0)),IF(5=MAX($F88:$J88)+1,"取消",""))</f>
        <v>取消</v>
      </c>
      <c r="Q88" s="0" t="str">
        <f aca="false">IFERROR(INDEX($A$1:$A$5,MATCH(6,$F88:$J88,0)),IF(6=MAX($F88:$J88)+1,"取消",""))</f>
        <v/>
      </c>
      <c r="S88" s="0" t="n">
        <f aca="false">IF(OR($A$1=入户维修!$F88,$A$1=入户维修!$G88,$BN$1=1),0,1-SUMPRODUCT(--(($A$1=入户维修!$F88)+($A$1=入户维修!$G88)+$BN$1&gt;0)))</f>
        <v>0</v>
      </c>
      <c r="T88" s="0" t="n">
        <f aca="false">IF(OR($A$2=入户维修!$F88,$A$2=入户维修!$G88,$BN$2=1),0,2-SUMPRODUCT(--(($A$1:$A$2=入户维修!$F88)+($A$1:$A$2=入户维修!$G88)+$BN$1:$BN$2&gt;0)))</f>
        <v>1</v>
      </c>
      <c r="U88" s="0" t="n">
        <f aca="false">IF(OR($A$3=入户维修!$F88,$A$3=入户维修!$G88,$BN$3=1),0,3-SUMPRODUCT(--(($A$1:$A$3=入户维修!$F88)+($A$1:$A$3=入户维修!$G88)+$BN$1:$BN$3&gt;0)))</f>
        <v>2</v>
      </c>
      <c r="V88" s="0" t="n">
        <f aca="false">IF(OR($A$4=入户维修!$F88,$A$4=入户维修!$G88,$BN$4=1),0,4-SUMPRODUCT(--(($A$1:$A$4=入户维修!$F88)+($A$1:$A$4=入户维修!$G88)+$BN$1:$BN$4&gt;0)))</f>
        <v>3</v>
      </c>
      <c r="W88" s="0" t="n">
        <f aca="false">IF(OR($A$5=入户维修!$F88,$A$5=入户维修!$G88,$BN$5=1),0,5-SUMPRODUCT(--(($A$1:$A$5=入户维修!$F88)+($A$1:$A$5=入户维修!$G88)+$BN$1:$BN$5&gt;0)))</f>
        <v>4</v>
      </c>
      <c r="Y88" s="0" t="str">
        <f aca="false">IFERROR(INDEX($A$1:$A$5,MATCH(1,$S88:$W88,0)),IF(1=MAX($S88:$W88)+1,"取消",""))</f>
        <v>李师傅</v>
      </c>
      <c r="Z88" s="0" t="str">
        <f aca="false">IFERROR(INDEX($A$1:$A$5,MATCH(2,$S88:$W88,0)),IF(2=MAX($S88:$W88)+1,"取消",""))</f>
        <v>王师傅</v>
      </c>
      <c r="AA88" s="0" t="str">
        <f aca="false">IFERROR(INDEX($A$1:$A$5,MATCH(3,$S88:$W88,0)),IF(3=MAX($S88:$W88)+1,"取消",""))</f>
        <v>陈师傅</v>
      </c>
      <c r="AB88" s="0" t="str">
        <f aca="false">IFERROR(INDEX($A$1:$A$5,MATCH(4,$S88:$W88,0)),IF(4=MAX($S88:$W88)+1,"取消",""))</f>
        <v>刘师傅</v>
      </c>
      <c r="AC88" s="0" t="str">
        <f aca="false">IFERROR(INDEX($A$1:$A$5,MATCH(5,$S88:$W88,0)),IF(5=MAX($S88:$W88)+1,"取消",""))</f>
        <v>取消</v>
      </c>
      <c r="AD88" s="0" t="str">
        <f aca="false">IFERROR(INDEX($A$1:$A$5,MATCH(6,$S88:$W88,0)),IF(6=MAX($S88:$W88)+1,"取消",""))</f>
        <v/>
      </c>
      <c r="AF88" s="0" t="n">
        <f aca="false">IF(OR($A$1=公区维修!$F88,$BN$1=1),0,1-SUMPRODUCT(--(($A$1=公区维修!$F88)+$BN$1&gt;0)))</f>
        <v>0</v>
      </c>
      <c r="AG88" s="0" t="n">
        <f aca="false">IF(OR($A$2=公区维修!$F88,$BN$2=1),0,2-SUMPRODUCT(--(($A$1:$A$2=公区维修!$F88)+$BN$1:$BN$2&gt;0)))</f>
        <v>1</v>
      </c>
      <c r="AH88" s="0" t="n">
        <f aca="false">IF(OR($A$3=公区维修!$F88,$BN$3=1),0,3-SUMPRODUCT(--(($A$1:$A$3=公区维修!$F88)+$BN$1:$BN$3&gt;0)))</f>
        <v>2</v>
      </c>
      <c r="AI88" s="0" t="n">
        <f aca="false">IF(OR($A$4=公区维修!$F88,$BN$4=1),0,4-SUMPRODUCT(--(($A$1:$A$4=公区维修!$F88)+$BN$1:$BN$4&gt;0)))</f>
        <v>3</v>
      </c>
      <c r="AJ88" s="0" t="n">
        <f aca="false">IF(OR($A$5=公区维修!$F88,$BN$5=1),0,5-SUMPRODUCT(--(($A$1:$A$5=公区维修!$F88)+$BN$1:$BN$5&gt;0)))</f>
        <v>4</v>
      </c>
      <c r="AL88" s="0" t="str">
        <f aca="false">IFERROR(INDEX($A$1:$A$5,MATCH(1,$AF88:$AJ88,0)),IF(1=MAX($AF88:$AJ88)+1,"取消",""))</f>
        <v>李师傅</v>
      </c>
      <c r="AM88" s="0" t="str">
        <f aca="false">IFERROR(INDEX($A$1:$A$5,MATCH(2,$AF88:$AJ88,0)),IF(2=MAX($AF88:$AJ88)+1,"取消",""))</f>
        <v>王师傅</v>
      </c>
      <c r="AN88" s="0" t="str">
        <f aca="false">IFERROR(INDEX($A$1:$A$5,MATCH(3,$AF88:$AJ88,0)),IF(3=MAX($AF88:$AJ88)+1,"取消",""))</f>
        <v>陈师傅</v>
      </c>
      <c r="AO88" s="0" t="str">
        <f aca="false">IFERROR(INDEX($A$1:$A$5,MATCH(4,$AF88:$AJ88,0)),IF(4=MAX($AF88:$AJ88)+1,"取消",""))</f>
        <v>刘师傅</v>
      </c>
      <c r="AP88" s="0" t="str">
        <f aca="false">IFERROR(INDEX($A$1:$A$5,MATCH(5,$AF88:$AJ88,0)),IF(5=MAX($AF88:$AJ88)+1,"取消",""))</f>
        <v>取消</v>
      </c>
      <c r="AQ88" s="0" t="str">
        <f aca="false">IFERROR(INDEX($A$1:$A$5,MATCH(6,$AF88:$AJ88,0)),IF(6=MAX($AF88:$AJ88)+1,"取消",""))</f>
        <v/>
      </c>
      <c r="AS88" s="0" t="n">
        <f aca="false">IF(OR($A$1=公区维修!$F88,$A$1=公区维修!$G88,$BN$1=1),0,1-SUMPRODUCT(--(($A$1=公区维修!$F88)+($A$1=公区维修!$G88)+$BN$1&gt;0)))</f>
        <v>0</v>
      </c>
      <c r="AT88" s="0" t="n">
        <f aca="false">IF(OR($A$2=公区维修!$F88,$A$2=公区维修!$G88,$BN$2=1),0,2-SUMPRODUCT(--(($A$1:$A$2=公区维修!$F88)+($A$1:$A$2=公区维修!$G88)+$BN$1:$BN$2&gt;0)))</f>
        <v>1</v>
      </c>
      <c r="AU88" s="0" t="n">
        <f aca="false">IF(OR($A$3=公区维修!$F88,$A$3=公区维修!$G88,$BN$3=1),0,3-SUMPRODUCT(--(($A$1:$A$3=公区维修!$F88)+($A$1:$A$3=公区维修!$G88)+$BN$1:$BN$3&gt;0)))</f>
        <v>2</v>
      </c>
      <c r="AV88" s="0" t="n">
        <f aca="false">IF(OR($A$4=公区维修!$F88,$A$4=公区维修!$G88,$BN$4=1),0,4-SUMPRODUCT(--(($A$1:$A$4=公区维修!$F88)+($A$1:$A$4=公区维修!$G88)+$BN$1:$BN$4&gt;0)))</f>
        <v>3</v>
      </c>
      <c r="AW88" s="0" t="n">
        <f aca="false">IF(OR($A$5=公区维修!$F88,$A$5=公区维修!$G88,$BN$5=1),0,5-SUMPRODUCT(--(($A$1:$A$5=公区维修!$F88)+($A$1:$A$5=公区维修!$G88)+$BN$1:$BN$5&gt;0)))</f>
        <v>4</v>
      </c>
      <c r="AY88" s="0" t="str">
        <f aca="false">IFERROR(INDEX($A$1:$A$5,MATCH(1,$AS88:$AW88,0)),IF(1=MAX($AS88:$AW88)+1,"取消",""))</f>
        <v>李师傅</v>
      </c>
      <c r="AZ88" s="0" t="str">
        <f aca="false">IFERROR(INDEX($A$1:$A$5,MATCH(2,$AS88:$AW88,0)),IF(2=MAX($AS88:$AW88)+1,"取消",""))</f>
        <v>王师傅</v>
      </c>
      <c r="BA88" s="0" t="str">
        <f aca="false">IFERROR(INDEX($A$1:$A$5,MATCH(3,$AS88:$AW88,0)),IF(3=MAX($AS88:$AW88)+1,"取消",""))</f>
        <v>陈师傅</v>
      </c>
      <c r="BB88" s="0" t="str">
        <f aca="false">IFERROR(INDEX($A$1:$A$5,MATCH(4,$AS88:$AW88,0)),IF(4=MAX($AS88:$AW88)+1,"取消",""))</f>
        <v>刘师傅</v>
      </c>
      <c r="BC88" s="0" t="str">
        <f aca="false">IFERROR(INDEX($A$1:$A$5,MATCH(5,$AS88:$AW88,0)),IF(5=MAX($AS88:$AW88)+1,"取消",""))</f>
        <v>取消</v>
      </c>
      <c r="BD88" s="0" t="str">
        <f aca="false">IFERROR(INDEX($A$1:$A$5,MATCH(6,$AS88:$AW88,0)),IF(6=MAX($AS88:$AW88)+1,"取消",""))</f>
        <v/>
      </c>
      <c r="FW88" s="0" t="str">
        <f aca="false">IF(AND(单元查询!$D$3&lt;&gt;"",IF(单元查询!$B$3="公区维修",公区维修!$E88&lt;&gt;"",入户维修!$E88&lt;&gt;""),IF(单元查询!$B$3="公区维修",公区维修!$C88,入户维修!$C88)=单元查询!$D$3,OR(单元查询!$F$3="",IF(单元查询!$B$3="公区维修",公区维修!$D88,入户维修!$D88)&amp;""=(单元查询!$F$3)&amp;"")),MAX($FW$4:$FW87)+1,"")</f>
        <v/>
      </c>
    </row>
    <row r="89" customFormat="false" ht="15" hidden="false" customHeight="true" outlineLevel="0" collapsed="false">
      <c r="F89" s="0" t="n">
        <f aca="false">IF(OR($A$1=入户维修!$F89,$BN$1=1),0,1-SUMPRODUCT(--(($A$1=入户维修!$F89)+$BN$1&gt;0)))</f>
        <v>0</v>
      </c>
      <c r="G89" s="0" t="n">
        <f aca="false">IF(OR($A$2=入户维修!$F89,$BN$2=1),0,2-SUMPRODUCT(--(($A$1:$A$2=入户维修!$F89)+$BN$1:$BN$2&gt;0)))</f>
        <v>1</v>
      </c>
      <c r="H89" s="0" t="n">
        <f aca="false">IF(OR($A$3=入户维修!$F89,$BN$3=1),0,3-SUMPRODUCT(--(($A$1:$A$3=入户维修!$F89)+$BN$1:$BN$3&gt;0)))</f>
        <v>2</v>
      </c>
      <c r="I89" s="0" t="n">
        <f aca="false">IF(OR($A$4=入户维修!$F89,$BN$4=1),0,4-SUMPRODUCT(--(($A$1:$A$4=入户维修!$F89)+$BN$1:$BN$4&gt;0)))</f>
        <v>3</v>
      </c>
      <c r="J89" s="0" t="n">
        <f aca="false">IF(OR($A$5=入户维修!$F89,$BN$5=1),0,5-SUMPRODUCT(--(($A$1:$A$5=入户维修!$F89)+$BN$1:$BN$5&gt;0)))</f>
        <v>4</v>
      </c>
      <c r="L89" s="0" t="str">
        <f aca="false">IFERROR(INDEX($A$1:$A$5,MATCH(1,$F89:$J89,0)),IF(1=MAX($F89:$J89)+1,"取消",""))</f>
        <v>李师傅</v>
      </c>
      <c r="M89" s="0" t="str">
        <f aca="false">IFERROR(INDEX($A$1:$A$5,MATCH(2,$F89:$J89,0)),IF(2=MAX($F89:$J89)+1,"取消",""))</f>
        <v>王师傅</v>
      </c>
      <c r="N89" s="0" t="str">
        <f aca="false">IFERROR(INDEX($A$1:$A$5,MATCH(3,$F89:$J89,0)),IF(3=MAX($F89:$J89)+1,"取消",""))</f>
        <v>陈师傅</v>
      </c>
      <c r="O89" s="0" t="str">
        <f aca="false">IFERROR(INDEX($A$1:$A$5,MATCH(4,$F89:$J89,0)),IF(4=MAX($F89:$J89)+1,"取消",""))</f>
        <v>刘师傅</v>
      </c>
      <c r="P89" s="0" t="str">
        <f aca="false">IFERROR(INDEX($A$1:$A$5,MATCH(5,$F89:$J89,0)),IF(5=MAX($F89:$J89)+1,"取消",""))</f>
        <v>取消</v>
      </c>
      <c r="Q89" s="0" t="str">
        <f aca="false">IFERROR(INDEX($A$1:$A$5,MATCH(6,$F89:$J89,0)),IF(6=MAX($F89:$J89)+1,"取消",""))</f>
        <v/>
      </c>
      <c r="S89" s="0" t="n">
        <f aca="false">IF(OR($A$1=入户维修!$F89,$A$1=入户维修!$G89,$BN$1=1),0,1-SUMPRODUCT(--(($A$1=入户维修!$F89)+($A$1=入户维修!$G89)+$BN$1&gt;0)))</f>
        <v>0</v>
      </c>
      <c r="T89" s="0" t="n">
        <f aca="false">IF(OR($A$2=入户维修!$F89,$A$2=入户维修!$G89,$BN$2=1),0,2-SUMPRODUCT(--(($A$1:$A$2=入户维修!$F89)+($A$1:$A$2=入户维修!$G89)+$BN$1:$BN$2&gt;0)))</f>
        <v>1</v>
      </c>
      <c r="U89" s="0" t="n">
        <f aca="false">IF(OR($A$3=入户维修!$F89,$A$3=入户维修!$G89,$BN$3=1),0,3-SUMPRODUCT(--(($A$1:$A$3=入户维修!$F89)+($A$1:$A$3=入户维修!$G89)+$BN$1:$BN$3&gt;0)))</f>
        <v>2</v>
      </c>
      <c r="V89" s="0" t="n">
        <f aca="false">IF(OR($A$4=入户维修!$F89,$A$4=入户维修!$G89,$BN$4=1),0,4-SUMPRODUCT(--(($A$1:$A$4=入户维修!$F89)+($A$1:$A$4=入户维修!$G89)+$BN$1:$BN$4&gt;0)))</f>
        <v>3</v>
      </c>
      <c r="W89" s="0" t="n">
        <f aca="false">IF(OR($A$5=入户维修!$F89,$A$5=入户维修!$G89,$BN$5=1),0,5-SUMPRODUCT(--(($A$1:$A$5=入户维修!$F89)+($A$1:$A$5=入户维修!$G89)+$BN$1:$BN$5&gt;0)))</f>
        <v>4</v>
      </c>
      <c r="Y89" s="0" t="str">
        <f aca="false">IFERROR(INDEX($A$1:$A$5,MATCH(1,$S89:$W89,0)),IF(1=MAX($S89:$W89)+1,"取消",""))</f>
        <v>李师傅</v>
      </c>
      <c r="Z89" s="0" t="str">
        <f aca="false">IFERROR(INDEX($A$1:$A$5,MATCH(2,$S89:$W89,0)),IF(2=MAX($S89:$W89)+1,"取消",""))</f>
        <v>王师傅</v>
      </c>
      <c r="AA89" s="0" t="str">
        <f aca="false">IFERROR(INDEX($A$1:$A$5,MATCH(3,$S89:$W89,0)),IF(3=MAX($S89:$W89)+1,"取消",""))</f>
        <v>陈师傅</v>
      </c>
      <c r="AB89" s="0" t="str">
        <f aca="false">IFERROR(INDEX($A$1:$A$5,MATCH(4,$S89:$W89,0)),IF(4=MAX($S89:$W89)+1,"取消",""))</f>
        <v>刘师傅</v>
      </c>
      <c r="AC89" s="0" t="str">
        <f aca="false">IFERROR(INDEX($A$1:$A$5,MATCH(5,$S89:$W89,0)),IF(5=MAX($S89:$W89)+1,"取消",""))</f>
        <v>取消</v>
      </c>
      <c r="AD89" s="0" t="str">
        <f aca="false">IFERROR(INDEX($A$1:$A$5,MATCH(6,$S89:$W89,0)),IF(6=MAX($S89:$W89)+1,"取消",""))</f>
        <v/>
      </c>
      <c r="AF89" s="0" t="n">
        <f aca="false">IF(OR($A$1=公区维修!$F89,$BN$1=1),0,1-SUMPRODUCT(--(($A$1=公区维修!$F89)+$BN$1&gt;0)))</f>
        <v>0</v>
      </c>
      <c r="AG89" s="0" t="n">
        <f aca="false">IF(OR($A$2=公区维修!$F89,$BN$2=1),0,2-SUMPRODUCT(--(($A$1:$A$2=公区维修!$F89)+$BN$1:$BN$2&gt;0)))</f>
        <v>1</v>
      </c>
      <c r="AH89" s="0" t="n">
        <f aca="false">IF(OR($A$3=公区维修!$F89,$BN$3=1),0,3-SUMPRODUCT(--(($A$1:$A$3=公区维修!$F89)+$BN$1:$BN$3&gt;0)))</f>
        <v>2</v>
      </c>
      <c r="AI89" s="0" t="n">
        <f aca="false">IF(OR($A$4=公区维修!$F89,$BN$4=1),0,4-SUMPRODUCT(--(($A$1:$A$4=公区维修!$F89)+$BN$1:$BN$4&gt;0)))</f>
        <v>3</v>
      </c>
      <c r="AJ89" s="0" t="n">
        <f aca="false">IF(OR($A$5=公区维修!$F89,$BN$5=1),0,5-SUMPRODUCT(--(($A$1:$A$5=公区维修!$F89)+$BN$1:$BN$5&gt;0)))</f>
        <v>4</v>
      </c>
      <c r="AL89" s="0" t="str">
        <f aca="false">IFERROR(INDEX($A$1:$A$5,MATCH(1,$AF89:$AJ89,0)),IF(1=MAX($AF89:$AJ89)+1,"取消",""))</f>
        <v>李师傅</v>
      </c>
      <c r="AM89" s="0" t="str">
        <f aca="false">IFERROR(INDEX($A$1:$A$5,MATCH(2,$AF89:$AJ89,0)),IF(2=MAX($AF89:$AJ89)+1,"取消",""))</f>
        <v>王师傅</v>
      </c>
      <c r="AN89" s="0" t="str">
        <f aca="false">IFERROR(INDEX($A$1:$A$5,MATCH(3,$AF89:$AJ89,0)),IF(3=MAX($AF89:$AJ89)+1,"取消",""))</f>
        <v>陈师傅</v>
      </c>
      <c r="AO89" s="0" t="str">
        <f aca="false">IFERROR(INDEX($A$1:$A$5,MATCH(4,$AF89:$AJ89,0)),IF(4=MAX($AF89:$AJ89)+1,"取消",""))</f>
        <v>刘师傅</v>
      </c>
      <c r="AP89" s="0" t="str">
        <f aca="false">IFERROR(INDEX($A$1:$A$5,MATCH(5,$AF89:$AJ89,0)),IF(5=MAX($AF89:$AJ89)+1,"取消",""))</f>
        <v>取消</v>
      </c>
      <c r="AQ89" s="0" t="str">
        <f aca="false">IFERROR(INDEX($A$1:$A$5,MATCH(6,$AF89:$AJ89,0)),IF(6=MAX($AF89:$AJ89)+1,"取消",""))</f>
        <v/>
      </c>
      <c r="AS89" s="0" t="n">
        <f aca="false">IF(OR($A$1=公区维修!$F89,$A$1=公区维修!$G89,$BN$1=1),0,1-SUMPRODUCT(--(($A$1=公区维修!$F89)+($A$1=公区维修!$G89)+$BN$1&gt;0)))</f>
        <v>0</v>
      </c>
      <c r="AT89" s="0" t="n">
        <f aca="false">IF(OR($A$2=公区维修!$F89,$A$2=公区维修!$G89,$BN$2=1),0,2-SUMPRODUCT(--(($A$1:$A$2=公区维修!$F89)+($A$1:$A$2=公区维修!$G89)+$BN$1:$BN$2&gt;0)))</f>
        <v>1</v>
      </c>
      <c r="AU89" s="0" t="n">
        <f aca="false">IF(OR($A$3=公区维修!$F89,$A$3=公区维修!$G89,$BN$3=1),0,3-SUMPRODUCT(--(($A$1:$A$3=公区维修!$F89)+($A$1:$A$3=公区维修!$G89)+$BN$1:$BN$3&gt;0)))</f>
        <v>2</v>
      </c>
      <c r="AV89" s="0" t="n">
        <f aca="false">IF(OR($A$4=公区维修!$F89,$A$4=公区维修!$G89,$BN$4=1),0,4-SUMPRODUCT(--(($A$1:$A$4=公区维修!$F89)+($A$1:$A$4=公区维修!$G89)+$BN$1:$BN$4&gt;0)))</f>
        <v>3</v>
      </c>
      <c r="AW89" s="0" t="n">
        <f aca="false">IF(OR($A$5=公区维修!$F89,$A$5=公区维修!$G89,$BN$5=1),0,5-SUMPRODUCT(--(($A$1:$A$5=公区维修!$F89)+($A$1:$A$5=公区维修!$G89)+$BN$1:$BN$5&gt;0)))</f>
        <v>4</v>
      </c>
      <c r="AY89" s="0" t="str">
        <f aca="false">IFERROR(INDEX($A$1:$A$5,MATCH(1,$AS89:$AW89,0)),IF(1=MAX($AS89:$AW89)+1,"取消",""))</f>
        <v>李师傅</v>
      </c>
      <c r="AZ89" s="0" t="str">
        <f aca="false">IFERROR(INDEX($A$1:$A$5,MATCH(2,$AS89:$AW89,0)),IF(2=MAX($AS89:$AW89)+1,"取消",""))</f>
        <v>王师傅</v>
      </c>
      <c r="BA89" s="0" t="str">
        <f aca="false">IFERROR(INDEX($A$1:$A$5,MATCH(3,$AS89:$AW89,0)),IF(3=MAX($AS89:$AW89)+1,"取消",""))</f>
        <v>陈师傅</v>
      </c>
      <c r="BB89" s="0" t="str">
        <f aca="false">IFERROR(INDEX($A$1:$A$5,MATCH(4,$AS89:$AW89,0)),IF(4=MAX($AS89:$AW89)+1,"取消",""))</f>
        <v>刘师傅</v>
      </c>
      <c r="BC89" s="0" t="str">
        <f aca="false">IFERROR(INDEX($A$1:$A$5,MATCH(5,$AS89:$AW89,0)),IF(5=MAX($AS89:$AW89)+1,"取消",""))</f>
        <v>取消</v>
      </c>
      <c r="BD89" s="0" t="str">
        <f aca="false">IFERROR(INDEX($A$1:$A$5,MATCH(6,$AS89:$AW89,0)),IF(6=MAX($AS89:$AW89)+1,"取消",""))</f>
        <v/>
      </c>
      <c r="FW89" s="0" t="n">
        <f aca="false">IF(AND(单元查询!$D$3&lt;&gt;"",IF(单元查询!$B$3="公区维修",公区维修!$E89&lt;&gt;"",入户维修!$E89&lt;&gt;""),IF(单元查询!$B$3="公区维修",公区维修!$C89,入户维修!$C89)=单元查询!$D$3,OR(单元查询!$F$3="",IF(单元查询!$B$3="公区维修",公区维修!$D89,入户维修!$D89)&amp;""=(单元查询!$F$3)&amp;"")),MAX($FW$4:$FW88)+1,"")</f>
        <v>14</v>
      </c>
    </row>
    <row r="90" customFormat="false" ht="15" hidden="false" customHeight="true" outlineLevel="0" collapsed="false">
      <c r="F90" s="0" t="n">
        <f aca="false">IF(OR($A$1=入户维修!$F90,$BN$1=1),0,1-SUMPRODUCT(--(($A$1=入户维修!$F90)+$BN$1&gt;0)))</f>
        <v>0</v>
      </c>
      <c r="G90" s="0" t="n">
        <f aca="false">IF(OR($A$2=入户维修!$F90,$BN$2=1),0,2-SUMPRODUCT(--(($A$1:$A$2=入户维修!$F90)+$BN$1:$BN$2&gt;0)))</f>
        <v>0</v>
      </c>
      <c r="H90" s="0" t="n">
        <f aca="false">IF(OR($A$3=入户维修!$F90,$BN$3=1),0,3-SUMPRODUCT(--(($A$1:$A$3=入户维修!$F90)+$BN$1:$BN$3&gt;0)))</f>
        <v>1</v>
      </c>
      <c r="I90" s="0" t="n">
        <f aca="false">IF(OR($A$4=入户维修!$F90,$BN$4=1),0,4-SUMPRODUCT(--(($A$1:$A$4=入户维修!$F90)+$BN$1:$BN$4&gt;0)))</f>
        <v>2</v>
      </c>
      <c r="J90" s="0" t="n">
        <f aca="false">IF(OR($A$5=入户维修!$F90,$BN$5=1),0,5-SUMPRODUCT(--(($A$1:$A$5=入户维修!$F90)+$BN$1:$BN$5&gt;0)))</f>
        <v>3</v>
      </c>
      <c r="L90" s="0" t="str">
        <f aca="false">IFERROR(INDEX($A$1:$A$5,MATCH(1,$F90:$J90,0)),IF(1=MAX($F90:$J90)+1,"取消",""))</f>
        <v>王师傅</v>
      </c>
      <c r="M90" s="0" t="str">
        <f aca="false">IFERROR(INDEX($A$1:$A$5,MATCH(2,$F90:$J90,0)),IF(2=MAX($F90:$J90)+1,"取消",""))</f>
        <v>陈师傅</v>
      </c>
      <c r="N90" s="0" t="str">
        <f aca="false">IFERROR(INDEX($A$1:$A$5,MATCH(3,$F90:$J90,0)),IF(3=MAX($F90:$J90)+1,"取消",""))</f>
        <v>刘师傅</v>
      </c>
      <c r="O90" s="0" t="str">
        <f aca="false">IFERROR(INDEX($A$1:$A$5,MATCH(4,$F90:$J90,0)),IF(4=MAX($F90:$J90)+1,"取消",""))</f>
        <v>取消</v>
      </c>
      <c r="P90" s="0" t="str">
        <f aca="false">IFERROR(INDEX($A$1:$A$5,MATCH(5,$F90:$J90,0)),IF(5=MAX($F90:$J90)+1,"取消",""))</f>
        <v/>
      </c>
      <c r="Q90" s="0" t="str">
        <f aca="false">IFERROR(INDEX($A$1:$A$5,MATCH(6,$F90:$J90,0)),IF(6=MAX($F90:$J90)+1,"取消",""))</f>
        <v/>
      </c>
      <c r="S90" s="0" t="n">
        <f aca="false">IF(OR($A$1=入户维修!$F90,$A$1=入户维修!$G90,$BN$1=1),0,1-SUMPRODUCT(--(($A$1=入户维修!$F90)+($A$1=入户维修!$G90)+$BN$1&gt;0)))</f>
        <v>0</v>
      </c>
      <c r="T90" s="0" t="n">
        <f aca="false">IF(OR($A$2=入户维修!$F90,$A$2=入户维修!$G90,$BN$2=1),0,2-SUMPRODUCT(--(($A$1:$A$2=入户维修!$F90)+($A$1:$A$2=入户维修!$G90)+$BN$1:$BN$2&gt;0)))</f>
        <v>0</v>
      </c>
      <c r="U90" s="0" t="n">
        <f aca="false">IF(OR($A$3=入户维修!$F90,$A$3=入户维修!$G90,$BN$3=1),0,3-SUMPRODUCT(--(($A$1:$A$3=入户维修!$F90)+($A$1:$A$3=入户维修!$G90)+$BN$1:$BN$3&gt;0)))</f>
        <v>1</v>
      </c>
      <c r="V90" s="0" t="n">
        <f aca="false">IF(OR($A$4=入户维修!$F90,$A$4=入户维修!$G90,$BN$4=1),0,4-SUMPRODUCT(--(($A$1:$A$4=入户维修!$F90)+($A$1:$A$4=入户维修!$G90)+$BN$1:$BN$4&gt;0)))</f>
        <v>2</v>
      </c>
      <c r="W90" s="0" t="n">
        <f aca="false">IF(OR($A$5=入户维修!$F90,$A$5=入户维修!$G90,$BN$5=1),0,5-SUMPRODUCT(--(($A$1:$A$5=入户维修!$F90)+($A$1:$A$5=入户维修!$G90)+$BN$1:$BN$5&gt;0)))</f>
        <v>3</v>
      </c>
      <c r="Y90" s="0" t="str">
        <f aca="false">IFERROR(INDEX($A$1:$A$5,MATCH(1,$S90:$W90,0)),IF(1=MAX($S90:$W90)+1,"取消",""))</f>
        <v>王师傅</v>
      </c>
      <c r="Z90" s="0" t="str">
        <f aca="false">IFERROR(INDEX($A$1:$A$5,MATCH(2,$S90:$W90,0)),IF(2=MAX($S90:$W90)+1,"取消",""))</f>
        <v>陈师傅</v>
      </c>
      <c r="AA90" s="0" t="str">
        <f aca="false">IFERROR(INDEX($A$1:$A$5,MATCH(3,$S90:$W90,0)),IF(3=MAX($S90:$W90)+1,"取消",""))</f>
        <v>刘师傅</v>
      </c>
      <c r="AB90" s="0" t="str">
        <f aca="false">IFERROR(INDEX($A$1:$A$5,MATCH(4,$S90:$W90,0)),IF(4=MAX($S90:$W90)+1,"取消",""))</f>
        <v>取消</v>
      </c>
      <c r="AC90" s="0" t="str">
        <f aca="false">IFERROR(INDEX($A$1:$A$5,MATCH(5,$S90:$W90,0)),IF(5=MAX($S90:$W90)+1,"取消",""))</f>
        <v/>
      </c>
      <c r="AD90" s="0" t="str">
        <f aca="false">IFERROR(INDEX($A$1:$A$5,MATCH(6,$S90:$W90,0)),IF(6=MAX($S90:$W90)+1,"取消",""))</f>
        <v/>
      </c>
      <c r="AF90" s="0" t="n">
        <f aca="false">IF(OR($A$1=公区维修!$F90,$BN$1=1),0,1-SUMPRODUCT(--(($A$1=公区维修!$F90)+$BN$1&gt;0)))</f>
        <v>0</v>
      </c>
      <c r="AG90" s="0" t="n">
        <f aca="false">IF(OR($A$2=公区维修!$F90,$BN$2=1),0,2-SUMPRODUCT(--(($A$1:$A$2=公区维修!$F90)+$BN$1:$BN$2&gt;0)))</f>
        <v>1</v>
      </c>
      <c r="AH90" s="0" t="n">
        <f aca="false">IF(OR($A$3=公区维修!$F90,$BN$3=1),0,3-SUMPRODUCT(--(($A$1:$A$3=公区维修!$F90)+$BN$1:$BN$3&gt;0)))</f>
        <v>2</v>
      </c>
      <c r="AI90" s="0" t="n">
        <f aca="false">IF(OR($A$4=公区维修!$F90,$BN$4=1),0,4-SUMPRODUCT(--(($A$1:$A$4=公区维修!$F90)+$BN$1:$BN$4&gt;0)))</f>
        <v>3</v>
      </c>
      <c r="AJ90" s="0" t="n">
        <f aca="false">IF(OR($A$5=公区维修!$F90,$BN$5=1),0,5-SUMPRODUCT(--(($A$1:$A$5=公区维修!$F90)+$BN$1:$BN$5&gt;0)))</f>
        <v>4</v>
      </c>
      <c r="AL90" s="0" t="str">
        <f aca="false">IFERROR(INDEX($A$1:$A$5,MATCH(1,$AF90:$AJ90,0)),IF(1=MAX($AF90:$AJ90)+1,"取消",""))</f>
        <v>李师傅</v>
      </c>
      <c r="AM90" s="0" t="str">
        <f aca="false">IFERROR(INDEX($A$1:$A$5,MATCH(2,$AF90:$AJ90,0)),IF(2=MAX($AF90:$AJ90)+1,"取消",""))</f>
        <v>王师傅</v>
      </c>
      <c r="AN90" s="0" t="str">
        <f aca="false">IFERROR(INDEX($A$1:$A$5,MATCH(3,$AF90:$AJ90,0)),IF(3=MAX($AF90:$AJ90)+1,"取消",""))</f>
        <v>陈师傅</v>
      </c>
      <c r="AO90" s="0" t="str">
        <f aca="false">IFERROR(INDEX($A$1:$A$5,MATCH(4,$AF90:$AJ90,0)),IF(4=MAX($AF90:$AJ90)+1,"取消",""))</f>
        <v>刘师傅</v>
      </c>
      <c r="AP90" s="0" t="str">
        <f aca="false">IFERROR(INDEX($A$1:$A$5,MATCH(5,$AF90:$AJ90,0)),IF(5=MAX($AF90:$AJ90)+1,"取消",""))</f>
        <v>取消</v>
      </c>
      <c r="AQ90" s="0" t="str">
        <f aca="false">IFERROR(INDEX($A$1:$A$5,MATCH(6,$AF90:$AJ90,0)),IF(6=MAX($AF90:$AJ90)+1,"取消",""))</f>
        <v/>
      </c>
      <c r="AS90" s="0" t="n">
        <f aca="false">IF(OR($A$1=公区维修!$F90,$A$1=公区维修!$G90,$BN$1=1),0,1-SUMPRODUCT(--(($A$1=公区维修!$F90)+($A$1=公区维修!$G90)+$BN$1&gt;0)))</f>
        <v>0</v>
      </c>
      <c r="AT90" s="0" t="n">
        <f aca="false">IF(OR($A$2=公区维修!$F90,$A$2=公区维修!$G90,$BN$2=1),0,2-SUMPRODUCT(--(($A$1:$A$2=公区维修!$F90)+($A$1:$A$2=公区维修!$G90)+$BN$1:$BN$2&gt;0)))</f>
        <v>1</v>
      </c>
      <c r="AU90" s="0" t="n">
        <f aca="false">IF(OR($A$3=公区维修!$F90,$A$3=公区维修!$G90,$BN$3=1),0,3-SUMPRODUCT(--(($A$1:$A$3=公区维修!$F90)+($A$1:$A$3=公区维修!$G90)+$BN$1:$BN$3&gt;0)))</f>
        <v>2</v>
      </c>
      <c r="AV90" s="0" t="n">
        <f aca="false">IF(OR($A$4=公区维修!$F90,$A$4=公区维修!$G90,$BN$4=1),0,4-SUMPRODUCT(--(($A$1:$A$4=公区维修!$F90)+($A$1:$A$4=公区维修!$G90)+$BN$1:$BN$4&gt;0)))</f>
        <v>3</v>
      </c>
      <c r="AW90" s="0" t="n">
        <f aca="false">IF(OR($A$5=公区维修!$F90,$A$5=公区维修!$G90,$BN$5=1),0,5-SUMPRODUCT(--(($A$1:$A$5=公区维修!$F90)+($A$1:$A$5=公区维修!$G90)+$BN$1:$BN$5&gt;0)))</f>
        <v>4</v>
      </c>
      <c r="AY90" s="0" t="str">
        <f aca="false">IFERROR(INDEX($A$1:$A$5,MATCH(1,$AS90:$AW90,0)),IF(1=MAX($AS90:$AW90)+1,"取消",""))</f>
        <v>李师傅</v>
      </c>
      <c r="AZ90" s="0" t="str">
        <f aca="false">IFERROR(INDEX($A$1:$A$5,MATCH(2,$AS90:$AW90,0)),IF(2=MAX($AS90:$AW90)+1,"取消",""))</f>
        <v>王师傅</v>
      </c>
      <c r="BA90" s="0" t="str">
        <f aca="false">IFERROR(INDEX($A$1:$A$5,MATCH(3,$AS90:$AW90,0)),IF(3=MAX($AS90:$AW90)+1,"取消",""))</f>
        <v>陈师傅</v>
      </c>
      <c r="BB90" s="0" t="str">
        <f aca="false">IFERROR(INDEX($A$1:$A$5,MATCH(4,$AS90:$AW90,0)),IF(4=MAX($AS90:$AW90)+1,"取消",""))</f>
        <v>刘师傅</v>
      </c>
      <c r="BC90" s="0" t="str">
        <f aca="false">IFERROR(INDEX($A$1:$A$5,MATCH(5,$AS90:$AW90,0)),IF(5=MAX($AS90:$AW90)+1,"取消",""))</f>
        <v>取消</v>
      </c>
      <c r="BD90" s="0" t="str">
        <f aca="false">IFERROR(INDEX($A$1:$A$5,MATCH(6,$AS90:$AW90,0)),IF(6=MAX($AS90:$AW90)+1,"取消",""))</f>
        <v/>
      </c>
      <c r="FW90" s="0" t="str">
        <f aca="false">IF(AND(单元查询!$D$3&lt;&gt;"",IF(单元查询!$B$3="公区维修",公区维修!$E90&lt;&gt;"",入户维修!$E90&lt;&gt;""),IF(单元查询!$B$3="公区维修",公区维修!$C90,入户维修!$C90)=单元查询!$D$3,OR(单元查询!$F$3="",IF(单元查询!$B$3="公区维修",公区维修!$D90,入户维修!$D90)&amp;""=(单元查询!$F$3)&amp;"")),MAX($FW$4:$FW89)+1,"")</f>
        <v/>
      </c>
    </row>
    <row r="91" customFormat="false" ht="15" hidden="false" customHeight="true" outlineLevel="0" collapsed="false">
      <c r="F91" s="0" t="n">
        <f aca="false">IF(OR($A$1=入户维修!$F91,$BN$1=1),0,1-SUMPRODUCT(--(($A$1=入户维修!$F91)+$BN$1&gt;0)))</f>
        <v>0</v>
      </c>
      <c r="G91" s="0" t="n">
        <f aca="false">IF(OR($A$2=入户维修!$F91,$BN$2=1),0,2-SUMPRODUCT(--(($A$1:$A$2=入户维修!$F91)+$BN$1:$BN$2&gt;0)))</f>
        <v>1</v>
      </c>
      <c r="H91" s="0" t="n">
        <f aca="false">IF(OR($A$3=入户维修!$F91,$BN$3=1),0,3-SUMPRODUCT(--(($A$1:$A$3=入户维修!$F91)+$BN$1:$BN$3&gt;0)))</f>
        <v>2</v>
      </c>
      <c r="I91" s="0" t="n">
        <f aca="false">IF(OR($A$4=入户维修!$F91,$BN$4=1),0,4-SUMPRODUCT(--(($A$1:$A$4=入户维修!$F91)+$BN$1:$BN$4&gt;0)))</f>
        <v>3</v>
      </c>
      <c r="J91" s="0" t="n">
        <f aca="false">IF(OR($A$5=入户维修!$F91,$BN$5=1),0,5-SUMPRODUCT(--(($A$1:$A$5=入户维修!$F91)+$BN$1:$BN$5&gt;0)))</f>
        <v>0</v>
      </c>
      <c r="L91" s="0" t="str">
        <f aca="false">IFERROR(INDEX($A$1:$A$5,MATCH(1,$F91:$J91,0)),IF(1=MAX($F91:$J91)+1,"取消",""))</f>
        <v>李师傅</v>
      </c>
      <c r="M91" s="0" t="str">
        <f aca="false">IFERROR(INDEX($A$1:$A$5,MATCH(2,$F91:$J91,0)),IF(2=MAX($F91:$J91)+1,"取消",""))</f>
        <v>王师傅</v>
      </c>
      <c r="N91" s="0" t="str">
        <f aca="false">IFERROR(INDEX($A$1:$A$5,MATCH(3,$F91:$J91,0)),IF(3=MAX($F91:$J91)+1,"取消",""))</f>
        <v>陈师傅</v>
      </c>
      <c r="O91" s="0" t="str">
        <f aca="false">IFERROR(INDEX($A$1:$A$5,MATCH(4,$F91:$J91,0)),IF(4=MAX($F91:$J91)+1,"取消",""))</f>
        <v>取消</v>
      </c>
      <c r="P91" s="0" t="str">
        <f aca="false">IFERROR(INDEX($A$1:$A$5,MATCH(5,$F91:$J91,0)),IF(5=MAX($F91:$J91)+1,"取消",""))</f>
        <v/>
      </c>
      <c r="Q91" s="0" t="str">
        <f aca="false">IFERROR(INDEX($A$1:$A$5,MATCH(6,$F91:$J91,0)),IF(6=MAX($F91:$J91)+1,"取消",""))</f>
        <v/>
      </c>
      <c r="S91" s="0" t="n">
        <f aca="false">IF(OR($A$1=入户维修!$F91,$A$1=入户维修!$G91,$BN$1=1),0,1-SUMPRODUCT(--(($A$1=入户维修!$F91)+($A$1=入户维修!$G91)+$BN$1&gt;0)))</f>
        <v>0</v>
      </c>
      <c r="T91" s="0" t="n">
        <f aca="false">IF(OR($A$2=入户维修!$F91,$A$2=入户维修!$G91,$BN$2=1),0,2-SUMPRODUCT(--(($A$1:$A$2=入户维修!$F91)+($A$1:$A$2=入户维修!$G91)+$BN$1:$BN$2&gt;0)))</f>
        <v>1</v>
      </c>
      <c r="U91" s="0" t="n">
        <f aca="false">IF(OR($A$3=入户维修!$F91,$A$3=入户维修!$G91,$BN$3=1),0,3-SUMPRODUCT(--(($A$1:$A$3=入户维修!$F91)+($A$1:$A$3=入户维修!$G91)+$BN$1:$BN$3&gt;0)))</f>
        <v>2</v>
      </c>
      <c r="V91" s="0" t="n">
        <f aca="false">IF(OR($A$4=入户维修!$F91,$A$4=入户维修!$G91,$BN$4=1),0,4-SUMPRODUCT(--(($A$1:$A$4=入户维修!$F91)+($A$1:$A$4=入户维修!$G91)+$BN$1:$BN$4&gt;0)))</f>
        <v>3</v>
      </c>
      <c r="W91" s="0" t="n">
        <f aca="false">IF(OR($A$5=入户维修!$F91,$A$5=入户维修!$G91,$BN$5=1),0,5-SUMPRODUCT(--(($A$1:$A$5=入户维修!$F91)+($A$1:$A$5=入户维修!$G91)+$BN$1:$BN$5&gt;0)))</f>
        <v>0</v>
      </c>
      <c r="Y91" s="0" t="str">
        <f aca="false">IFERROR(INDEX($A$1:$A$5,MATCH(1,$S91:$W91,0)),IF(1=MAX($S91:$W91)+1,"取消",""))</f>
        <v>李师傅</v>
      </c>
      <c r="Z91" s="0" t="str">
        <f aca="false">IFERROR(INDEX($A$1:$A$5,MATCH(2,$S91:$W91,0)),IF(2=MAX($S91:$W91)+1,"取消",""))</f>
        <v>王师傅</v>
      </c>
      <c r="AA91" s="0" t="str">
        <f aca="false">IFERROR(INDEX($A$1:$A$5,MATCH(3,$S91:$W91,0)),IF(3=MAX($S91:$W91)+1,"取消",""))</f>
        <v>陈师傅</v>
      </c>
      <c r="AB91" s="0" t="str">
        <f aca="false">IFERROR(INDEX($A$1:$A$5,MATCH(4,$S91:$W91,0)),IF(4=MAX($S91:$W91)+1,"取消",""))</f>
        <v>取消</v>
      </c>
      <c r="AC91" s="0" t="str">
        <f aca="false">IFERROR(INDEX($A$1:$A$5,MATCH(5,$S91:$W91,0)),IF(5=MAX($S91:$W91)+1,"取消",""))</f>
        <v/>
      </c>
      <c r="AD91" s="0" t="str">
        <f aca="false">IFERROR(INDEX($A$1:$A$5,MATCH(6,$S91:$W91,0)),IF(6=MAX($S91:$W91)+1,"取消",""))</f>
        <v/>
      </c>
      <c r="AF91" s="0" t="n">
        <f aca="false">IF(OR($A$1=公区维修!$F91,$BN$1=1),0,1-SUMPRODUCT(--(($A$1=公区维修!$F91)+$BN$1&gt;0)))</f>
        <v>0</v>
      </c>
      <c r="AG91" s="0" t="n">
        <f aca="false">IF(OR($A$2=公区维修!$F91,$BN$2=1),0,2-SUMPRODUCT(--(($A$1:$A$2=公区维修!$F91)+$BN$1:$BN$2&gt;0)))</f>
        <v>1</v>
      </c>
      <c r="AH91" s="0" t="n">
        <f aca="false">IF(OR($A$3=公区维修!$F91,$BN$3=1),0,3-SUMPRODUCT(--(($A$1:$A$3=公区维修!$F91)+$BN$1:$BN$3&gt;0)))</f>
        <v>2</v>
      </c>
      <c r="AI91" s="0" t="n">
        <f aca="false">IF(OR($A$4=公区维修!$F91,$BN$4=1),0,4-SUMPRODUCT(--(($A$1:$A$4=公区维修!$F91)+$BN$1:$BN$4&gt;0)))</f>
        <v>3</v>
      </c>
      <c r="AJ91" s="0" t="n">
        <f aca="false">IF(OR($A$5=公区维修!$F91,$BN$5=1),0,5-SUMPRODUCT(--(($A$1:$A$5=公区维修!$F91)+$BN$1:$BN$5&gt;0)))</f>
        <v>4</v>
      </c>
      <c r="AL91" s="0" t="str">
        <f aca="false">IFERROR(INDEX($A$1:$A$5,MATCH(1,$AF91:$AJ91,0)),IF(1=MAX($AF91:$AJ91)+1,"取消",""))</f>
        <v>李师傅</v>
      </c>
      <c r="AM91" s="0" t="str">
        <f aca="false">IFERROR(INDEX($A$1:$A$5,MATCH(2,$AF91:$AJ91,0)),IF(2=MAX($AF91:$AJ91)+1,"取消",""))</f>
        <v>王师傅</v>
      </c>
      <c r="AN91" s="0" t="str">
        <f aca="false">IFERROR(INDEX($A$1:$A$5,MATCH(3,$AF91:$AJ91,0)),IF(3=MAX($AF91:$AJ91)+1,"取消",""))</f>
        <v>陈师傅</v>
      </c>
      <c r="AO91" s="0" t="str">
        <f aca="false">IFERROR(INDEX($A$1:$A$5,MATCH(4,$AF91:$AJ91,0)),IF(4=MAX($AF91:$AJ91)+1,"取消",""))</f>
        <v>刘师傅</v>
      </c>
      <c r="AP91" s="0" t="str">
        <f aca="false">IFERROR(INDEX($A$1:$A$5,MATCH(5,$AF91:$AJ91,0)),IF(5=MAX($AF91:$AJ91)+1,"取消",""))</f>
        <v>取消</v>
      </c>
      <c r="AQ91" s="0" t="str">
        <f aca="false">IFERROR(INDEX($A$1:$A$5,MATCH(6,$AF91:$AJ91,0)),IF(6=MAX($AF91:$AJ91)+1,"取消",""))</f>
        <v/>
      </c>
      <c r="AS91" s="0" t="n">
        <f aca="false">IF(OR($A$1=公区维修!$F91,$A$1=公区维修!$G91,$BN$1=1),0,1-SUMPRODUCT(--(($A$1=公区维修!$F91)+($A$1=公区维修!$G91)+$BN$1&gt;0)))</f>
        <v>0</v>
      </c>
      <c r="AT91" s="0" t="n">
        <f aca="false">IF(OR($A$2=公区维修!$F91,$A$2=公区维修!$G91,$BN$2=1),0,2-SUMPRODUCT(--(($A$1:$A$2=公区维修!$F91)+($A$1:$A$2=公区维修!$G91)+$BN$1:$BN$2&gt;0)))</f>
        <v>1</v>
      </c>
      <c r="AU91" s="0" t="n">
        <f aca="false">IF(OR($A$3=公区维修!$F91,$A$3=公区维修!$G91,$BN$3=1),0,3-SUMPRODUCT(--(($A$1:$A$3=公区维修!$F91)+($A$1:$A$3=公区维修!$G91)+$BN$1:$BN$3&gt;0)))</f>
        <v>2</v>
      </c>
      <c r="AV91" s="0" t="n">
        <f aca="false">IF(OR($A$4=公区维修!$F91,$A$4=公区维修!$G91,$BN$4=1),0,4-SUMPRODUCT(--(($A$1:$A$4=公区维修!$F91)+($A$1:$A$4=公区维修!$G91)+$BN$1:$BN$4&gt;0)))</f>
        <v>3</v>
      </c>
      <c r="AW91" s="0" t="n">
        <f aca="false">IF(OR($A$5=公区维修!$F91,$A$5=公区维修!$G91,$BN$5=1),0,5-SUMPRODUCT(--(($A$1:$A$5=公区维修!$F91)+($A$1:$A$5=公区维修!$G91)+$BN$1:$BN$5&gt;0)))</f>
        <v>4</v>
      </c>
      <c r="AY91" s="0" t="str">
        <f aca="false">IFERROR(INDEX($A$1:$A$5,MATCH(1,$AS91:$AW91,0)),IF(1=MAX($AS91:$AW91)+1,"取消",""))</f>
        <v>李师傅</v>
      </c>
      <c r="AZ91" s="0" t="str">
        <f aca="false">IFERROR(INDEX($A$1:$A$5,MATCH(2,$AS91:$AW91,0)),IF(2=MAX($AS91:$AW91)+1,"取消",""))</f>
        <v>王师傅</v>
      </c>
      <c r="BA91" s="0" t="str">
        <f aca="false">IFERROR(INDEX($A$1:$A$5,MATCH(3,$AS91:$AW91,0)),IF(3=MAX($AS91:$AW91)+1,"取消",""))</f>
        <v>陈师傅</v>
      </c>
      <c r="BB91" s="0" t="str">
        <f aca="false">IFERROR(INDEX($A$1:$A$5,MATCH(4,$AS91:$AW91,0)),IF(4=MAX($AS91:$AW91)+1,"取消",""))</f>
        <v>刘师傅</v>
      </c>
      <c r="BC91" s="0" t="str">
        <f aca="false">IFERROR(INDEX($A$1:$A$5,MATCH(5,$AS91:$AW91,0)),IF(5=MAX($AS91:$AW91)+1,"取消",""))</f>
        <v>取消</v>
      </c>
      <c r="BD91" s="0" t="str">
        <f aca="false">IFERROR(INDEX($A$1:$A$5,MATCH(6,$AS91:$AW91,0)),IF(6=MAX($AS91:$AW91)+1,"取消",""))</f>
        <v/>
      </c>
      <c r="FW91" s="0" t="str">
        <f aca="false">IF(AND(单元查询!$D$3&lt;&gt;"",IF(单元查询!$B$3="公区维修",公区维修!$E91&lt;&gt;"",入户维修!$E91&lt;&gt;""),IF(单元查询!$B$3="公区维修",公区维修!$C91,入户维修!$C91)=单元查询!$D$3,OR(单元查询!$F$3="",IF(单元查询!$B$3="公区维修",公区维修!$D91,入户维修!$D91)&amp;""=(单元查询!$F$3)&amp;"")),MAX($FW$4:$FW90)+1,"")</f>
        <v/>
      </c>
    </row>
    <row r="92" customFormat="false" ht="15" hidden="false" customHeight="true" outlineLevel="0" collapsed="false">
      <c r="F92" s="0" t="n">
        <f aca="false">IF(OR($A$1=入户维修!$F92,$BN$1=1),0,1-SUMPRODUCT(--(($A$1=入户维修!$F92)+$BN$1&gt;0)))</f>
        <v>0</v>
      </c>
      <c r="G92" s="0" t="n">
        <f aca="false">IF(OR($A$2=入户维修!$F92,$BN$2=1),0,2-SUMPRODUCT(--(($A$1:$A$2=入户维修!$F92)+$BN$1:$BN$2&gt;0)))</f>
        <v>0</v>
      </c>
      <c r="H92" s="0" t="n">
        <f aca="false">IF(OR($A$3=入户维修!$F92,$BN$3=1),0,3-SUMPRODUCT(--(($A$1:$A$3=入户维修!$F92)+$BN$1:$BN$3&gt;0)))</f>
        <v>1</v>
      </c>
      <c r="I92" s="0" t="n">
        <f aca="false">IF(OR($A$4=入户维修!$F92,$BN$4=1),0,4-SUMPRODUCT(--(($A$1:$A$4=入户维修!$F92)+$BN$1:$BN$4&gt;0)))</f>
        <v>2</v>
      </c>
      <c r="J92" s="0" t="n">
        <f aca="false">IF(OR($A$5=入户维修!$F92,$BN$5=1),0,5-SUMPRODUCT(--(($A$1:$A$5=入户维修!$F92)+$BN$1:$BN$5&gt;0)))</f>
        <v>3</v>
      </c>
      <c r="L92" s="0" t="str">
        <f aca="false">IFERROR(INDEX($A$1:$A$5,MATCH(1,$F92:$J92,0)),IF(1=MAX($F92:$J92)+1,"取消",""))</f>
        <v>王师傅</v>
      </c>
      <c r="M92" s="0" t="str">
        <f aca="false">IFERROR(INDEX($A$1:$A$5,MATCH(2,$F92:$J92,0)),IF(2=MAX($F92:$J92)+1,"取消",""))</f>
        <v>陈师傅</v>
      </c>
      <c r="N92" s="0" t="str">
        <f aca="false">IFERROR(INDEX($A$1:$A$5,MATCH(3,$F92:$J92,0)),IF(3=MAX($F92:$J92)+1,"取消",""))</f>
        <v>刘师傅</v>
      </c>
      <c r="O92" s="0" t="str">
        <f aca="false">IFERROR(INDEX($A$1:$A$5,MATCH(4,$F92:$J92,0)),IF(4=MAX($F92:$J92)+1,"取消",""))</f>
        <v>取消</v>
      </c>
      <c r="P92" s="0" t="str">
        <f aca="false">IFERROR(INDEX($A$1:$A$5,MATCH(5,$F92:$J92,0)),IF(5=MAX($F92:$J92)+1,"取消",""))</f>
        <v/>
      </c>
      <c r="Q92" s="0" t="str">
        <f aca="false">IFERROR(INDEX($A$1:$A$5,MATCH(6,$F92:$J92,0)),IF(6=MAX($F92:$J92)+1,"取消",""))</f>
        <v/>
      </c>
      <c r="S92" s="0" t="n">
        <f aca="false">IF(OR($A$1=入户维修!$F92,$A$1=入户维修!$G92,$BN$1=1),0,1-SUMPRODUCT(--(($A$1=入户维修!$F92)+($A$1=入户维修!$G92)+$BN$1&gt;0)))</f>
        <v>0</v>
      </c>
      <c r="T92" s="0" t="n">
        <f aca="false">IF(OR($A$2=入户维修!$F92,$A$2=入户维修!$G92,$BN$2=1),0,2-SUMPRODUCT(--(($A$1:$A$2=入户维修!$F92)+($A$1:$A$2=入户维修!$G92)+$BN$1:$BN$2&gt;0)))</f>
        <v>0</v>
      </c>
      <c r="U92" s="0" t="n">
        <f aca="false">IF(OR($A$3=入户维修!$F92,$A$3=入户维修!$G92,$BN$3=1),0,3-SUMPRODUCT(--(($A$1:$A$3=入户维修!$F92)+($A$1:$A$3=入户维修!$G92)+$BN$1:$BN$3&gt;0)))</f>
        <v>1</v>
      </c>
      <c r="V92" s="0" t="n">
        <f aca="false">IF(OR($A$4=入户维修!$F92,$A$4=入户维修!$G92,$BN$4=1),0,4-SUMPRODUCT(--(($A$1:$A$4=入户维修!$F92)+($A$1:$A$4=入户维修!$G92)+$BN$1:$BN$4&gt;0)))</f>
        <v>2</v>
      </c>
      <c r="W92" s="0" t="n">
        <f aca="false">IF(OR($A$5=入户维修!$F92,$A$5=入户维修!$G92,$BN$5=1),0,5-SUMPRODUCT(--(($A$1:$A$5=入户维修!$F92)+($A$1:$A$5=入户维修!$G92)+$BN$1:$BN$5&gt;0)))</f>
        <v>3</v>
      </c>
      <c r="Y92" s="0" t="str">
        <f aca="false">IFERROR(INDEX($A$1:$A$5,MATCH(1,$S92:$W92,0)),IF(1=MAX($S92:$W92)+1,"取消",""))</f>
        <v>王师傅</v>
      </c>
      <c r="Z92" s="0" t="str">
        <f aca="false">IFERROR(INDEX($A$1:$A$5,MATCH(2,$S92:$W92,0)),IF(2=MAX($S92:$W92)+1,"取消",""))</f>
        <v>陈师傅</v>
      </c>
      <c r="AA92" s="0" t="str">
        <f aca="false">IFERROR(INDEX($A$1:$A$5,MATCH(3,$S92:$W92,0)),IF(3=MAX($S92:$W92)+1,"取消",""))</f>
        <v>刘师傅</v>
      </c>
      <c r="AB92" s="0" t="str">
        <f aca="false">IFERROR(INDEX($A$1:$A$5,MATCH(4,$S92:$W92,0)),IF(4=MAX($S92:$W92)+1,"取消",""))</f>
        <v>取消</v>
      </c>
      <c r="AC92" s="0" t="str">
        <f aca="false">IFERROR(INDEX($A$1:$A$5,MATCH(5,$S92:$W92,0)),IF(5=MAX($S92:$W92)+1,"取消",""))</f>
        <v/>
      </c>
      <c r="AD92" s="0" t="str">
        <f aca="false">IFERROR(INDEX($A$1:$A$5,MATCH(6,$S92:$W92,0)),IF(6=MAX($S92:$W92)+1,"取消",""))</f>
        <v/>
      </c>
      <c r="AF92" s="0" t="n">
        <f aca="false">IF(OR($A$1=公区维修!$F92,$BN$1=1),0,1-SUMPRODUCT(--(($A$1=公区维修!$F92)+$BN$1&gt;0)))</f>
        <v>0</v>
      </c>
      <c r="AG92" s="0" t="n">
        <f aca="false">IF(OR($A$2=公区维修!$F92,$BN$2=1),0,2-SUMPRODUCT(--(($A$1:$A$2=公区维修!$F92)+$BN$1:$BN$2&gt;0)))</f>
        <v>1</v>
      </c>
      <c r="AH92" s="0" t="n">
        <f aca="false">IF(OR($A$3=公区维修!$F92,$BN$3=1),0,3-SUMPRODUCT(--(($A$1:$A$3=公区维修!$F92)+$BN$1:$BN$3&gt;0)))</f>
        <v>2</v>
      </c>
      <c r="AI92" s="0" t="n">
        <f aca="false">IF(OR($A$4=公区维修!$F92,$BN$4=1),0,4-SUMPRODUCT(--(($A$1:$A$4=公区维修!$F92)+$BN$1:$BN$4&gt;0)))</f>
        <v>3</v>
      </c>
      <c r="AJ92" s="0" t="n">
        <f aca="false">IF(OR($A$5=公区维修!$F92,$BN$5=1),0,5-SUMPRODUCT(--(($A$1:$A$5=公区维修!$F92)+$BN$1:$BN$5&gt;0)))</f>
        <v>4</v>
      </c>
      <c r="AL92" s="0" t="str">
        <f aca="false">IFERROR(INDEX($A$1:$A$5,MATCH(1,$AF92:$AJ92,0)),IF(1=MAX($AF92:$AJ92)+1,"取消",""))</f>
        <v>李师傅</v>
      </c>
      <c r="AM92" s="0" t="str">
        <f aca="false">IFERROR(INDEX($A$1:$A$5,MATCH(2,$AF92:$AJ92,0)),IF(2=MAX($AF92:$AJ92)+1,"取消",""))</f>
        <v>王师傅</v>
      </c>
      <c r="AN92" s="0" t="str">
        <f aca="false">IFERROR(INDEX($A$1:$A$5,MATCH(3,$AF92:$AJ92,0)),IF(3=MAX($AF92:$AJ92)+1,"取消",""))</f>
        <v>陈师傅</v>
      </c>
      <c r="AO92" s="0" t="str">
        <f aca="false">IFERROR(INDEX($A$1:$A$5,MATCH(4,$AF92:$AJ92,0)),IF(4=MAX($AF92:$AJ92)+1,"取消",""))</f>
        <v>刘师傅</v>
      </c>
      <c r="AP92" s="0" t="str">
        <f aca="false">IFERROR(INDEX($A$1:$A$5,MATCH(5,$AF92:$AJ92,0)),IF(5=MAX($AF92:$AJ92)+1,"取消",""))</f>
        <v>取消</v>
      </c>
      <c r="AQ92" s="0" t="str">
        <f aca="false">IFERROR(INDEX($A$1:$A$5,MATCH(6,$AF92:$AJ92,0)),IF(6=MAX($AF92:$AJ92)+1,"取消",""))</f>
        <v/>
      </c>
      <c r="AS92" s="0" t="n">
        <f aca="false">IF(OR($A$1=公区维修!$F92,$A$1=公区维修!$G92,$BN$1=1),0,1-SUMPRODUCT(--(($A$1=公区维修!$F92)+($A$1=公区维修!$G92)+$BN$1&gt;0)))</f>
        <v>0</v>
      </c>
      <c r="AT92" s="0" t="n">
        <f aca="false">IF(OR($A$2=公区维修!$F92,$A$2=公区维修!$G92,$BN$2=1),0,2-SUMPRODUCT(--(($A$1:$A$2=公区维修!$F92)+($A$1:$A$2=公区维修!$G92)+$BN$1:$BN$2&gt;0)))</f>
        <v>1</v>
      </c>
      <c r="AU92" s="0" t="n">
        <f aca="false">IF(OR($A$3=公区维修!$F92,$A$3=公区维修!$G92,$BN$3=1),0,3-SUMPRODUCT(--(($A$1:$A$3=公区维修!$F92)+($A$1:$A$3=公区维修!$G92)+$BN$1:$BN$3&gt;0)))</f>
        <v>2</v>
      </c>
      <c r="AV92" s="0" t="n">
        <f aca="false">IF(OR($A$4=公区维修!$F92,$A$4=公区维修!$G92,$BN$4=1),0,4-SUMPRODUCT(--(($A$1:$A$4=公区维修!$F92)+($A$1:$A$4=公区维修!$G92)+$BN$1:$BN$4&gt;0)))</f>
        <v>3</v>
      </c>
      <c r="AW92" s="0" t="n">
        <f aca="false">IF(OR($A$5=公区维修!$F92,$A$5=公区维修!$G92,$BN$5=1),0,5-SUMPRODUCT(--(($A$1:$A$5=公区维修!$F92)+($A$1:$A$5=公区维修!$G92)+$BN$1:$BN$5&gt;0)))</f>
        <v>4</v>
      </c>
      <c r="AY92" s="0" t="str">
        <f aca="false">IFERROR(INDEX($A$1:$A$5,MATCH(1,$AS92:$AW92,0)),IF(1=MAX($AS92:$AW92)+1,"取消",""))</f>
        <v>李师傅</v>
      </c>
      <c r="AZ92" s="0" t="str">
        <f aca="false">IFERROR(INDEX($A$1:$A$5,MATCH(2,$AS92:$AW92,0)),IF(2=MAX($AS92:$AW92)+1,"取消",""))</f>
        <v>王师傅</v>
      </c>
      <c r="BA92" s="0" t="str">
        <f aca="false">IFERROR(INDEX($A$1:$A$5,MATCH(3,$AS92:$AW92,0)),IF(3=MAX($AS92:$AW92)+1,"取消",""))</f>
        <v>陈师傅</v>
      </c>
      <c r="BB92" s="0" t="str">
        <f aca="false">IFERROR(INDEX($A$1:$A$5,MATCH(4,$AS92:$AW92,0)),IF(4=MAX($AS92:$AW92)+1,"取消",""))</f>
        <v>刘师傅</v>
      </c>
      <c r="BC92" s="0" t="str">
        <f aca="false">IFERROR(INDEX($A$1:$A$5,MATCH(5,$AS92:$AW92,0)),IF(5=MAX($AS92:$AW92)+1,"取消",""))</f>
        <v>取消</v>
      </c>
      <c r="BD92" s="0" t="str">
        <f aca="false">IFERROR(INDEX($A$1:$A$5,MATCH(6,$AS92:$AW92,0)),IF(6=MAX($AS92:$AW92)+1,"取消",""))</f>
        <v/>
      </c>
      <c r="FW92" s="0" t="str">
        <f aca="false">IF(AND(单元查询!$D$3&lt;&gt;"",IF(单元查询!$B$3="公区维修",公区维修!$E92&lt;&gt;"",入户维修!$E92&lt;&gt;""),IF(单元查询!$B$3="公区维修",公区维修!$C92,入户维修!$C92)=单元查询!$D$3,OR(单元查询!$F$3="",IF(单元查询!$B$3="公区维修",公区维修!$D92,入户维修!$D92)&amp;""=(单元查询!$F$3)&amp;"")),MAX($FW$4:$FW91)+1,"")</f>
        <v/>
      </c>
    </row>
    <row r="93" customFormat="false" ht="15" hidden="false" customHeight="true" outlineLevel="0" collapsed="false">
      <c r="F93" s="0" t="n">
        <f aca="false">IF(OR($A$1=入户维修!$F93,$BN$1=1),0,1-SUMPRODUCT(--(($A$1=入户维修!$F93)+$BN$1&gt;0)))</f>
        <v>0</v>
      </c>
      <c r="G93" s="0" t="n">
        <f aca="false">IF(OR($A$2=入户维修!$F93,$BN$2=1),0,2-SUMPRODUCT(--(($A$1:$A$2=入户维修!$F93)+$BN$1:$BN$2&gt;0)))</f>
        <v>1</v>
      </c>
      <c r="H93" s="0" t="n">
        <f aca="false">IF(OR($A$3=入户维修!$F93,$BN$3=1),0,3-SUMPRODUCT(--(($A$1:$A$3=入户维修!$F93)+$BN$1:$BN$3&gt;0)))</f>
        <v>2</v>
      </c>
      <c r="I93" s="0" t="n">
        <f aca="false">IF(OR($A$4=入户维修!$F93,$BN$4=1),0,4-SUMPRODUCT(--(($A$1:$A$4=入户维修!$F93)+$BN$1:$BN$4&gt;0)))</f>
        <v>3</v>
      </c>
      <c r="J93" s="0" t="n">
        <f aca="false">IF(OR($A$5=入户维修!$F93,$BN$5=1),0,5-SUMPRODUCT(--(($A$1:$A$5=入户维修!$F93)+$BN$1:$BN$5&gt;0)))</f>
        <v>4</v>
      </c>
      <c r="L93" s="0" t="str">
        <f aca="false">IFERROR(INDEX($A$1:$A$5,MATCH(1,$F93:$J93,0)),IF(1=MAX($F93:$J93)+1,"取消",""))</f>
        <v>李师傅</v>
      </c>
      <c r="M93" s="0" t="str">
        <f aca="false">IFERROR(INDEX($A$1:$A$5,MATCH(2,$F93:$J93,0)),IF(2=MAX($F93:$J93)+1,"取消",""))</f>
        <v>王师傅</v>
      </c>
      <c r="N93" s="0" t="str">
        <f aca="false">IFERROR(INDEX($A$1:$A$5,MATCH(3,$F93:$J93,0)),IF(3=MAX($F93:$J93)+1,"取消",""))</f>
        <v>陈师傅</v>
      </c>
      <c r="O93" s="0" t="str">
        <f aca="false">IFERROR(INDEX($A$1:$A$5,MATCH(4,$F93:$J93,0)),IF(4=MAX($F93:$J93)+1,"取消",""))</f>
        <v>刘师傅</v>
      </c>
      <c r="P93" s="0" t="str">
        <f aca="false">IFERROR(INDEX($A$1:$A$5,MATCH(5,$F93:$J93,0)),IF(5=MAX($F93:$J93)+1,"取消",""))</f>
        <v>取消</v>
      </c>
      <c r="Q93" s="0" t="str">
        <f aca="false">IFERROR(INDEX($A$1:$A$5,MATCH(6,$F93:$J93,0)),IF(6=MAX($F93:$J93)+1,"取消",""))</f>
        <v/>
      </c>
      <c r="S93" s="0" t="n">
        <f aca="false">IF(OR($A$1=入户维修!$F93,$A$1=入户维修!$G93,$BN$1=1),0,1-SUMPRODUCT(--(($A$1=入户维修!$F93)+($A$1=入户维修!$G93)+$BN$1&gt;0)))</f>
        <v>0</v>
      </c>
      <c r="T93" s="0" t="n">
        <f aca="false">IF(OR($A$2=入户维修!$F93,$A$2=入户维修!$G93,$BN$2=1),0,2-SUMPRODUCT(--(($A$1:$A$2=入户维修!$F93)+($A$1:$A$2=入户维修!$G93)+$BN$1:$BN$2&gt;0)))</f>
        <v>1</v>
      </c>
      <c r="U93" s="0" t="n">
        <f aca="false">IF(OR($A$3=入户维修!$F93,$A$3=入户维修!$G93,$BN$3=1),0,3-SUMPRODUCT(--(($A$1:$A$3=入户维修!$F93)+($A$1:$A$3=入户维修!$G93)+$BN$1:$BN$3&gt;0)))</f>
        <v>2</v>
      </c>
      <c r="V93" s="0" t="n">
        <f aca="false">IF(OR($A$4=入户维修!$F93,$A$4=入户维修!$G93,$BN$4=1),0,4-SUMPRODUCT(--(($A$1:$A$4=入户维修!$F93)+($A$1:$A$4=入户维修!$G93)+$BN$1:$BN$4&gt;0)))</f>
        <v>3</v>
      </c>
      <c r="W93" s="0" t="n">
        <f aca="false">IF(OR($A$5=入户维修!$F93,$A$5=入户维修!$G93,$BN$5=1),0,5-SUMPRODUCT(--(($A$1:$A$5=入户维修!$F93)+($A$1:$A$5=入户维修!$G93)+$BN$1:$BN$5&gt;0)))</f>
        <v>4</v>
      </c>
      <c r="Y93" s="0" t="str">
        <f aca="false">IFERROR(INDEX($A$1:$A$5,MATCH(1,$S93:$W93,0)),IF(1=MAX($S93:$W93)+1,"取消",""))</f>
        <v>李师傅</v>
      </c>
      <c r="Z93" s="0" t="str">
        <f aca="false">IFERROR(INDEX($A$1:$A$5,MATCH(2,$S93:$W93,0)),IF(2=MAX($S93:$W93)+1,"取消",""))</f>
        <v>王师傅</v>
      </c>
      <c r="AA93" s="0" t="str">
        <f aca="false">IFERROR(INDEX($A$1:$A$5,MATCH(3,$S93:$W93,0)),IF(3=MAX($S93:$W93)+1,"取消",""))</f>
        <v>陈师傅</v>
      </c>
      <c r="AB93" s="0" t="str">
        <f aca="false">IFERROR(INDEX($A$1:$A$5,MATCH(4,$S93:$W93,0)),IF(4=MAX($S93:$W93)+1,"取消",""))</f>
        <v>刘师傅</v>
      </c>
      <c r="AC93" s="0" t="str">
        <f aca="false">IFERROR(INDEX($A$1:$A$5,MATCH(5,$S93:$W93,0)),IF(5=MAX($S93:$W93)+1,"取消",""))</f>
        <v>取消</v>
      </c>
      <c r="AD93" s="0" t="str">
        <f aca="false">IFERROR(INDEX($A$1:$A$5,MATCH(6,$S93:$W93,0)),IF(6=MAX($S93:$W93)+1,"取消",""))</f>
        <v/>
      </c>
      <c r="AF93" s="0" t="n">
        <f aca="false">IF(OR($A$1=公区维修!$F93,$BN$1=1),0,1-SUMPRODUCT(--(($A$1=公区维修!$F93)+$BN$1&gt;0)))</f>
        <v>0</v>
      </c>
      <c r="AG93" s="0" t="n">
        <f aca="false">IF(OR($A$2=公区维修!$F93,$BN$2=1),0,2-SUMPRODUCT(--(($A$1:$A$2=公区维修!$F93)+$BN$1:$BN$2&gt;0)))</f>
        <v>1</v>
      </c>
      <c r="AH93" s="0" t="n">
        <f aca="false">IF(OR($A$3=公区维修!$F93,$BN$3=1),0,3-SUMPRODUCT(--(($A$1:$A$3=公区维修!$F93)+$BN$1:$BN$3&gt;0)))</f>
        <v>2</v>
      </c>
      <c r="AI93" s="0" t="n">
        <f aca="false">IF(OR($A$4=公区维修!$F93,$BN$4=1),0,4-SUMPRODUCT(--(($A$1:$A$4=公区维修!$F93)+$BN$1:$BN$4&gt;0)))</f>
        <v>3</v>
      </c>
      <c r="AJ93" s="0" t="n">
        <f aca="false">IF(OR($A$5=公区维修!$F93,$BN$5=1),0,5-SUMPRODUCT(--(($A$1:$A$5=公区维修!$F93)+$BN$1:$BN$5&gt;0)))</f>
        <v>4</v>
      </c>
      <c r="AL93" s="0" t="str">
        <f aca="false">IFERROR(INDEX($A$1:$A$5,MATCH(1,$AF93:$AJ93,0)),IF(1=MAX($AF93:$AJ93)+1,"取消",""))</f>
        <v>李师傅</v>
      </c>
      <c r="AM93" s="0" t="str">
        <f aca="false">IFERROR(INDEX($A$1:$A$5,MATCH(2,$AF93:$AJ93,0)),IF(2=MAX($AF93:$AJ93)+1,"取消",""))</f>
        <v>王师傅</v>
      </c>
      <c r="AN93" s="0" t="str">
        <f aca="false">IFERROR(INDEX($A$1:$A$5,MATCH(3,$AF93:$AJ93,0)),IF(3=MAX($AF93:$AJ93)+1,"取消",""))</f>
        <v>陈师傅</v>
      </c>
      <c r="AO93" s="0" t="str">
        <f aca="false">IFERROR(INDEX($A$1:$A$5,MATCH(4,$AF93:$AJ93,0)),IF(4=MAX($AF93:$AJ93)+1,"取消",""))</f>
        <v>刘师傅</v>
      </c>
      <c r="AP93" s="0" t="str">
        <f aca="false">IFERROR(INDEX($A$1:$A$5,MATCH(5,$AF93:$AJ93,0)),IF(5=MAX($AF93:$AJ93)+1,"取消",""))</f>
        <v>取消</v>
      </c>
      <c r="AQ93" s="0" t="str">
        <f aca="false">IFERROR(INDEX($A$1:$A$5,MATCH(6,$AF93:$AJ93,0)),IF(6=MAX($AF93:$AJ93)+1,"取消",""))</f>
        <v/>
      </c>
      <c r="AS93" s="0" t="n">
        <f aca="false">IF(OR($A$1=公区维修!$F93,$A$1=公区维修!$G93,$BN$1=1),0,1-SUMPRODUCT(--(($A$1=公区维修!$F93)+($A$1=公区维修!$G93)+$BN$1&gt;0)))</f>
        <v>0</v>
      </c>
      <c r="AT93" s="0" t="n">
        <f aca="false">IF(OR($A$2=公区维修!$F93,$A$2=公区维修!$G93,$BN$2=1),0,2-SUMPRODUCT(--(($A$1:$A$2=公区维修!$F93)+($A$1:$A$2=公区维修!$G93)+$BN$1:$BN$2&gt;0)))</f>
        <v>1</v>
      </c>
      <c r="AU93" s="0" t="n">
        <f aca="false">IF(OR($A$3=公区维修!$F93,$A$3=公区维修!$G93,$BN$3=1),0,3-SUMPRODUCT(--(($A$1:$A$3=公区维修!$F93)+($A$1:$A$3=公区维修!$G93)+$BN$1:$BN$3&gt;0)))</f>
        <v>2</v>
      </c>
      <c r="AV93" s="0" t="n">
        <f aca="false">IF(OR($A$4=公区维修!$F93,$A$4=公区维修!$G93,$BN$4=1),0,4-SUMPRODUCT(--(($A$1:$A$4=公区维修!$F93)+($A$1:$A$4=公区维修!$G93)+$BN$1:$BN$4&gt;0)))</f>
        <v>3</v>
      </c>
      <c r="AW93" s="0" t="n">
        <f aca="false">IF(OR($A$5=公区维修!$F93,$A$5=公区维修!$G93,$BN$5=1),0,5-SUMPRODUCT(--(($A$1:$A$5=公区维修!$F93)+($A$1:$A$5=公区维修!$G93)+$BN$1:$BN$5&gt;0)))</f>
        <v>4</v>
      </c>
      <c r="AY93" s="0" t="str">
        <f aca="false">IFERROR(INDEX($A$1:$A$5,MATCH(1,$AS93:$AW93,0)),IF(1=MAX($AS93:$AW93)+1,"取消",""))</f>
        <v>李师傅</v>
      </c>
      <c r="AZ93" s="0" t="str">
        <f aca="false">IFERROR(INDEX($A$1:$A$5,MATCH(2,$AS93:$AW93,0)),IF(2=MAX($AS93:$AW93)+1,"取消",""))</f>
        <v>王师傅</v>
      </c>
      <c r="BA93" s="0" t="str">
        <f aca="false">IFERROR(INDEX($A$1:$A$5,MATCH(3,$AS93:$AW93,0)),IF(3=MAX($AS93:$AW93)+1,"取消",""))</f>
        <v>陈师傅</v>
      </c>
      <c r="BB93" s="0" t="str">
        <f aca="false">IFERROR(INDEX($A$1:$A$5,MATCH(4,$AS93:$AW93,0)),IF(4=MAX($AS93:$AW93)+1,"取消",""))</f>
        <v>刘师傅</v>
      </c>
      <c r="BC93" s="0" t="str">
        <f aca="false">IFERROR(INDEX($A$1:$A$5,MATCH(5,$AS93:$AW93,0)),IF(5=MAX($AS93:$AW93)+1,"取消",""))</f>
        <v>取消</v>
      </c>
      <c r="BD93" s="0" t="str">
        <f aca="false">IFERROR(INDEX($A$1:$A$5,MATCH(6,$AS93:$AW93,0)),IF(6=MAX($AS93:$AW93)+1,"取消",""))</f>
        <v/>
      </c>
      <c r="FW93" s="0" t="str">
        <f aca="false">IF(AND(单元查询!$D$3&lt;&gt;"",IF(单元查询!$B$3="公区维修",公区维修!$E93&lt;&gt;"",入户维修!$E93&lt;&gt;""),IF(单元查询!$B$3="公区维修",公区维修!$C93,入户维修!$C93)=单元查询!$D$3,OR(单元查询!$F$3="",IF(单元查询!$B$3="公区维修",公区维修!$D93,入户维修!$D93)&amp;""=(单元查询!$F$3)&amp;"")),MAX($FW$4:$FW92)+1,"")</f>
        <v/>
      </c>
    </row>
    <row r="94" customFormat="false" ht="15" hidden="false" customHeight="true" outlineLevel="0" collapsed="false">
      <c r="F94" s="0" t="n">
        <f aca="false">IF(OR($A$1=入户维修!$F94,$BN$1=1),0,1-SUMPRODUCT(--(($A$1=入户维修!$F94)+$BN$1&gt;0)))</f>
        <v>0</v>
      </c>
      <c r="G94" s="0" t="n">
        <f aca="false">IF(OR($A$2=入户维修!$F94,$BN$2=1),0,2-SUMPRODUCT(--(($A$1:$A$2=入户维修!$F94)+$BN$1:$BN$2&gt;0)))</f>
        <v>1</v>
      </c>
      <c r="H94" s="0" t="n">
        <f aca="false">IF(OR($A$3=入户维修!$F94,$BN$3=1),0,3-SUMPRODUCT(--(($A$1:$A$3=入户维修!$F94)+$BN$1:$BN$3&gt;0)))</f>
        <v>2</v>
      </c>
      <c r="I94" s="0" t="n">
        <f aca="false">IF(OR($A$4=入户维修!$F94,$BN$4=1),0,4-SUMPRODUCT(--(($A$1:$A$4=入户维修!$F94)+$BN$1:$BN$4&gt;0)))</f>
        <v>0</v>
      </c>
      <c r="J94" s="0" t="n">
        <f aca="false">IF(OR($A$5=入户维修!$F94,$BN$5=1),0,5-SUMPRODUCT(--(($A$1:$A$5=入户维修!$F94)+$BN$1:$BN$5&gt;0)))</f>
        <v>3</v>
      </c>
      <c r="L94" s="0" t="str">
        <f aca="false">IFERROR(INDEX($A$1:$A$5,MATCH(1,$F94:$J94,0)),IF(1=MAX($F94:$J94)+1,"取消",""))</f>
        <v>李师傅</v>
      </c>
      <c r="M94" s="0" t="str">
        <f aca="false">IFERROR(INDEX($A$1:$A$5,MATCH(2,$F94:$J94,0)),IF(2=MAX($F94:$J94)+1,"取消",""))</f>
        <v>王师傅</v>
      </c>
      <c r="N94" s="0" t="str">
        <f aca="false">IFERROR(INDEX($A$1:$A$5,MATCH(3,$F94:$J94,0)),IF(3=MAX($F94:$J94)+1,"取消",""))</f>
        <v>刘师傅</v>
      </c>
      <c r="O94" s="0" t="str">
        <f aca="false">IFERROR(INDEX($A$1:$A$5,MATCH(4,$F94:$J94,0)),IF(4=MAX($F94:$J94)+1,"取消",""))</f>
        <v>取消</v>
      </c>
      <c r="P94" s="0" t="str">
        <f aca="false">IFERROR(INDEX($A$1:$A$5,MATCH(5,$F94:$J94,0)),IF(5=MAX($F94:$J94)+1,"取消",""))</f>
        <v/>
      </c>
      <c r="Q94" s="0" t="str">
        <f aca="false">IFERROR(INDEX($A$1:$A$5,MATCH(6,$F94:$J94,0)),IF(6=MAX($F94:$J94)+1,"取消",""))</f>
        <v/>
      </c>
      <c r="S94" s="0" t="n">
        <f aca="false">IF(OR($A$1=入户维修!$F94,$A$1=入户维修!$G94,$BN$1=1),0,1-SUMPRODUCT(--(($A$1=入户维修!$F94)+($A$1=入户维修!$G94)+$BN$1&gt;0)))</f>
        <v>0</v>
      </c>
      <c r="T94" s="0" t="n">
        <f aca="false">IF(OR($A$2=入户维修!$F94,$A$2=入户维修!$G94,$BN$2=1),0,2-SUMPRODUCT(--(($A$1:$A$2=入户维修!$F94)+($A$1:$A$2=入户维修!$G94)+$BN$1:$BN$2&gt;0)))</f>
        <v>1</v>
      </c>
      <c r="U94" s="0" t="n">
        <f aca="false">IF(OR($A$3=入户维修!$F94,$A$3=入户维修!$G94,$BN$3=1),0,3-SUMPRODUCT(--(($A$1:$A$3=入户维修!$F94)+($A$1:$A$3=入户维修!$G94)+$BN$1:$BN$3&gt;0)))</f>
        <v>2</v>
      </c>
      <c r="V94" s="0" t="n">
        <f aca="false">IF(OR($A$4=入户维修!$F94,$A$4=入户维修!$G94,$BN$4=1),0,4-SUMPRODUCT(--(($A$1:$A$4=入户维修!$F94)+($A$1:$A$4=入户维修!$G94)+$BN$1:$BN$4&gt;0)))</f>
        <v>0</v>
      </c>
      <c r="W94" s="0" t="n">
        <f aca="false">IF(OR($A$5=入户维修!$F94,$A$5=入户维修!$G94,$BN$5=1),0,5-SUMPRODUCT(--(($A$1:$A$5=入户维修!$F94)+($A$1:$A$5=入户维修!$G94)+$BN$1:$BN$5&gt;0)))</f>
        <v>3</v>
      </c>
      <c r="Y94" s="0" t="str">
        <f aca="false">IFERROR(INDEX($A$1:$A$5,MATCH(1,$S94:$W94,0)),IF(1=MAX($S94:$W94)+1,"取消",""))</f>
        <v>李师傅</v>
      </c>
      <c r="Z94" s="0" t="str">
        <f aca="false">IFERROR(INDEX($A$1:$A$5,MATCH(2,$S94:$W94,0)),IF(2=MAX($S94:$W94)+1,"取消",""))</f>
        <v>王师傅</v>
      </c>
      <c r="AA94" s="0" t="str">
        <f aca="false">IFERROR(INDEX($A$1:$A$5,MATCH(3,$S94:$W94,0)),IF(3=MAX($S94:$W94)+1,"取消",""))</f>
        <v>刘师傅</v>
      </c>
      <c r="AB94" s="0" t="str">
        <f aca="false">IFERROR(INDEX($A$1:$A$5,MATCH(4,$S94:$W94,0)),IF(4=MAX($S94:$W94)+1,"取消",""))</f>
        <v>取消</v>
      </c>
      <c r="AC94" s="0" t="str">
        <f aca="false">IFERROR(INDEX($A$1:$A$5,MATCH(5,$S94:$W94,0)),IF(5=MAX($S94:$W94)+1,"取消",""))</f>
        <v/>
      </c>
      <c r="AD94" s="0" t="str">
        <f aca="false">IFERROR(INDEX($A$1:$A$5,MATCH(6,$S94:$W94,0)),IF(6=MAX($S94:$W94)+1,"取消",""))</f>
        <v/>
      </c>
      <c r="AF94" s="0" t="n">
        <f aca="false">IF(OR($A$1=公区维修!$F94,$BN$1=1),0,1-SUMPRODUCT(--(($A$1=公区维修!$F94)+$BN$1&gt;0)))</f>
        <v>0</v>
      </c>
      <c r="AG94" s="0" t="n">
        <f aca="false">IF(OR($A$2=公区维修!$F94,$BN$2=1),0,2-SUMPRODUCT(--(($A$1:$A$2=公区维修!$F94)+$BN$1:$BN$2&gt;0)))</f>
        <v>1</v>
      </c>
      <c r="AH94" s="0" t="n">
        <f aca="false">IF(OR($A$3=公区维修!$F94,$BN$3=1),0,3-SUMPRODUCT(--(($A$1:$A$3=公区维修!$F94)+$BN$1:$BN$3&gt;0)))</f>
        <v>2</v>
      </c>
      <c r="AI94" s="0" t="n">
        <f aca="false">IF(OR($A$4=公区维修!$F94,$BN$4=1),0,4-SUMPRODUCT(--(($A$1:$A$4=公区维修!$F94)+$BN$1:$BN$4&gt;0)))</f>
        <v>3</v>
      </c>
      <c r="AJ94" s="0" t="n">
        <f aca="false">IF(OR($A$5=公区维修!$F94,$BN$5=1),0,5-SUMPRODUCT(--(($A$1:$A$5=公区维修!$F94)+$BN$1:$BN$5&gt;0)))</f>
        <v>4</v>
      </c>
      <c r="AL94" s="0" t="str">
        <f aca="false">IFERROR(INDEX($A$1:$A$5,MATCH(1,$AF94:$AJ94,0)),IF(1=MAX($AF94:$AJ94)+1,"取消",""))</f>
        <v>李师傅</v>
      </c>
      <c r="AM94" s="0" t="str">
        <f aca="false">IFERROR(INDEX($A$1:$A$5,MATCH(2,$AF94:$AJ94,0)),IF(2=MAX($AF94:$AJ94)+1,"取消",""))</f>
        <v>王师傅</v>
      </c>
      <c r="AN94" s="0" t="str">
        <f aca="false">IFERROR(INDEX($A$1:$A$5,MATCH(3,$AF94:$AJ94,0)),IF(3=MAX($AF94:$AJ94)+1,"取消",""))</f>
        <v>陈师傅</v>
      </c>
      <c r="AO94" s="0" t="str">
        <f aca="false">IFERROR(INDEX($A$1:$A$5,MATCH(4,$AF94:$AJ94,0)),IF(4=MAX($AF94:$AJ94)+1,"取消",""))</f>
        <v>刘师傅</v>
      </c>
      <c r="AP94" s="0" t="str">
        <f aca="false">IFERROR(INDEX($A$1:$A$5,MATCH(5,$AF94:$AJ94,0)),IF(5=MAX($AF94:$AJ94)+1,"取消",""))</f>
        <v>取消</v>
      </c>
      <c r="AQ94" s="0" t="str">
        <f aca="false">IFERROR(INDEX($A$1:$A$5,MATCH(6,$AF94:$AJ94,0)),IF(6=MAX($AF94:$AJ94)+1,"取消",""))</f>
        <v/>
      </c>
      <c r="AS94" s="0" t="n">
        <f aca="false">IF(OR($A$1=公区维修!$F94,$A$1=公区维修!$G94,$BN$1=1),0,1-SUMPRODUCT(--(($A$1=公区维修!$F94)+($A$1=公区维修!$G94)+$BN$1&gt;0)))</f>
        <v>0</v>
      </c>
      <c r="AT94" s="0" t="n">
        <f aca="false">IF(OR($A$2=公区维修!$F94,$A$2=公区维修!$G94,$BN$2=1),0,2-SUMPRODUCT(--(($A$1:$A$2=公区维修!$F94)+($A$1:$A$2=公区维修!$G94)+$BN$1:$BN$2&gt;0)))</f>
        <v>1</v>
      </c>
      <c r="AU94" s="0" t="n">
        <f aca="false">IF(OR($A$3=公区维修!$F94,$A$3=公区维修!$G94,$BN$3=1),0,3-SUMPRODUCT(--(($A$1:$A$3=公区维修!$F94)+($A$1:$A$3=公区维修!$G94)+$BN$1:$BN$3&gt;0)))</f>
        <v>2</v>
      </c>
      <c r="AV94" s="0" t="n">
        <f aca="false">IF(OR($A$4=公区维修!$F94,$A$4=公区维修!$G94,$BN$4=1),0,4-SUMPRODUCT(--(($A$1:$A$4=公区维修!$F94)+($A$1:$A$4=公区维修!$G94)+$BN$1:$BN$4&gt;0)))</f>
        <v>3</v>
      </c>
      <c r="AW94" s="0" t="n">
        <f aca="false">IF(OR($A$5=公区维修!$F94,$A$5=公区维修!$G94,$BN$5=1),0,5-SUMPRODUCT(--(($A$1:$A$5=公区维修!$F94)+($A$1:$A$5=公区维修!$G94)+$BN$1:$BN$5&gt;0)))</f>
        <v>4</v>
      </c>
      <c r="AY94" s="0" t="str">
        <f aca="false">IFERROR(INDEX($A$1:$A$5,MATCH(1,$AS94:$AW94,0)),IF(1=MAX($AS94:$AW94)+1,"取消",""))</f>
        <v>李师傅</v>
      </c>
      <c r="AZ94" s="0" t="str">
        <f aca="false">IFERROR(INDEX($A$1:$A$5,MATCH(2,$AS94:$AW94,0)),IF(2=MAX($AS94:$AW94)+1,"取消",""))</f>
        <v>王师傅</v>
      </c>
      <c r="BA94" s="0" t="str">
        <f aca="false">IFERROR(INDEX($A$1:$A$5,MATCH(3,$AS94:$AW94,0)),IF(3=MAX($AS94:$AW94)+1,"取消",""))</f>
        <v>陈师傅</v>
      </c>
      <c r="BB94" s="0" t="str">
        <f aca="false">IFERROR(INDEX($A$1:$A$5,MATCH(4,$AS94:$AW94,0)),IF(4=MAX($AS94:$AW94)+1,"取消",""))</f>
        <v>刘师傅</v>
      </c>
      <c r="BC94" s="0" t="str">
        <f aca="false">IFERROR(INDEX($A$1:$A$5,MATCH(5,$AS94:$AW94,0)),IF(5=MAX($AS94:$AW94)+1,"取消",""))</f>
        <v>取消</v>
      </c>
      <c r="BD94" s="0" t="str">
        <f aca="false">IFERROR(INDEX($A$1:$A$5,MATCH(6,$AS94:$AW94,0)),IF(6=MAX($AS94:$AW94)+1,"取消",""))</f>
        <v/>
      </c>
      <c r="FW94" s="0" t="str">
        <f aca="false">IF(AND(单元查询!$D$3&lt;&gt;"",IF(单元查询!$B$3="公区维修",公区维修!$E94&lt;&gt;"",入户维修!$E94&lt;&gt;""),IF(单元查询!$B$3="公区维修",公区维修!$C94,入户维修!$C94)=单元查询!$D$3,OR(单元查询!$F$3="",IF(单元查询!$B$3="公区维修",公区维修!$D94,入户维修!$D94)&amp;""=(单元查询!$F$3)&amp;"")),MAX($FW$4:$FW93)+1,"")</f>
        <v/>
      </c>
    </row>
    <row r="95" customFormat="false" ht="15" hidden="false" customHeight="true" outlineLevel="0" collapsed="false">
      <c r="F95" s="0" t="n">
        <f aca="false">IF(OR($A$1=入户维修!$F95,$BN$1=1),0,1-SUMPRODUCT(--(($A$1=入户维修!$F95)+$BN$1&gt;0)))</f>
        <v>0</v>
      </c>
      <c r="G95" s="0" t="n">
        <f aca="false">IF(OR($A$2=入户维修!$F95,$BN$2=1),0,2-SUMPRODUCT(--(($A$1:$A$2=入户维修!$F95)+$BN$1:$BN$2&gt;0)))</f>
        <v>1</v>
      </c>
      <c r="H95" s="0" t="n">
        <f aca="false">IF(OR($A$3=入户维修!$F95,$BN$3=1),0,3-SUMPRODUCT(--(($A$1:$A$3=入户维修!$F95)+$BN$1:$BN$3&gt;0)))</f>
        <v>2</v>
      </c>
      <c r="I95" s="0" t="n">
        <f aca="false">IF(OR($A$4=入户维修!$F95,$BN$4=1),0,4-SUMPRODUCT(--(($A$1:$A$4=入户维修!$F95)+$BN$1:$BN$4&gt;0)))</f>
        <v>3</v>
      </c>
      <c r="J95" s="0" t="n">
        <f aca="false">IF(OR($A$5=入户维修!$F95,$BN$5=1),0,5-SUMPRODUCT(--(($A$1:$A$5=入户维修!$F95)+$BN$1:$BN$5&gt;0)))</f>
        <v>4</v>
      </c>
      <c r="L95" s="0" t="str">
        <f aca="false">IFERROR(INDEX($A$1:$A$5,MATCH(1,$F95:$J95,0)),IF(1=MAX($F95:$J95)+1,"取消",""))</f>
        <v>李师傅</v>
      </c>
      <c r="M95" s="0" t="str">
        <f aca="false">IFERROR(INDEX($A$1:$A$5,MATCH(2,$F95:$J95,0)),IF(2=MAX($F95:$J95)+1,"取消",""))</f>
        <v>王师傅</v>
      </c>
      <c r="N95" s="0" t="str">
        <f aca="false">IFERROR(INDEX($A$1:$A$5,MATCH(3,$F95:$J95,0)),IF(3=MAX($F95:$J95)+1,"取消",""))</f>
        <v>陈师傅</v>
      </c>
      <c r="O95" s="0" t="str">
        <f aca="false">IFERROR(INDEX($A$1:$A$5,MATCH(4,$F95:$J95,0)),IF(4=MAX($F95:$J95)+1,"取消",""))</f>
        <v>刘师傅</v>
      </c>
      <c r="P95" s="0" t="str">
        <f aca="false">IFERROR(INDEX($A$1:$A$5,MATCH(5,$F95:$J95,0)),IF(5=MAX($F95:$J95)+1,"取消",""))</f>
        <v>取消</v>
      </c>
      <c r="Q95" s="0" t="str">
        <f aca="false">IFERROR(INDEX($A$1:$A$5,MATCH(6,$F95:$J95,0)),IF(6=MAX($F95:$J95)+1,"取消",""))</f>
        <v/>
      </c>
      <c r="S95" s="0" t="n">
        <f aca="false">IF(OR($A$1=入户维修!$F95,$A$1=入户维修!$G95,$BN$1=1),0,1-SUMPRODUCT(--(($A$1=入户维修!$F95)+($A$1=入户维修!$G95)+$BN$1&gt;0)))</f>
        <v>0</v>
      </c>
      <c r="T95" s="0" t="n">
        <f aca="false">IF(OR($A$2=入户维修!$F95,$A$2=入户维修!$G95,$BN$2=1),0,2-SUMPRODUCT(--(($A$1:$A$2=入户维修!$F95)+($A$1:$A$2=入户维修!$G95)+$BN$1:$BN$2&gt;0)))</f>
        <v>1</v>
      </c>
      <c r="U95" s="0" t="n">
        <f aca="false">IF(OR($A$3=入户维修!$F95,$A$3=入户维修!$G95,$BN$3=1),0,3-SUMPRODUCT(--(($A$1:$A$3=入户维修!$F95)+($A$1:$A$3=入户维修!$G95)+$BN$1:$BN$3&gt;0)))</f>
        <v>2</v>
      </c>
      <c r="V95" s="0" t="n">
        <f aca="false">IF(OR($A$4=入户维修!$F95,$A$4=入户维修!$G95,$BN$4=1),0,4-SUMPRODUCT(--(($A$1:$A$4=入户维修!$F95)+($A$1:$A$4=入户维修!$G95)+$BN$1:$BN$4&gt;0)))</f>
        <v>3</v>
      </c>
      <c r="W95" s="0" t="n">
        <f aca="false">IF(OR($A$5=入户维修!$F95,$A$5=入户维修!$G95,$BN$5=1),0,5-SUMPRODUCT(--(($A$1:$A$5=入户维修!$F95)+($A$1:$A$5=入户维修!$G95)+$BN$1:$BN$5&gt;0)))</f>
        <v>4</v>
      </c>
      <c r="Y95" s="0" t="str">
        <f aca="false">IFERROR(INDEX($A$1:$A$5,MATCH(1,$S95:$W95,0)),IF(1=MAX($S95:$W95)+1,"取消",""))</f>
        <v>李师傅</v>
      </c>
      <c r="Z95" s="0" t="str">
        <f aca="false">IFERROR(INDEX($A$1:$A$5,MATCH(2,$S95:$W95,0)),IF(2=MAX($S95:$W95)+1,"取消",""))</f>
        <v>王师傅</v>
      </c>
      <c r="AA95" s="0" t="str">
        <f aca="false">IFERROR(INDEX($A$1:$A$5,MATCH(3,$S95:$W95,0)),IF(3=MAX($S95:$W95)+1,"取消",""))</f>
        <v>陈师傅</v>
      </c>
      <c r="AB95" s="0" t="str">
        <f aca="false">IFERROR(INDEX($A$1:$A$5,MATCH(4,$S95:$W95,0)),IF(4=MAX($S95:$W95)+1,"取消",""))</f>
        <v>刘师傅</v>
      </c>
      <c r="AC95" s="0" t="str">
        <f aca="false">IFERROR(INDEX($A$1:$A$5,MATCH(5,$S95:$W95,0)),IF(5=MAX($S95:$W95)+1,"取消",""))</f>
        <v>取消</v>
      </c>
      <c r="AD95" s="0" t="str">
        <f aca="false">IFERROR(INDEX($A$1:$A$5,MATCH(6,$S95:$W95,0)),IF(6=MAX($S95:$W95)+1,"取消",""))</f>
        <v/>
      </c>
      <c r="AF95" s="0" t="n">
        <f aca="false">IF(OR($A$1=公区维修!$F95,$BN$1=1),0,1-SUMPRODUCT(--(($A$1=公区维修!$F95)+$BN$1&gt;0)))</f>
        <v>0</v>
      </c>
      <c r="AG95" s="0" t="n">
        <f aca="false">IF(OR($A$2=公区维修!$F95,$BN$2=1),0,2-SUMPRODUCT(--(($A$1:$A$2=公区维修!$F95)+$BN$1:$BN$2&gt;0)))</f>
        <v>1</v>
      </c>
      <c r="AH95" s="0" t="n">
        <f aca="false">IF(OR($A$3=公区维修!$F95,$BN$3=1),0,3-SUMPRODUCT(--(($A$1:$A$3=公区维修!$F95)+$BN$1:$BN$3&gt;0)))</f>
        <v>2</v>
      </c>
      <c r="AI95" s="0" t="n">
        <f aca="false">IF(OR($A$4=公区维修!$F95,$BN$4=1),0,4-SUMPRODUCT(--(($A$1:$A$4=公区维修!$F95)+$BN$1:$BN$4&gt;0)))</f>
        <v>3</v>
      </c>
      <c r="AJ95" s="0" t="n">
        <f aca="false">IF(OR($A$5=公区维修!$F95,$BN$5=1),0,5-SUMPRODUCT(--(($A$1:$A$5=公区维修!$F95)+$BN$1:$BN$5&gt;0)))</f>
        <v>4</v>
      </c>
      <c r="AL95" s="0" t="str">
        <f aca="false">IFERROR(INDEX($A$1:$A$5,MATCH(1,$AF95:$AJ95,0)),IF(1=MAX($AF95:$AJ95)+1,"取消",""))</f>
        <v>李师傅</v>
      </c>
      <c r="AM95" s="0" t="str">
        <f aca="false">IFERROR(INDEX($A$1:$A$5,MATCH(2,$AF95:$AJ95,0)),IF(2=MAX($AF95:$AJ95)+1,"取消",""))</f>
        <v>王师傅</v>
      </c>
      <c r="AN95" s="0" t="str">
        <f aca="false">IFERROR(INDEX($A$1:$A$5,MATCH(3,$AF95:$AJ95,0)),IF(3=MAX($AF95:$AJ95)+1,"取消",""))</f>
        <v>陈师傅</v>
      </c>
      <c r="AO95" s="0" t="str">
        <f aca="false">IFERROR(INDEX($A$1:$A$5,MATCH(4,$AF95:$AJ95,0)),IF(4=MAX($AF95:$AJ95)+1,"取消",""))</f>
        <v>刘师傅</v>
      </c>
      <c r="AP95" s="0" t="str">
        <f aca="false">IFERROR(INDEX($A$1:$A$5,MATCH(5,$AF95:$AJ95,0)),IF(5=MAX($AF95:$AJ95)+1,"取消",""))</f>
        <v>取消</v>
      </c>
      <c r="AQ95" s="0" t="str">
        <f aca="false">IFERROR(INDEX($A$1:$A$5,MATCH(6,$AF95:$AJ95,0)),IF(6=MAX($AF95:$AJ95)+1,"取消",""))</f>
        <v/>
      </c>
      <c r="AS95" s="0" t="n">
        <f aca="false">IF(OR($A$1=公区维修!$F95,$A$1=公区维修!$G95,$BN$1=1),0,1-SUMPRODUCT(--(($A$1=公区维修!$F95)+($A$1=公区维修!$G95)+$BN$1&gt;0)))</f>
        <v>0</v>
      </c>
      <c r="AT95" s="0" t="n">
        <f aca="false">IF(OR($A$2=公区维修!$F95,$A$2=公区维修!$G95,$BN$2=1),0,2-SUMPRODUCT(--(($A$1:$A$2=公区维修!$F95)+($A$1:$A$2=公区维修!$G95)+$BN$1:$BN$2&gt;0)))</f>
        <v>1</v>
      </c>
      <c r="AU95" s="0" t="n">
        <f aca="false">IF(OR($A$3=公区维修!$F95,$A$3=公区维修!$G95,$BN$3=1),0,3-SUMPRODUCT(--(($A$1:$A$3=公区维修!$F95)+($A$1:$A$3=公区维修!$G95)+$BN$1:$BN$3&gt;0)))</f>
        <v>2</v>
      </c>
      <c r="AV95" s="0" t="n">
        <f aca="false">IF(OR($A$4=公区维修!$F95,$A$4=公区维修!$G95,$BN$4=1),0,4-SUMPRODUCT(--(($A$1:$A$4=公区维修!$F95)+($A$1:$A$4=公区维修!$G95)+$BN$1:$BN$4&gt;0)))</f>
        <v>3</v>
      </c>
      <c r="AW95" s="0" t="n">
        <f aca="false">IF(OR($A$5=公区维修!$F95,$A$5=公区维修!$G95,$BN$5=1),0,5-SUMPRODUCT(--(($A$1:$A$5=公区维修!$F95)+($A$1:$A$5=公区维修!$G95)+$BN$1:$BN$5&gt;0)))</f>
        <v>4</v>
      </c>
      <c r="AY95" s="0" t="str">
        <f aca="false">IFERROR(INDEX($A$1:$A$5,MATCH(1,$AS95:$AW95,0)),IF(1=MAX($AS95:$AW95)+1,"取消",""))</f>
        <v>李师傅</v>
      </c>
      <c r="AZ95" s="0" t="str">
        <f aca="false">IFERROR(INDEX($A$1:$A$5,MATCH(2,$AS95:$AW95,0)),IF(2=MAX($AS95:$AW95)+1,"取消",""))</f>
        <v>王师傅</v>
      </c>
      <c r="BA95" s="0" t="str">
        <f aca="false">IFERROR(INDEX($A$1:$A$5,MATCH(3,$AS95:$AW95,0)),IF(3=MAX($AS95:$AW95)+1,"取消",""))</f>
        <v>陈师傅</v>
      </c>
      <c r="BB95" s="0" t="str">
        <f aca="false">IFERROR(INDEX($A$1:$A$5,MATCH(4,$AS95:$AW95,0)),IF(4=MAX($AS95:$AW95)+1,"取消",""))</f>
        <v>刘师傅</v>
      </c>
      <c r="BC95" s="0" t="str">
        <f aca="false">IFERROR(INDEX($A$1:$A$5,MATCH(5,$AS95:$AW95,0)),IF(5=MAX($AS95:$AW95)+1,"取消",""))</f>
        <v>取消</v>
      </c>
      <c r="BD95" s="0" t="str">
        <f aca="false">IFERROR(INDEX($A$1:$A$5,MATCH(6,$AS95:$AW95,0)),IF(6=MAX($AS95:$AW95)+1,"取消",""))</f>
        <v/>
      </c>
      <c r="FW95" s="0" t="str">
        <f aca="false">IF(AND(单元查询!$D$3&lt;&gt;"",IF(单元查询!$B$3="公区维修",公区维修!$E95&lt;&gt;"",入户维修!$E95&lt;&gt;""),IF(单元查询!$B$3="公区维修",公区维修!$C95,入户维修!$C95)=单元查询!$D$3,OR(单元查询!$F$3="",IF(单元查询!$B$3="公区维修",公区维修!$D95,入户维修!$D95)&amp;""=(单元查询!$F$3)&amp;"")),MAX($FW$4:$FW94)+1,"")</f>
        <v/>
      </c>
    </row>
    <row r="96" customFormat="false" ht="15" hidden="false" customHeight="true" outlineLevel="0" collapsed="false">
      <c r="F96" s="0" t="n">
        <f aca="false">IF(OR($A$1=入户维修!$F96,$BN$1=1),0,1-SUMPRODUCT(--(($A$1=入户维修!$F96)+$BN$1&gt;0)))</f>
        <v>0</v>
      </c>
      <c r="G96" s="0" t="n">
        <f aca="false">IF(OR($A$2=入户维修!$F96,$BN$2=1),0,2-SUMPRODUCT(--(($A$1:$A$2=入户维修!$F96)+$BN$1:$BN$2&gt;0)))</f>
        <v>0</v>
      </c>
      <c r="H96" s="0" t="n">
        <f aca="false">IF(OR($A$3=入户维修!$F96,$BN$3=1),0,3-SUMPRODUCT(--(($A$1:$A$3=入户维修!$F96)+$BN$1:$BN$3&gt;0)))</f>
        <v>1</v>
      </c>
      <c r="I96" s="0" t="n">
        <f aca="false">IF(OR($A$4=入户维修!$F96,$BN$4=1),0,4-SUMPRODUCT(--(($A$1:$A$4=入户维修!$F96)+$BN$1:$BN$4&gt;0)))</f>
        <v>2</v>
      </c>
      <c r="J96" s="0" t="n">
        <f aca="false">IF(OR($A$5=入户维修!$F96,$BN$5=1),0,5-SUMPRODUCT(--(($A$1:$A$5=入户维修!$F96)+$BN$1:$BN$5&gt;0)))</f>
        <v>3</v>
      </c>
      <c r="L96" s="0" t="str">
        <f aca="false">IFERROR(INDEX($A$1:$A$5,MATCH(1,$F96:$J96,0)),IF(1=MAX($F96:$J96)+1,"取消",""))</f>
        <v>王师傅</v>
      </c>
      <c r="M96" s="0" t="str">
        <f aca="false">IFERROR(INDEX($A$1:$A$5,MATCH(2,$F96:$J96,0)),IF(2=MAX($F96:$J96)+1,"取消",""))</f>
        <v>陈师傅</v>
      </c>
      <c r="N96" s="0" t="str">
        <f aca="false">IFERROR(INDEX($A$1:$A$5,MATCH(3,$F96:$J96,0)),IF(3=MAX($F96:$J96)+1,"取消",""))</f>
        <v>刘师傅</v>
      </c>
      <c r="O96" s="0" t="str">
        <f aca="false">IFERROR(INDEX($A$1:$A$5,MATCH(4,$F96:$J96,0)),IF(4=MAX($F96:$J96)+1,"取消",""))</f>
        <v>取消</v>
      </c>
      <c r="P96" s="0" t="str">
        <f aca="false">IFERROR(INDEX($A$1:$A$5,MATCH(5,$F96:$J96,0)),IF(5=MAX($F96:$J96)+1,"取消",""))</f>
        <v/>
      </c>
      <c r="Q96" s="0" t="str">
        <f aca="false">IFERROR(INDEX($A$1:$A$5,MATCH(6,$F96:$J96,0)),IF(6=MAX($F96:$J96)+1,"取消",""))</f>
        <v/>
      </c>
      <c r="S96" s="0" t="n">
        <f aca="false">IF(OR($A$1=入户维修!$F96,$A$1=入户维修!$G96,$BN$1=1),0,1-SUMPRODUCT(--(($A$1=入户维修!$F96)+($A$1=入户维修!$G96)+$BN$1&gt;0)))</f>
        <v>0</v>
      </c>
      <c r="T96" s="0" t="n">
        <f aca="false">IF(OR($A$2=入户维修!$F96,$A$2=入户维修!$G96,$BN$2=1),0,2-SUMPRODUCT(--(($A$1:$A$2=入户维修!$F96)+($A$1:$A$2=入户维修!$G96)+$BN$1:$BN$2&gt;0)))</f>
        <v>0</v>
      </c>
      <c r="U96" s="0" t="n">
        <f aca="false">IF(OR($A$3=入户维修!$F96,$A$3=入户维修!$G96,$BN$3=1),0,3-SUMPRODUCT(--(($A$1:$A$3=入户维修!$F96)+($A$1:$A$3=入户维修!$G96)+$BN$1:$BN$3&gt;0)))</f>
        <v>1</v>
      </c>
      <c r="V96" s="0" t="n">
        <f aca="false">IF(OR($A$4=入户维修!$F96,$A$4=入户维修!$G96,$BN$4=1),0,4-SUMPRODUCT(--(($A$1:$A$4=入户维修!$F96)+($A$1:$A$4=入户维修!$G96)+$BN$1:$BN$4&gt;0)))</f>
        <v>2</v>
      </c>
      <c r="W96" s="0" t="n">
        <f aca="false">IF(OR($A$5=入户维修!$F96,$A$5=入户维修!$G96,$BN$5=1),0,5-SUMPRODUCT(--(($A$1:$A$5=入户维修!$F96)+($A$1:$A$5=入户维修!$G96)+$BN$1:$BN$5&gt;0)))</f>
        <v>3</v>
      </c>
      <c r="Y96" s="0" t="str">
        <f aca="false">IFERROR(INDEX($A$1:$A$5,MATCH(1,$S96:$W96,0)),IF(1=MAX($S96:$W96)+1,"取消",""))</f>
        <v>王师傅</v>
      </c>
      <c r="Z96" s="0" t="str">
        <f aca="false">IFERROR(INDEX($A$1:$A$5,MATCH(2,$S96:$W96,0)),IF(2=MAX($S96:$W96)+1,"取消",""))</f>
        <v>陈师傅</v>
      </c>
      <c r="AA96" s="0" t="str">
        <f aca="false">IFERROR(INDEX($A$1:$A$5,MATCH(3,$S96:$W96,0)),IF(3=MAX($S96:$W96)+1,"取消",""))</f>
        <v>刘师傅</v>
      </c>
      <c r="AB96" s="0" t="str">
        <f aca="false">IFERROR(INDEX($A$1:$A$5,MATCH(4,$S96:$W96,0)),IF(4=MAX($S96:$W96)+1,"取消",""))</f>
        <v>取消</v>
      </c>
      <c r="AC96" s="0" t="str">
        <f aca="false">IFERROR(INDEX($A$1:$A$5,MATCH(5,$S96:$W96,0)),IF(5=MAX($S96:$W96)+1,"取消",""))</f>
        <v/>
      </c>
      <c r="AD96" s="0" t="str">
        <f aca="false">IFERROR(INDEX($A$1:$A$5,MATCH(6,$S96:$W96,0)),IF(6=MAX($S96:$W96)+1,"取消",""))</f>
        <v/>
      </c>
      <c r="AF96" s="0" t="n">
        <f aca="false">IF(OR($A$1=公区维修!$F96,$BN$1=1),0,1-SUMPRODUCT(--(($A$1=公区维修!$F96)+$BN$1&gt;0)))</f>
        <v>0</v>
      </c>
      <c r="AG96" s="0" t="n">
        <f aca="false">IF(OR($A$2=公区维修!$F96,$BN$2=1),0,2-SUMPRODUCT(--(($A$1:$A$2=公区维修!$F96)+$BN$1:$BN$2&gt;0)))</f>
        <v>1</v>
      </c>
      <c r="AH96" s="0" t="n">
        <f aca="false">IF(OR($A$3=公区维修!$F96,$BN$3=1),0,3-SUMPRODUCT(--(($A$1:$A$3=公区维修!$F96)+$BN$1:$BN$3&gt;0)))</f>
        <v>2</v>
      </c>
      <c r="AI96" s="0" t="n">
        <f aca="false">IF(OR($A$4=公区维修!$F96,$BN$4=1),0,4-SUMPRODUCT(--(($A$1:$A$4=公区维修!$F96)+$BN$1:$BN$4&gt;0)))</f>
        <v>3</v>
      </c>
      <c r="AJ96" s="0" t="n">
        <f aca="false">IF(OR($A$5=公区维修!$F96,$BN$5=1),0,5-SUMPRODUCT(--(($A$1:$A$5=公区维修!$F96)+$BN$1:$BN$5&gt;0)))</f>
        <v>4</v>
      </c>
      <c r="AL96" s="0" t="str">
        <f aca="false">IFERROR(INDEX($A$1:$A$5,MATCH(1,$AF96:$AJ96,0)),IF(1=MAX($AF96:$AJ96)+1,"取消",""))</f>
        <v>李师傅</v>
      </c>
      <c r="AM96" s="0" t="str">
        <f aca="false">IFERROR(INDEX($A$1:$A$5,MATCH(2,$AF96:$AJ96,0)),IF(2=MAX($AF96:$AJ96)+1,"取消",""))</f>
        <v>王师傅</v>
      </c>
      <c r="AN96" s="0" t="str">
        <f aca="false">IFERROR(INDEX($A$1:$A$5,MATCH(3,$AF96:$AJ96,0)),IF(3=MAX($AF96:$AJ96)+1,"取消",""))</f>
        <v>陈师傅</v>
      </c>
      <c r="AO96" s="0" t="str">
        <f aca="false">IFERROR(INDEX($A$1:$A$5,MATCH(4,$AF96:$AJ96,0)),IF(4=MAX($AF96:$AJ96)+1,"取消",""))</f>
        <v>刘师傅</v>
      </c>
      <c r="AP96" s="0" t="str">
        <f aca="false">IFERROR(INDEX($A$1:$A$5,MATCH(5,$AF96:$AJ96,0)),IF(5=MAX($AF96:$AJ96)+1,"取消",""))</f>
        <v>取消</v>
      </c>
      <c r="AQ96" s="0" t="str">
        <f aca="false">IFERROR(INDEX($A$1:$A$5,MATCH(6,$AF96:$AJ96,0)),IF(6=MAX($AF96:$AJ96)+1,"取消",""))</f>
        <v/>
      </c>
      <c r="AS96" s="0" t="n">
        <f aca="false">IF(OR($A$1=公区维修!$F96,$A$1=公区维修!$G96,$BN$1=1),0,1-SUMPRODUCT(--(($A$1=公区维修!$F96)+($A$1=公区维修!$G96)+$BN$1&gt;0)))</f>
        <v>0</v>
      </c>
      <c r="AT96" s="0" t="n">
        <f aca="false">IF(OR($A$2=公区维修!$F96,$A$2=公区维修!$G96,$BN$2=1),0,2-SUMPRODUCT(--(($A$1:$A$2=公区维修!$F96)+($A$1:$A$2=公区维修!$G96)+$BN$1:$BN$2&gt;0)))</f>
        <v>1</v>
      </c>
      <c r="AU96" s="0" t="n">
        <f aca="false">IF(OR($A$3=公区维修!$F96,$A$3=公区维修!$G96,$BN$3=1),0,3-SUMPRODUCT(--(($A$1:$A$3=公区维修!$F96)+($A$1:$A$3=公区维修!$G96)+$BN$1:$BN$3&gt;0)))</f>
        <v>2</v>
      </c>
      <c r="AV96" s="0" t="n">
        <f aca="false">IF(OR($A$4=公区维修!$F96,$A$4=公区维修!$G96,$BN$4=1),0,4-SUMPRODUCT(--(($A$1:$A$4=公区维修!$F96)+($A$1:$A$4=公区维修!$G96)+$BN$1:$BN$4&gt;0)))</f>
        <v>3</v>
      </c>
      <c r="AW96" s="0" t="n">
        <f aca="false">IF(OR($A$5=公区维修!$F96,$A$5=公区维修!$G96,$BN$5=1),0,5-SUMPRODUCT(--(($A$1:$A$5=公区维修!$F96)+($A$1:$A$5=公区维修!$G96)+$BN$1:$BN$5&gt;0)))</f>
        <v>4</v>
      </c>
      <c r="AY96" s="0" t="str">
        <f aca="false">IFERROR(INDEX($A$1:$A$5,MATCH(1,$AS96:$AW96,0)),IF(1=MAX($AS96:$AW96)+1,"取消",""))</f>
        <v>李师傅</v>
      </c>
      <c r="AZ96" s="0" t="str">
        <f aca="false">IFERROR(INDEX($A$1:$A$5,MATCH(2,$AS96:$AW96,0)),IF(2=MAX($AS96:$AW96)+1,"取消",""))</f>
        <v>王师傅</v>
      </c>
      <c r="BA96" s="0" t="str">
        <f aca="false">IFERROR(INDEX($A$1:$A$5,MATCH(3,$AS96:$AW96,0)),IF(3=MAX($AS96:$AW96)+1,"取消",""))</f>
        <v>陈师傅</v>
      </c>
      <c r="BB96" s="0" t="str">
        <f aca="false">IFERROR(INDEX($A$1:$A$5,MATCH(4,$AS96:$AW96,0)),IF(4=MAX($AS96:$AW96)+1,"取消",""))</f>
        <v>刘师傅</v>
      </c>
      <c r="BC96" s="0" t="str">
        <f aca="false">IFERROR(INDEX($A$1:$A$5,MATCH(5,$AS96:$AW96,0)),IF(5=MAX($AS96:$AW96)+1,"取消",""))</f>
        <v>取消</v>
      </c>
      <c r="BD96" s="0" t="str">
        <f aca="false">IFERROR(INDEX($A$1:$A$5,MATCH(6,$AS96:$AW96,0)),IF(6=MAX($AS96:$AW96)+1,"取消",""))</f>
        <v/>
      </c>
      <c r="FW96" s="0" t="str">
        <f aca="false">IF(AND(单元查询!$D$3&lt;&gt;"",IF(单元查询!$B$3="公区维修",公区维修!$E96&lt;&gt;"",入户维修!$E96&lt;&gt;""),IF(单元查询!$B$3="公区维修",公区维修!$C96,入户维修!$C96)=单元查询!$D$3,OR(单元查询!$F$3="",IF(单元查询!$B$3="公区维修",公区维修!$D96,入户维修!$D96)&amp;""=(单元查询!$F$3)&amp;"")),MAX($FW$4:$FW95)+1,"")</f>
        <v/>
      </c>
    </row>
    <row r="97" customFormat="false" ht="15" hidden="false" customHeight="true" outlineLevel="0" collapsed="false">
      <c r="F97" s="0" t="n">
        <f aca="false">IF(OR($A$1=入户维修!$F97,$BN$1=1),0,1-SUMPRODUCT(--(($A$1=入户维修!$F97)+$BN$1&gt;0)))</f>
        <v>0</v>
      </c>
      <c r="G97" s="0" t="n">
        <f aca="false">IF(OR($A$2=入户维修!$F97,$BN$2=1),0,2-SUMPRODUCT(--(($A$1:$A$2=入户维修!$F97)+$BN$1:$BN$2&gt;0)))</f>
        <v>1</v>
      </c>
      <c r="H97" s="0" t="n">
        <f aca="false">IF(OR($A$3=入户维修!$F97,$BN$3=1),0,3-SUMPRODUCT(--(($A$1:$A$3=入户维修!$F97)+$BN$1:$BN$3&gt;0)))</f>
        <v>0</v>
      </c>
      <c r="I97" s="0" t="n">
        <f aca="false">IF(OR($A$4=入户维修!$F97,$BN$4=1),0,4-SUMPRODUCT(--(($A$1:$A$4=入户维修!$F97)+$BN$1:$BN$4&gt;0)))</f>
        <v>2</v>
      </c>
      <c r="J97" s="0" t="n">
        <f aca="false">IF(OR($A$5=入户维修!$F97,$BN$5=1),0,5-SUMPRODUCT(--(($A$1:$A$5=入户维修!$F97)+$BN$1:$BN$5&gt;0)))</f>
        <v>3</v>
      </c>
      <c r="L97" s="0" t="str">
        <f aca="false">IFERROR(INDEX($A$1:$A$5,MATCH(1,$F97:$J97,0)),IF(1=MAX($F97:$J97)+1,"取消",""))</f>
        <v>李师傅</v>
      </c>
      <c r="M97" s="0" t="str">
        <f aca="false">IFERROR(INDEX($A$1:$A$5,MATCH(2,$F97:$J97,0)),IF(2=MAX($F97:$J97)+1,"取消",""))</f>
        <v>陈师傅</v>
      </c>
      <c r="N97" s="0" t="str">
        <f aca="false">IFERROR(INDEX($A$1:$A$5,MATCH(3,$F97:$J97,0)),IF(3=MAX($F97:$J97)+1,"取消",""))</f>
        <v>刘师傅</v>
      </c>
      <c r="O97" s="0" t="str">
        <f aca="false">IFERROR(INDEX($A$1:$A$5,MATCH(4,$F97:$J97,0)),IF(4=MAX($F97:$J97)+1,"取消",""))</f>
        <v>取消</v>
      </c>
      <c r="P97" s="0" t="str">
        <f aca="false">IFERROR(INDEX($A$1:$A$5,MATCH(5,$F97:$J97,0)),IF(5=MAX($F97:$J97)+1,"取消",""))</f>
        <v/>
      </c>
      <c r="Q97" s="0" t="str">
        <f aca="false">IFERROR(INDEX($A$1:$A$5,MATCH(6,$F97:$J97,0)),IF(6=MAX($F97:$J97)+1,"取消",""))</f>
        <v/>
      </c>
      <c r="S97" s="0" t="n">
        <f aca="false">IF(OR($A$1=入户维修!$F97,$A$1=入户维修!$G97,$BN$1=1),0,1-SUMPRODUCT(--(($A$1=入户维修!$F97)+($A$1=入户维修!$G97)+$BN$1&gt;0)))</f>
        <v>0</v>
      </c>
      <c r="T97" s="0" t="n">
        <f aca="false">IF(OR($A$2=入户维修!$F97,$A$2=入户维修!$G97,$BN$2=1),0,2-SUMPRODUCT(--(($A$1:$A$2=入户维修!$F97)+($A$1:$A$2=入户维修!$G97)+$BN$1:$BN$2&gt;0)))</f>
        <v>1</v>
      </c>
      <c r="U97" s="0" t="n">
        <f aca="false">IF(OR($A$3=入户维修!$F97,$A$3=入户维修!$G97,$BN$3=1),0,3-SUMPRODUCT(--(($A$1:$A$3=入户维修!$F97)+($A$1:$A$3=入户维修!$G97)+$BN$1:$BN$3&gt;0)))</f>
        <v>0</v>
      </c>
      <c r="V97" s="0" t="n">
        <f aca="false">IF(OR($A$4=入户维修!$F97,$A$4=入户维修!$G97,$BN$4=1),0,4-SUMPRODUCT(--(($A$1:$A$4=入户维修!$F97)+($A$1:$A$4=入户维修!$G97)+$BN$1:$BN$4&gt;0)))</f>
        <v>2</v>
      </c>
      <c r="W97" s="0" t="n">
        <f aca="false">IF(OR($A$5=入户维修!$F97,$A$5=入户维修!$G97,$BN$5=1),0,5-SUMPRODUCT(--(($A$1:$A$5=入户维修!$F97)+($A$1:$A$5=入户维修!$G97)+$BN$1:$BN$5&gt;0)))</f>
        <v>3</v>
      </c>
      <c r="Y97" s="0" t="str">
        <f aca="false">IFERROR(INDEX($A$1:$A$5,MATCH(1,$S97:$W97,0)),IF(1=MAX($S97:$W97)+1,"取消",""))</f>
        <v>李师傅</v>
      </c>
      <c r="Z97" s="0" t="str">
        <f aca="false">IFERROR(INDEX($A$1:$A$5,MATCH(2,$S97:$W97,0)),IF(2=MAX($S97:$W97)+1,"取消",""))</f>
        <v>陈师傅</v>
      </c>
      <c r="AA97" s="0" t="str">
        <f aca="false">IFERROR(INDEX($A$1:$A$5,MATCH(3,$S97:$W97,0)),IF(3=MAX($S97:$W97)+1,"取消",""))</f>
        <v>刘师傅</v>
      </c>
      <c r="AB97" s="0" t="str">
        <f aca="false">IFERROR(INDEX($A$1:$A$5,MATCH(4,$S97:$W97,0)),IF(4=MAX($S97:$W97)+1,"取消",""))</f>
        <v>取消</v>
      </c>
      <c r="AC97" s="0" t="str">
        <f aca="false">IFERROR(INDEX($A$1:$A$5,MATCH(5,$S97:$W97,0)),IF(5=MAX($S97:$W97)+1,"取消",""))</f>
        <v/>
      </c>
      <c r="AD97" s="0" t="str">
        <f aca="false">IFERROR(INDEX($A$1:$A$5,MATCH(6,$S97:$W97,0)),IF(6=MAX($S97:$W97)+1,"取消",""))</f>
        <v/>
      </c>
      <c r="AF97" s="0" t="n">
        <f aca="false">IF(OR($A$1=公区维修!$F97,$BN$1=1),0,1-SUMPRODUCT(--(($A$1=公区维修!$F97)+$BN$1&gt;0)))</f>
        <v>0</v>
      </c>
      <c r="AG97" s="0" t="n">
        <f aca="false">IF(OR($A$2=公区维修!$F97,$BN$2=1),0,2-SUMPRODUCT(--(($A$1:$A$2=公区维修!$F97)+$BN$1:$BN$2&gt;0)))</f>
        <v>1</v>
      </c>
      <c r="AH97" s="0" t="n">
        <f aca="false">IF(OR($A$3=公区维修!$F97,$BN$3=1),0,3-SUMPRODUCT(--(($A$1:$A$3=公区维修!$F97)+$BN$1:$BN$3&gt;0)))</f>
        <v>2</v>
      </c>
      <c r="AI97" s="0" t="n">
        <f aca="false">IF(OR($A$4=公区维修!$F97,$BN$4=1),0,4-SUMPRODUCT(--(($A$1:$A$4=公区维修!$F97)+$BN$1:$BN$4&gt;0)))</f>
        <v>3</v>
      </c>
      <c r="AJ97" s="0" t="n">
        <f aca="false">IF(OR($A$5=公区维修!$F97,$BN$5=1),0,5-SUMPRODUCT(--(($A$1:$A$5=公区维修!$F97)+$BN$1:$BN$5&gt;0)))</f>
        <v>4</v>
      </c>
      <c r="AL97" s="0" t="str">
        <f aca="false">IFERROR(INDEX($A$1:$A$5,MATCH(1,$AF97:$AJ97,0)),IF(1=MAX($AF97:$AJ97)+1,"取消",""))</f>
        <v>李师傅</v>
      </c>
      <c r="AM97" s="0" t="str">
        <f aca="false">IFERROR(INDEX($A$1:$A$5,MATCH(2,$AF97:$AJ97,0)),IF(2=MAX($AF97:$AJ97)+1,"取消",""))</f>
        <v>王师傅</v>
      </c>
      <c r="AN97" s="0" t="str">
        <f aca="false">IFERROR(INDEX($A$1:$A$5,MATCH(3,$AF97:$AJ97,0)),IF(3=MAX($AF97:$AJ97)+1,"取消",""))</f>
        <v>陈师傅</v>
      </c>
      <c r="AO97" s="0" t="str">
        <f aca="false">IFERROR(INDEX($A$1:$A$5,MATCH(4,$AF97:$AJ97,0)),IF(4=MAX($AF97:$AJ97)+1,"取消",""))</f>
        <v>刘师傅</v>
      </c>
      <c r="AP97" s="0" t="str">
        <f aca="false">IFERROR(INDEX($A$1:$A$5,MATCH(5,$AF97:$AJ97,0)),IF(5=MAX($AF97:$AJ97)+1,"取消",""))</f>
        <v>取消</v>
      </c>
      <c r="AQ97" s="0" t="str">
        <f aca="false">IFERROR(INDEX($A$1:$A$5,MATCH(6,$AF97:$AJ97,0)),IF(6=MAX($AF97:$AJ97)+1,"取消",""))</f>
        <v/>
      </c>
      <c r="AS97" s="0" t="n">
        <f aca="false">IF(OR($A$1=公区维修!$F97,$A$1=公区维修!$G97,$BN$1=1),0,1-SUMPRODUCT(--(($A$1=公区维修!$F97)+($A$1=公区维修!$G97)+$BN$1&gt;0)))</f>
        <v>0</v>
      </c>
      <c r="AT97" s="0" t="n">
        <f aca="false">IF(OR($A$2=公区维修!$F97,$A$2=公区维修!$G97,$BN$2=1),0,2-SUMPRODUCT(--(($A$1:$A$2=公区维修!$F97)+($A$1:$A$2=公区维修!$G97)+$BN$1:$BN$2&gt;0)))</f>
        <v>1</v>
      </c>
      <c r="AU97" s="0" t="n">
        <f aca="false">IF(OR($A$3=公区维修!$F97,$A$3=公区维修!$G97,$BN$3=1),0,3-SUMPRODUCT(--(($A$1:$A$3=公区维修!$F97)+($A$1:$A$3=公区维修!$G97)+$BN$1:$BN$3&gt;0)))</f>
        <v>2</v>
      </c>
      <c r="AV97" s="0" t="n">
        <f aca="false">IF(OR($A$4=公区维修!$F97,$A$4=公区维修!$G97,$BN$4=1),0,4-SUMPRODUCT(--(($A$1:$A$4=公区维修!$F97)+($A$1:$A$4=公区维修!$G97)+$BN$1:$BN$4&gt;0)))</f>
        <v>3</v>
      </c>
      <c r="AW97" s="0" t="n">
        <f aca="false">IF(OR($A$5=公区维修!$F97,$A$5=公区维修!$G97,$BN$5=1),0,5-SUMPRODUCT(--(($A$1:$A$5=公区维修!$F97)+($A$1:$A$5=公区维修!$G97)+$BN$1:$BN$5&gt;0)))</f>
        <v>4</v>
      </c>
      <c r="AY97" s="0" t="str">
        <f aca="false">IFERROR(INDEX($A$1:$A$5,MATCH(1,$AS97:$AW97,0)),IF(1=MAX($AS97:$AW97)+1,"取消",""))</f>
        <v>李师傅</v>
      </c>
      <c r="AZ97" s="0" t="str">
        <f aca="false">IFERROR(INDEX($A$1:$A$5,MATCH(2,$AS97:$AW97,0)),IF(2=MAX($AS97:$AW97)+1,"取消",""))</f>
        <v>王师傅</v>
      </c>
      <c r="BA97" s="0" t="str">
        <f aca="false">IFERROR(INDEX($A$1:$A$5,MATCH(3,$AS97:$AW97,0)),IF(3=MAX($AS97:$AW97)+1,"取消",""))</f>
        <v>陈师傅</v>
      </c>
      <c r="BB97" s="0" t="str">
        <f aca="false">IFERROR(INDEX($A$1:$A$5,MATCH(4,$AS97:$AW97,0)),IF(4=MAX($AS97:$AW97)+1,"取消",""))</f>
        <v>刘师傅</v>
      </c>
      <c r="BC97" s="0" t="str">
        <f aca="false">IFERROR(INDEX($A$1:$A$5,MATCH(5,$AS97:$AW97,0)),IF(5=MAX($AS97:$AW97)+1,"取消",""))</f>
        <v>取消</v>
      </c>
      <c r="BD97" s="0" t="str">
        <f aca="false">IFERROR(INDEX($A$1:$A$5,MATCH(6,$AS97:$AW97,0)),IF(6=MAX($AS97:$AW97)+1,"取消",""))</f>
        <v/>
      </c>
      <c r="FW97" s="0" t="str">
        <f aca="false">IF(AND(单元查询!$D$3&lt;&gt;"",IF(单元查询!$B$3="公区维修",公区维修!$E97&lt;&gt;"",入户维修!$E97&lt;&gt;""),IF(单元查询!$B$3="公区维修",公区维修!$C97,入户维修!$C97)=单元查询!$D$3,OR(单元查询!$F$3="",IF(单元查询!$B$3="公区维修",公区维修!$D97,入户维修!$D97)&amp;""=(单元查询!$F$3)&amp;"")),MAX($FW$4:$FW96)+1,"")</f>
        <v/>
      </c>
    </row>
    <row r="98" customFormat="false" ht="15" hidden="false" customHeight="true" outlineLevel="0" collapsed="false">
      <c r="F98" s="0" t="n">
        <f aca="false">IF(OR($A$1=入户维修!$F98,$BN$1=1),0,1-SUMPRODUCT(--(($A$1=入户维修!$F98)+$BN$1&gt;0)))</f>
        <v>0</v>
      </c>
      <c r="G98" s="0" t="n">
        <f aca="false">IF(OR($A$2=入户维修!$F98,$BN$2=1),0,2-SUMPRODUCT(--(($A$1:$A$2=入户维修!$F98)+$BN$1:$BN$2&gt;0)))</f>
        <v>1</v>
      </c>
      <c r="H98" s="0" t="n">
        <f aca="false">IF(OR($A$3=入户维修!$F98,$BN$3=1),0,3-SUMPRODUCT(--(($A$1:$A$3=入户维修!$F98)+$BN$1:$BN$3&gt;0)))</f>
        <v>2</v>
      </c>
      <c r="I98" s="0" t="n">
        <f aca="false">IF(OR($A$4=入户维修!$F98,$BN$4=1),0,4-SUMPRODUCT(--(($A$1:$A$4=入户维修!$F98)+$BN$1:$BN$4&gt;0)))</f>
        <v>3</v>
      </c>
      <c r="J98" s="0" t="n">
        <f aca="false">IF(OR($A$5=入户维修!$F98,$BN$5=1),0,5-SUMPRODUCT(--(($A$1:$A$5=入户维修!$F98)+$BN$1:$BN$5&gt;0)))</f>
        <v>4</v>
      </c>
      <c r="L98" s="0" t="str">
        <f aca="false">IFERROR(INDEX($A$1:$A$5,MATCH(1,$F98:$J98,0)),IF(1=MAX($F98:$J98)+1,"取消",""))</f>
        <v>李师傅</v>
      </c>
      <c r="M98" s="0" t="str">
        <f aca="false">IFERROR(INDEX($A$1:$A$5,MATCH(2,$F98:$J98,0)),IF(2=MAX($F98:$J98)+1,"取消",""))</f>
        <v>王师傅</v>
      </c>
      <c r="N98" s="0" t="str">
        <f aca="false">IFERROR(INDEX($A$1:$A$5,MATCH(3,$F98:$J98,0)),IF(3=MAX($F98:$J98)+1,"取消",""))</f>
        <v>陈师傅</v>
      </c>
      <c r="O98" s="0" t="str">
        <f aca="false">IFERROR(INDEX($A$1:$A$5,MATCH(4,$F98:$J98,0)),IF(4=MAX($F98:$J98)+1,"取消",""))</f>
        <v>刘师傅</v>
      </c>
      <c r="P98" s="0" t="str">
        <f aca="false">IFERROR(INDEX($A$1:$A$5,MATCH(5,$F98:$J98,0)),IF(5=MAX($F98:$J98)+1,"取消",""))</f>
        <v>取消</v>
      </c>
      <c r="Q98" s="0" t="str">
        <f aca="false">IFERROR(INDEX($A$1:$A$5,MATCH(6,$F98:$J98,0)),IF(6=MAX($F98:$J98)+1,"取消",""))</f>
        <v/>
      </c>
      <c r="S98" s="0" t="n">
        <f aca="false">IF(OR($A$1=入户维修!$F98,$A$1=入户维修!$G98,$BN$1=1),0,1-SUMPRODUCT(--(($A$1=入户维修!$F98)+($A$1=入户维修!$G98)+$BN$1&gt;0)))</f>
        <v>0</v>
      </c>
      <c r="T98" s="0" t="n">
        <f aca="false">IF(OR($A$2=入户维修!$F98,$A$2=入户维修!$G98,$BN$2=1),0,2-SUMPRODUCT(--(($A$1:$A$2=入户维修!$F98)+($A$1:$A$2=入户维修!$G98)+$BN$1:$BN$2&gt;0)))</f>
        <v>1</v>
      </c>
      <c r="U98" s="0" t="n">
        <f aca="false">IF(OR($A$3=入户维修!$F98,$A$3=入户维修!$G98,$BN$3=1),0,3-SUMPRODUCT(--(($A$1:$A$3=入户维修!$F98)+($A$1:$A$3=入户维修!$G98)+$BN$1:$BN$3&gt;0)))</f>
        <v>2</v>
      </c>
      <c r="V98" s="0" t="n">
        <f aca="false">IF(OR($A$4=入户维修!$F98,$A$4=入户维修!$G98,$BN$4=1),0,4-SUMPRODUCT(--(($A$1:$A$4=入户维修!$F98)+($A$1:$A$4=入户维修!$G98)+$BN$1:$BN$4&gt;0)))</f>
        <v>3</v>
      </c>
      <c r="W98" s="0" t="n">
        <f aca="false">IF(OR($A$5=入户维修!$F98,$A$5=入户维修!$G98,$BN$5=1),0,5-SUMPRODUCT(--(($A$1:$A$5=入户维修!$F98)+($A$1:$A$5=入户维修!$G98)+$BN$1:$BN$5&gt;0)))</f>
        <v>4</v>
      </c>
      <c r="Y98" s="0" t="str">
        <f aca="false">IFERROR(INDEX($A$1:$A$5,MATCH(1,$S98:$W98,0)),IF(1=MAX($S98:$W98)+1,"取消",""))</f>
        <v>李师傅</v>
      </c>
      <c r="Z98" s="0" t="str">
        <f aca="false">IFERROR(INDEX($A$1:$A$5,MATCH(2,$S98:$W98,0)),IF(2=MAX($S98:$W98)+1,"取消",""))</f>
        <v>王师傅</v>
      </c>
      <c r="AA98" s="0" t="str">
        <f aca="false">IFERROR(INDEX($A$1:$A$5,MATCH(3,$S98:$W98,0)),IF(3=MAX($S98:$W98)+1,"取消",""))</f>
        <v>陈师傅</v>
      </c>
      <c r="AB98" s="0" t="str">
        <f aca="false">IFERROR(INDEX($A$1:$A$5,MATCH(4,$S98:$W98,0)),IF(4=MAX($S98:$W98)+1,"取消",""))</f>
        <v>刘师傅</v>
      </c>
      <c r="AC98" s="0" t="str">
        <f aca="false">IFERROR(INDEX($A$1:$A$5,MATCH(5,$S98:$W98,0)),IF(5=MAX($S98:$W98)+1,"取消",""))</f>
        <v>取消</v>
      </c>
      <c r="AD98" s="0" t="str">
        <f aca="false">IFERROR(INDEX($A$1:$A$5,MATCH(6,$S98:$W98,0)),IF(6=MAX($S98:$W98)+1,"取消",""))</f>
        <v/>
      </c>
      <c r="AF98" s="0" t="n">
        <f aca="false">IF(OR($A$1=公区维修!$F98,$BN$1=1),0,1-SUMPRODUCT(--(($A$1=公区维修!$F98)+$BN$1&gt;0)))</f>
        <v>0</v>
      </c>
      <c r="AG98" s="0" t="n">
        <f aca="false">IF(OR($A$2=公区维修!$F98,$BN$2=1),0,2-SUMPRODUCT(--(($A$1:$A$2=公区维修!$F98)+$BN$1:$BN$2&gt;0)))</f>
        <v>1</v>
      </c>
      <c r="AH98" s="0" t="n">
        <f aca="false">IF(OR($A$3=公区维修!$F98,$BN$3=1),0,3-SUMPRODUCT(--(($A$1:$A$3=公区维修!$F98)+$BN$1:$BN$3&gt;0)))</f>
        <v>2</v>
      </c>
      <c r="AI98" s="0" t="n">
        <f aca="false">IF(OR($A$4=公区维修!$F98,$BN$4=1),0,4-SUMPRODUCT(--(($A$1:$A$4=公区维修!$F98)+$BN$1:$BN$4&gt;0)))</f>
        <v>3</v>
      </c>
      <c r="AJ98" s="0" t="n">
        <f aca="false">IF(OR($A$5=公区维修!$F98,$BN$5=1),0,5-SUMPRODUCT(--(($A$1:$A$5=公区维修!$F98)+$BN$1:$BN$5&gt;0)))</f>
        <v>4</v>
      </c>
      <c r="AL98" s="0" t="str">
        <f aca="false">IFERROR(INDEX($A$1:$A$5,MATCH(1,$AF98:$AJ98,0)),IF(1=MAX($AF98:$AJ98)+1,"取消",""))</f>
        <v>李师傅</v>
      </c>
      <c r="AM98" s="0" t="str">
        <f aca="false">IFERROR(INDEX($A$1:$A$5,MATCH(2,$AF98:$AJ98,0)),IF(2=MAX($AF98:$AJ98)+1,"取消",""))</f>
        <v>王师傅</v>
      </c>
      <c r="AN98" s="0" t="str">
        <f aca="false">IFERROR(INDEX($A$1:$A$5,MATCH(3,$AF98:$AJ98,0)),IF(3=MAX($AF98:$AJ98)+1,"取消",""))</f>
        <v>陈师傅</v>
      </c>
      <c r="AO98" s="0" t="str">
        <f aca="false">IFERROR(INDEX($A$1:$A$5,MATCH(4,$AF98:$AJ98,0)),IF(4=MAX($AF98:$AJ98)+1,"取消",""))</f>
        <v>刘师傅</v>
      </c>
      <c r="AP98" s="0" t="str">
        <f aca="false">IFERROR(INDEX($A$1:$A$5,MATCH(5,$AF98:$AJ98,0)),IF(5=MAX($AF98:$AJ98)+1,"取消",""))</f>
        <v>取消</v>
      </c>
      <c r="AQ98" s="0" t="str">
        <f aca="false">IFERROR(INDEX($A$1:$A$5,MATCH(6,$AF98:$AJ98,0)),IF(6=MAX($AF98:$AJ98)+1,"取消",""))</f>
        <v/>
      </c>
      <c r="AS98" s="0" t="n">
        <f aca="false">IF(OR($A$1=公区维修!$F98,$A$1=公区维修!$G98,$BN$1=1),0,1-SUMPRODUCT(--(($A$1=公区维修!$F98)+($A$1=公区维修!$G98)+$BN$1&gt;0)))</f>
        <v>0</v>
      </c>
      <c r="AT98" s="0" t="n">
        <f aca="false">IF(OR($A$2=公区维修!$F98,$A$2=公区维修!$G98,$BN$2=1),0,2-SUMPRODUCT(--(($A$1:$A$2=公区维修!$F98)+($A$1:$A$2=公区维修!$G98)+$BN$1:$BN$2&gt;0)))</f>
        <v>1</v>
      </c>
      <c r="AU98" s="0" t="n">
        <f aca="false">IF(OR($A$3=公区维修!$F98,$A$3=公区维修!$G98,$BN$3=1),0,3-SUMPRODUCT(--(($A$1:$A$3=公区维修!$F98)+($A$1:$A$3=公区维修!$G98)+$BN$1:$BN$3&gt;0)))</f>
        <v>2</v>
      </c>
      <c r="AV98" s="0" t="n">
        <f aca="false">IF(OR($A$4=公区维修!$F98,$A$4=公区维修!$G98,$BN$4=1),0,4-SUMPRODUCT(--(($A$1:$A$4=公区维修!$F98)+($A$1:$A$4=公区维修!$G98)+$BN$1:$BN$4&gt;0)))</f>
        <v>3</v>
      </c>
      <c r="AW98" s="0" t="n">
        <f aca="false">IF(OR($A$5=公区维修!$F98,$A$5=公区维修!$G98,$BN$5=1),0,5-SUMPRODUCT(--(($A$1:$A$5=公区维修!$F98)+($A$1:$A$5=公区维修!$G98)+$BN$1:$BN$5&gt;0)))</f>
        <v>4</v>
      </c>
      <c r="AY98" s="0" t="str">
        <f aca="false">IFERROR(INDEX($A$1:$A$5,MATCH(1,$AS98:$AW98,0)),IF(1=MAX($AS98:$AW98)+1,"取消",""))</f>
        <v>李师傅</v>
      </c>
      <c r="AZ98" s="0" t="str">
        <f aca="false">IFERROR(INDEX($A$1:$A$5,MATCH(2,$AS98:$AW98,0)),IF(2=MAX($AS98:$AW98)+1,"取消",""))</f>
        <v>王师傅</v>
      </c>
      <c r="BA98" s="0" t="str">
        <f aca="false">IFERROR(INDEX($A$1:$A$5,MATCH(3,$AS98:$AW98,0)),IF(3=MAX($AS98:$AW98)+1,"取消",""))</f>
        <v>陈师傅</v>
      </c>
      <c r="BB98" s="0" t="str">
        <f aca="false">IFERROR(INDEX($A$1:$A$5,MATCH(4,$AS98:$AW98,0)),IF(4=MAX($AS98:$AW98)+1,"取消",""))</f>
        <v>刘师傅</v>
      </c>
      <c r="BC98" s="0" t="str">
        <f aca="false">IFERROR(INDEX($A$1:$A$5,MATCH(5,$AS98:$AW98,0)),IF(5=MAX($AS98:$AW98)+1,"取消",""))</f>
        <v>取消</v>
      </c>
      <c r="BD98" s="0" t="str">
        <f aca="false">IFERROR(INDEX($A$1:$A$5,MATCH(6,$AS98:$AW98,0)),IF(6=MAX($AS98:$AW98)+1,"取消",""))</f>
        <v/>
      </c>
      <c r="FW98" s="0" t="str">
        <f aca="false">IF(AND(单元查询!$D$3&lt;&gt;"",IF(单元查询!$B$3="公区维修",公区维修!$E98&lt;&gt;"",入户维修!$E98&lt;&gt;""),IF(单元查询!$B$3="公区维修",公区维修!$C98,入户维修!$C98)=单元查询!$D$3,OR(单元查询!$F$3="",IF(单元查询!$B$3="公区维修",公区维修!$D98,入户维修!$D98)&amp;""=(单元查询!$F$3)&amp;"")),MAX($FW$4:$FW97)+1,"")</f>
        <v/>
      </c>
    </row>
    <row r="99" customFormat="false" ht="15" hidden="false" customHeight="true" outlineLevel="0" collapsed="false">
      <c r="F99" s="0" t="n">
        <f aca="false">IF(OR($A$1=入户维修!$F99,$BN$1=1),0,1-SUMPRODUCT(--(($A$1=入户维修!$F99)+$BN$1&gt;0)))</f>
        <v>0</v>
      </c>
      <c r="G99" s="0" t="n">
        <f aca="false">IF(OR($A$2=入户维修!$F99,$BN$2=1),0,2-SUMPRODUCT(--(($A$1:$A$2=入户维修!$F99)+$BN$1:$BN$2&gt;0)))</f>
        <v>0</v>
      </c>
      <c r="H99" s="0" t="n">
        <f aca="false">IF(OR($A$3=入户维修!$F99,$BN$3=1),0,3-SUMPRODUCT(--(($A$1:$A$3=入户维修!$F99)+$BN$1:$BN$3&gt;0)))</f>
        <v>1</v>
      </c>
      <c r="I99" s="0" t="n">
        <f aca="false">IF(OR($A$4=入户维修!$F99,$BN$4=1),0,4-SUMPRODUCT(--(($A$1:$A$4=入户维修!$F99)+$BN$1:$BN$4&gt;0)))</f>
        <v>2</v>
      </c>
      <c r="J99" s="0" t="n">
        <f aca="false">IF(OR($A$5=入户维修!$F99,$BN$5=1),0,5-SUMPRODUCT(--(($A$1:$A$5=入户维修!$F99)+$BN$1:$BN$5&gt;0)))</f>
        <v>3</v>
      </c>
      <c r="L99" s="0" t="str">
        <f aca="false">IFERROR(INDEX($A$1:$A$5,MATCH(1,$F99:$J99,0)),IF(1=MAX($F99:$J99)+1,"取消",""))</f>
        <v>王师傅</v>
      </c>
      <c r="M99" s="0" t="str">
        <f aca="false">IFERROR(INDEX($A$1:$A$5,MATCH(2,$F99:$J99,0)),IF(2=MAX($F99:$J99)+1,"取消",""))</f>
        <v>陈师傅</v>
      </c>
      <c r="N99" s="0" t="str">
        <f aca="false">IFERROR(INDEX($A$1:$A$5,MATCH(3,$F99:$J99,0)),IF(3=MAX($F99:$J99)+1,"取消",""))</f>
        <v>刘师傅</v>
      </c>
      <c r="O99" s="0" t="str">
        <f aca="false">IFERROR(INDEX($A$1:$A$5,MATCH(4,$F99:$J99,0)),IF(4=MAX($F99:$J99)+1,"取消",""))</f>
        <v>取消</v>
      </c>
      <c r="P99" s="0" t="str">
        <f aca="false">IFERROR(INDEX($A$1:$A$5,MATCH(5,$F99:$J99,0)),IF(5=MAX($F99:$J99)+1,"取消",""))</f>
        <v/>
      </c>
      <c r="Q99" s="0" t="str">
        <f aca="false">IFERROR(INDEX($A$1:$A$5,MATCH(6,$F99:$J99,0)),IF(6=MAX($F99:$J99)+1,"取消",""))</f>
        <v/>
      </c>
      <c r="S99" s="0" t="n">
        <f aca="false">IF(OR($A$1=入户维修!$F99,$A$1=入户维修!$G99,$BN$1=1),0,1-SUMPRODUCT(--(($A$1=入户维修!$F99)+($A$1=入户维修!$G99)+$BN$1&gt;0)))</f>
        <v>0</v>
      </c>
      <c r="T99" s="0" t="n">
        <f aca="false">IF(OR($A$2=入户维修!$F99,$A$2=入户维修!$G99,$BN$2=1),0,2-SUMPRODUCT(--(($A$1:$A$2=入户维修!$F99)+($A$1:$A$2=入户维修!$G99)+$BN$1:$BN$2&gt;0)))</f>
        <v>0</v>
      </c>
      <c r="U99" s="0" t="n">
        <f aca="false">IF(OR($A$3=入户维修!$F99,$A$3=入户维修!$G99,$BN$3=1),0,3-SUMPRODUCT(--(($A$1:$A$3=入户维修!$F99)+($A$1:$A$3=入户维修!$G99)+$BN$1:$BN$3&gt;0)))</f>
        <v>1</v>
      </c>
      <c r="V99" s="0" t="n">
        <f aca="false">IF(OR($A$4=入户维修!$F99,$A$4=入户维修!$G99,$BN$4=1),0,4-SUMPRODUCT(--(($A$1:$A$4=入户维修!$F99)+($A$1:$A$4=入户维修!$G99)+$BN$1:$BN$4&gt;0)))</f>
        <v>2</v>
      </c>
      <c r="W99" s="0" t="n">
        <f aca="false">IF(OR($A$5=入户维修!$F99,$A$5=入户维修!$G99,$BN$5=1),0,5-SUMPRODUCT(--(($A$1:$A$5=入户维修!$F99)+($A$1:$A$5=入户维修!$G99)+$BN$1:$BN$5&gt;0)))</f>
        <v>3</v>
      </c>
      <c r="Y99" s="0" t="str">
        <f aca="false">IFERROR(INDEX($A$1:$A$5,MATCH(1,$S99:$W99,0)),IF(1=MAX($S99:$W99)+1,"取消",""))</f>
        <v>王师傅</v>
      </c>
      <c r="Z99" s="0" t="str">
        <f aca="false">IFERROR(INDEX($A$1:$A$5,MATCH(2,$S99:$W99,0)),IF(2=MAX($S99:$W99)+1,"取消",""))</f>
        <v>陈师傅</v>
      </c>
      <c r="AA99" s="0" t="str">
        <f aca="false">IFERROR(INDEX($A$1:$A$5,MATCH(3,$S99:$W99,0)),IF(3=MAX($S99:$W99)+1,"取消",""))</f>
        <v>刘师傅</v>
      </c>
      <c r="AB99" s="0" t="str">
        <f aca="false">IFERROR(INDEX($A$1:$A$5,MATCH(4,$S99:$W99,0)),IF(4=MAX($S99:$W99)+1,"取消",""))</f>
        <v>取消</v>
      </c>
      <c r="AC99" s="0" t="str">
        <f aca="false">IFERROR(INDEX($A$1:$A$5,MATCH(5,$S99:$W99,0)),IF(5=MAX($S99:$W99)+1,"取消",""))</f>
        <v/>
      </c>
      <c r="AD99" s="0" t="str">
        <f aca="false">IFERROR(INDEX($A$1:$A$5,MATCH(6,$S99:$W99,0)),IF(6=MAX($S99:$W99)+1,"取消",""))</f>
        <v/>
      </c>
      <c r="AF99" s="0" t="n">
        <f aca="false">IF(OR($A$1=公区维修!$F99,$BN$1=1),0,1-SUMPRODUCT(--(($A$1=公区维修!$F99)+$BN$1&gt;0)))</f>
        <v>0</v>
      </c>
      <c r="AG99" s="0" t="n">
        <f aca="false">IF(OR($A$2=公区维修!$F99,$BN$2=1),0,2-SUMPRODUCT(--(($A$1:$A$2=公区维修!$F99)+$BN$1:$BN$2&gt;0)))</f>
        <v>1</v>
      </c>
      <c r="AH99" s="0" t="n">
        <f aca="false">IF(OR($A$3=公区维修!$F99,$BN$3=1),0,3-SUMPRODUCT(--(($A$1:$A$3=公区维修!$F99)+$BN$1:$BN$3&gt;0)))</f>
        <v>2</v>
      </c>
      <c r="AI99" s="0" t="n">
        <f aca="false">IF(OR($A$4=公区维修!$F99,$BN$4=1),0,4-SUMPRODUCT(--(($A$1:$A$4=公区维修!$F99)+$BN$1:$BN$4&gt;0)))</f>
        <v>3</v>
      </c>
      <c r="AJ99" s="0" t="n">
        <f aca="false">IF(OR($A$5=公区维修!$F99,$BN$5=1),0,5-SUMPRODUCT(--(($A$1:$A$5=公区维修!$F99)+$BN$1:$BN$5&gt;0)))</f>
        <v>4</v>
      </c>
      <c r="AL99" s="0" t="str">
        <f aca="false">IFERROR(INDEX($A$1:$A$5,MATCH(1,$AF99:$AJ99,0)),IF(1=MAX($AF99:$AJ99)+1,"取消",""))</f>
        <v>李师傅</v>
      </c>
      <c r="AM99" s="0" t="str">
        <f aca="false">IFERROR(INDEX($A$1:$A$5,MATCH(2,$AF99:$AJ99,0)),IF(2=MAX($AF99:$AJ99)+1,"取消",""))</f>
        <v>王师傅</v>
      </c>
      <c r="AN99" s="0" t="str">
        <f aca="false">IFERROR(INDEX($A$1:$A$5,MATCH(3,$AF99:$AJ99,0)),IF(3=MAX($AF99:$AJ99)+1,"取消",""))</f>
        <v>陈师傅</v>
      </c>
      <c r="AO99" s="0" t="str">
        <f aca="false">IFERROR(INDEX($A$1:$A$5,MATCH(4,$AF99:$AJ99,0)),IF(4=MAX($AF99:$AJ99)+1,"取消",""))</f>
        <v>刘师傅</v>
      </c>
      <c r="AP99" s="0" t="str">
        <f aca="false">IFERROR(INDEX($A$1:$A$5,MATCH(5,$AF99:$AJ99,0)),IF(5=MAX($AF99:$AJ99)+1,"取消",""))</f>
        <v>取消</v>
      </c>
      <c r="AQ99" s="0" t="str">
        <f aca="false">IFERROR(INDEX($A$1:$A$5,MATCH(6,$AF99:$AJ99,0)),IF(6=MAX($AF99:$AJ99)+1,"取消",""))</f>
        <v/>
      </c>
      <c r="AS99" s="0" t="n">
        <f aca="false">IF(OR($A$1=公区维修!$F99,$A$1=公区维修!$G99,$BN$1=1),0,1-SUMPRODUCT(--(($A$1=公区维修!$F99)+($A$1=公区维修!$G99)+$BN$1&gt;0)))</f>
        <v>0</v>
      </c>
      <c r="AT99" s="0" t="n">
        <f aca="false">IF(OR($A$2=公区维修!$F99,$A$2=公区维修!$G99,$BN$2=1),0,2-SUMPRODUCT(--(($A$1:$A$2=公区维修!$F99)+($A$1:$A$2=公区维修!$G99)+$BN$1:$BN$2&gt;0)))</f>
        <v>1</v>
      </c>
      <c r="AU99" s="0" t="n">
        <f aca="false">IF(OR($A$3=公区维修!$F99,$A$3=公区维修!$G99,$BN$3=1),0,3-SUMPRODUCT(--(($A$1:$A$3=公区维修!$F99)+($A$1:$A$3=公区维修!$G99)+$BN$1:$BN$3&gt;0)))</f>
        <v>2</v>
      </c>
      <c r="AV99" s="0" t="n">
        <f aca="false">IF(OR($A$4=公区维修!$F99,$A$4=公区维修!$G99,$BN$4=1),0,4-SUMPRODUCT(--(($A$1:$A$4=公区维修!$F99)+($A$1:$A$4=公区维修!$G99)+$BN$1:$BN$4&gt;0)))</f>
        <v>3</v>
      </c>
      <c r="AW99" s="0" t="n">
        <f aca="false">IF(OR($A$5=公区维修!$F99,$A$5=公区维修!$G99,$BN$5=1),0,5-SUMPRODUCT(--(($A$1:$A$5=公区维修!$F99)+($A$1:$A$5=公区维修!$G99)+$BN$1:$BN$5&gt;0)))</f>
        <v>4</v>
      </c>
      <c r="AY99" s="0" t="str">
        <f aca="false">IFERROR(INDEX($A$1:$A$5,MATCH(1,$AS99:$AW99,0)),IF(1=MAX($AS99:$AW99)+1,"取消",""))</f>
        <v>李师傅</v>
      </c>
      <c r="AZ99" s="0" t="str">
        <f aca="false">IFERROR(INDEX($A$1:$A$5,MATCH(2,$AS99:$AW99,0)),IF(2=MAX($AS99:$AW99)+1,"取消",""))</f>
        <v>王师傅</v>
      </c>
      <c r="BA99" s="0" t="str">
        <f aca="false">IFERROR(INDEX($A$1:$A$5,MATCH(3,$AS99:$AW99,0)),IF(3=MAX($AS99:$AW99)+1,"取消",""))</f>
        <v>陈师傅</v>
      </c>
      <c r="BB99" s="0" t="str">
        <f aca="false">IFERROR(INDEX($A$1:$A$5,MATCH(4,$AS99:$AW99,0)),IF(4=MAX($AS99:$AW99)+1,"取消",""))</f>
        <v>刘师傅</v>
      </c>
      <c r="BC99" s="0" t="str">
        <f aca="false">IFERROR(INDEX($A$1:$A$5,MATCH(5,$AS99:$AW99,0)),IF(5=MAX($AS99:$AW99)+1,"取消",""))</f>
        <v>取消</v>
      </c>
      <c r="BD99" s="0" t="str">
        <f aca="false">IFERROR(INDEX($A$1:$A$5,MATCH(6,$AS99:$AW99,0)),IF(6=MAX($AS99:$AW99)+1,"取消",""))</f>
        <v/>
      </c>
      <c r="FW99" s="0" t="str">
        <f aca="false">IF(AND(单元查询!$D$3&lt;&gt;"",IF(单元查询!$B$3="公区维修",公区维修!$E99&lt;&gt;"",入户维修!$E99&lt;&gt;""),IF(单元查询!$B$3="公区维修",公区维修!$C99,入户维修!$C99)=单元查询!$D$3,OR(单元查询!$F$3="",IF(单元查询!$B$3="公区维修",公区维修!$D99,入户维修!$D99)&amp;""=(单元查询!$F$3)&amp;"")),MAX($FW$4:$FW98)+1,"")</f>
        <v/>
      </c>
    </row>
    <row r="100" customFormat="false" ht="15" hidden="false" customHeight="true" outlineLevel="0" collapsed="false">
      <c r="F100" s="0" t="n">
        <f aca="false">IF(OR($A$1=入户维修!$F100,$BN$1=1),0,1-SUMPRODUCT(--(($A$1=入户维修!$F100)+$BN$1&gt;0)))</f>
        <v>0</v>
      </c>
      <c r="G100" s="0" t="n">
        <f aca="false">IF(OR($A$2=入户维修!$F100,$BN$2=1),0,2-SUMPRODUCT(--(($A$1:$A$2=入户维修!$F100)+$BN$1:$BN$2&gt;0)))</f>
        <v>1</v>
      </c>
      <c r="H100" s="0" t="n">
        <f aca="false">IF(OR($A$3=入户维修!$F100,$BN$3=1),0,3-SUMPRODUCT(--(($A$1:$A$3=入户维修!$F100)+$BN$1:$BN$3&gt;0)))</f>
        <v>2</v>
      </c>
      <c r="I100" s="0" t="n">
        <f aca="false">IF(OR($A$4=入户维修!$F100,$BN$4=1),0,4-SUMPRODUCT(--(($A$1:$A$4=入户维修!$F100)+$BN$1:$BN$4&gt;0)))</f>
        <v>0</v>
      </c>
      <c r="J100" s="0" t="n">
        <f aca="false">IF(OR($A$5=入户维修!$F100,$BN$5=1),0,5-SUMPRODUCT(--(($A$1:$A$5=入户维修!$F100)+$BN$1:$BN$5&gt;0)))</f>
        <v>3</v>
      </c>
      <c r="L100" s="0" t="str">
        <f aca="false">IFERROR(INDEX($A$1:$A$5,MATCH(1,$F100:$J100,0)),IF(1=MAX($F100:$J100)+1,"取消",""))</f>
        <v>李师傅</v>
      </c>
      <c r="M100" s="0" t="str">
        <f aca="false">IFERROR(INDEX($A$1:$A$5,MATCH(2,$F100:$J100,0)),IF(2=MAX($F100:$J100)+1,"取消",""))</f>
        <v>王师傅</v>
      </c>
      <c r="N100" s="0" t="str">
        <f aca="false">IFERROR(INDEX($A$1:$A$5,MATCH(3,$F100:$J100,0)),IF(3=MAX($F100:$J100)+1,"取消",""))</f>
        <v>刘师傅</v>
      </c>
      <c r="O100" s="0" t="str">
        <f aca="false">IFERROR(INDEX($A$1:$A$5,MATCH(4,$F100:$J100,0)),IF(4=MAX($F100:$J100)+1,"取消",""))</f>
        <v>取消</v>
      </c>
      <c r="P100" s="0" t="str">
        <f aca="false">IFERROR(INDEX($A$1:$A$5,MATCH(5,$F100:$J100,0)),IF(5=MAX($F100:$J100)+1,"取消",""))</f>
        <v/>
      </c>
      <c r="Q100" s="0" t="str">
        <f aca="false">IFERROR(INDEX($A$1:$A$5,MATCH(6,$F100:$J100,0)),IF(6=MAX($F100:$J100)+1,"取消",""))</f>
        <v/>
      </c>
      <c r="S100" s="0" t="n">
        <f aca="false">IF(OR($A$1=入户维修!$F100,$A$1=入户维修!$G100,$BN$1=1),0,1-SUMPRODUCT(--(($A$1=入户维修!$F100)+($A$1=入户维修!$G100)+$BN$1&gt;0)))</f>
        <v>0</v>
      </c>
      <c r="T100" s="0" t="n">
        <f aca="false">IF(OR($A$2=入户维修!$F100,$A$2=入户维修!$G100,$BN$2=1),0,2-SUMPRODUCT(--(($A$1:$A$2=入户维修!$F100)+($A$1:$A$2=入户维修!$G100)+$BN$1:$BN$2&gt;0)))</f>
        <v>1</v>
      </c>
      <c r="U100" s="0" t="n">
        <f aca="false">IF(OR($A$3=入户维修!$F100,$A$3=入户维修!$G100,$BN$3=1),0,3-SUMPRODUCT(--(($A$1:$A$3=入户维修!$F100)+($A$1:$A$3=入户维修!$G100)+$BN$1:$BN$3&gt;0)))</f>
        <v>2</v>
      </c>
      <c r="V100" s="0" t="n">
        <f aca="false">IF(OR($A$4=入户维修!$F100,$A$4=入户维修!$G100,$BN$4=1),0,4-SUMPRODUCT(--(($A$1:$A$4=入户维修!$F100)+($A$1:$A$4=入户维修!$G100)+$BN$1:$BN$4&gt;0)))</f>
        <v>0</v>
      </c>
      <c r="W100" s="0" t="n">
        <f aca="false">IF(OR($A$5=入户维修!$F100,$A$5=入户维修!$G100,$BN$5=1),0,5-SUMPRODUCT(--(($A$1:$A$5=入户维修!$F100)+($A$1:$A$5=入户维修!$G100)+$BN$1:$BN$5&gt;0)))</f>
        <v>3</v>
      </c>
      <c r="Y100" s="0" t="str">
        <f aca="false">IFERROR(INDEX($A$1:$A$5,MATCH(1,$S100:$W100,0)),IF(1=MAX($S100:$W100)+1,"取消",""))</f>
        <v>李师傅</v>
      </c>
      <c r="Z100" s="0" t="str">
        <f aca="false">IFERROR(INDEX($A$1:$A$5,MATCH(2,$S100:$W100,0)),IF(2=MAX($S100:$W100)+1,"取消",""))</f>
        <v>王师傅</v>
      </c>
      <c r="AA100" s="0" t="str">
        <f aca="false">IFERROR(INDEX($A$1:$A$5,MATCH(3,$S100:$W100,0)),IF(3=MAX($S100:$W100)+1,"取消",""))</f>
        <v>刘师傅</v>
      </c>
      <c r="AB100" s="0" t="str">
        <f aca="false">IFERROR(INDEX($A$1:$A$5,MATCH(4,$S100:$W100,0)),IF(4=MAX($S100:$W100)+1,"取消",""))</f>
        <v>取消</v>
      </c>
      <c r="AC100" s="0" t="str">
        <f aca="false">IFERROR(INDEX($A$1:$A$5,MATCH(5,$S100:$W100,0)),IF(5=MAX($S100:$W100)+1,"取消",""))</f>
        <v/>
      </c>
      <c r="AD100" s="0" t="str">
        <f aca="false">IFERROR(INDEX($A$1:$A$5,MATCH(6,$S100:$W100,0)),IF(6=MAX($S100:$W100)+1,"取消",""))</f>
        <v/>
      </c>
      <c r="AF100" s="0" t="n">
        <f aca="false">IF(OR($A$1=公区维修!$F100,$BN$1=1),0,1-SUMPRODUCT(--(($A$1=公区维修!$F100)+$BN$1&gt;0)))</f>
        <v>0</v>
      </c>
      <c r="AG100" s="0" t="n">
        <f aca="false">IF(OR($A$2=公区维修!$F100,$BN$2=1),0,2-SUMPRODUCT(--(($A$1:$A$2=公区维修!$F100)+$BN$1:$BN$2&gt;0)))</f>
        <v>1</v>
      </c>
      <c r="AH100" s="0" t="n">
        <f aca="false">IF(OR($A$3=公区维修!$F100,$BN$3=1),0,3-SUMPRODUCT(--(($A$1:$A$3=公区维修!$F100)+$BN$1:$BN$3&gt;0)))</f>
        <v>2</v>
      </c>
      <c r="AI100" s="0" t="n">
        <f aca="false">IF(OR($A$4=公区维修!$F100,$BN$4=1),0,4-SUMPRODUCT(--(($A$1:$A$4=公区维修!$F100)+$BN$1:$BN$4&gt;0)))</f>
        <v>3</v>
      </c>
      <c r="AJ100" s="0" t="n">
        <f aca="false">IF(OR($A$5=公区维修!$F100,$BN$5=1),0,5-SUMPRODUCT(--(($A$1:$A$5=公区维修!$F100)+$BN$1:$BN$5&gt;0)))</f>
        <v>4</v>
      </c>
      <c r="AL100" s="0" t="str">
        <f aca="false">IFERROR(INDEX($A$1:$A$5,MATCH(1,$AF100:$AJ100,0)),IF(1=MAX($AF100:$AJ100)+1,"取消",""))</f>
        <v>李师傅</v>
      </c>
      <c r="AM100" s="0" t="str">
        <f aca="false">IFERROR(INDEX($A$1:$A$5,MATCH(2,$AF100:$AJ100,0)),IF(2=MAX($AF100:$AJ100)+1,"取消",""))</f>
        <v>王师傅</v>
      </c>
      <c r="AN100" s="0" t="str">
        <f aca="false">IFERROR(INDEX($A$1:$A$5,MATCH(3,$AF100:$AJ100,0)),IF(3=MAX($AF100:$AJ100)+1,"取消",""))</f>
        <v>陈师傅</v>
      </c>
      <c r="AO100" s="0" t="str">
        <f aca="false">IFERROR(INDEX($A$1:$A$5,MATCH(4,$AF100:$AJ100,0)),IF(4=MAX($AF100:$AJ100)+1,"取消",""))</f>
        <v>刘师傅</v>
      </c>
      <c r="AP100" s="0" t="str">
        <f aca="false">IFERROR(INDEX($A$1:$A$5,MATCH(5,$AF100:$AJ100,0)),IF(5=MAX($AF100:$AJ100)+1,"取消",""))</f>
        <v>取消</v>
      </c>
      <c r="AQ100" s="0" t="str">
        <f aca="false">IFERROR(INDEX($A$1:$A$5,MATCH(6,$AF100:$AJ100,0)),IF(6=MAX($AF100:$AJ100)+1,"取消",""))</f>
        <v/>
      </c>
      <c r="AS100" s="0" t="n">
        <f aca="false">IF(OR($A$1=公区维修!$F100,$A$1=公区维修!$G100,$BN$1=1),0,1-SUMPRODUCT(--(($A$1=公区维修!$F100)+($A$1=公区维修!$G100)+$BN$1&gt;0)))</f>
        <v>0</v>
      </c>
      <c r="AT100" s="0" t="n">
        <f aca="false">IF(OR($A$2=公区维修!$F100,$A$2=公区维修!$G100,$BN$2=1),0,2-SUMPRODUCT(--(($A$1:$A$2=公区维修!$F100)+($A$1:$A$2=公区维修!$G100)+$BN$1:$BN$2&gt;0)))</f>
        <v>1</v>
      </c>
      <c r="AU100" s="0" t="n">
        <f aca="false">IF(OR($A$3=公区维修!$F100,$A$3=公区维修!$G100,$BN$3=1),0,3-SUMPRODUCT(--(($A$1:$A$3=公区维修!$F100)+($A$1:$A$3=公区维修!$G100)+$BN$1:$BN$3&gt;0)))</f>
        <v>2</v>
      </c>
      <c r="AV100" s="0" t="n">
        <f aca="false">IF(OR($A$4=公区维修!$F100,$A$4=公区维修!$G100,$BN$4=1),0,4-SUMPRODUCT(--(($A$1:$A$4=公区维修!$F100)+($A$1:$A$4=公区维修!$G100)+$BN$1:$BN$4&gt;0)))</f>
        <v>3</v>
      </c>
      <c r="AW100" s="0" t="n">
        <f aca="false">IF(OR($A$5=公区维修!$F100,$A$5=公区维修!$G100,$BN$5=1),0,5-SUMPRODUCT(--(($A$1:$A$5=公区维修!$F100)+($A$1:$A$5=公区维修!$G100)+$BN$1:$BN$5&gt;0)))</f>
        <v>4</v>
      </c>
      <c r="AY100" s="0" t="str">
        <f aca="false">IFERROR(INDEX($A$1:$A$5,MATCH(1,$AS100:$AW100,0)),IF(1=MAX($AS100:$AW100)+1,"取消",""))</f>
        <v>李师傅</v>
      </c>
      <c r="AZ100" s="0" t="str">
        <f aca="false">IFERROR(INDEX($A$1:$A$5,MATCH(2,$AS100:$AW100,0)),IF(2=MAX($AS100:$AW100)+1,"取消",""))</f>
        <v>王师傅</v>
      </c>
      <c r="BA100" s="0" t="str">
        <f aca="false">IFERROR(INDEX($A$1:$A$5,MATCH(3,$AS100:$AW100,0)),IF(3=MAX($AS100:$AW100)+1,"取消",""))</f>
        <v>陈师傅</v>
      </c>
      <c r="BB100" s="0" t="str">
        <f aca="false">IFERROR(INDEX($A$1:$A$5,MATCH(4,$AS100:$AW100,0)),IF(4=MAX($AS100:$AW100)+1,"取消",""))</f>
        <v>刘师傅</v>
      </c>
      <c r="BC100" s="0" t="str">
        <f aca="false">IFERROR(INDEX($A$1:$A$5,MATCH(5,$AS100:$AW100,0)),IF(5=MAX($AS100:$AW100)+1,"取消",""))</f>
        <v>取消</v>
      </c>
      <c r="BD100" s="0" t="str">
        <f aca="false">IFERROR(INDEX($A$1:$A$5,MATCH(6,$AS100:$AW100,0)),IF(6=MAX($AS100:$AW100)+1,"取消",""))</f>
        <v/>
      </c>
      <c r="FW100" s="0" t="n">
        <f aca="false">IF(AND(单元查询!$D$3&lt;&gt;"",IF(单元查询!$B$3="公区维修",公区维修!$E100&lt;&gt;"",入户维修!$E100&lt;&gt;""),IF(单元查询!$B$3="公区维修",公区维修!$C100,入户维修!$C100)=单元查询!$D$3,OR(单元查询!$F$3="",IF(单元查询!$B$3="公区维修",公区维修!$D100,入户维修!$D100)&amp;""=(单元查询!$F$3)&amp;"")),MAX($FW$4:$FW99)+1,"")</f>
        <v>15</v>
      </c>
    </row>
    <row r="101" customFormat="false" ht="15" hidden="false" customHeight="true" outlineLevel="0" collapsed="false">
      <c r="F101" s="0" t="n">
        <f aca="false">IF(OR($A$1=入户维修!$F101,$BN$1=1),0,1-SUMPRODUCT(--(($A$1=入户维修!$F101)+$BN$1&gt;0)))</f>
        <v>0</v>
      </c>
      <c r="G101" s="0" t="n">
        <f aca="false">IF(OR($A$2=入户维修!$F101,$BN$2=1),0,2-SUMPRODUCT(--(($A$1:$A$2=入户维修!$F101)+$BN$1:$BN$2&gt;0)))</f>
        <v>1</v>
      </c>
      <c r="H101" s="0" t="n">
        <f aca="false">IF(OR($A$3=入户维修!$F101,$BN$3=1),0,3-SUMPRODUCT(--(($A$1:$A$3=入户维修!$F101)+$BN$1:$BN$3&gt;0)))</f>
        <v>2</v>
      </c>
      <c r="I101" s="0" t="n">
        <f aca="false">IF(OR($A$4=入户维修!$F101,$BN$4=1),0,4-SUMPRODUCT(--(($A$1:$A$4=入户维修!$F101)+$BN$1:$BN$4&gt;0)))</f>
        <v>3</v>
      </c>
      <c r="J101" s="0" t="n">
        <f aca="false">IF(OR($A$5=入户维修!$F101,$BN$5=1),0,5-SUMPRODUCT(--(($A$1:$A$5=入户维修!$F101)+$BN$1:$BN$5&gt;0)))</f>
        <v>4</v>
      </c>
      <c r="L101" s="0" t="str">
        <f aca="false">IFERROR(INDEX($A$1:$A$5,MATCH(1,$F101:$J101,0)),IF(1=MAX($F101:$J101)+1,"取消",""))</f>
        <v>李师傅</v>
      </c>
      <c r="M101" s="0" t="str">
        <f aca="false">IFERROR(INDEX($A$1:$A$5,MATCH(2,$F101:$J101,0)),IF(2=MAX($F101:$J101)+1,"取消",""))</f>
        <v>王师傅</v>
      </c>
      <c r="N101" s="0" t="str">
        <f aca="false">IFERROR(INDEX($A$1:$A$5,MATCH(3,$F101:$J101,0)),IF(3=MAX($F101:$J101)+1,"取消",""))</f>
        <v>陈师傅</v>
      </c>
      <c r="O101" s="0" t="str">
        <f aca="false">IFERROR(INDEX($A$1:$A$5,MATCH(4,$F101:$J101,0)),IF(4=MAX($F101:$J101)+1,"取消",""))</f>
        <v>刘师傅</v>
      </c>
      <c r="P101" s="0" t="str">
        <f aca="false">IFERROR(INDEX($A$1:$A$5,MATCH(5,$F101:$J101,0)),IF(5=MAX($F101:$J101)+1,"取消",""))</f>
        <v>取消</v>
      </c>
      <c r="Q101" s="0" t="str">
        <f aca="false">IFERROR(INDEX($A$1:$A$5,MATCH(6,$F101:$J101,0)),IF(6=MAX($F101:$J101)+1,"取消",""))</f>
        <v/>
      </c>
      <c r="S101" s="0" t="n">
        <f aca="false">IF(OR($A$1=入户维修!$F101,$A$1=入户维修!$G101,$BN$1=1),0,1-SUMPRODUCT(--(($A$1=入户维修!$F101)+($A$1=入户维修!$G101)+$BN$1&gt;0)))</f>
        <v>0</v>
      </c>
      <c r="T101" s="0" t="n">
        <f aca="false">IF(OR($A$2=入户维修!$F101,$A$2=入户维修!$G101,$BN$2=1),0,2-SUMPRODUCT(--(($A$1:$A$2=入户维修!$F101)+($A$1:$A$2=入户维修!$G101)+$BN$1:$BN$2&gt;0)))</f>
        <v>1</v>
      </c>
      <c r="U101" s="0" t="n">
        <f aca="false">IF(OR($A$3=入户维修!$F101,$A$3=入户维修!$G101,$BN$3=1),0,3-SUMPRODUCT(--(($A$1:$A$3=入户维修!$F101)+($A$1:$A$3=入户维修!$G101)+$BN$1:$BN$3&gt;0)))</f>
        <v>2</v>
      </c>
      <c r="V101" s="0" t="n">
        <f aca="false">IF(OR($A$4=入户维修!$F101,$A$4=入户维修!$G101,$BN$4=1),0,4-SUMPRODUCT(--(($A$1:$A$4=入户维修!$F101)+($A$1:$A$4=入户维修!$G101)+$BN$1:$BN$4&gt;0)))</f>
        <v>3</v>
      </c>
      <c r="W101" s="0" t="n">
        <f aca="false">IF(OR($A$5=入户维修!$F101,$A$5=入户维修!$G101,$BN$5=1),0,5-SUMPRODUCT(--(($A$1:$A$5=入户维修!$F101)+($A$1:$A$5=入户维修!$G101)+$BN$1:$BN$5&gt;0)))</f>
        <v>4</v>
      </c>
      <c r="Y101" s="0" t="str">
        <f aca="false">IFERROR(INDEX($A$1:$A$5,MATCH(1,$S101:$W101,0)),IF(1=MAX($S101:$W101)+1,"取消",""))</f>
        <v>李师傅</v>
      </c>
      <c r="Z101" s="0" t="str">
        <f aca="false">IFERROR(INDEX($A$1:$A$5,MATCH(2,$S101:$W101,0)),IF(2=MAX($S101:$W101)+1,"取消",""))</f>
        <v>王师傅</v>
      </c>
      <c r="AA101" s="0" t="str">
        <f aca="false">IFERROR(INDEX($A$1:$A$5,MATCH(3,$S101:$W101,0)),IF(3=MAX($S101:$W101)+1,"取消",""))</f>
        <v>陈师傅</v>
      </c>
      <c r="AB101" s="0" t="str">
        <f aca="false">IFERROR(INDEX($A$1:$A$5,MATCH(4,$S101:$W101,0)),IF(4=MAX($S101:$W101)+1,"取消",""))</f>
        <v>刘师傅</v>
      </c>
      <c r="AC101" s="0" t="str">
        <f aca="false">IFERROR(INDEX($A$1:$A$5,MATCH(5,$S101:$W101,0)),IF(5=MAX($S101:$W101)+1,"取消",""))</f>
        <v>取消</v>
      </c>
      <c r="AD101" s="0" t="str">
        <f aca="false">IFERROR(INDEX($A$1:$A$5,MATCH(6,$S101:$W101,0)),IF(6=MAX($S101:$W101)+1,"取消",""))</f>
        <v/>
      </c>
      <c r="AF101" s="0" t="n">
        <f aca="false">IF(OR($A$1=公区维修!$F101,$BN$1=1),0,1-SUMPRODUCT(--(($A$1=公区维修!$F101)+$BN$1&gt;0)))</f>
        <v>0</v>
      </c>
      <c r="AG101" s="0" t="n">
        <f aca="false">IF(OR($A$2=公区维修!$F101,$BN$2=1),0,2-SUMPRODUCT(--(($A$1:$A$2=公区维修!$F101)+$BN$1:$BN$2&gt;0)))</f>
        <v>1</v>
      </c>
      <c r="AH101" s="0" t="n">
        <f aca="false">IF(OR($A$3=公区维修!$F101,$BN$3=1),0,3-SUMPRODUCT(--(($A$1:$A$3=公区维修!$F101)+$BN$1:$BN$3&gt;0)))</f>
        <v>2</v>
      </c>
      <c r="AI101" s="0" t="n">
        <f aca="false">IF(OR($A$4=公区维修!$F101,$BN$4=1),0,4-SUMPRODUCT(--(($A$1:$A$4=公区维修!$F101)+$BN$1:$BN$4&gt;0)))</f>
        <v>3</v>
      </c>
      <c r="AJ101" s="0" t="n">
        <f aca="false">IF(OR($A$5=公区维修!$F101,$BN$5=1),0,5-SUMPRODUCT(--(($A$1:$A$5=公区维修!$F101)+$BN$1:$BN$5&gt;0)))</f>
        <v>4</v>
      </c>
      <c r="AL101" s="0" t="str">
        <f aca="false">IFERROR(INDEX($A$1:$A$5,MATCH(1,$AF101:$AJ101,0)),IF(1=MAX($AF101:$AJ101)+1,"取消",""))</f>
        <v>李师傅</v>
      </c>
      <c r="AM101" s="0" t="str">
        <f aca="false">IFERROR(INDEX($A$1:$A$5,MATCH(2,$AF101:$AJ101,0)),IF(2=MAX($AF101:$AJ101)+1,"取消",""))</f>
        <v>王师傅</v>
      </c>
      <c r="AN101" s="0" t="str">
        <f aca="false">IFERROR(INDEX($A$1:$A$5,MATCH(3,$AF101:$AJ101,0)),IF(3=MAX($AF101:$AJ101)+1,"取消",""))</f>
        <v>陈师傅</v>
      </c>
      <c r="AO101" s="0" t="str">
        <f aca="false">IFERROR(INDEX($A$1:$A$5,MATCH(4,$AF101:$AJ101,0)),IF(4=MAX($AF101:$AJ101)+1,"取消",""))</f>
        <v>刘师傅</v>
      </c>
      <c r="AP101" s="0" t="str">
        <f aca="false">IFERROR(INDEX($A$1:$A$5,MATCH(5,$AF101:$AJ101,0)),IF(5=MAX($AF101:$AJ101)+1,"取消",""))</f>
        <v>取消</v>
      </c>
      <c r="AQ101" s="0" t="str">
        <f aca="false">IFERROR(INDEX($A$1:$A$5,MATCH(6,$AF101:$AJ101,0)),IF(6=MAX($AF101:$AJ101)+1,"取消",""))</f>
        <v/>
      </c>
      <c r="AS101" s="0" t="n">
        <f aca="false">IF(OR($A$1=公区维修!$F101,$A$1=公区维修!$G101,$BN$1=1),0,1-SUMPRODUCT(--(($A$1=公区维修!$F101)+($A$1=公区维修!$G101)+$BN$1&gt;0)))</f>
        <v>0</v>
      </c>
      <c r="AT101" s="0" t="n">
        <f aca="false">IF(OR($A$2=公区维修!$F101,$A$2=公区维修!$G101,$BN$2=1),0,2-SUMPRODUCT(--(($A$1:$A$2=公区维修!$F101)+($A$1:$A$2=公区维修!$G101)+$BN$1:$BN$2&gt;0)))</f>
        <v>1</v>
      </c>
      <c r="AU101" s="0" t="n">
        <f aca="false">IF(OR($A$3=公区维修!$F101,$A$3=公区维修!$G101,$BN$3=1),0,3-SUMPRODUCT(--(($A$1:$A$3=公区维修!$F101)+($A$1:$A$3=公区维修!$G101)+$BN$1:$BN$3&gt;0)))</f>
        <v>2</v>
      </c>
      <c r="AV101" s="0" t="n">
        <f aca="false">IF(OR($A$4=公区维修!$F101,$A$4=公区维修!$G101,$BN$4=1),0,4-SUMPRODUCT(--(($A$1:$A$4=公区维修!$F101)+($A$1:$A$4=公区维修!$G101)+$BN$1:$BN$4&gt;0)))</f>
        <v>3</v>
      </c>
      <c r="AW101" s="0" t="n">
        <f aca="false">IF(OR($A$5=公区维修!$F101,$A$5=公区维修!$G101,$BN$5=1),0,5-SUMPRODUCT(--(($A$1:$A$5=公区维修!$F101)+($A$1:$A$5=公区维修!$G101)+$BN$1:$BN$5&gt;0)))</f>
        <v>4</v>
      </c>
      <c r="AY101" s="0" t="str">
        <f aca="false">IFERROR(INDEX($A$1:$A$5,MATCH(1,$AS101:$AW101,0)),IF(1=MAX($AS101:$AW101)+1,"取消",""))</f>
        <v>李师傅</v>
      </c>
      <c r="AZ101" s="0" t="str">
        <f aca="false">IFERROR(INDEX($A$1:$A$5,MATCH(2,$AS101:$AW101,0)),IF(2=MAX($AS101:$AW101)+1,"取消",""))</f>
        <v>王师傅</v>
      </c>
      <c r="BA101" s="0" t="str">
        <f aca="false">IFERROR(INDEX($A$1:$A$5,MATCH(3,$AS101:$AW101,0)),IF(3=MAX($AS101:$AW101)+1,"取消",""))</f>
        <v>陈师傅</v>
      </c>
      <c r="BB101" s="0" t="str">
        <f aca="false">IFERROR(INDEX($A$1:$A$5,MATCH(4,$AS101:$AW101,0)),IF(4=MAX($AS101:$AW101)+1,"取消",""))</f>
        <v>刘师傅</v>
      </c>
      <c r="BC101" s="0" t="str">
        <f aca="false">IFERROR(INDEX($A$1:$A$5,MATCH(5,$AS101:$AW101,0)),IF(5=MAX($AS101:$AW101)+1,"取消",""))</f>
        <v>取消</v>
      </c>
      <c r="BD101" s="0" t="str">
        <f aca="false">IFERROR(INDEX($A$1:$A$5,MATCH(6,$AS101:$AW101,0)),IF(6=MAX($AS101:$AW101)+1,"取消",""))</f>
        <v/>
      </c>
      <c r="FW101" s="0" t="str">
        <f aca="false">IF(AND(单元查询!$D$3&lt;&gt;"",IF(单元查询!$B$3="公区维修",公区维修!$E101&lt;&gt;"",入户维修!$E101&lt;&gt;""),IF(单元查询!$B$3="公区维修",公区维修!$C101,入户维修!$C101)=单元查询!$D$3,OR(单元查询!$F$3="",IF(单元查询!$B$3="公区维修",公区维修!$D101,入户维修!$D101)&amp;""=(单元查询!$F$3)&amp;"")),MAX($FW$4:$FW100)+1,"")</f>
        <v/>
      </c>
    </row>
    <row r="102" customFormat="false" ht="15" hidden="false" customHeight="true" outlineLevel="0" collapsed="false">
      <c r="F102" s="0" t="n">
        <f aca="false">IF(OR($A$1=入户维修!$F102,$BN$1=1),0,1-SUMPRODUCT(--(($A$1=入户维修!$F102)+$BN$1&gt;0)))</f>
        <v>0</v>
      </c>
      <c r="G102" s="0" t="n">
        <f aca="false">IF(OR($A$2=入户维修!$F102,$BN$2=1),0,2-SUMPRODUCT(--(($A$1:$A$2=入户维修!$F102)+$BN$1:$BN$2&gt;0)))</f>
        <v>1</v>
      </c>
      <c r="H102" s="0" t="n">
        <f aca="false">IF(OR($A$3=入户维修!$F102,$BN$3=1),0,3-SUMPRODUCT(--(($A$1:$A$3=入户维修!$F102)+$BN$1:$BN$3&gt;0)))</f>
        <v>2</v>
      </c>
      <c r="I102" s="0" t="n">
        <f aca="false">IF(OR($A$4=入户维修!$F102,$BN$4=1),0,4-SUMPRODUCT(--(($A$1:$A$4=入户维修!$F102)+$BN$1:$BN$4&gt;0)))</f>
        <v>3</v>
      </c>
      <c r="J102" s="0" t="n">
        <f aca="false">IF(OR($A$5=入户维修!$F102,$BN$5=1),0,5-SUMPRODUCT(--(($A$1:$A$5=入户维修!$F102)+$BN$1:$BN$5&gt;0)))</f>
        <v>4</v>
      </c>
      <c r="L102" s="0" t="str">
        <f aca="false">IFERROR(INDEX($A$1:$A$5,MATCH(1,$F102:$J102,0)),IF(1=MAX($F102:$J102)+1,"取消",""))</f>
        <v>李师傅</v>
      </c>
      <c r="M102" s="0" t="str">
        <f aca="false">IFERROR(INDEX($A$1:$A$5,MATCH(2,$F102:$J102,0)),IF(2=MAX($F102:$J102)+1,"取消",""))</f>
        <v>王师傅</v>
      </c>
      <c r="N102" s="0" t="str">
        <f aca="false">IFERROR(INDEX($A$1:$A$5,MATCH(3,$F102:$J102,0)),IF(3=MAX($F102:$J102)+1,"取消",""))</f>
        <v>陈师傅</v>
      </c>
      <c r="O102" s="0" t="str">
        <f aca="false">IFERROR(INDEX($A$1:$A$5,MATCH(4,$F102:$J102,0)),IF(4=MAX($F102:$J102)+1,"取消",""))</f>
        <v>刘师傅</v>
      </c>
      <c r="P102" s="0" t="str">
        <f aca="false">IFERROR(INDEX($A$1:$A$5,MATCH(5,$F102:$J102,0)),IF(5=MAX($F102:$J102)+1,"取消",""))</f>
        <v>取消</v>
      </c>
      <c r="Q102" s="0" t="str">
        <f aca="false">IFERROR(INDEX($A$1:$A$5,MATCH(6,$F102:$J102,0)),IF(6=MAX($F102:$J102)+1,"取消",""))</f>
        <v/>
      </c>
      <c r="S102" s="0" t="n">
        <f aca="false">IF(OR($A$1=入户维修!$F102,$A$1=入户维修!$G102,$BN$1=1),0,1-SUMPRODUCT(--(($A$1=入户维修!$F102)+($A$1=入户维修!$G102)+$BN$1&gt;0)))</f>
        <v>0</v>
      </c>
      <c r="T102" s="0" t="n">
        <f aca="false">IF(OR($A$2=入户维修!$F102,$A$2=入户维修!$G102,$BN$2=1),0,2-SUMPRODUCT(--(($A$1:$A$2=入户维修!$F102)+($A$1:$A$2=入户维修!$G102)+$BN$1:$BN$2&gt;0)))</f>
        <v>1</v>
      </c>
      <c r="U102" s="0" t="n">
        <f aca="false">IF(OR($A$3=入户维修!$F102,$A$3=入户维修!$G102,$BN$3=1),0,3-SUMPRODUCT(--(($A$1:$A$3=入户维修!$F102)+($A$1:$A$3=入户维修!$G102)+$BN$1:$BN$3&gt;0)))</f>
        <v>2</v>
      </c>
      <c r="V102" s="0" t="n">
        <f aca="false">IF(OR($A$4=入户维修!$F102,$A$4=入户维修!$G102,$BN$4=1),0,4-SUMPRODUCT(--(($A$1:$A$4=入户维修!$F102)+($A$1:$A$4=入户维修!$G102)+$BN$1:$BN$4&gt;0)))</f>
        <v>3</v>
      </c>
      <c r="W102" s="0" t="n">
        <f aca="false">IF(OR($A$5=入户维修!$F102,$A$5=入户维修!$G102,$BN$5=1),0,5-SUMPRODUCT(--(($A$1:$A$5=入户维修!$F102)+($A$1:$A$5=入户维修!$G102)+$BN$1:$BN$5&gt;0)))</f>
        <v>4</v>
      </c>
      <c r="Y102" s="0" t="str">
        <f aca="false">IFERROR(INDEX($A$1:$A$5,MATCH(1,$S102:$W102,0)),IF(1=MAX($S102:$W102)+1,"取消",""))</f>
        <v>李师傅</v>
      </c>
      <c r="Z102" s="0" t="str">
        <f aca="false">IFERROR(INDEX($A$1:$A$5,MATCH(2,$S102:$W102,0)),IF(2=MAX($S102:$W102)+1,"取消",""))</f>
        <v>王师傅</v>
      </c>
      <c r="AA102" s="0" t="str">
        <f aca="false">IFERROR(INDEX($A$1:$A$5,MATCH(3,$S102:$W102,0)),IF(3=MAX($S102:$W102)+1,"取消",""))</f>
        <v>陈师傅</v>
      </c>
      <c r="AB102" s="0" t="str">
        <f aca="false">IFERROR(INDEX($A$1:$A$5,MATCH(4,$S102:$W102,0)),IF(4=MAX($S102:$W102)+1,"取消",""))</f>
        <v>刘师傅</v>
      </c>
      <c r="AC102" s="0" t="str">
        <f aca="false">IFERROR(INDEX($A$1:$A$5,MATCH(5,$S102:$W102,0)),IF(5=MAX($S102:$W102)+1,"取消",""))</f>
        <v>取消</v>
      </c>
      <c r="AD102" s="0" t="str">
        <f aca="false">IFERROR(INDEX($A$1:$A$5,MATCH(6,$S102:$W102,0)),IF(6=MAX($S102:$W102)+1,"取消",""))</f>
        <v/>
      </c>
      <c r="AF102" s="0" t="n">
        <f aca="false">IF(OR($A$1=公区维修!$F102,$BN$1=1),0,1-SUMPRODUCT(--(($A$1=公区维修!$F102)+$BN$1&gt;0)))</f>
        <v>0</v>
      </c>
      <c r="AG102" s="0" t="n">
        <f aca="false">IF(OR($A$2=公区维修!$F102,$BN$2=1),0,2-SUMPRODUCT(--(($A$1:$A$2=公区维修!$F102)+$BN$1:$BN$2&gt;0)))</f>
        <v>1</v>
      </c>
      <c r="AH102" s="0" t="n">
        <f aca="false">IF(OR($A$3=公区维修!$F102,$BN$3=1),0,3-SUMPRODUCT(--(($A$1:$A$3=公区维修!$F102)+$BN$1:$BN$3&gt;0)))</f>
        <v>2</v>
      </c>
      <c r="AI102" s="0" t="n">
        <f aca="false">IF(OR($A$4=公区维修!$F102,$BN$4=1),0,4-SUMPRODUCT(--(($A$1:$A$4=公区维修!$F102)+$BN$1:$BN$4&gt;0)))</f>
        <v>3</v>
      </c>
      <c r="AJ102" s="0" t="n">
        <f aca="false">IF(OR($A$5=公区维修!$F102,$BN$5=1),0,5-SUMPRODUCT(--(($A$1:$A$5=公区维修!$F102)+$BN$1:$BN$5&gt;0)))</f>
        <v>4</v>
      </c>
      <c r="AL102" s="0" t="str">
        <f aca="false">IFERROR(INDEX($A$1:$A$5,MATCH(1,$AF102:$AJ102,0)),IF(1=MAX($AF102:$AJ102)+1,"取消",""))</f>
        <v>李师傅</v>
      </c>
      <c r="AM102" s="0" t="str">
        <f aca="false">IFERROR(INDEX($A$1:$A$5,MATCH(2,$AF102:$AJ102,0)),IF(2=MAX($AF102:$AJ102)+1,"取消",""))</f>
        <v>王师傅</v>
      </c>
      <c r="AN102" s="0" t="str">
        <f aca="false">IFERROR(INDEX($A$1:$A$5,MATCH(3,$AF102:$AJ102,0)),IF(3=MAX($AF102:$AJ102)+1,"取消",""))</f>
        <v>陈师傅</v>
      </c>
      <c r="AO102" s="0" t="str">
        <f aca="false">IFERROR(INDEX($A$1:$A$5,MATCH(4,$AF102:$AJ102,0)),IF(4=MAX($AF102:$AJ102)+1,"取消",""))</f>
        <v>刘师傅</v>
      </c>
      <c r="AP102" s="0" t="str">
        <f aca="false">IFERROR(INDEX($A$1:$A$5,MATCH(5,$AF102:$AJ102,0)),IF(5=MAX($AF102:$AJ102)+1,"取消",""))</f>
        <v>取消</v>
      </c>
      <c r="AQ102" s="0" t="str">
        <f aca="false">IFERROR(INDEX($A$1:$A$5,MATCH(6,$AF102:$AJ102,0)),IF(6=MAX($AF102:$AJ102)+1,"取消",""))</f>
        <v/>
      </c>
      <c r="AS102" s="0" t="n">
        <f aca="false">IF(OR($A$1=公区维修!$F102,$A$1=公区维修!$G102,$BN$1=1),0,1-SUMPRODUCT(--(($A$1=公区维修!$F102)+($A$1=公区维修!$G102)+$BN$1&gt;0)))</f>
        <v>0</v>
      </c>
      <c r="AT102" s="0" t="n">
        <f aca="false">IF(OR($A$2=公区维修!$F102,$A$2=公区维修!$G102,$BN$2=1),0,2-SUMPRODUCT(--(($A$1:$A$2=公区维修!$F102)+($A$1:$A$2=公区维修!$G102)+$BN$1:$BN$2&gt;0)))</f>
        <v>1</v>
      </c>
      <c r="AU102" s="0" t="n">
        <f aca="false">IF(OR($A$3=公区维修!$F102,$A$3=公区维修!$G102,$BN$3=1),0,3-SUMPRODUCT(--(($A$1:$A$3=公区维修!$F102)+($A$1:$A$3=公区维修!$G102)+$BN$1:$BN$3&gt;0)))</f>
        <v>2</v>
      </c>
      <c r="AV102" s="0" t="n">
        <f aca="false">IF(OR($A$4=公区维修!$F102,$A$4=公区维修!$G102,$BN$4=1),0,4-SUMPRODUCT(--(($A$1:$A$4=公区维修!$F102)+($A$1:$A$4=公区维修!$G102)+$BN$1:$BN$4&gt;0)))</f>
        <v>3</v>
      </c>
      <c r="AW102" s="0" t="n">
        <f aca="false">IF(OR($A$5=公区维修!$F102,$A$5=公区维修!$G102,$BN$5=1),0,5-SUMPRODUCT(--(($A$1:$A$5=公区维修!$F102)+($A$1:$A$5=公区维修!$G102)+$BN$1:$BN$5&gt;0)))</f>
        <v>4</v>
      </c>
      <c r="AY102" s="0" t="str">
        <f aca="false">IFERROR(INDEX($A$1:$A$5,MATCH(1,$AS102:$AW102,0)),IF(1=MAX($AS102:$AW102)+1,"取消",""))</f>
        <v>李师傅</v>
      </c>
      <c r="AZ102" s="0" t="str">
        <f aca="false">IFERROR(INDEX($A$1:$A$5,MATCH(2,$AS102:$AW102,0)),IF(2=MAX($AS102:$AW102)+1,"取消",""))</f>
        <v>王师傅</v>
      </c>
      <c r="BA102" s="0" t="str">
        <f aca="false">IFERROR(INDEX($A$1:$A$5,MATCH(3,$AS102:$AW102,0)),IF(3=MAX($AS102:$AW102)+1,"取消",""))</f>
        <v>陈师傅</v>
      </c>
      <c r="BB102" s="0" t="str">
        <f aca="false">IFERROR(INDEX($A$1:$A$5,MATCH(4,$AS102:$AW102,0)),IF(4=MAX($AS102:$AW102)+1,"取消",""))</f>
        <v>刘师傅</v>
      </c>
      <c r="BC102" s="0" t="str">
        <f aca="false">IFERROR(INDEX($A$1:$A$5,MATCH(5,$AS102:$AW102,0)),IF(5=MAX($AS102:$AW102)+1,"取消",""))</f>
        <v>取消</v>
      </c>
      <c r="BD102" s="0" t="str">
        <f aca="false">IFERROR(INDEX($A$1:$A$5,MATCH(6,$AS102:$AW102,0)),IF(6=MAX($AS102:$AW102)+1,"取消",""))</f>
        <v/>
      </c>
      <c r="FW102" s="0" t="str">
        <f aca="false">IF(AND(单元查询!$D$3&lt;&gt;"",IF(单元查询!$B$3="公区维修",公区维修!$E102&lt;&gt;"",入户维修!$E102&lt;&gt;""),IF(单元查询!$B$3="公区维修",公区维修!$C102,入户维修!$C102)=单元查询!$D$3,OR(单元查询!$F$3="",IF(单元查询!$B$3="公区维修",公区维修!$D102,入户维修!$D102)&amp;""=(单元查询!$F$3)&amp;"")),MAX($FW$4:$FW101)+1,"")</f>
        <v/>
      </c>
    </row>
    <row r="103" customFormat="false" ht="15" hidden="false" customHeight="true" outlineLevel="0" collapsed="false">
      <c r="F103" s="0" t="n">
        <f aca="false">IF(OR($A$1=入户维修!$F103,$BN$1=1),0,1-SUMPRODUCT(--(($A$1=入户维修!$F103)+$BN$1&gt;0)))</f>
        <v>0</v>
      </c>
      <c r="G103" s="0" t="n">
        <f aca="false">IF(OR($A$2=入户维修!$F103,$BN$2=1),0,2-SUMPRODUCT(--(($A$1:$A$2=入户维修!$F103)+$BN$1:$BN$2&gt;0)))</f>
        <v>0</v>
      </c>
      <c r="H103" s="0" t="n">
        <f aca="false">IF(OR($A$3=入户维修!$F103,$BN$3=1),0,3-SUMPRODUCT(--(($A$1:$A$3=入户维修!$F103)+$BN$1:$BN$3&gt;0)))</f>
        <v>1</v>
      </c>
      <c r="I103" s="0" t="n">
        <f aca="false">IF(OR($A$4=入户维修!$F103,$BN$4=1),0,4-SUMPRODUCT(--(($A$1:$A$4=入户维修!$F103)+$BN$1:$BN$4&gt;0)))</f>
        <v>2</v>
      </c>
      <c r="J103" s="0" t="n">
        <f aca="false">IF(OR($A$5=入户维修!$F103,$BN$5=1),0,5-SUMPRODUCT(--(($A$1:$A$5=入户维修!$F103)+$BN$1:$BN$5&gt;0)))</f>
        <v>3</v>
      </c>
      <c r="L103" s="0" t="str">
        <f aca="false">IFERROR(INDEX($A$1:$A$5,MATCH(1,$F103:$J103,0)),IF(1=MAX($F103:$J103)+1,"取消",""))</f>
        <v>王师傅</v>
      </c>
      <c r="M103" s="0" t="str">
        <f aca="false">IFERROR(INDEX($A$1:$A$5,MATCH(2,$F103:$J103,0)),IF(2=MAX($F103:$J103)+1,"取消",""))</f>
        <v>陈师傅</v>
      </c>
      <c r="N103" s="0" t="str">
        <f aca="false">IFERROR(INDEX($A$1:$A$5,MATCH(3,$F103:$J103,0)),IF(3=MAX($F103:$J103)+1,"取消",""))</f>
        <v>刘师傅</v>
      </c>
      <c r="O103" s="0" t="str">
        <f aca="false">IFERROR(INDEX($A$1:$A$5,MATCH(4,$F103:$J103,0)),IF(4=MAX($F103:$J103)+1,"取消",""))</f>
        <v>取消</v>
      </c>
      <c r="P103" s="0" t="str">
        <f aca="false">IFERROR(INDEX($A$1:$A$5,MATCH(5,$F103:$J103,0)),IF(5=MAX($F103:$J103)+1,"取消",""))</f>
        <v/>
      </c>
      <c r="Q103" s="0" t="str">
        <f aca="false">IFERROR(INDEX($A$1:$A$5,MATCH(6,$F103:$J103,0)),IF(6=MAX($F103:$J103)+1,"取消",""))</f>
        <v/>
      </c>
      <c r="S103" s="0" t="n">
        <f aca="false">IF(OR($A$1=入户维修!$F103,$A$1=入户维修!$G103,$BN$1=1),0,1-SUMPRODUCT(--(($A$1=入户维修!$F103)+($A$1=入户维修!$G103)+$BN$1&gt;0)))</f>
        <v>0</v>
      </c>
      <c r="T103" s="0" t="n">
        <f aca="false">IF(OR($A$2=入户维修!$F103,$A$2=入户维修!$G103,$BN$2=1),0,2-SUMPRODUCT(--(($A$1:$A$2=入户维修!$F103)+($A$1:$A$2=入户维修!$G103)+$BN$1:$BN$2&gt;0)))</f>
        <v>0</v>
      </c>
      <c r="U103" s="0" t="n">
        <f aca="false">IF(OR($A$3=入户维修!$F103,$A$3=入户维修!$G103,$BN$3=1),0,3-SUMPRODUCT(--(($A$1:$A$3=入户维修!$F103)+($A$1:$A$3=入户维修!$G103)+$BN$1:$BN$3&gt;0)))</f>
        <v>1</v>
      </c>
      <c r="V103" s="0" t="n">
        <f aca="false">IF(OR($A$4=入户维修!$F103,$A$4=入户维修!$G103,$BN$4=1),0,4-SUMPRODUCT(--(($A$1:$A$4=入户维修!$F103)+($A$1:$A$4=入户维修!$G103)+$BN$1:$BN$4&gt;0)))</f>
        <v>2</v>
      </c>
      <c r="W103" s="0" t="n">
        <f aca="false">IF(OR($A$5=入户维修!$F103,$A$5=入户维修!$G103,$BN$5=1),0,5-SUMPRODUCT(--(($A$1:$A$5=入户维修!$F103)+($A$1:$A$5=入户维修!$G103)+$BN$1:$BN$5&gt;0)))</f>
        <v>3</v>
      </c>
      <c r="Y103" s="0" t="str">
        <f aca="false">IFERROR(INDEX($A$1:$A$5,MATCH(1,$S103:$W103,0)),IF(1=MAX($S103:$W103)+1,"取消",""))</f>
        <v>王师傅</v>
      </c>
      <c r="Z103" s="0" t="str">
        <f aca="false">IFERROR(INDEX($A$1:$A$5,MATCH(2,$S103:$W103,0)),IF(2=MAX($S103:$W103)+1,"取消",""))</f>
        <v>陈师傅</v>
      </c>
      <c r="AA103" s="0" t="str">
        <f aca="false">IFERROR(INDEX($A$1:$A$5,MATCH(3,$S103:$W103,0)),IF(3=MAX($S103:$W103)+1,"取消",""))</f>
        <v>刘师傅</v>
      </c>
      <c r="AB103" s="0" t="str">
        <f aca="false">IFERROR(INDEX($A$1:$A$5,MATCH(4,$S103:$W103,0)),IF(4=MAX($S103:$W103)+1,"取消",""))</f>
        <v>取消</v>
      </c>
      <c r="AC103" s="0" t="str">
        <f aca="false">IFERROR(INDEX($A$1:$A$5,MATCH(5,$S103:$W103,0)),IF(5=MAX($S103:$W103)+1,"取消",""))</f>
        <v/>
      </c>
      <c r="AD103" s="0" t="str">
        <f aca="false">IFERROR(INDEX($A$1:$A$5,MATCH(6,$S103:$W103,0)),IF(6=MAX($S103:$W103)+1,"取消",""))</f>
        <v/>
      </c>
      <c r="AF103" s="0" t="n">
        <f aca="false">IF(OR($A$1=公区维修!$F103,$BN$1=1),0,1-SUMPRODUCT(--(($A$1=公区维修!$F103)+$BN$1&gt;0)))</f>
        <v>0</v>
      </c>
      <c r="AG103" s="0" t="n">
        <f aca="false">IF(OR($A$2=公区维修!$F103,$BN$2=1),0,2-SUMPRODUCT(--(($A$1:$A$2=公区维修!$F103)+$BN$1:$BN$2&gt;0)))</f>
        <v>1</v>
      </c>
      <c r="AH103" s="0" t="n">
        <f aca="false">IF(OR($A$3=公区维修!$F103,$BN$3=1),0,3-SUMPRODUCT(--(($A$1:$A$3=公区维修!$F103)+$BN$1:$BN$3&gt;0)))</f>
        <v>2</v>
      </c>
      <c r="AI103" s="0" t="n">
        <f aca="false">IF(OR($A$4=公区维修!$F103,$BN$4=1),0,4-SUMPRODUCT(--(($A$1:$A$4=公区维修!$F103)+$BN$1:$BN$4&gt;0)))</f>
        <v>3</v>
      </c>
      <c r="AJ103" s="0" t="n">
        <f aca="false">IF(OR($A$5=公区维修!$F103,$BN$5=1),0,5-SUMPRODUCT(--(($A$1:$A$5=公区维修!$F103)+$BN$1:$BN$5&gt;0)))</f>
        <v>4</v>
      </c>
      <c r="AL103" s="0" t="str">
        <f aca="false">IFERROR(INDEX($A$1:$A$5,MATCH(1,$AF103:$AJ103,0)),IF(1=MAX($AF103:$AJ103)+1,"取消",""))</f>
        <v>李师傅</v>
      </c>
      <c r="AM103" s="0" t="str">
        <f aca="false">IFERROR(INDEX($A$1:$A$5,MATCH(2,$AF103:$AJ103,0)),IF(2=MAX($AF103:$AJ103)+1,"取消",""))</f>
        <v>王师傅</v>
      </c>
      <c r="AN103" s="0" t="str">
        <f aca="false">IFERROR(INDEX($A$1:$A$5,MATCH(3,$AF103:$AJ103,0)),IF(3=MAX($AF103:$AJ103)+1,"取消",""))</f>
        <v>陈师傅</v>
      </c>
      <c r="AO103" s="0" t="str">
        <f aca="false">IFERROR(INDEX($A$1:$A$5,MATCH(4,$AF103:$AJ103,0)),IF(4=MAX($AF103:$AJ103)+1,"取消",""))</f>
        <v>刘师傅</v>
      </c>
      <c r="AP103" s="0" t="str">
        <f aca="false">IFERROR(INDEX($A$1:$A$5,MATCH(5,$AF103:$AJ103,0)),IF(5=MAX($AF103:$AJ103)+1,"取消",""))</f>
        <v>取消</v>
      </c>
      <c r="AQ103" s="0" t="str">
        <f aca="false">IFERROR(INDEX($A$1:$A$5,MATCH(6,$AF103:$AJ103,0)),IF(6=MAX($AF103:$AJ103)+1,"取消",""))</f>
        <v/>
      </c>
      <c r="AS103" s="0" t="n">
        <f aca="false">IF(OR($A$1=公区维修!$F103,$A$1=公区维修!$G103,$BN$1=1),0,1-SUMPRODUCT(--(($A$1=公区维修!$F103)+($A$1=公区维修!$G103)+$BN$1&gt;0)))</f>
        <v>0</v>
      </c>
      <c r="AT103" s="0" t="n">
        <f aca="false">IF(OR($A$2=公区维修!$F103,$A$2=公区维修!$G103,$BN$2=1),0,2-SUMPRODUCT(--(($A$1:$A$2=公区维修!$F103)+($A$1:$A$2=公区维修!$G103)+$BN$1:$BN$2&gt;0)))</f>
        <v>1</v>
      </c>
      <c r="AU103" s="0" t="n">
        <f aca="false">IF(OR($A$3=公区维修!$F103,$A$3=公区维修!$G103,$BN$3=1),0,3-SUMPRODUCT(--(($A$1:$A$3=公区维修!$F103)+($A$1:$A$3=公区维修!$G103)+$BN$1:$BN$3&gt;0)))</f>
        <v>2</v>
      </c>
      <c r="AV103" s="0" t="n">
        <f aca="false">IF(OR($A$4=公区维修!$F103,$A$4=公区维修!$G103,$BN$4=1),0,4-SUMPRODUCT(--(($A$1:$A$4=公区维修!$F103)+($A$1:$A$4=公区维修!$G103)+$BN$1:$BN$4&gt;0)))</f>
        <v>3</v>
      </c>
      <c r="AW103" s="0" t="n">
        <f aca="false">IF(OR($A$5=公区维修!$F103,$A$5=公区维修!$G103,$BN$5=1),0,5-SUMPRODUCT(--(($A$1:$A$5=公区维修!$F103)+($A$1:$A$5=公区维修!$G103)+$BN$1:$BN$5&gt;0)))</f>
        <v>4</v>
      </c>
      <c r="AY103" s="0" t="str">
        <f aca="false">IFERROR(INDEX($A$1:$A$5,MATCH(1,$AS103:$AW103,0)),IF(1=MAX($AS103:$AW103)+1,"取消",""))</f>
        <v>李师傅</v>
      </c>
      <c r="AZ103" s="0" t="str">
        <f aca="false">IFERROR(INDEX($A$1:$A$5,MATCH(2,$AS103:$AW103,0)),IF(2=MAX($AS103:$AW103)+1,"取消",""))</f>
        <v>王师傅</v>
      </c>
      <c r="BA103" s="0" t="str">
        <f aca="false">IFERROR(INDEX($A$1:$A$5,MATCH(3,$AS103:$AW103,0)),IF(3=MAX($AS103:$AW103)+1,"取消",""))</f>
        <v>陈师傅</v>
      </c>
      <c r="BB103" s="0" t="str">
        <f aca="false">IFERROR(INDEX($A$1:$A$5,MATCH(4,$AS103:$AW103,0)),IF(4=MAX($AS103:$AW103)+1,"取消",""))</f>
        <v>刘师傅</v>
      </c>
      <c r="BC103" s="0" t="str">
        <f aca="false">IFERROR(INDEX($A$1:$A$5,MATCH(5,$AS103:$AW103,0)),IF(5=MAX($AS103:$AW103)+1,"取消",""))</f>
        <v>取消</v>
      </c>
      <c r="BD103" s="0" t="str">
        <f aca="false">IFERROR(INDEX($A$1:$A$5,MATCH(6,$AS103:$AW103,0)),IF(6=MAX($AS103:$AW103)+1,"取消",""))</f>
        <v/>
      </c>
      <c r="FW103" s="0" t="str">
        <f aca="false">IF(AND(单元查询!$D$3&lt;&gt;"",IF(单元查询!$B$3="公区维修",公区维修!$E103&lt;&gt;"",入户维修!$E103&lt;&gt;""),IF(单元查询!$B$3="公区维修",公区维修!$C103,入户维修!$C103)=单元查询!$D$3,OR(单元查询!$F$3="",IF(单元查询!$B$3="公区维修",公区维修!$D103,入户维修!$D103)&amp;""=(单元查询!$F$3)&amp;"")),MAX($FW$4:$FW102)+1,"")</f>
        <v/>
      </c>
    </row>
    <row r="104" customFormat="false" ht="15" hidden="false" customHeight="true" outlineLevel="0" collapsed="false">
      <c r="F104" s="0" t="n">
        <f aca="false">IF(OR($A$1=入户维修!$F104,$BN$1=1),0,1-SUMPRODUCT(--(($A$1=入户维修!$F104)+$BN$1&gt;0)))</f>
        <v>0</v>
      </c>
      <c r="G104" s="0" t="n">
        <f aca="false">IF(OR($A$2=入户维修!$F104,$BN$2=1),0,2-SUMPRODUCT(--(($A$1:$A$2=入户维修!$F104)+$BN$1:$BN$2&gt;0)))</f>
        <v>0</v>
      </c>
      <c r="H104" s="0" t="n">
        <f aca="false">IF(OR($A$3=入户维修!$F104,$BN$3=1),0,3-SUMPRODUCT(--(($A$1:$A$3=入户维修!$F104)+$BN$1:$BN$3&gt;0)))</f>
        <v>1</v>
      </c>
      <c r="I104" s="0" t="n">
        <f aca="false">IF(OR($A$4=入户维修!$F104,$BN$4=1),0,4-SUMPRODUCT(--(($A$1:$A$4=入户维修!$F104)+$BN$1:$BN$4&gt;0)))</f>
        <v>2</v>
      </c>
      <c r="J104" s="0" t="n">
        <f aca="false">IF(OR($A$5=入户维修!$F104,$BN$5=1),0,5-SUMPRODUCT(--(($A$1:$A$5=入户维修!$F104)+$BN$1:$BN$5&gt;0)))</f>
        <v>3</v>
      </c>
      <c r="L104" s="0" t="str">
        <f aca="false">IFERROR(INDEX($A$1:$A$5,MATCH(1,$F104:$J104,0)),IF(1=MAX($F104:$J104)+1,"取消",""))</f>
        <v>王师傅</v>
      </c>
      <c r="M104" s="0" t="str">
        <f aca="false">IFERROR(INDEX($A$1:$A$5,MATCH(2,$F104:$J104,0)),IF(2=MAX($F104:$J104)+1,"取消",""))</f>
        <v>陈师傅</v>
      </c>
      <c r="N104" s="0" t="str">
        <f aca="false">IFERROR(INDEX($A$1:$A$5,MATCH(3,$F104:$J104,0)),IF(3=MAX($F104:$J104)+1,"取消",""))</f>
        <v>刘师傅</v>
      </c>
      <c r="O104" s="0" t="str">
        <f aca="false">IFERROR(INDEX($A$1:$A$5,MATCH(4,$F104:$J104,0)),IF(4=MAX($F104:$J104)+1,"取消",""))</f>
        <v>取消</v>
      </c>
      <c r="P104" s="0" t="str">
        <f aca="false">IFERROR(INDEX($A$1:$A$5,MATCH(5,$F104:$J104,0)),IF(5=MAX($F104:$J104)+1,"取消",""))</f>
        <v/>
      </c>
      <c r="Q104" s="0" t="str">
        <f aca="false">IFERROR(INDEX($A$1:$A$5,MATCH(6,$F104:$J104,0)),IF(6=MAX($F104:$J104)+1,"取消",""))</f>
        <v/>
      </c>
      <c r="S104" s="0" t="n">
        <f aca="false">IF(OR($A$1=入户维修!$F104,$A$1=入户维修!$G104,$BN$1=1),0,1-SUMPRODUCT(--(($A$1=入户维修!$F104)+($A$1=入户维修!$G104)+$BN$1&gt;0)))</f>
        <v>0</v>
      </c>
      <c r="T104" s="0" t="n">
        <f aca="false">IF(OR($A$2=入户维修!$F104,$A$2=入户维修!$G104,$BN$2=1),0,2-SUMPRODUCT(--(($A$1:$A$2=入户维修!$F104)+($A$1:$A$2=入户维修!$G104)+$BN$1:$BN$2&gt;0)))</f>
        <v>0</v>
      </c>
      <c r="U104" s="0" t="n">
        <f aca="false">IF(OR($A$3=入户维修!$F104,$A$3=入户维修!$G104,$BN$3=1),0,3-SUMPRODUCT(--(($A$1:$A$3=入户维修!$F104)+($A$1:$A$3=入户维修!$G104)+$BN$1:$BN$3&gt;0)))</f>
        <v>1</v>
      </c>
      <c r="V104" s="0" t="n">
        <f aca="false">IF(OR($A$4=入户维修!$F104,$A$4=入户维修!$G104,$BN$4=1),0,4-SUMPRODUCT(--(($A$1:$A$4=入户维修!$F104)+($A$1:$A$4=入户维修!$G104)+$BN$1:$BN$4&gt;0)))</f>
        <v>2</v>
      </c>
      <c r="W104" s="0" t="n">
        <f aca="false">IF(OR($A$5=入户维修!$F104,$A$5=入户维修!$G104,$BN$5=1),0,5-SUMPRODUCT(--(($A$1:$A$5=入户维修!$F104)+($A$1:$A$5=入户维修!$G104)+$BN$1:$BN$5&gt;0)))</f>
        <v>3</v>
      </c>
      <c r="Y104" s="0" t="str">
        <f aca="false">IFERROR(INDEX($A$1:$A$5,MATCH(1,$S104:$W104,0)),IF(1=MAX($S104:$W104)+1,"取消",""))</f>
        <v>王师傅</v>
      </c>
      <c r="Z104" s="0" t="str">
        <f aca="false">IFERROR(INDEX($A$1:$A$5,MATCH(2,$S104:$W104,0)),IF(2=MAX($S104:$W104)+1,"取消",""))</f>
        <v>陈师傅</v>
      </c>
      <c r="AA104" s="0" t="str">
        <f aca="false">IFERROR(INDEX($A$1:$A$5,MATCH(3,$S104:$W104,0)),IF(3=MAX($S104:$W104)+1,"取消",""))</f>
        <v>刘师傅</v>
      </c>
      <c r="AB104" s="0" t="str">
        <f aca="false">IFERROR(INDEX($A$1:$A$5,MATCH(4,$S104:$W104,0)),IF(4=MAX($S104:$W104)+1,"取消",""))</f>
        <v>取消</v>
      </c>
      <c r="AC104" s="0" t="str">
        <f aca="false">IFERROR(INDEX($A$1:$A$5,MATCH(5,$S104:$W104,0)),IF(5=MAX($S104:$W104)+1,"取消",""))</f>
        <v/>
      </c>
      <c r="AD104" s="0" t="str">
        <f aca="false">IFERROR(INDEX($A$1:$A$5,MATCH(6,$S104:$W104,0)),IF(6=MAX($S104:$W104)+1,"取消",""))</f>
        <v/>
      </c>
      <c r="AF104" s="0" t="n">
        <f aca="false">IF(OR($A$1=公区维修!$F104,$BN$1=1),0,1-SUMPRODUCT(--(($A$1=公区维修!$F104)+$BN$1&gt;0)))</f>
        <v>0</v>
      </c>
      <c r="AG104" s="0" t="n">
        <f aca="false">IF(OR($A$2=公区维修!$F104,$BN$2=1),0,2-SUMPRODUCT(--(($A$1:$A$2=公区维修!$F104)+$BN$1:$BN$2&gt;0)))</f>
        <v>1</v>
      </c>
      <c r="AH104" s="0" t="n">
        <f aca="false">IF(OR($A$3=公区维修!$F104,$BN$3=1),0,3-SUMPRODUCT(--(($A$1:$A$3=公区维修!$F104)+$BN$1:$BN$3&gt;0)))</f>
        <v>2</v>
      </c>
      <c r="AI104" s="0" t="n">
        <f aca="false">IF(OR($A$4=公区维修!$F104,$BN$4=1),0,4-SUMPRODUCT(--(($A$1:$A$4=公区维修!$F104)+$BN$1:$BN$4&gt;0)))</f>
        <v>3</v>
      </c>
      <c r="AJ104" s="0" t="n">
        <f aca="false">IF(OR($A$5=公区维修!$F104,$BN$5=1),0,5-SUMPRODUCT(--(($A$1:$A$5=公区维修!$F104)+$BN$1:$BN$5&gt;0)))</f>
        <v>4</v>
      </c>
      <c r="AL104" s="0" t="str">
        <f aca="false">IFERROR(INDEX($A$1:$A$5,MATCH(1,$AF104:$AJ104,0)),IF(1=MAX($AF104:$AJ104)+1,"取消",""))</f>
        <v>李师傅</v>
      </c>
      <c r="AM104" s="0" t="str">
        <f aca="false">IFERROR(INDEX($A$1:$A$5,MATCH(2,$AF104:$AJ104,0)),IF(2=MAX($AF104:$AJ104)+1,"取消",""))</f>
        <v>王师傅</v>
      </c>
      <c r="AN104" s="0" t="str">
        <f aca="false">IFERROR(INDEX($A$1:$A$5,MATCH(3,$AF104:$AJ104,0)),IF(3=MAX($AF104:$AJ104)+1,"取消",""))</f>
        <v>陈师傅</v>
      </c>
      <c r="AO104" s="0" t="str">
        <f aca="false">IFERROR(INDEX($A$1:$A$5,MATCH(4,$AF104:$AJ104,0)),IF(4=MAX($AF104:$AJ104)+1,"取消",""))</f>
        <v>刘师傅</v>
      </c>
      <c r="AP104" s="0" t="str">
        <f aca="false">IFERROR(INDEX($A$1:$A$5,MATCH(5,$AF104:$AJ104,0)),IF(5=MAX($AF104:$AJ104)+1,"取消",""))</f>
        <v>取消</v>
      </c>
      <c r="AQ104" s="0" t="str">
        <f aca="false">IFERROR(INDEX($A$1:$A$5,MATCH(6,$AF104:$AJ104,0)),IF(6=MAX($AF104:$AJ104)+1,"取消",""))</f>
        <v/>
      </c>
      <c r="AS104" s="0" t="n">
        <f aca="false">IF(OR($A$1=公区维修!$F104,$A$1=公区维修!$G104,$BN$1=1),0,1-SUMPRODUCT(--(($A$1=公区维修!$F104)+($A$1=公区维修!$G104)+$BN$1&gt;0)))</f>
        <v>0</v>
      </c>
      <c r="AT104" s="0" t="n">
        <f aca="false">IF(OR($A$2=公区维修!$F104,$A$2=公区维修!$G104,$BN$2=1),0,2-SUMPRODUCT(--(($A$1:$A$2=公区维修!$F104)+($A$1:$A$2=公区维修!$G104)+$BN$1:$BN$2&gt;0)))</f>
        <v>1</v>
      </c>
      <c r="AU104" s="0" t="n">
        <f aca="false">IF(OR($A$3=公区维修!$F104,$A$3=公区维修!$G104,$BN$3=1),0,3-SUMPRODUCT(--(($A$1:$A$3=公区维修!$F104)+($A$1:$A$3=公区维修!$G104)+$BN$1:$BN$3&gt;0)))</f>
        <v>2</v>
      </c>
      <c r="AV104" s="0" t="n">
        <f aca="false">IF(OR($A$4=公区维修!$F104,$A$4=公区维修!$G104,$BN$4=1),0,4-SUMPRODUCT(--(($A$1:$A$4=公区维修!$F104)+($A$1:$A$4=公区维修!$G104)+$BN$1:$BN$4&gt;0)))</f>
        <v>3</v>
      </c>
      <c r="AW104" s="0" t="n">
        <f aca="false">IF(OR($A$5=公区维修!$F104,$A$5=公区维修!$G104,$BN$5=1),0,5-SUMPRODUCT(--(($A$1:$A$5=公区维修!$F104)+($A$1:$A$5=公区维修!$G104)+$BN$1:$BN$5&gt;0)))</f>
        <v>4</v>
      </c>
      <c r="AY104" s="0" t="str">
        <f aca="false">IFERROR(INDEX($A$1:$A$5,MATCH(1,$AS104:$AW104,0)),IF(1=MAX($AS104:$AW104)+1,"取消",""))</f>
        <v>李师傅</v>
      </c>
      <c r="AZ104" s="0" t="str">
        <f aca="false">IFERROR(INDEX($A$1:$A$5,MATCH(2,$AS104:$AW104,0)),IF(2=MAX($AS104:$AW104)+1,"取消",""))</f>
        <v>王师傅</v>
      </c>
      <c r="BA104" s="0" t="str">
        <f aca="false">IFERROR(INDEX($A$1:$A$5,MATCH(3,$AS104:$AW104,0)),IF(3=MAX($AS104:$AW104)+1,"取消",""))</f>
        <v>陈师傅</v>
      </c>
      <c r="BB104" s="0" t="str">
        <f aca="false">IFERROR(INDEX($A$1:$A$5,MATCH(4,$AS104:$AW104,0)),IF(4=MAX($AS104:$AW104)+1,"取消",""))</f>
        <v>刘师傅</v>
      </c>
      <c r="BC104" s="0" t="str">
        <f aca="false">IFERROR(INDEX($A$1:$A$5,MATCH(5,$AS104:$AW104,0)),IF(5=MAX($AS104:$AW104)+1,"取消",""))</f>
        <v>取消</v>
      </c>
      <c r="BD104" s="0" t="str">
        <f aca="false">IFERROR(INDEX($A$1:$A$5,MATCH(6,$AS104:$AW104,0)),IF(6=MAX($AS104:$AW104)+1,"取消",""))</f>
        <v/>
      </c>
      <c r="FW104" s="0" t="str">
        <f aca="false">IF(AND(单元查询!$D$3&lt;&gt;"",IF(单元查询!$B$3="公区维修",公区维修!$E104&lt;&gt;"",入户维修!$E104&lt;&gt;""),IF(单元查询!$B$3="公区维修",公区维修!$C104,入户维修!$C104)=单元查询!$D$3,OR(单元查询!$F$3="",IF(单元查询!$B$3="公区维修",公区维修!$D104,入户维修!$D104)&amp;""=(单元查询!$F$3)&amp;"")),MAX($FW$4:$FW103)+1,"")</f>
        <v/>
      </c>
    </row>
    <row r="105" customFormat="false" ht="15" hidden="false" customHeight="true" outlineLevel="0" collapsed="false">
      <c r="F105" s="0" t="n">
        <f aca="false">IF(OR($A$1=入户维修!$F105,$BN$1=1),0,1-SUMPRODUCT(--(($A$1=入户维修!$F105)+$BN$1&gt;0)))</f>
        <v>0</v>
      </c>
      <c r="G105" s="0" t="n">
        <f aca="false">IF(OR($A$2=入户维修!$F105,$BN$2=1),0,2-SUMPRODUCT(--(($A$1:$A$2=入户维修!$F105)+$BN$1:$BN$2&gt;0)))</f>
        <v>1</v>
      </c>
      <c r="H105" s="0" t="n">
        <f aca="false">IF(OR($A$3=入户维修!$F105,$BN$3=1),0,3-SUMPRODUCT(--(($A$1:$A$3=入户维修!$F105)+$BN$1:$BN$3&gt;0)))</f>
        <v>2</v>
      </c>
      <c r="I105" s="0" t="n">
        <f aca="false">IF(OR($A$4=入户维修!$F105,$BN$4=1),0,4-SUMPRODUCT(--(($A$1:$A$4=入户维修!$F105)+$BN$1:$BN$4&gt;0)))</f>
        <v>3</v>
      </c>
      <c r="J105" s="0" t="n">
        <f aca="false">IF(OR($A$5=入户维修!$F105,$BN$5=1),0,5-SUMPRODUCT(--(($A$1:$A$5=入户维修!$F105)+$BN$1:$BN$5&gt;0)))</f>
        <v>0</v>
      </c>
      <c r="L105" s="0" t="str">
        <f aca="false">IFERROR(INDEX($A$1:$A$5,MATCH(1,$F105:$J105,0)),IF(1=MAX($F105:$J105)+1,"取消",""))</f>
        <v>李师傅</v>
      </c>
      <c r="M105" s="0" t="str">
        <f aca="false">IFERROR(INDEX($A$1:$A$5,MATCH(2,$F105:$J105,0)),IF(2=MAX($F105:$J105)+1,"取消",""))</f>
        <v>王师傅</v>
      </c>
      <c r="N105" s="0" t="str">
        <f aca="false">IFERROR(INDEX($A$1:$A$5,MATCH(3,$F105:$J105,0)),IF(3=MAX($F105:$J105)+1,"取消",""))</f>
        <v>陈师傅</v>
      </c>
      <c r="O105" s="0" t="str">
        <f aca="false">IFERROR(INDEX($A$1:$A$5,MATCH(4,$F105:$J105,0)),IF(4=MAX($F105:$J105)+1,"取消",""))</f>
        <v>取消</v>
      </c>
      <c r="P105" s="0" t="str">
        <f aca="false">IFERROR(INDEX($A$1:$A$5,MATCH(5,$F105:$J105,0)),IF(5=MAX($F105:$J105)+1,"取消",""))</f>
        <v/>
      </c>
      <c r="Q105" s="0" t="str">
        <f aca="false">IFERROR(INDEX($A$1:$A$5,MATCH(6,$F105:$J105,0)),IF(6=MAX($F105:$J105)+1,"取消",""))</f>
        <v/>
      </c>
      <c r="S105" s="0" t="n">
        <f aca="false">IF(OR($A$1=入户维修!$F105,$A$1=入户维修!$G105,$BN$1=1),0,1-SUMPRODUCT(--(($A$1=入户维修!$F105)+($A$1=入户维修!$G105)+$BN$1&gt;0)))</f>
        <v>0</v>
      </c>
      <c r="T105" s="0" t="n">
        <f aca="false">IF(OR($A$2=入户维修!$F105,$A$2=入户维修!$G105,$BN$2=1),0,2-SUMPRODUCT(--(($A$1:$A$2=入户维修!$F105)+($A$1:$A$2=入户维修!$G105)+$BN$1:$BN$2&gt;0)))</f>
        <v>1</v>
      </c>
      <c r="U105" s="0" t="n">
        <f aca="false">IF(OR($A$3=入户维修!$F105,$A$3=入户维修!$G105,$BN$3=1),0,3-SUMPRODUCT(--(($A$1:$A$3=入户维修!$F105)+($A$1:$A$3=入户维修!$G105)+$BN$1:$BN$3&gt;0)))</f>
        <v>2</v>
      </c>
      <c r="V105" s="0" t="n">
        <f aca="false">IF(OR($A$4=入户维修!$F105,$A$4=入户维修!$G105,$BN$4=1),0,4-SUMPRODUCT(--(($A$1:$A$4=入户维修!$F105)+($A$1:$A$4=入户维修!$G105)+$BN$1:$BN$4&gt;0)))</f>
        <v>3</v>
      </c>
      <c r="W105" s="0" t="n">
        <f aca="false">IF(OR($A$5=入户维修!$F105,$A$5=入户维修!$G105,$BN$5=1),0,5-SUMPRODUCT(--(($A$1:$A$5=入户维修!$F105)+($A$1:$A$5=入户维修!$G105)+$BN$1:$BN$5&gt;0)))</f>
        <v>0</v>
      </c>
      <c r="Y105" s="0" t="str">
        <f aca="false">IFERROR(INDEX($A$1:$A$5,MATCH(1,$S105:$W105,0)),IF(1=MAX($S105:$W105)+1,"取消",""))</f>
        <v>李师傅</v>
      </c>
      <c r="Z105" s="0" t="str">
        <f aca="false">IFERROR(INDEX($A$1:$A$5,MATCH(2,$S105:$W105,0)),IF(2=MAX($S105:$W105)+1,"取消",""))</f>
        <v>王师傅</v>
      </c>
      <c r="AA105" s="0" t="str">
        <f aca="false">IFERROR(INDEX($A$1:$A$5,MATCH(3,$S105:$W105,0)),IF(3=MAX($S105:$W105)+1,"取消",""))</f>
        <v>陈师傅</v>
      </c>
      <c r="AB105" s="0" t="str">
        <f aca="false">IFERROR(INDEX($A$1:$A$5,MATCH(4,$S105:$W105,0)),IF(4=MAX($S105:$W105)+1,"取消",""))</f>
        <v>取消</v>
      </c>
      <c r="AC105" s="0" t="str">
        <f aca="false">IFERROR(INDEX($A$1:$A$5,MATCH(5,$S105:$W105,0)),IF(5=MAX($S105:$W105)+1,"取消",""))</f>
        <v/>
      </c>
      <c r="AD105" s="0" t="str">
        <f aca="false">IFERROR(INDEX($A$1:$A$5,MATCH(6,$S105:$W105,0)),IF(6=MAX($S105:$W105)+1,"取消",""))</f>
        <v/>
      </c>
      <c r="AF105" s="0" t="n">
        <f aca="false">IF(OR($A$1=公区维修!$F105,$BN$1=1),0,1-SUMPRODUCT(--(($A$1=公区维修!$F105)+$BN$1&gt;0)))</f>
        <v>0</v>
      </c>
      <c r="AG105" s="0" t="n">
        <f aca="false">IF(OR($A$2=公区维修!$F105,$BN$2=1),0,2-SUMPRODUCT(--(($A$1:$A$2=公区维修!$F105)+$BN$1:$BN$2&gt;0)))</f>
        <v>1</v>
      </c>
      <c r="AH105" s="0" t="n">
        <f aca="false">IF(OR($A$3=公区维修!$F105,$BN$3=1),0,3-SUMPRODUCT(--(($A$1:$A$3=公区维修!$F105)+$BN$1:$BN$3&gt;0)))</f>
        <v>2</v>
      </c>
      <c r="AI105" s="0" t="n">
        <f aca="false">IF(OR($A$4=公区维修!$F105,$BN$4=1),0,4-SUMPRODUCT(--(($A$1:$A$4=公区维修!$F105)+$BN$1:$BN$4&gt;0)))</f>
        <v>3</v>
      </c>
      <c r="AJ105" s="0" t="n">
        <f aca="false">IF(OR($A$5=公区维修!$F105,$BN$5=1),0,5-SUMPRODUCT(--(($A$1:$A$5=公区维修!$F105)+$BN$1:$BN$5&gt;0)))</f>
        <v>4</v>
      </c>
      <c r="AL105" s="0" t="str">
        <f aca="false">IFERROR(INDEX($A$1:$A$5,MATCH(1,$AF105:$AJ105,0)),IF(1=MAX($AF105:$AJ105)+1,"取消",""))</f>
        <v>李师傅</v>
      </c>
      <c r="AM105" s="0" t="str">
        <f aca="false">IFERROR(INDEX($A$1:$A$5,MATCH(2,$AF105:$AJ105,0)),IF(2=MAX($AF105:$AJ105)+1,"取消",""))</f>
        <v>王师傅</v>
      </c>
      <c r="AN105" s="0" t="str">
        <f aca="false">IFERROR(INDEX($A$1:$A$5,MATCH(3,$AF105:$AJ105,0)),IF(3=MAX($AF105:$AJ105)+1,"取消",""))</f>
        <v>陈师傅</v>
      </c>
      <c r="AO105" s="0" t="str">
        <f aca="false">IFERROR(INDEX($A$1:$A$5,MATCH(4,$AF105:$AJ105,0)),IF(4=MAX($AF105:$AJ105)+1,"取消",""))</f>
        <v>刘师傅</v>
      </c>
      <c r="AP105" s="0" t="str">
        <f aca="false">IFERROR(INDEX($A$1:$A$5,MATCH(5,$AF105:$AJ105,0)),IF(5=MAX($AF105:$AJ105)+1,"取消",""))</f>
        <v>取消</v>
      </c>
      <c r="AQ105" s="0" t="str">
        <f aca="false">IFERROR(INDEX($A$1:$A$5,MATCH(6,$AF105:$AJ105,0)),IF(6=MAX($AF105:$AJ105)+1,"取消",""))</f>
        <v/>
      </c>
      <c r="AS105" s="0" t="n">
        <f aca="false">IF(OR($A$1=公区维修!$F105,$A$1=公区维修!$G105,$BN$1=1),0,1-SUMPRODUCT(--(($A$1=公区维修!$F105)+($A$1=公区维修!$G105)+$BN$1&gt;0)))</f>
        <v>0</v>
      </c>
      <c r="AT105" s="0" t="n">
        <f aca="false">IF(OR($A$2=公区维修!$F105,$A$2=公区维修!$G105,$BN$2=1),0,2-SUMPRODUCT(--(($A$1:$A$2=公区维修!$F105)+($A$1:$A$2=公区维修!$G105)+$BN$1:$BN$2&gt;0)))</f>
        <v>1</v>
      </c>
      <c r="AU105" s="0" t="n">
        <f aca="false">IF(OR($A$3=公区维修!$F105,$A$3=公区维修!$G105,$BN$3=1),0,3-SUMPRODUCT(--(($A$1:$A$3=公区维修!$F105)+($A$1:$A$3=公区维修!$G105)+$BN$1:$BN$3&gt;0)))</f>
        <v>2</v>
      </c>
      <c r="AV105" s="0" t="n">
        <f aca="false">IF(OR($A$4=公区维修!$F105,$A$4=公区维修!$G105,$BN$4=1),0,4-SUMPRODUCT(--(($A$1:$A$4=公区维修!$F105)+($A$1:$A$4=公区维修!$G105)+$BN$1:$BN$4&gt;0)))</f>
        <v>3</v>
      </c>
      <c r="AW105" s="0" t="n">
        <f aca="false">IF(OR($A$5=公区维修!$F105,$A$5=公区维修!$G105,$BN$5=1),0,5-SUMPRODUCT(--(($A$1:$A$5=公区维修!$F105)+($A$1:$A$5=公区维修!$G105)+$BN$1:$BN$5&gt;0)))</f>
        <v>4</v>
      </c>
      <c r="AY105" s="0" t="str">
        <f aca="false">IFERROR(INDEX($A$1:$A$5,MATCH(1,$AS105:$AW105,0)),IF(1=MAX($AS105:$AW105)+1,"取消",""))</f>
        <v>李师傅</v>
      </c>
      <c r="AZ105" s="0" t="str">
        <f aca="false">IFERROR(INDEX($A$1:$A$5,MATCH(2,$AS105:$AW105,0)),IF(2=MAX($AS105:$AW105)+1,"取消",""))</f>
        <v>王师傅</v>
      </c>
      <c r="BA105" s="0" t="str">
        <f aca="false">IFERROR(INDEX($A$1:$A$5,MATCH(3,$AS105:$AW105,0)),IF(3=MAX($AS105:$AW105)+1,"取消",""))</f>
        <v>陈师傅</v>
      </c>
      <c r="BB105" s="0" t="str">
        <f aca="false">IFERROR(INDEX($A$1:$A$5,MATCH(4,$AS105:$AW105,0)),IF(4=MAX($AS105:$AW105)+1,"取消",""))</f>
        <v>刘师傅</v>
      </c>
      <c r="BC105" s="0" t="str">
        <f aca="false">IFERROR(INDEX($A$1:$A$5,MATCH(5,$AS105:$AW105,0)),IF(5=MAX($AS105:$AW105)+1,"取消",""))</f>
        <v>取消</v>
      </c>
      <c r="BD105" s="0" t="str">
        <f aca="false">IFERROR(INDEX($A$1:$A$5,MATCH(6,$AS105:$AW105,0)),IF(6=MAX($AS105:$AW105)+1,"取消",""))</f>
        <v/>
      </c>
      <c r="FW105" s="0" t="str">
        <f aca="false">IF(AND(单元查询!$D$3&lt;&gt;"",IF(单元查询!$B$3="公区维修",公区维修!$E105&lt;&gt;"",入户维修!$E105&lt;&gt;""),IF(单元查询!$B$3="公区维修",公区维修!$C105,入户维修!$C105)=单元查询!$D$3,OR(单元查询!$F$3="",IF(单元查询!$B$3="公区维修",公区维修!$D105,入户维修!$D105)&amp;""=(单元查询!$F$3)&amp;"")),MAX($FW$4:$FW104)+1,"")</f>
        <v/>
      </c>
    </row>
    <row r="106" customFormat="false" ht="15" hidden="false" customHeight="true" outlineLevel="0" collapsed="false">
      <c r="F106" s="0" t="n">
        <f aca="false">IF(OR($A$1=入户维修!$F106,$BN$1=1),0,1-SUMPRODUCT(--(($A$1=入户维修!$F106)+$BN$1&gt;0)))</f>
        <v>0</v>
      </c>
      <c r="G106" s="0" t="n">
        <f aca="false">IF(OR($A$2=入户维修!$F106,$BN$2=1),0,2-SUMPRODUCT(--(($A$1:$A$2=入户维修!$F106)+$BN$1:$BN$2&gt;0)))</f>
        <v>1</v>
      </c>
      <c r="H106" s="0" t="n">
        <f aca="false">IF(OR($A$3=入户维修!$F106,$BN$3=1),0,3-SUMPRODUCT(--(($A$1:$A$3=入户维修!$F106)+$BN$1:$BN$3&gt;0)))</f>
        <v>2</v>
      </c>
      <c r="I106" s="0" t="n">
        <f aca="false">IF(OR($A$4=入户维修!$F106,$BN$4=1),0,4-SUMPRODUCT(--(($A$1:$A$4=入户维修!$F106)+$BN$1:$BN$4&gt;0)))</f>
        <v>3</v>
      </c>
      <c r="J106" s="0" t="n">
        <f aca="false">IF(OR($A$5=入户维修!$F106,$BN$5=1),0,5-SUMPRODUCT(--(($A$1:$A$5=入户维修!$F106)+$BN$1:$BN$5&gt;0)))</f>
        <v>4</v>
      </c>
      <c r="L106" s="0" t="str">
        <f aca="false">IFERROR(INDEX($A$1:$A$5,MATCH(1,$F106:$J106,0)),IF(1=MAX($F106:$J106)+1,"取消",""))</f>
        <v>李师傅</v>
      </c>
      <c r="M106" s="0" t="str">
        <f aca="false">IFERROR(INDEX($A$1:$A$5,MATCH(2,$F106:$J106,0)),IF(2=MAX($F106:$J106)+1,"取消",""))</f>
        <v>王师傅</v>
      </c>
      <c r="N106" s="0" t="str">
        <f aca="false">IFERROR(INDEX($A$1:$A$5,MATCH(3,$F106:$J106,0)),IF(3=MAX($F106:$J106)+1,"取消",""))</f>
        <v>陈师傅</v>
      </c>
      <c r="O106" s="0" t="str">
        <f aca="false">IFERROR(INDEX($A$1:$A$5,MATCH(4,$F106:$J106,0)),IF(4=MAX($F106:$J106)+1,"取消",""))</f>
        <v>刘师傅</v>
      </c>
      <c r="P106" s="0" t="str">
        <f aca="false">IFERROR(INDEX($A$1:$A$5,MATCH(5,$F106:$J106,0)),IF(5=MAX($F106:$J106)+1,"取消",""))</f>
        <v>取消</v>
      </c>
      <c r="Q106" s="0" t="str">
        <f aca="false">IFERROR(INDEX($A$1:$A$5,MATCH(6,$F106:$J106,0)),IF(6=MAX($F106:$J106)+1,"取消",""))</f>
        <v/>
      </c>
      <c r="S106" s="0" t="n">
        <f aca="false">IF(OR($A$1=入户维修!$F106,$A$1=入户维修!$G106,$BN$1=1),0,1-SUMPRODUCT(--(($A$1=入户维修!$F106)+($A$1=入户维修!$G106)+$BN$1&gt;0)))</f>
        <v>0</v>
      </c>
      <c r="T106" s="0" t="n">
        <f aca="false">IF(OR($A$2=入户维修!$F106,$A$2=入户维修!$G106,$BN$2=1),0,2-SUMPRODUCT(--(($A$1:$A$2=入户维修!$F106)+($A$1:$A$2=入户维修!$G106)+$BN$1:$BN$2&gt;0)))</f>
        <v>1</v>
      </c>
      <c r="U106" s="0" t="n">
        <f aca="false">IF(OR($A$3=入户维修!$F106,$A$3=入户维修!$G106,$BN$3=1),0,3-SUMPRODUCT(--(($A$1:$A$3=入户维修!$F106)+($A$1:$A$3=入户维修!$G106)+$BN$1:$BN$3&gt;0)))</f>
        <v>2</v>
      </c>
      <c r="V106" s="0" t="n">
        <f aca="false">IF(OR($A$4=入户维修!$F106,$A$4=入户维修!$G106,$BN$4=1),0,4-SUMPRODUCT(--(($A$1:$A$4=入户维修!$F106)+($A$1:$A$4=入户维修!$G106)+$BN$1:$BN$4&gt;0)))</f>
        <v>3</v>
      </c>
      <c r="W106" s="0" t="n">
        <f aca="false">IF(OR($A$5=入户维修!$F106,$A$5=入户维修!$G106,$BN$5=1),0,5-SUMPRODUCT(--(($A$1:$A$5=入户维修!$F106)+($A$1:$A$5=入户维修!$G106)+$BN$1:$BN$5&gt;0)))</f>
        <v>4</v>
      </c>
      <c r="Y106" s="0" t="str">
        <f aca="false">IFERROR(INDEX($A$1:$A$5,MATCH(1,$S106:$W106,0)),IF(1=MAX($S106:$W106)+1,"取消",""))</f>
        <v>李师傅</v>
      </c>
      <c r="Z106" s="0" t="str">
        <f aca="false">IFERROR(INDEX($A$1:$A$5,MATCH(2,$S106:$W106,0)),IF(2=MAX($S106:$W106)+1,"取消",""))</f>
        <v>王师傅</v>
      </c>
      <c r="AA106" s="0" t="str">
        <f aca="false">IFERROR(INDEX($A$1:$A$5,MATCH(3,$S106:$W106,0)),IF(3=MAX($S106:$W106)+1,"取消",""))</f>
        <v>陈师傅</v>
      </c>
      <c r="AB106" s="0" t="str">
        <f aca="false">IFERROR(INDEX($A$1:$A$5,MATCH(4,$S106:$W106,0)),IF(4=MAX($S106:$W106)+1,"取消",""))</f>
        <v>刘师傅</v>
      </c>
      <c r="AC106" s="0" t="str">
        <f aca="false">IFERROR(INDEX($A$1:$A$5,MATCH(5,$S106:$W106,0)),IF(5=MAX($S106:$W106)+1,"取消",""))</f>
        <v>取消</v>
      </c>
      <c r="AD106" s="0" t="str">
        <f aca="false">IFERROR(INDEX($A$1:$A$5,MATCH(6,$S106:$W106,0)),IF(6=MAX($S106:$W106)+1,"取消",""))</f>
        <v/>
      </c>
      <c r="AF106" s="0" t="n">
        <f aca="false">IF(OR($A$1=公区维修!$F106,$BN$1=1),0,1-SUMPRODUCT(--(($A$1=公区维修!$F106)+$BN$1&gt;0)))</f>
        <v>0</v>
      </c>
      <c r="AG106" s="0" t="n">
        <f aca="false">IF(OR($A$2=公区维修!$F106,$BN$2=1),0,2-SUMPRODUCT(--(($A$1:$A$2=公区维修!$F106)+$BN$1:$BN$2&gt;0)))</f>
        <v>1</v>
      </c>
      <c r="AH106" s="0" t="n">
        <f aca="false">IF(OR($A$3=公区维修!$F106,$BN$3=1),0,3-SUMPRODUCT(--(($A$1:$A$3=公区维修!$F106)+$BN$1:$BN$3&gt;0)))</f>
        <v>2</v>
      </c>
      <c r="AI106" s="0" t="n">
        <f aca="false">IF(OR($A$4=公区维修!$F106,$BN$4=1),0,4-SUMPRODUCT(--(($A$1:$A$4=公区维修!$F106)+$BN$1:$BN$4&gt;0)))</f>
        <v>3</v>
      </c>
      <c r="AJ106" s="0" t="n">
        <f aca="false">IF(OR($A$5=公区维修!$F106,$BN$5=1),0,5-SUMPRODUCT(--(($A$1:$A$5=公区维修!$F106)+$BN$1:$BN$5&gt;0)))</f>
        <v>4</v>
      </c>
      <c r="AL106" s="0" t="str">
        <f aca="false">IFERROR(INDEX($A$1:$A$5,MATCH(1,$AF106:$AJ106,0)),IF(1=MAX($AF106:$AJ106)+1,"取消",""))</f>
        <v>李师傅</v>
      </c>
      <c r="AM106" s="0" t="str">
        <f aca="false">IFERROR(INDEX($A$1:$A$5,MATCH(2,$AF106:$AJ106,0)),IF(2=MAX($AF106:$AJ106)+1,"取消",""))</f>
        <v>王师傅</v>
      </c>
      <c r="AN106" s="0" t="str">
        <f aca="false">IFERROR(INDEX($A$1:$A$5,MATCH(3,$AF106:$AJ106,0)),IF(3=MAX($AF106:$AJ106)+1,"取消",""))</f>
        <v>陈师傅</v>
      </c>
      <c r="AO106" s="0" t="str">
        <f aca="false">IFERROR(INDEX($A$1:$A$5,MATCH(4,$AF106:$AJ106,0)),IF(4=MAX($AF106:$AJ106)+1,"取消",""))</f>
        <v>刘师傅</v>
      </c>
      <c r="AP106" s="0" t="str">
        <f aca="false">IFERROR(INDEX($A$1:$A$5,MATCH(5,$AF106:$AJ106,0)),IF(5=MAX($AF106:$AJ106)+1,"取消",""))</f>
        <v>取消</v>
      </c>
      <c r="AQ106" s="0" t="str">
        <f aca="false">IFERROR(INDEX($A$1:$A$5,MATCH(6,$AF106:$AJ106,0)),IF(6=MAX($AF106:$AJ106)+1,"取消",""))</f>
        <v/>
      </c>
      <c r="AS106" s="0" t="n">
        <f aca="false">IF(OR($A$1=公区维修!$F106,$A$1=公区维修!$G106,$BN$1=1),0,1-SUMPRODUCT(--(($A$1=公区维修!$F106)+($A$1=公区维修!$G106)+$BN$1&gt;0)))</f>
        <v>0</v>
      </c>
      <c r="AT106" s="0" t="n">
        <f aca="false">IF(OR($A$2=公区维修!$F106,$A$2=公区维修!$G106,$BN$2=1),0,2-SUMPRODUCT(--(($A$1:$A$2=公区维修!$F106)+($A$1:$A$2=公区维修!$G106)+$BN$1:$BN$2&gt;0)))</f>
        <v>1</v>
      </c>
      <c r="AU106" s="0" t="n">
        <f aca="false">IF(OR($A$3=公区维修!$F106,$A$3=公区维修!$G106,$BN$3=1),0,3-SUMPRODUCT(--(($A$1:$A$3=公区维修!$F106)+($A$1:$A$3=公区维修!$G106)+$BN$1:$BN$3&gt;0)))</f>
        <v>2</v>
      </c>
      <c r="AV106" s="0" t="n">
        <f aca="false">IF(OR($A$4=公区维修!$F106,$A$4=公区维修!$G106,$BN$4=1),0,4-SUMPRODUCT(--(($A$1:$A$4=公区维修!$F106)+($A$1:$A$4=公区维修!$G106)+$BN$1:$BN$4&gt;0)))</f>
        <v>3</v>
      </c>
      <c r="AW106" s="0" t="n">
        <f aca="false">IF(OR($A$5=公区维修!$F106,$A$5=公区维修!$G106,$BN$5=1),0,5-SUMPRODUCT(--(($A$1:$A$5=公区维修!$F106)+($A$1:$A$5=公区维修!$G106)+$BN$1:$BN$5&gt;0)))</f>
        <v>4</v>
      </c>
      <c r="AY106" s="0" t="str">
        <f aca="false">IFERROR(INDEX($A$1:$A$5,MATCH(1,$AS106:$AW106,0)),IF(1=MAX($AS106:$AW106)+1,"取消",""))</f>
        <v>李师傅</v>
      </c>
      <c r="AZ106" s="0" t="str">
        <f aca="false">IFERROR(INDEX($A$1:$A$5,MATCH(2,$AS106:$AW106,0)),IF(2=MAX($AS106:$AW106)+1,"取消",""))</f>
        <v>王师傅</v>
      </c>
      <c r="BA106" s="0" t="str">
        <f aca="false">IFERROR(INDEX($A$1:$A$5,MATCH(3,$AS106:$AW106,0)),IF(3=MAX($AS106:$AW106)+1,"取消",""))</f>
        <v>陈师傅</v>
      </c>
      <c r="BB106" s="0" t="str">
        <f aca="false">IFERROR(INDEX($A$1:$A$5,MATCH(4,$AS106:$AW106,0)),IF(4=MAX($AS106:$AW106)+1,"取消",""))</f>
        <v>刘师傅</v>
      </c>
      <c r="BC106" s="0" t="str">
        <f aca="false">IFERROR(INDEX($A$1:$A$5,MATCH(5,$AS106:$AW106,0)),IF(5=MAX($AS106:$AW106)+1,"取消",""))</f>
        <v>取消</v>
      </c>
      <c r="BD106" s="0" t="str">
        <f aca="false">IFERROR(INDEX($A$1:$A$5,MATCH(6,$AS106:$AW106,0)),IF(6=MAX($AS106:$AW106)+1,"取消",""))</f>
        <v/>
      </c>
      <c r="FW106" s="0" t="str">
        <f aca="false">IF(AND(单元查询!$D$3&lt;&gt;"",IF(单元查询!$B$3="公区维修",公区维修!$E106&lt;&gt;"",入户维修!$E106&lt;&gt;""),IF(单元查询!$B$3="公区维修",公区维修!$C106,入户维修!$C106)=单元查询!$D$3,OR(单元查询!$F$3="",IF(单元查询!$B$3="公区维修",公区维修!$D106,入户维修!$D106)&amp;""=(单元查询!$F$3)&amp;"")),MAX($FW$4:$FW105)+1,"")</f>
        <v/>
      </c>
    </row>
    <row r="107" customFormat="false" ht="15" hidden="false" customHeight="true" outlineLevel="0" collapsed="false">
      <c r="F107" s="0" t="n">
        <f aca="false">IF(OR($A$1=入户维修!$F107,$BN$1=1),0,1-SUMPRODUCT(--(($A$1=入户维修!$F107)+$BN$1&gt;0)))</f>
        <v>0</v>
      </c>
      <c r="G107" s="0" t="n">
        <f aca="false">IF(OR($A$2=入户维修!$F107,$BN$2=1),0,2-SUMPRODUCT(--(($A$1:$A$2=入户维修!$F107)+$BN$1:$BN$2&gt;0)))</f>
        <v>0</v>
      </c>
      <c r="H107" s="0" t="n">
        <f aca="false">IF(OR($A$3=入户维修!$F107,$BN$3=1),0,3-SUMPRODUCT(--(($A$1:$A$3=入户维修!$F107)+$BN$1:$BN$3&gt;0)))</f>
        <v>1</v>
      </c>
      <c r="I107" s="0" t="n">
        <f aca="false">IF(OR($A$4=入户维修!$F107,$BN$4=1),0,4-SUMPRODUCT(--(($A$1:$A$4=入户维修!$F107)+$BN$1:$BN$4&gt;0)))</f>
        <v>2</v>
      </c>
      <c r="J107" s="0" t="n">
        <f aca="false">IF(OR($A$5=入户维修!$F107,$BN$5=1),0,5-SUMPRODUCT(--(($A$1:$A$5=入户维修!$F107)+$BN$1:$BN$5&gt;0)))</f>
        <v>3</v>
      </c>
      <c r="L107" s="0" t="str">
        <f aca="false">IFERROR(INDEX($A$1:$A$5,MATCH(1,$F107:$J107,0)),IF(1=MAX($F107:$J107)+1,"取消",""))</f>
        <v>王师傅</v>
      </c>
      <c r="M107" s="0" t="str">
        <f aca="false">IFERROR(INDEX($A$1:$A$5,MATCH(2,$F107:$J107,0)),IF(2=MAX($F107:$J107)+1,"取消",""))</f>
        <v>陈师傅</v>
      </c>
      <c r="N107" s="0" t="str">
        <f aca="false">IFERROR(INDEX($A$1:$A$5,MATCH(3,$F107:$J107,0)),IF(3=MAX($F107:$J107)+1,"取消",""))</f>
        <v>刘师傅</v>
      </c>
      <c r="O107" s="0" t="str">
        <f aca="false">IFERROR(INDEX($A$1:$A$5,MATCH(4,$F107:$J107,0)),IF(4=MAX($F107:$J107)+1,"取消",""))</f>
        <v>取消</v>
      </c>
      <c r="P107" s="0" t="str">
        <f aca="false">IFERROR(INDEX($A$1:$A$5,MATCH(5,$F107:$J107,0)),IF(5=MAX($F107:$J107)+1,"取消",""))</f>
        <v/>
      </c>
      <c r="Q107" s="0" t="str">
        <f aca="false">IFERROR(INDEX($A$1:$A$5,MATCH(6,$F107:$J107,0)),IF(6=MAX($F107:$J107)+1,"取消",""))</f>
        <v/>
      </c>
      <c r="S107" s="0" t="n">
        <f aca="false">IF(OR($A$1=入户维修!$F107,$A$1=入户维修!$G107,$BN$1=1),0,1-SUMPRODUCT(--(($A$1=入户维修!$F107)+($A$1=入户维修!$G107)+$BN$1&gt;0)))</f>
        <v>0</v>
      </c>
      <c r="T107" s="0" t="n">
        <f aca="false">IF(OR($A$2=入户维修!$F107,$A$2=入户维修!$G107,$BN$2=1),0,2-SUMPRODUCT(--(($A$1:$A$2=入户维修!$F107)+($A$1:$A$2=入户维修!$G107)+$BN$1:$BN$2&gt;0)))</f>
        <v>0</v>
      </c>
      <c r="U107" s="0" t="n">
        <f aca="false">IF(OR($A$3=入户维修!$F107,$A$3=入户维修!$G107,$BN$3=1),0,3-SUMPRODUCT(--(($A$1:$A$3=入户维修!$F107)+($A$1:$A$3=入户维修!$G107)+$BN$1:$BN$3&gt;0)))</f>
        <v>1</v>
      </c>
      <c r="V107" s="0" t="n">
        <f aca="false">IF(OR($A$4=入户维修!$F107,$A$4=入户维修!$G107,$BN$4=1),0,4-SUMPRODUCT(--(($A$1:$A$4=入户维修!$F107)+($A$1:$A$4=入户维修!$G107)+$BN$1:$BN$4&gt;0)))</f>
        <v>2</v>
      </c>
      <c r="W107" s="0" t="n">
        <f aca="false">IF(OR($A$5=入户维修!$F107,$A$5=入户维修!$G107,$BN$5=1),0,5-SUMPRODUCT(--(($A$1:$A$5=入户维修!$F107)+($A$1:$A$5=入户维修!$G107)+$BN$1:$BN$5&gt;0)))</f>
        <v>3</v>
      </c>
      <c r="Y107" s="0" t="str">
        <f aca="false">IFERROR(INDEX($A$1:$A$5,MATCH(1,$S107:$W107,0)),IF(1=MAX($S107:$W107)+1,"取消",""))</f>
        <v>王师傅</v>
      </c>
      <c r="Z107" s="0" t="str">
        <f aca="false">IFERROR(INDEX($A$1:$A$5,MATCH(2,$S107:$W107,0)),IF(2=MAX($S107:$W107)+1,"取消",""))</f>
        <v>陈师傅</v>
      </c>
      <c r="AA107" s="0" t="str">
        <f aca="false">IFERROR(INDEX($A$1:$A$5,MATCH(3,$S107:$W107,0)),IF(3=MAX($S107:$W107)+1,"取消",""))</f>
        <v>刘师傅</v>
      </c>
      <c r="AB107" s="0" t="str">
        <f aca="false">IFERROR(INDEX($A$1:$A$5,MATCH(4,$S107:$W107,0)),IF(4=MAX($S107:$W107)+1,"取消",""))</f>
        <v>取消</v>
      </c>
      <c r="AC107" s="0" t="str">
        <f aca="false">IFERROR(INDEX($A$1:$A$5,MATCH(5,$S107:$W107,0)),IF(5=MAX($S107:$W107)+1,"取消",""))</f>
        <v/>
      </c>
      <c r="AD107" s="0" t="str">
        <f aca="false">IFERROR(INDEX($A$1:$A$5,MATCH(6,$S107:$W107,0)),IF(6=MAX($S107:$W107)+1,"取消",""))</f>
        <v/>
      </c>
      <c r="AF107" s="0" t="n">
        <f aca="false">IF(OR($A$1=公区维修!$F107,$BN$1=1),0,1-SUMPRODUCT(--(($A$1=公区维修!$F107)+$BN$1&gt;0)))</f>
        <v>0</v>
      </c>
      <c r="AG107" s="0" t="n">
        <f aca="false">IF(OR($A$2=公区维修!$F107,$BN$2=1),0,2-SUMPRODUCT(--(($A$1:$A$2=公区维修!$F107)+$BN$1:$BN$2&gt;0)))</f>
        <v>1</v>
      </c>
      <c r="AH107" s="0" t="n">
        <f aca="false">IF(OR($A$3=公区维修!$F107,$BN$3=1),0,3-SUMPRODUCT(--(($A$1:$A$3=公区维修!$F107)+$BN$1:$BN$3&gt;0)))</f>
        <v>2</v>
      </c>
      <c r="AI107" s="0" t="n">
        <f aca="false">IF(OR($A$4=公区维修!$F107,$BN$4=1),0,4-SUMPRODUCT(--(($A$1:$A$4=公区维修!$F107)+$BN$1:$BN$4&gt;0)))</f>
        <v>3</v>
      </c>
      <c r="AJ107" s="0" t="n">
        <f aca="false">IF(OR($A$5=公区维修!$F107,$BN$5=1),0,5-SUMPRODUCT(--(($A$1:$A$5=公区维修!$F107)+$BN$1:$BN$5&gt;0)))</f>
        <v>4</v>
      </c>
      <c r="AL107" s="0" t="str">
        <f aca="false">IFERROR(INDEX($A$1:$A$5,MATCH(1,$AF107:$AJ107,0)),IF(1=MAX($AF107:$AJ107)+1,"取消",""))</f>
        <v>李师傅</v>
      </c>
      <c r="AM107" s="0" t="str">
        <f aca="false">IFERROR(INDEX($A$1:$A$5,MATCH(2,$AF107:$AJ107,0)),IF(2=MAX($AF107:$AJ107)+1,"取消",""))</f>
        <v>王师傅</v>
      </c>
      <c r="AN107" s="0" t="str">
        <f aca="false">IFERROR(INDEX($A$1:$A$5,MATCH(3,$AF107:$AJ107,0)),IF(3=MAX($AF107:$AJ107)+1,"取消",""))</f>
        <v>陈师傅</v>
      </c>
      <c r="AO107" s="0" t="str">
        <f aca="false">IFERROR(INDEX($A$1:$A$5,MATCH(4,$AF107:$AJ107,0)),IF(4=MAX($AF107:$AJ107)+1,"取消",""))</f>
        <v>刘师傅</v>
      </c>
      <c r="AP107" s="0" t="str">
        <f aca="false">IFERROR(INDEX($A$1:$A$5,MATCH(5,$AF107:$AJ107,0)),IF(5=MAX($AF107:$AJ107)+1,"取消",""))</f>
        <v>取消</v>
      </c>
      <c r="AQ107" s="0" t="str">
        <f aca="false">IFERROR(INDEX($A$1:$A$5,MATCH(6,$AF107:$AJ107,0)),IF(6=MAX($AF107:$AJ107)+1,"取消",""))</f>
        <v/>
      </c>
      <c r="AS107" s="0" t="n">
        <f aca="false">IF(OR($A$1=公区维修!$F107,$A$1=公区维修!$G107,$BN$1=1),0,1-SUMPRODUCT(--(($A$1=公区维修!$F107)+($A$1=公区维修!$G107)+$BN$1&gt;0)))</f>
        <v>0</v>
      </c>
      <c r="AT107" s="0" t="n">
        <f aca="false">IF(OR($A$2=公区维修!$F107,$A$2=公区维修!$G107,$BN$2=1),0,2-SUMPRODUCT(--(($A$1:$A$2=公区维修!$F107)+($A$1:$A$2=公区维修!$G107)+$BN$1:$BN$2&gt;0)))</f>
        <v>1</v>
      </c>
      <c r="AU107" s="0" t="n">
        <f aca="false">IF(OR($A$3=公区维修!$F107,$A$3=公区维修!$G107,$BN$3=1),0,3-SUMPRODUCT(--(($A$1:$A$3=公区维修!$F107)+($A$1:$A$3=公区维修!$G107)+$BN$1:$BN$3&gt;0)))</f>
        <v>2</v>
      </c>
      <c r="AV107" s="0" t="n">
        <f aca="false">IF(OR($A$4=公区维修!$F107,$A$4=公区维修!$G107,$BN$4=1),0,4-SUMPRODUCT(--(($A$1:$A$4=公区维修!$F107)+($A$1:$A$4=公区维修!$G107)+$BN$1:$BN$4&gt;0)))</f>
        <v>3</v>
      </c>
      <c r="AW107" s="0" t="n">
        <f aca="false">IF(OR($A$5=公区维修!$F107,$A$5=公区维修!$G107,$BN$5=1),0,5-SUMPRODUCT(--(($A$1:$A$5=公区维修!$F107)+($A$1:$A$5=公区维修!$G107)+$BN$1:$BN$5&gt;0)))</f>
        <v>4</v>
      </c>
      <c r="AY107" s="0" t="str">
        <f aca="false">IFERROR(INDEX($A$1:$A$5,MATCH(1,$AS107:$AW107,0)),IF(1=MAX($AS107:$AW107)+1,"取消",""))</f>
        <v>李师傅</v>
      </c>
      <c r="AZ107" s="0" t="str">
        <f aca="false">IFERROR(INDEX($A$1:$A$5,MATCH(2,$AS107:$AW107,0)),IF(2=MAX($AS107:$AW107)+1,"取消",""))</f>
        <v>王师傅</v>
      </c>
      <c r="BA107" s="0" t="str">
        <f aca="false">IFERROR(INDEX($A$1:$A$5,MATCH(3,$AS107:$AW107,0)),IF(3=MAX($AS107:$AW107)+1,"取消",""))</f>
        <v>陈师傅</v>
      </c>
      <c r="BB107" s="0" t="str">
        <f aca="false">IFERROR(INDEX($A$1:$A$5,MATCH(4,$AS107:$AW107,0)),IF(4=MAX($AS107:$AW107)+1,"取消",""))</f>
        <v>刘师傅</v>
      </c>
      <c r="BC107" s="0" t="str">
        <f aca="false">IFERROR(INDEX($A$1:$A$5,MATCH(5,$AS107:$AW107,0)),IF(5=MAX($AS107:$AW107)+1,"取消",""))</f>
        <v>取消</v>
      </c>
      <c r="BD107" s="0" t="str">
        <f aca="false">IFERROR(INDEX($A$1:$A$5,MATCH(6,$AS107:$AW107,0)),IF(6=MAX($AS107:$AW107)+1,"取消",""))</f>
        <v/>
      </c>
      <c r="FW107" s="0" t="str">
        <f aca="false">IF(AND(单元查询!$D$3&lt;&gt;"",IF(单元查询!$B$3="公区维修",公区维修!$E107&lt;&gt;"",入户维修!$E107&lt;&gt;""),IF(单元查询!$B$3="公区维修",公区维修!$C107,入户维修!$C107)=单元查询!$D$3,OR(单元查询!$F$3="",IF(单元查询!$B$3="公区维修",公区维修!$D107,入户维修!$D107)&amp;""=(单元查询!$F$3)&amp;"")),MAX($FW$4:$FW106)+1,"")</f>
        <v/>
      </c>
    </row>
    <row r="108" customFormat="false" ht="15" hidden="false" customHeight="true" outlineLevel="0" collapsed="false">
      <c r="F108" s="0" t="n">
        <f aca="false">IF(OR($A$1=入户维修!$F108,$BN$1=1),0,1-SUMPRODUCT(--(($A$1=入户维修!$F108)+$BN$1&gt;0)))</f>
        <v>0</v>
      </c>
      <c r="G108" s="0" t="n">
        <f aca="false">IF(OR($A$2=入户维修!$F108,$BN$2=1),0,2-SUMPRODUCT(--(($A$1:$A$2=入户维修!$F108)+$BN$1:$BN$2&gt;0)))</f>
        <v>1</v>
      </c>
      <c r="H108" s="0" t="n">
        <f aca="false">IF(OR($A$3=入户维修!$F108,$BN$3=1),0,3-SUMPRODUCT(--(($A$1:$A$3=入户维修!$F108)+$BN$1:$BN$3&gt;0)))</f>
        <v>2</v>
      </c>
      <c r="I108" s="0" t="n">
        <f aca="false">IF(OR($A$4=入户维修!$F108,$BN$4=1),0,4-SUMPRODUCT(--(($A$1:$A$4=入户维修!$F108)+$BN$1:$BN$4&gt;0)))</f>
        <v>3</v>
      </c>
      <c r="J108" s="0" t="n">
        <f aca="false">IF(OR($A$5=入户维修!$F108,$BN$5=1),0,5-SUMPRODUCT(--(($A$1:$A$5=入户维修!$F108)+$BN$1:$BN$5&gt;0)))</f>
        <v>4</v>
      </c>
      <c r="L108" s="0" t="str">
        <f aca="false">IFERROR(INDEX($A$1:$A$5,MATCH(1,$F108:$J108,0)),IF(1=MAX($F108:$J108)+1,"取消",""))</f>
        <v>李师傅</v>
      </c>
      <c r="M108" s="0" t="str">
        <f aca="false">IFERROR(INDEX($A$1:$A$5,MATCH(2,$F108:$J108,0)),IF(2=MAX($F108:$J108)+1,"取消",""))</f>
        <v>王师傅</v>
      </c>
      <c r="N108" s="0" t="str">
        <f aca="false">IFERROR(INDEX($A$1:$A$5,MATCH(3,$F108:$J108,0)),IF(3=MAX($F108:$J108)+1,"取消",""))</f>
        <v>陈师傅</v>
      </c>
      <c r="O108" s="0" t="str">
        <f aca="false">IFERROR(INDEX($A$1:$A$5,MATCH(4,$F108:$J108,0)),IF(4=MAX($F108:$J108)+1,"取消",""))</f>
        <v>刘师傅</v>
      </c>
      <c r="P108" s="0" t="str">
        <f aca="false">IFERROR(INDEX($A$1:$A$5,MATCH(5,$F108:$J108,0)),IF(5=MAX($F108:$J108)+1,"取消",""))</f>
        <v>取消</v>
      </c>
      <c r="Q108" s="0" t="str">
        <f aca="false">IFERROR(INDEX($A$1:$A$5,MATCH(6,$F108:$J108,0)),IF(6=MAX($F108:$J108)+1,"取消",""))</f>
        <v/>
      </c>
      <c r="S108" s="0" t="n">
        <f aca="false">IF(OR($A$1=入户维修!$F108,$A$1=入户维修!$G108,$BN$1=1),0,1-SUMPRODUCT(--(($A$1=入户维修!$F108)+($A$1=入户维修!$G108)+$BN$1&gt;0)))</f>
        <v>0</v>
      </c>
      <c r="T108" s="0" t="n">
        <f aca="false">IF(OR($A$2=入户维修!$F108,$A$2=入户维修!$G108,$BN$2=1),0,2-SUMPRODUCT(--(($A$1:$A$2=入户维修!$F108)+($A$1:$A$2=入户维修!$G108)+$BN$1:$BN$2&gt;0)))</f>
        <v>1</v>
      </c>
      <c r="U108" s="0" t="n">
        <f aca="false">IF(OR($A$3=入户维修!$F108,$A$3=入户维修!$G108,$BN$3=1),0,3-SUMPRODUCT(--(($A$1:$A$3=入户维修!$F108)+($A$1:$A$3=入户维修!$G108)+$BN$1:$BN$3&gt;0)))</f>
        <v>2</v>
      </c>
      <c r="V108" s="0" t="n">
        <f aca="false">IF(OR($A$4=入户维修!$F108,$A$4=入户维修!$G108,$BN$4=1),0,4-SUMPRODUCT(--(($A$1:$A$4=入户维修!$F108)+($A$1:$A$4=入户维修!$G108)+$BN$1:$BN$4&gt;0)))</f>
        <v>3</v>
      </c>
      <c r="W108" s="0" t="n">
        <f aca="false">IF(OR($A$5=入户维修!$F108,$A$5=入户维修!$G108,$BN$5=1),0,5-SUMPRODUCT(--(($A$1:$A$5=入户维修!$F108)+($A$1:$A$5=入户维修!$G108)+$BN$1:$BN$5&gt;0)))</f>
        <v>4</v>
      </c>
      <c r="Y108" s="0" t="str">
        <f aca="false">IFERROR(INDEX($A$1:$A$5,MATCH(1,$S108:$W108,0)),IF(1=MAX($S108:$W108)+1,"取消",""))</f>
        <v>李师傅</v>
      </c>
      <c r="Z108" s="0" t="str">
        <f aca="false">IFERROR(INDEX($A$1:$A$5,MATCH(2,$S108:$W108,0)),IF(2=MAX($S108:$W108)+1,"取消",""))</f>
        <v>王师傅</v>
      </c>
      <c r="AA108" s="0" t="str">
        <f aca="false">IFERROR(INDEX($A$1:$A$5,MATCH(3,$S108:$W108,0)),IF(3=MAX($S108:$W108)+1,"取消",""))</f>
        <v>陈师傅</v>
      </c>
      <c r="AB108" s="0" t="str">
        <f aca="false">IFERROR(INDEX($A$1:$A$5,MATCH(4,$S108:$W108,0)),IF(4=MAX($S108:$W108)+1,"取消",""))</f>
        <v>刘师傅</v>
      </c>
      <c r="AC108" s="0" t="str">
        <f aca="false">IFERROR(INDEX($A$1:$A$5,MATCH(5,$S108:$W108,0)),IF(5=MAX($S108:$W108)+1,"取消",""))</f>
        <v>取消</v>
      </c>
      <c r="AD108" s="0" t="str">
        <f aca="false">IFERROR(INDEX($A$1:$A$5,MATCH(6,$S108:$W108,0)),IF(6=MAX($S108:$W108)+1,"取消",""))</f>
        <v/>
      </c>
      <c r="AF108" s="0" t="n">
        <f aca="false">IF(OR($A$1=公区维修!$F108,$BN$1=1),0,1-SUMPRODUCT(--(($A$1=公区维修!$F108)+$BN$1&gt;0)))</f>
        <v>0</v>
      </c>
      <c r="AG108" s="0" t="n">
        <f aca="false">IF(OR($A$2=公区维修!$F108,$BN$2=1),0,2-SUMPRODUCT(--(($A$1:$A$2=公区维修!$F108)+$BN$1:$BN$2&gt;0)))</f>
        <v>1</v>
      </c>
      <c r="AH108" s="0" t="n">
        <f aca="false">IF(OR($A$3=公区维修!$F108,$BN$3=1),0,3-SUMPRODUCT(--(($A$1:$A$3=公区维修!$F108)+$BN$1:$BN$3&gt;0)))</f>
        <v>2</v>
      </c>
      <c r="AI108" s="0" t="n">
        <f aca="false">IF(OR($A$4=公区维修!$F108,$BN$4=1),0,4-SUMPRODUCT(--(($A$1:$A$4=公区维修!$F108)+$BN$1:$BN$4&gt;0)))</f>
        <v>3</v>
      </c>
      <c r="AJ108" s="0" t="n">
        <f aca="false">IF(OR($A$5=公区维修!$F108,$BN$5=1),0,5-SUMPRODUCT(--(($A$1:$A$5=公区维修!$F108)+$BN$1:$BN$5&gt;0)))</f>
        <v>4</v>
      </c>
      <c r="AL108" s="0" t="str">
        <f aca="false">IFERROR(INDEX($A$1:$A$5,MATCH(1,$AF108:$AJ108,0)),IF(1=MAX($AF108:$AJ108)+1,"取消",""))</f>
        <v>李师傅</v>
      </c>
      <c r="AM108" s="0" t="str">
        <f aca="false">IFERROR(INDEX($A$1:$A$5,MATCH(2,$AF108:$AJ108,0)),IF(2=MAX($AF108:$AJ108)+1,"取消",""))</f>
        <v>王师傅</v>
      </c>
      <c r="AN108" s="0" t="str">
        <f aca="false">IFERROR(INDEX($A$1:$A$5,MATCH(3,$AF108:$AJ108,0)),IF(3=MAX($AF108:$AJ108)+1,"取消",""))</f>
        <v>陈师傅</v>
      </c>
      <c r="AO108" s="0" t="str">
        <f aca="false">IFERROR(INDEX($A$1:$A$5,MATCH(4,$AF108:$AJ108,0)),IF(4=MAX($AF108:$AJ108)+1,"取消",""))</f>
        <v>刘师傅</v>
      </c>
      <c r="AP108" s="0" t="str">
        <f aca="false">IFERROR(INDEX($A$1:$A$5,MATCH(5,$AF108:$AJ108,0)),IF(5=MAX($AF108:$AJ108)+1,"取消",""))</f>
        <v>取消</v>
      </c>
      <c r="AQ108" s="0" t="str">
        <f aca="false">IFERROR(INDEX($A$1:$A$5,MATCH(6,$AF108:$AJ108,0)),IF(6=MAX($AF108:$AJ108)+1,"取消",""))</f>
        <v/>
      </c>
      <c r="AS108" s="0" t="n">
        <f aca="false">IF(OR($A$1=公区维修!$F108,$A$1=公区维修!$G108,$BN$1=1),0,1-SUMPRODUCT(--(($A$1=公区维修!$F108)+($A$1=公区维修!$G108)+$BN$1&gt;0)))</f>
        <v>0</v>
      </c>
      <c r="AT108" s="0" t="n">
        <f aca="false">IF(OR($A$2=公区维修!$F108,$A$2=公区维修!$G108,$BN$2=1),0,2-SUMPRODUCT(--(($A$1:$A$2=公区维修!$F108)+($A$1:$A$2=公区维修!$G108)+$BN$1:$BN$2&gt;0)))</f>
        <v>1</v>
      </c>
      <c r="AU108" s="0" t="n">
        <f aca="false">IF(OR($A$3=公区维修!$F108,$A$3=公区维修!$G108,$BN$3=1),0,3-SUMPRODUCT(--(($A$1:$A$3=公区维修!$F108)+($A$1:$A$3=公区维修!$G108)+$BN$1:$BN$3&gt;0)))</f>
        <v>2</v>
      </c>
      <c r="AV108" s="0" t="n">
        <f aca="false">IF(OR($A$4=公区维修!$F108,$A$4=公区维修!$G108,$BN$4=1),0,4-SUMPRODUCT(--(($A$1:$A$4=公区维修!$F108)+($A$1:$A$4=公区维修!$G108)+$BN$1:$BN$4&gt;0)))</f>
        <v>3</v>
      </c>
      <c r="AW108" s="0" t="n">
        <f aca="false">IF(OR($A$5=公区维修!$F108,$A$5=公区维修!$G108,$BN$5=1),0,5-SUMPRODUCT(--(($A$1:$A$5=公区维修!$F108)+($A$1:$A$5=公区维修!$G108)+$BN$1:$BN$5&gt;0)))</f>
        <v>4</v>
      </c>
      <c r="AY108" s="0" t="str">
        <f aca="false">IFERROR(INDEX($A$1:$A$5,MATCH(1,$AS108:$AW108,0)),IF(1=MAX($AS108:$AW108)+1,"取消",""))</f>
        <v>李师傅</v>
      </c>
      <c r="AZ108" s="0" t="str">
        <f aca="false">IFERROR(INDEX($A$1:$A$5,MATCH(2,$AS108:$AW108,0)),IF(2=MAX($AS108:$AW108)+1,"取消",""))</f>
        <v>王师傅</v>
      </c>
      <c r="BA108" s="0" t="str">
        <f aca="false">IFERROR(INDEX($A$1:$A$5,MATCH(3,$AS108:$AW108,0)),IF(3=MAX($AS108:$AW108)+1,"取消",""))</f>
        <v>陈师傅</v>
      </c>
      <c r="BB108" s="0" t="str">
        <f aca="false">IFERROR(INDEX($A$1:$A$5,MATCH(4,$AS108:$AW108,0)),IF(4=MAX($AS108:$AW108)+1,"取消",""))</f>
        <v>刘师傅</v>
      </c>
      <c r="BC108" s="0" t="str">
        <f aca="false">IFERROR(INDEX($A$1:$A$5,MATCH(5,$AS108:$AW108,0)),IF(5=MAX($AS108:$AW108)+1,"取消",""))</f>
        <v>取消</v>
      </c>
      <c r="BD108" s="0" t="str">
        <f aca="false">IFERROR(INDEX($A$1:$A$5,MATCH(6,$AS108:$AW108,0)),IF(6=MAX($AS108:$AW108)+1,"取消",""))</f>
        <v/>
      </c>
      <c r="FW108" s="0" t="str">
        <f aca="false">IF(AND(单元查询!$D$3&lt;&gt;"",IF(单元查询!$B$3="公区维修",公区维修!$E108&lt;&gt;"",入户维修!$E108&lt;&gt;""),IF(单元查询!$B$3="公区维修",公区维修!$C108,入户维修!$C108)=单元查询!$D$3,OR(单元查询!$F$3="",IF(单元查询!$B$3="公区维修",公区维修!$D108,入户维修!$D108)&amp;""=(单元查询!$F$3)&amp;"")),MAX($FW$4:$FW107)+1,"")</f>
        <v/>
      </c>
    </row>
    <row r="109" customFormat="false" ht="15" hidden="false" customHeight="true" outlineLevel="0" collapsed="false">
      <c r="F109" s="0" t="n">
        <f aca="false">IF(OR($A$1=入户维修!$F109,$BN$1=1),0,1-SUMPRODUCT(--(($A$1=入户维修!$F109)+$BN$1&gt;0)))</f>
        <v>0</v>
      </c>
      <c r="G109" s="0" t="n">
        <f aca="false">IF(OR($A$2=入户维修!$F109,$BN$2=1),0,2-SUMPRODUCT(--(($A$1:$A$2=入户维修!$F109)+$BN$1:$BN$2&gt;0)))</f>
        <v>1</v>
      </c>
      <c r="H109" s="0" t="n">
        <f aca="false">IF(OR($A$3=入户维修!$F109,$BN$3=1),0,3-SUMPRODUCT(--(($A$1:$A$3=入户维修!$F109)+$BN$1:$BN$3&gt;0)))</f>
        <v>2</v>
      </c>
      <c r="I109" s="0" t="n">
        <f aca="false">IF(OR($A$4=入户维修!$F109,$BN$4=1),0,4-SUMPRODUCT(--(($A$1:$A$4=入户维修!$F109)+$BN$1:$BN$4&gt;0)))</f>
        <v>3</v>
      </c>
      <c r="J109" s="0" t="n">
        <f aca="false">IF(OR($A$5=入户维修!$F109,$BN$5=1),0,5-SUMPRODUCT(--(($A$1:$A$5=入户维修!$F109)+$BN$1:$BN$5&gt;0)))</f>
        <v>4</v>
      </c>
      <c r="L109" s="0" t="str">
        <f aca="false">IFERROR(INDEX($A$1:$A$5,MATCH(1,$F109:$J109,0)),IF(1=MAX($F109:$J109)+1,"取消",""))</f>
        <v>李师傅</v>
      </c>
      <c r="M109" s="0" t="str">
        <f aca="false">IFERROR(INDEX($A$1:$A$5,MATCH(2,$F109:$J109,0)),IF(2=MAX($F109:$J109)+1,"取消",""))</f>
        <v>王师傅</v>
      </c>
      <c r="N109" s="0" t="str">
        <f aca="false">IFERROR(INDEX($A$1:$A$5,MATCH(3,$F109:$J109,0)),IF(3=MAX($F109:$J109)+1,"取消",""))</f>
        <v>陈师傅</v>
      </c>
      <c r="O109" s="0" t="str">
        <f aca="false">IFERROR(INDEX($A$1:$A$5,MATCH(4,$F109:$J109,0)),IF(4=MAX($F109:$J109)+1,"取消",""))</f>
        <v>刘师傅</v>
      </c>
      <c r="P109" s="0" t="str">
        <f aca="false">IFERROR(INDEX($A$1:$A$5,MATCH(5,$F109:$J109,0)),IF(5=MAX($F109:$J109)+1,"取消",""))</f>
        <v>取消</v>
      </c>
      <c r="Q109" s="0" t="str">
        <f aca="false">IFERROR(INDEX($A$1:$A$5,MATCH(6,$F109:$J109,0)),IF(6=MAX($F109:$J109)+1,"取消",""))</f>
        <v/>
      </c>
      <c r="S109" s="0" t="n">
        <f aca="false">IF(OR($A$1=入户维修!$F109,$A$1=入户维修!$G109,$BN$1=1),0,1-SUMPRODUCT(--(($A$1=入户维修!$F109)+($A$1=入户维修!$G109)+$BN$1&gt;0)))</f>
        <v>0</v>
      </c>
      <c r="T109" s="0" t="n">
        <f aca="false">IF(OR($A$2=入户维修!$F109,$A$2=入户维修!$G109,$BN$2=1),0,2-SUMPRODUCT(--(($A$1:$A$2=入户维修!$F109)+($A$1:$A$2=入户维修!$G109)+$BN$1:$BN$2&gt;0)))</f>
        <v>1</v>
      </c>
      <c r="U109" s="0" t="n">
        <f aca="false">IF(OR($A$3=入户维修!$F109,$A$3=入户维修!$G109,$BN$3=1),0,3-SUMPRODUCT(--(($A$1:$A$3=入户维修!$F109)+($A$1:$A$3=入户维修!$G109)+$BN$1:$BN$3&gt;0)))</f>
        <v>2</v>
      </c>
      <c r="V109" s="0" t="n">
        <f aca="false">IF(OR($A$4=入户维修!$F109,$A$4=入户维修!$G109,$BN$4=1),0,4-SUMPRODUCT(--(($A$1:$A$4=入户维修!$F109)+($A$1:$A$4=入户维修!$G109)+$BN$1:$BN$4&gt;0)))</f>
        <v>3</v>
      </c>
      <c r="W109" s="0" t="n">
        <f aca="false">IF(OR($A$5=入户维修!$F109,$A$5=入户维修!$G109,$BN$5=1),0,5-SUMPRODUCT(--(($A$1:$A$5=入户维修!$F109)+($A$1:$A$5=入户维修!$G109)+$BN$1:$BN$5&gt;0)))</f>
        <v>4</v>
      </c>
      <c r="Y109" s="0" t="str">
        <f aca="false">IFERROR(INDEX($A$1:$A$5,MATCH(1,$S109:$W109,0)),IF(1=MAX($S109:$W109)+1,"取消",""))</f>
        <v>李师傅</v>
      </c>
      <c r="Z109" s="0" t="str">
        <f aca="false">IFERROR(INDEX($A$1:$A$5,MATCH(2,$S109:$W109,0)),IF(2=MAX($S109:$W109)+1,"取消",""))</f>
        <v>王师傅</v>
      </c>
      <c r="AA109" s="0" t="str">
        <f aca="false">IFERROR(INDEX($A$1:$A$5,MATCH(3,$S109:$W109,0)),IF(3=MAX($S109:$W109)+1,"取消",""))</f>
        <v>陈师傅</v>
      </c>
      <c r="AB109" s="0" t="str">
        <f aca="false">IFERROR(INDEX($A$1:$A$5,MATCH(4,$S109:$W109,0)),IF(4=MAX($S109:$W109)+1,"取消",""))</f>
        <v>刘师傅</v>
      </c>
      <c r="AC109" s="0" t="str">
        <f aca="false">IFERROR(INDEX($A$1:$A$5,MATCH(5,$S109:$W109,0)),IF(5=MAX($S109:$W109)+1,"取消",""))</f>
        <v>取消</v>
      </c>
      <c r="AD109" s="0" t="str">
        <f aca="false">IFERROR(INDEX($A$1:$A$5,MATCH(6,$S109:$W109,0)),IF(6=MAX($S109:$W109)+1,"取消",""))</f>
        <v/>
      </c>
      <c r="AF109" s="0" t="n">
        <f aca="false">IF(OR($A$1=公区维修!$F109,$BN$1=1),0,1-SUMPRODUCT(--(($A$1=公区维修!$F109)+$BN$1&gt;0)))</f>
        <v>0</v>
      </c>
      <c r="AG109" s="0" t="n">
        <f aca="false">IF(OR($A$2=公区维修!$F109,$BN$2=1),0,2-SUMPRODUCT(--(($A$1:$A$2=公区维修!$F109)+$BN$1:$BN$2&gt;0)))</f>
        <v>1</v>
      </c>
      <c r="AH109" s="0" t="n">
        <f aca="false">IF(OR($A$3=公区维修!$F109,$BN$3=1),0,3-SUMPRODUCT(--(($A$1:$A$3=公区维修!$F109)+$BN$1:$BN$3&gt;0)))</f>
        <v>2</v>
      </c>
      <c r="AI109" s="0" t="n">
        <f aca="false">IF(OR($A$4=公区维修!$F109,$BN$4=1),0,4-SUMPRODUCT(--(($A$1:$A$4=公区维修!$F109)+$BN$1:$BN$4&gt;0)))</f>
        <v>3</v>
      </c>
      <c r="AJ109" s="0" t="n">
        <f aca="false">IF(OR($A$5=公区维修!$F109,$BN$5=1),0,5-SUMPRODUCT(--(($A$1:$A$5=公区维修!$F109)+$BN$1:$BN$5&gt;0)))</f>
        <v>4</v>
      </c>
      <c r="AL109" s="0" t="str">
        <f aca="false">IFERROR(INDEX($A$1:$A$5,MATCH(1,$AF109:$AJ109,0)),IF(1=MAX($AF109:$AJ109)+1,"取消",""))</f>
        <v>李师傅</v>
      </c>
      <c r="AM109" s="0" t="str">
        <f aca="false">IFERROR(INDEX($A$1:$A$5,MATCH(2,$AF109:$AJ109,0)),IF(2=MAX($AF109:$AJ109)+1,"取消",""))</f>
        <v>王师傅</v>
      </c>
      <c r="AN109" s="0" t="str">
        <f aca="false">IFERROR(INDEX($A$1:$A$5,MATCH(3,$AF109:$AJ109,0)),IF(3=MAX($AF109:$AJ109)+1,"取消",""))</f>
        <v>陈师傅</v>
      </c>
      <c r="AO109" s="0" t="str">
        <f aca="false">IFERROR(INDEX($A$1:$A$5,MATCH(4,$AF109:$AJ109,0)),IF(4=MAX($AF109:$AJ109)+1,"取消",""))</f>
        <v>刘师傅</v>
      </c>
      <c r="AP109" s="0" t="str">
        <f aca="false">IFERROR(INDEX($A$1:$A$5,MATCH(5,$AF109:$AJ109,0)),IF(5=MAX($AF109:$AJ109)+1,"取消",""))</f>
        <v>取消</v>
      </c>
      <c r="AQ109" s="0" t="str">
        <f aca="false">IFERROR(INDEX($A$1:$A$5,MATCH(6,$AF109:$AJ109,0)),IF(6=MAX($AF109:$AJ109)+1,"取消",""))</f>
        <v/>
      </c>
      <c r="AS109" s="0" t="n">
        <f aca="false">IF(OR($A$1=公区维修!$F109,$A$1=公区维修!$G109,$BN$1=1),0,1-SUMPRODUCT(--(($A$1=公区维修!$F109)+($A$1=公区维修!$G109)+$BN$1&gt;0)))</f>
        <v>0</v>
      </c>
      <c r="AT109" s="0" t="n">
        <f aca="false">IF(OR($A$2=公区维修!$F109,$A$2=公区维修!$G109,$BN$2=1),0,2-SUMPRODUCT(--(($A$1:$A$2=公区维修!$F109)+($A$1:$A$2=公区维修!$G109)+$BN$1:$BN$2&gt;0)))</f>
        <v>1</v>
      </c>
      <c r="AU109" s="0" t="n">
        <f aca="false">IF(OR($A$3=公区维修!$F109,$A$3=公区维修!$G109,$BN$3=1),0,3-SUMPRODUCT(--(($A$1:$A$3=公区维修!$F109)+($A$1:$A$3=公区维修!$G109)+$BN$1:$BN$3&gt;0)))</f>
        <v>2</v>
      </c>
      <c r="AV109" s="0" t="n">
        <f aca="false">IF(OR($A$4=公区维修!$F109,$A$4=公区维修!$G109,$BN$4=1),0,4-SUMPRODUCT(--(($A$1:$A$4=公区维修!$F109)+($A$1:$A$4=公区维修!$G109)+$BN$1:$BN$4&gt;0)))</f>
        <v>3</v>
      </c>
      <c r="AW109" s="0" t="n">
        <f aca="false">IF(OR($A$5=公区维修!$F109,$A$5=公区维修!$G109,$BN$5=1),0,5-SUMPRODUCT(--(($A$1:$A$5=公区维修!$F109)+($A$1:$A$5=公区维修!$G109)+$BN$1:$BN$5&gt;0)))</f>
        <v>4</v>
      </c>
      <c r="AY109" s="0" t="str">
        <f aca="false">IFERROR(INDEX($A$1:$A$5,MATCH(1,$AS109:$AW109,0)),IF(1=MAX($AS109:$AW109)+1,"取消",""))</f>
        <v>李师傅</v>
      </c>
      <c r="AZ109" s="0" t="str">
        <f aca="false">IFERROR(INDEX($A$1:$A$5,MATCH(2,$AS109:$AW109,0)),IF(2=MAX($AS109:$AW109)+1,"取消",""))</f>
        <v>王师傅</v>
      </c>
      <c r="BA109" s="0" t="str">
        <f aca="false">IFERROR(INDEX($A$1:$A$5,MATCH(3,$AS109:$AW109,0)),IF(3=MAX($AS109:$AW109)+1,"取消",""))</f>
        <v>陈师傅</v>
      </c>
      <c r="BB109" s="0" t="str">
        <f aca="false">IFERROR(INDEX($A$1:$A$5,MATCH(4,$AS109:$AW109,0)),IF(4=MAX($AS109:$AW109)+1,"取消",""))</f>
        <v>刘师傅</v>
      </c>
      <c r="BC109" s="0" t="str">
        <f aca="false">IFERROR(INDEX($A$1:$A$5,MATCH(5,$AS109:$AW109,0)),IF(5=MAX($AS109:$AW109)+1,"取消",""))</f>
        <v>取消</v>
      </c>
      <c r="BD109" s="0" t="str">
        <f aca="false">IFERROR(INDEX($A$1:$A$5,MATCH(6,$AS109:$AW109,0)),IF(6=MAX($AS109:$AW109)+1,"取消",""))</f>
        <v/>
      </c>
      <c r="FW109" s="0" t="str">
        <f aca="false">IF(AND(单元查询!$D$3&lt;&gt;"",IF(单元查询!$B$3="公区维修",公区维修!$E109&lt;&gt;"",入户维修!$E109&lt;&gt;""),IF(单元查询!$B$3="公区维修",公区维修!$C109,入户维修!$C109)=单元查询!$D$3,OR(单元查询!$F$3="",IF(单元查询!$B$3="公区维修",公区维修!$D109,入户维修!$D109)&amp;""=(单元查询!$F$3)&amp;"")),MAX($FW$4:$FW108)+1,"")</f>
        <v/>
      </c>
    </row>
    <row r="110" customFormat="false" ht="15" hidden="false" customHeight="true" outlineLevel="0" collapsed="false">
      <c r="F110" s="0" t="n">
        <f aca="false">IF(OR($A$1=入户维修!$F110,$BN$1=1),0,1-SUMPRODUCT(--(($A$1=入户维修!$F110)+$BN$1&gt;0)))</f>
        <v>0</v>
      </c>
      <c r="G110" s="0" t="n">
        <f aca="false">IF(OR($A$2=入户维修!$F110,$BN$2=1),0,2-SUMPRODUCT(--(($A$1:$A$2=入户维修!$F110)+$BN$1:$BN$2&gt;0)))</f>
        <v>1</v>
      </c>
      <c r="H110" s="0" t="n">
        <f aca="false">IF(OR($A$3=入户维修!$F110,$BN$3=1),0,3-SUMPRODUCT(--(($A$1:$A$3=入户维修!$F110)+$BN$1:$BN$3&gt;0)))</f>
        <v>0</v>
      </c>
      <c r="I110" s="0" t="n">
        <f aca="false">IF(OR($A$4=入户维修!$F110,$BN$4=1),0,4-SUMPRODUCT(--(($A$1:$A$4=入户维修!$F110)+$BN$1:$BN$4&gt;0)))</f>
        <v>2</v>
      </c>
      <c r="J110" s="0" t="n">
        <f aca="false">IF(OR($A$5=入户维修!$F110,$BN$5=1),0,5-SUMPRODUCT(--(($A$1:$A$5=入户维修!$F110)+$BN$1:$BN$5&gt;0)))</f>
        <v>3</v>
      </c>
      <c r="L110" s="0" t="str">
        <f aca="false">IFERROR(INDEX($A$1:$A$5,MATCH(1,$F110:$J110,0)),IF(1=MAX($F110:$J110)+1,"取消",""))</f>
        <v>李师傅</v>
      </c>
      <c r="M110" s="0" t="str">
        <f aca="false">IFERROR(INDEX($A$1:$A$5,MATCH(2,$F110:$J110,0)),IF(2=MAX($F110:$J110)+1,"取消",""))</f>
        <v>陈师傅</v>
      </c>
      <c r="N110" s="0" t="str">
        <f aca="false">IFERROR(INDEX($A$1:$A$5,MATCH(3,$F110:$J110,0)),IF(3=MAX($F110:$J110)+1,"取消",""))</f>
        <v>刘师傅</v>
      </c>
      <c r="O110" s="0" t="str">
        <f aca="false">IFERROR(INDEX($A$1:$A$5,MATCH(4,$F110:$J110,0)),IF(4=MAX($F110:$J110)+1,"取消",""))</f>
        <v>取消</v>
      </c>
      <c r="P110" s="0" t="str">
        <f aca="false">IFERROR(INDEX($A$1:$A$5,MATCH(5,$F110:$J110,0)),IF(5=MAX($F110:$J110)+1,"取消",""))</f>
        <v/>
      </c>
      <c r="Q110" s="0" t="str">
        <f aca="false">IFERROR(INDEX($A$1:$A$5,MATCH(6,$F110:$J110,0)),IF(6=MAX($F110:$J110)+1,"取消",""))</f>
        <v/>
      </c>
      <c r="S110" s="0" t="n">
        <f aca="false">IF(OR($A$1=入户维修!$F110,$A$1=入户维修!$G110,$BN$1=1),0,1-SUMPRODUCT(--(($A$1=入户维修!$F110)+($A$1=入户维修!$G110)+$BN$1&gt;0)))</f>
        <v>0</v>
      </c>
      <c r="T110" s="0" t="n">
        <f aca="false">IF(OR($A$2=入户维修!$F110,$A$2=入户维修!$G110,$BN$2=1),0,2-SUMPRODUCT(--(($A$1:$A$2=入户维修!$F110)+($A$1:$A$2=入户维修!$G110)+$BN$1:$BN$2&gt;0)))</f>
        <v>1</v>
      </c>
      <c r="U110" s="0" t="n">
        <f aca="false">IF(OR($A$3=入户维修!$F110,$A$3=入户维修!$G110,$BN$3=1),0,3-SUMPRODUCT(--(($A$1:$A$3=入户维修!$F110)+($A$1:$A$3=入户维修!$G110)+$BN$1:$BN$3&gt;0)))</f>
        <v>0</v>
      </c>
      <c r="V110" s="0" t="n">
        <f aca="false">IF(OR($A$4=入户维修!$F110,$A$4=入户维修!$G110,$BN$4=1),0,4-SUMPRODUCT(--(($A$1:$A$4=入户维修!$F110)+($A$1:$A$4=入户维修!$G110)+$BN$1:$BN$4&gt;0)))</f>
        <v>2</v>
      </c>
      <c r="W110" s="0" t="n">
        <f aca="false">IF(OR($A$5=入户维修!$F110,$A$5=入户维修!$G110,$BN$5=1),0,5-SUMPRODUCT(--(($A$1:$A$5=入户维修!$F110)+($A$1:$A$5=入户维修!$G110)+$BN$1:$BN$5&gt;0)))</f>
        <v>3</v>
      </c>
      <c r="Y110" s="0" t="str">
        <f aca="false">IFERROR(INDEX($A$1:$A$5,MATCH(1,$S110:$W110,0)),IF(1=MAX($S110:$W110)+1,"取消",""))</f>
        <v>李师傅</v>
      </c>
      <c r="Z110" s="0" t="str">
        <f aca="false">IFERROR(INDEX($A$1:$A$5,MATCH(2,$S110:$W110,0)),IF(2=MAX($S110:$W110)+1,"取消",""))</f>
        <v>陈师傅</v>
      </c>
      <c r="AA110" s="0" t="str">
        <f aca="false">IFERROR(INDEX($A$1:$A$5,MATCH(3,$S110:$W110,0)),IF(3=MAX($S110:$W110)+1,"取消",""))</f>
        <v>刘师傅</v>
      </c>
      <c r="AB110" s="0" t="str">
        <f aca="false">IFERROR(INDEX($A$1:$A$5,MATCH(4,$S110:$W110,0)),IF(4=MAX($S110:$W110)+1,"取消",""))</f>
        <v>取消</v>
      </c>
      <c r="AC110" s="0" t="str">
        <f aca="false">IFERROR(INDEX($A$1:$A$5,MATCH(5,$S110:$W110,0)),IF(5=MAX($S110:$W110)+1,"取消",""))</f>
        <v/>
      </c>
      <c r="AD110" s="0" t="str">
        <f aca="false">IFERROR(INDEX($A$1:$A$5,MATCH(6,$S110:$W110,0)),IF(6=MAX($S110:$W110)+1,"取消",""))</f>
        <v/>
      </c>
      <c r="AF110" s="0" t="n">
        <f aca="false">IF(OR($A$1=公区维修!$F110,$BN$1=1),0,1-SUMPRODUCT(--(($A$1=公区维修!$F110)+$BN$1&gt;0)))</f>
        <v>0</v>
      </c>
      <c r="AG110" s="0" t="n">
        <f aca="false">IF(OR($A$2=公区维修!$F110,$BN$2=1),0,2-SUMPRODUCT(--(($A$1:$A$2=公区维修!$F110)+$BN$1:$BN$2&gt;0)))</f>
        <v>1</v>
      </c>
      <c r="AH110" s="0" t="n">
        <f aca="false">IF(OR($A$3=公区维修!$F110,$BN$3=1),0,3-SUMPRODUCT(--(($A$1:$A$3=公区维修!$F110)+$BN$1:$BN$3&gt;0)))</f>
        <v>2</v>
      </c>
      <c r="AI110" s="0" t="n">
        <f aca="false">IF(OR($A$4=公区维修!$F110,$BN$4=1),0,4-SUMPRODUCT(--(($A$1:$A$4=公区维修!$F110)+$BN$1:$BN$4&gt;0)))</f>
        <v>3</v>
      </c>
      <c r="AJ110" s="0" t="n">
        <f aca="false">IF(OR($A$5=公区维修!$F110,$BN$5=1),0,5-SUMPRODUCT(--(($A$1:$A$5=公区维修!$F110)+$BN$1:$BN$5&gt;0)))</f>
        <v>4</v>
      </c>
      <c r="AL110" s="0" t="str">
        <f aca="false">IFERROR(INDEX($A$1:$A$5,MATCH(1,$AF110:$AJ110,0)),IF(1=MAX($AF110:$AJ110)+1,"取消",""))</f>
        <v>李师傅</v>
      </c>
      <c r="AM110" s="0" t="str">
        <f aca="false">IFERROR(INDEX($A$1:$A$5,MATCH(2,$AF110:$AJ110,0)),IF(2=MAX($AF110:$AJ110)+1,"取消",""))</f>
        <v>王师傅</v>
      </c>
      <c r="AN110" s="0" t="str">
        <f aca="false">IFERROR(INDEX($A$1:$A$5,MATCH(3,$AF110:$AJ110,0)),IF(3=MAX($AF110:$AJ110)+1,"取消",""))</f>
        <v>陈师傅</v>
      </c>
      <c r="AO110" s="0" t="str">
        <f aca="false">IFERROR(INDEX($A$1:$A$5,MATCH(4,$AF110:$AJ110,0)),IF(4=MAX($AF110:$AJ110)+1,"取消",""))</f>
        <v>刘师傅</v>
      </c>
      <c r="AP110" s="0" t="str">
        <f aca="false">IFERROR(INDEX($A$1:$A$5,MATCH(5,$AF110:$AJ110,0)),IF(5=MAX($AF110:$AJ110)+1,"取消",""))</f>
        <v>取消</v>
      </c>
      <c r="AQ110" s="0" t="str">
        <f aca="false">IFERROR(INDEX($A$1:$A$5,MATCH(6,$AF110:$AJ110,0)),IF(6=MAX($AF110:$AJ110)+1,"取消",""))</f>
        <v/>
      </c>
      <c r="AS110" s="0" t="n">
        <f aca="false">IF(OR($A$1=公区维修!$F110,$A$1=公区维修!$G110,$BN$1=1),0,1-SUMPRODUCT(--(($A$1=公区维修!$F110)+($A$1=公区维修!$G110)+$BN$1&gt;0)))</f>
        <v>0</v>
      </c>
      <c r="AT110" s="0" t="n">
        <f aca="false">IF(OR($A$2=公区维修!$F110,$A$2=公区维修!$G110,$BN$2=1),0,2-SUMPRODUCT(--(($A$1:$A$2=公区维修!$F110)+($A$1:$A$2=公区维修!$G110)+$BN$1:$BN$2&gt;0)))</f>
        <v>1</v>
      </c>
      <c r="AU110" s="0" t="n">
        <f aca="false">IF(OR($A$3=公区维修!$F110,$A$3=公区维修!$G110,$BN$3=1),0,3-SUMPRODUCT(--(($A$1:$A$3=公区维修!$F110)+($A$1:$A$3=公区维修!$G110)+$BN$1:$BN$3&gt;0)))</f>
        <v>2</v>
      </c>
      <c r="AV110" s="0" t="n">
        <f aca="false">IF(OR($A$4=公区维修!$F110,$A$4=公区维修!$G110,$BN$4=1),0,4-SUMPRODUCT(--(($A$1:$A$4=公区维修!$F110)+($A$1:$A$4=公区维修!$G110)+$BN$1:$BN$4&gt;0)))</f>
        <v>3</v>
      </c>
      <c r="AW110" s="0" t="n">
        <f aca="false">IF(OR($A$5=公区维修!$F110,$A$5=公区维修!$G110,$BN$5=1),0,5-SUMPRODUCT(--(($A$1:$A$5=公区维修!$F110)+($A$1:$A$5=公区维修!$G110)+$BN$1:$BN$5&gt;0)))</f>
        <v>4</v>
      </c>
      <c r="AY110" s="0" t="str">
        <f aca="false">IFERROR(INDEX($A$1:$A$5,MATCH(1,$AS110:$AW110,0)),IF(1=MAX($AS110:$AW110)+1,"取消",""))</f>
        <v>李师傅</v>
      </c>
      <c r="AZ110" s="0" t="str">
        <f aca="false">IFERROR(INDEX($A$1:$A$5,MATCH(2,$AS110:$AW110,0)),IF(2=MAX($AS110:$AW110)+1,"取消",""))</f>
        <v>王师傅</v>
      </c>
      <c r="BA110" s="0" t="str">
        <f aca="false">IFERROR(INDEX($A$1:$A$5,MATCH(3,$AS110:$AW110,0)),IF(3=MAX($AS110:$AW110)+1,"取消",""))</f>
        <v>陈师傅</v>
      </c>
      <c r="BB110" s="0" t="str">
        <f aca="false">IFERROR(INDEX($A$1:$A$5,MATCH(4,$AS110:$AW110,0)),IF(4=MAX($AS110:$AW110)+1,"取消",""))</f>
        <v>刘师傅</v>
      </c>
      <c r="BC110" s="0" t="str">
        <f aca="false">IFERROR(INDEX($A$1:$A$5,MATCH(5,$AS110:$AW110,0)),IF(5=MAX($AS110:$AW110)+1,"取消",""))</f>
        <v>取消</v>
      </c>
      <c r="BD110" s="0" t="str">
        <f aca="false">IFERROR(INDEX($A$1:$A$5,MATCH(6,$AS110:$AW110,0)),IF(6=MAX($AS110:$AW110)+1,"取消",""))</f>
        <v/>
      </c>
      <c r="FW110" s="0" t="n">
        <f aca="false">IF(AND(单元查询!$D$3&lt;&gt;"",IF(单元查询!$B$3="公区维修",公区维修!$E110&lt;&gt;"",入户维修!$E110&lt;&gt;""),IF(单元查询!$B$3="公区维修",公区维修!$C110,入户维修!$C110)=单元查询!$D$3,OR(单元查询!$F$3="",IF(单元查询!$B$3="公区维修",公区维修!$D110,入户维修!$D110)&amp;""=(单元查询!$F$3)&amp;"")),MAX($FW$4:$FW109)+1,"")</f>
        <v>16</v>
      </c>
    </row>
    <row r="111" customFormat="false" ht="15" hidden="false" customHeight="true" outlineLevel="0" collapsed="false">
      <c r="F111" s="0" t="n">
        <f aca="false">IF(OR($A$1=入户维修!$F111,$BN$1=1),0,1-SUMPRODUCT(--(($A$1=入户维修!$F111)+$BN$1&gt;0)))</f>
        <v>0</v>
      </c>
      <c r="G111" s="0" t="n">
        <f aca="false">IF(OR($A$2=入户维修!$F111,$BN$2=1),0,2-SUMPRODUCT(--(($A$1:$A$2=入户维修!$F111)+$BN$1:$BN$2&gt;0)))</f>
        <v>0</v>
      </c>
      <c r="H111" s="0" t="n">
        <f aca="false">IF(OR($A$3=入户维修!$F111,$BN$3=1),0,3-SUMPRODUCT(--(($A$1:$A$3=入户维修!$F111)+$BN$1:$BN$3&gt;0)))</f>
        <v>1</v>
      </c>
      <c r="I111" s="0" t="n">
        <f aca="false">IF(OR($A$4=入户维修!$F111,$BN$4=1),0,4-SUMPRODUCT(--(($A$1:$A$4=入户维修!$F111)+$BN$1:$BN$4&gt;0)))</f>
        <v>2</v>
      </c>
      <c r="J111" s="0" t="n">
        <f aca="false">IF(OR($A$5=入户维修!$F111,$BN$5=1),0,5-SUMPRODUCT(--(($A$1:$A$5=入户维修!$F111)+$BN$1:$BN$5&gt;0)))</f>
        <v>3</v>
      </c>
      <c r="L111" s="0" t="str">
        <f aca="false">IFERROR(INDEX($A$1:$A$5,MATCH(1,$F111:$J111,0)),IF(1=MAX($F111:$J111)+1,"取消",""))</f>
        <v>王师傅</v>
      </c>
      <c r="M111" s="0" t="str">
        <f aca="false">IFERROR(INDEX($A$1:$A$5,MATCH(2,$F111:$J111,0)),IF(2=MAX($F111:$J111)+1,"取消",""))</f>
        <v>陈师傅</v>
      </c>
      <c r="N111" s="0" t="str">
        <f aca="false">IFERROR(INDEX($A$1:$A$5,MATCH(3,$F111:$J111,0)),IF(3=MAX($F111:$J111)+1,"取消",""))</f>
        <v>刘师傅</v>
      </c>
      <c r="O111" s="0" t="str">
        <f aca="false">IFERROR(INDEX($A$1:$A$5,MATCH(4,$F111:$J111,0)),IF(4=MAX($F111:$J111)+1,"取消",""))</f>
        <v>取消</v>
      </c>
      <c r="P111" s="0" t="str">
        <f aca="false">IFERROR(INDEX($A$1:$A$5,MATCH(5,$F111:$J111,0)),IF(5=MAX($F111:$J111)+1,"取消",""))</f>
        <v/>
      </c>
      <c r="Q111" s="0" t="str">
        <f aca="false">IFERROR(INDEX($A$1:$A$5,MATCH(6,$F111:$J111,0)),IF(6=MAX($F111:$J111)+1,"取消",""))</f>
        <v/>
      </c>
      <c r="S111" s="0" t="n">
        <f aca="false">IF(OR($A$1=入户维修!$F111,$A$1=入户维修!$G111,$BN$1=1),0,1-SUMPRODUCT(--(($A$1=入户维修!$F111)+($A$1=入户维修!$G111)+$BN$1&gt;0)))</f>
        <v>0</v>
      </c>
      <c r="T111" s="0" t="n">
        <f aca="false">IF(OR($A$2=入户维修!$F111,$A$2=入户维修!$G111,$BN$2=1),0,2-SUMPRODUCT(--(($A$1:$A$2=入户维修!$F111)+($A$1:$A$2=入户维修!$G111)+$BN$1:$BN$2&gt;0)))</f>
        <v>0</v>
      </c>
      <c r="U111" s="0" t="n">
        <f aca="false">IF(OR($A$3=入户维修!$F111,$A$3=入户维修!$G111,$BN$3=1),0,3-SUMPRODUCT(--(($A$1:$A$3=入户维修!$F111)+($A$1:$A$3=入户维修!$G111)+$BN$1:$BN$3&gt;0)))</f>
        <v>1</v>
      </c>
      <c r="V111" s="0" t="n">
        <f aca="false">IF(OR($A$4=入户维修!$F111,$A$4=入户维修!$G111,$BN$4=1),0,4-SUMPRODUCT(--(($A$1:$A$4=入户维修!$F111)+($A$1:$A$4=入户维修!$G111)+$BN$1:$BN$4&gt;0)))</f>
        <v>2</v>
      </c>
      <c r="W111" s="0" t="n">
        <f aca="false">IF(OR($A$5=入户维修!$F111,$A$5=入户维修!$G111,$BN$5=1),0,5-SUMPRODUCT(--(($A$1:$A$5=入户维修!$F111)+($A$1:$A$5=入户维修!$G111)+$BN$1:$BN$5&gt;0)))</f>
        <v>3</v>
      </c>
      <c r="Y111" s="0" t="str">
        <f aca="false">IFERROR(INDEX($A$1:$A$5,MATCH(1,$S111:$W111,0)),IF(1=MAX($S111:$W111)+1,"取消",""))</f>
        <v>王师傅</v>
      </c>
      <c r="Z111" s="0" t="str">
        <f aca="false">IFERROR(INDEX($A$1:$A$5,MATCH(2,$S111:$W111,0)),IF(2=MAX($S111:$W111)+1,"取消",""))</f>
        <v>陈师傅</v>
      </c>
      <c r="AA111" s="0" t="str">
        <f aca="false">IFERROR(INDEX($A$1:$A$5,MATCH(3,$S111:$W111,0)),IF(3=MAX($S111:$W111)+1,"取消",""))</f>
        <v>刘师傅</v>
      </c>
      <c r="AB111" s="0" t="str">
        <f aca="false">IFERROR(INDEX($A$1:$A$5,MATCH(4,$S111:$W111,0)),IF(4=MAX($S111:$W111)+1,"取消",""))</f>
        <v>取消</v>
      </c>
      <c r="AC111" s="0" t="str">
        <f aca="false">IFERROR(INDEX($A$1:$A$5,MATCH(5,$S111:$W111,0)),IF(5=MAX($S111:$W111)+1,"取消",""))</f>
        <v/>
      </c>
      <c r="AD111" s="0" t="str">
        <f aca="false">IFERROR(INDEX($A$1:$A$5,MATCH(6,$S111:$W111,0)),IF(6=MAX($S111:$W111)+1,"取消",""))</f>
        <v/>
      </c>
      <c r="AF111" s="0" t="n">
        <f aca="false">IF(OR($A$1=公区维修!$F111,$BN$1=1),0,1-SUMPRODUCT(--(($A$1=公区维修!$F111)+$BN$1&gt;0)))</f>
        <v>0</v>
      </c>
      <c r="AG111" s="0" t="n">
        <f aca="false">IF(OR($A$2=公区维修!$F111,$BN$2=1),0,2-SUMPRODUCT(--(($A$1:$A$2=公区维修!$F111)+$BN$1:$BN$2&gt;0)))</f>
        <v>1</v>
      </c>
      <c r="AH111" s="0" t="n">
        <f aca="false">IF(OR($A$3=公区维修!$F111,$BN$3=1),0,3-SUMPRODUCT(--(($A$1:$A$3=公区维修!$F111)+$BN$1:$BN$3&gt;0)))</f>
        <v>2</v>
      </c>
      <c r="AI111" s="0" t="n">
        <f aca="false">IF(OR($A$4=公区维修!$F111,$BN$4=1),0,4-SUMPRODUCT(--(($A$1:$A$4=公区维修!$F111)+$BN$1:$BN$4&gt;0)))</f>
        <v>3</v>
      </c>
      <c r="AJ111" s="0" t="n">
        <f aca="false">IF(OR($A$5=公区维修!$F111,$BN$5=1),0,5-SUMPRODUCT(--(($A$1:$A$5=公区维修!$F111)+$BN$1:$BN$5&gt;0)))</f>
        <v>4</v>
      </c>
      <c r="AL111" s="0" t="str">
        <f aca="false">IFERROR(INDEX($A$1:$A$5,MATCH(1,$AF111:$AJ111,0)),IF(1=MAX($AF111:$AJ111)+1,"取消",""))</f>
        <v>李师傅</v>
      </c>
      <c r="AM111" s="0" t="str">
        <f aca="false">IFERROR(INDEX($A$1:$A$5,MATCH(2,$AF111:$AJ111,0)),IF(2=MAX($AF111:$AJ111)+1,"取消",""))</f>
        <v>王师傅</v>
      </c>
      <c r="AN111" s="0" t="str">
        <f aca="false">IFERROR(INDEX($A$1:$A$5,MATCH(3,$AF111:$AJ111,0)),IF(3=MAX($AF111:$AJ111)+1,"取消",""))</f>
        <v>陈师傅</v>
      </c>
      <c r="AO111" s="0" t="str">
        <f aca="false">IFERROR(INDEX($A$1:$A$5,MATCH(4,$AF111:$AJ111,0)),IF(4=MAX($AF111:$AJ111)+1,"取消",""))</f>
        <v>刘师傅</v>
      </c>
      <c r="AP111" s="0" t="str">
        <f aca="false">IFERROR(INDEX($A$1:$A$5,MATCH(5,$AF111:$AJ111,0)),IF(5=MAX($AF111:$AJ111)+1,"取消",""))</f>
        <v>取消</v>
      </c>
      <c r="AQ111" s="0" t="str">
        <f aca="false">IFERROR(INDEX($A$1:$A$5,MATCH(6,$AF111:$AJ111,0)),IF(6=MAX($AF111:$AJ111)+1,"取消",""))</f>
        <v/>
      </c>
      <c r="AS111" s="0" t="n">
        <f aca="false">IF(OR($A$1=公区维修!$F111,$A$1=公区维修!$G111,$BN$1=1),0,1-SUMPRODUCT(--(($A$1=公区维修!$F111)+($A$1=公区维修!$G111)+$BN$1&gt;0)))</f>
        <v>0</v>
      </c>
      <c r="AT111" s="0" t="n">
        <f aca="false">IF(OR($A$2=公区维修!$F111,$A$2=公区维修!$G111,$BN$2=1),0,2-SUMPRODUCT(--(($A$1:$A$2=公区维修!$F111)+($A$1:$A$2=公区维修!$G111)+$BN$1:$BN$2&gt;0)))</f>
        <v>1</v>
      </c>
      <c r="AU111" s="0" t="n">
        <f aca="false">IF(OR($A$3=公区维修!$F111,$A$3=公区维修!$G111,$BN$3=1),0,3-SUMPRODUCT(--(($A$1:$A$3=公区维修!$F111)+($A$1:$A$3=公区维修!$G111)+$BN$1:$BN$3&gt;0)))</f>
        <v>2</v>
      </c>
      <c r="AV111" s="0" t="n">
        <f aca="false">IF(OR($A$4=公区维修!$F111,$A$4=公区维修!$G111,$BN$4=1),0,4-SUMPRODUCT(--(($A$1:$A$4=公区维修!$F111)+($A$1:$A$4=公区维修!$G111)+$BN$1:$BN$4&gt;0)))</f>
        <v>3</v>
      </c>
      <c r="AW111" s="0" t="n">
        <f aca="false">IF(OR($A$5=公区维修!$F111,$A$5=公区维修!$G111,$BN$5=1),0,5-SUMPRODUCT(--(($A$1:$A$5=公区维修!$F111)+($A$1:$A$5=公区维修!$G111)+$BN$1:$BN$5&gt;0)))</f>
        <v>4</v>
      </c>
      <c r="AY111" s="0" t="str">
        <f aca="false">IFERROR(INDEX($A$1:$A$5,MATCH(1,$AS111:$AW111,0)),IF(1=MAX($AS111:$AW111)+1,"取消",""))</f>
        <v>李师傅</v>
      </c>
      <c r="AZ111" s="0" t="str">
        <f aca="false">IFERROR(INDEX($A$1:$A$5,MATCH(2,$AS111:$AW111,0)),IF(2=MAX($AS111:$AW111)+1,"取消",""))</f>
        <v>王师傅</v>
      </c>
      <c r="BA111" s="0" t="str">
        <f aca="false">IFERROR(INDEX($A$1:$A$5,MATCH(3,$AS111:$AW111,0)),IF(3=MAX($AS111:$AW111)+1,"取消",""))</f>
        <v>陈师傅</v>
      </c>
      <c r="BB111" s="0" t="str">
        <f aca="false">IFERROR(INDEX($A$1:$A$5,MATCH(4,$AS111:$AW111,0)),IF(4=MAX($AS111:$AW111)+1,"取消",""))</f>
        <v>刘师傅</v>
      </c>
      <c r="BC111" s="0" t="str">
        <f aca="false">IFERROR(INDEX($A$1:$A$5,MATCH(5,$AS111:$AW111,0)),IF(5=MAX($AS111:$AW111)+1,"取消",""))</f>
        <v>取消</v>
      </c>
      <c r="BD111" s="0" t="str">
        <f aca="false">IFERROR(INDEX($A$1:$A$5,MATCH(6,$AS111:$AW111,0)),IF(6=MAX($AS111:$AW111)+1,"取消",""))</f>
        <v/>
      </c>
      <c r="FW111" s="0" t="str">
        <f aca="false">IF(AND(单元查询!$D$3&lt;&gt;"",IF(单元查询!$B$3="公区维修",公区维修!$E111&lt;&gt;"",入户维修!$E111&lt;&gt;""),IF(单元查询!$B$3="公区维修",公区维修!$C111,入户维修!$C111)=单元查询!$D$3,OR(单元查询!$F$3="",IF(单元查询!$B$3="公区维修",公区维修!$D111,入户维修!$D111)&amp;""=(单元查询!$F$3)&amp;"")),MAX($FW$4:$FW110)+1,"")</f>
        <v/>
      </c>
    </row>
    <row r="112" customFormat="false" ht="15" hidden="false" customHeight="true" outlineLevel="0" collapsed="false">
      <c r="F112" s="0" t="n">
        <f aca="false">IF(OR($A$1=入户维修!$F112,$BN$1=1),0,1-SUMPRODUCT(--(($A$1=入户维修!$F112)+$BN$1&gt;0)))</f>
        <v>0</v>
      </c>
      <c r="G112" s="0" t="n">
        <f aca="false">IF(OR($A$2=入户维修!$F112,$BN$2=1),0,2-SUMPRODUCT(--(($A$1:$A$2=入户维修!$F112)+$BN$1:$BN$2&gt;0)))</f>
        <v>1</v>
      </c>
      <c r="H112" s="0" t="n">
        <f aca="false">IF(OR($A$3=入户维修!$F112,$BN$3=1),0,3-SUMPRODUCT(--(($A$1:$A$3=入户维修!$F112)+$BN$1:$BN$3&gt;0)))</f>
        <v>2</v>
      </c>
      <c r="I112" s="0" t="n">
        <f aca="false">IF(OR($A$4=入户维修!$F112,$BN$4=1),0,4-SUMPRODUCT(--(($A$1:$A$4=入户维修!$F112)+$BN$1:$BN$4&gt;0)))</f>
        <v>3</v>
      </c>
      <c r="J112" s="0" t="n">
        <f aca="false">IF(OR($A$5=入户维修!$F112,$BN$5=1),0,5-SUMPRODUCT(--(($A$1:$A$5=入户维修!$F112)+$BN$1:$BN$5&gt;0)))</f>
        <v>4</v>
      </c>
      <c r="L112" s="0" t="str">
        <f aca="false">IFERROR(INDEX($A$1:$A$5,MATCH(1,$F112:$J112,0)),IF(1=MAX($F112:$J112)+1,"取消",""))</f>
        <v>李师傅</v>
      </c>
      <c r="M112" s="0" t="str">
        <f aca="false">IFERROR(INDEX($A$1:$A$5,MATCH(2,$F112:$J112,0)),IF(2=MAX($F112:$J112)+1,"取消",""))</f>
        <v>王师傅</v>
      </c>
      <c r="N112" s="0" t="str">
        <f aca="false">IFERROR(INDEX($A$1:$A$5,MATCH(3,$F112:$J112,0)),IF(3=MAX($F112:$J112)+1,"取消",""))</f>
        <v>陈师傅</v>
      </c>
      <c r="O112" s="0" t="str">
        <f aca="false">IFERROR(INDEX($A$1:$A$5,MATCH(4,$F112:$J112,0)),IF(4=MAX($F112:$J112)+1,"取消",""))</f>
        <v>刘师傅</v>
      </c>
      <c r="P112" s="0" t="str">
        <f aca="false">IFERROR(INDEX($A$1:$A$5,MATCH(5,$F112:$J112,0)),IF(5=MAX($F112:$J112)+1,"取消",""))</f>
        <v>取消</v>
      </c>
      <c r="Q112" s="0" t="str">
        <f aca="false">IFERROR(INDEX($A$1:$A$5,MATCH(6,$F112:$J112,0)),IF(6=MAX($F112:$J112)+1,"取消",""))</f>
        <v/>
      </c>
      <c r="S112" s="0" t="n">
        <f aca="false">IF(OR($A$1=入户维修!$F112,$A$1=入户维修!$G112,$BN$1=1),0,1-SUMPRODUCT(--(($A$1=入户维修!$F112)+($A$1=入户维修!$G112)+$BN$1&gt;0)))</f>
        <v>0</v>
      </c>
      <c r="T112" s="0" t="n">
        <f aca="false">IF(OR($A$2=入户维修!$F112,$A$2=入户维修!$G112,$BN$2=1),0,2-SUMPRODUCT(--(($A$1:$A$2=入户维修!$F112)+($A$1:$A$2=入户维修!$G112)+$BN$1:$BN$2&gt;0)))</f>
        <v>1</v>
      </c>
      <c r="U112" s="0" t="n">
        <f aca="false">IF(OR($A$3=入户维修!$F112,$A$3=入户维修!$G112,$BN$3=1),0,3-SUMPRODUCT(--(($A$1:$A$3=入户维修!$F112)+($A$1:$A$3=入户维修!$G112)+$BN$1:$BN$3&gt;0)))</f>
        <v>2</v>
      </c>
      <c r="V112" s="0" t="n">
        <f aca="false">IF(OR($A$4=入户维修!$F112,$A$4=入户维修!$G112,$BN$4=1),0,4-SUMPRODUCT(--(($A$1:$A$4=入户维修!$F112)+($A$1:$A$4=入户维修!$G112)+$BN$1:$BN$4&gt;0)))</f>
        <v>3</v>
      </c>
      <c r="W112" s="0" t="n">
        <f aca="false">IF(OR($A$5=入户维修!$F112,$A$5=入户维修!$G112,$BN$5=1),0,5-SUMPRODUCT(--(($A$1:$A$5=入户维修!$F112)+($A$1:$A$5=入户维修!$G112)+$BN$1:$BN$5&gt;0)))</f>
        <v>4</v>
      </c>
      <c r="Y112" s="0" t="str">
        <f aca="false">IFERROR(INDEX($A$1:$A$5,MATCH(1,$S112:$W112,0)),IF(1=MAX($S112:$W112)+1,"取消",""))</f>
        <v>李师傅</v>
      </c>
      <c r="Z112" s="0" t="str">
        <f aca="false">IFERROR(INDEX($A$1:$A$5,MATCH(2,$S112:$W112,0)),IF(2=MAX($S112:$W112)+1,"取消",""))</f>
        <v>王师傅</v>
      </c>
      <c r="AA112" s="0" t="str">
        <f aca="false">IFERROR(INDEX($A$1:$A$5,MATCH(3,$S112:$W112,0)),IF(3=MAX($S112:$W112)+1,"取消",""))</f>
        <v>陈师傅</v>
      </c>
      <c r="AB112" s="0" t="str">
        <f aca="false">IFERROR(INDEX($A$1:$A$5,MATCH(4,$S112:$W112,0)),IF(4=MAX($S112:$W112)+1,"取消",""))</f>
        <v>刘师傅</v>
      </c>
      <c r="AC112" s="0" t="str">
        <f aca="false">IFERROR(INDEX($A$1:$A$5,MATCH(5,$S112:$W112,0)),IF(5=MAX($S112:$W112)+1,"取消",""))</f>
        <v>取消</v>
      </c>
      <c r="AD112" s="0" t="str">
        <f aca="false">IFERROR(INDEX($A$1:$A$5,MATCH(6,$S112:$W112,0)),IF(6=MAX($S112:$W112)+1,"取消",""))</f>
        <v/>
      </c>
      <c r="AF112" s="0" t="n">
        <f aca="false">IF(OR($A$1=公区维修!$F112,$BN$1=1),0,1-SUMPRODUCT(--(($A$1=公区维修!$F112)+$BN$1&gt;0)))</f>
        <v>0</v>
      </c>
      <c r="AG112" s="0" t="n">
        <f aca="false">IF(OR($A$2=公区维修!$F112,$BN$2=1),0,2-SUMPRODUCT(--(($A$1:$A$2=公区维修!$F112)+$BN$1:$BN$2&gt;0)))</f>
        <v>1</v>
      </c>
      <c r="AH112" s="0" t="n">
        <f aca="false">IF(OR($A$3=公区维修!$F112,$BN$3=1),0,3-SUMPRODUCT(--(($A$1:$A$3=公区维修!$F112)+$BN$1:$BN$3&gt;0)))</f>
        <v>2</v>
      </c>
      <c r="AI112" s="0" t="n">
        <f aca="false">IF(OR($A$4=公区维修!$F112,$BN$4=1),0,4-SUMPRODUCT(--(($A$1:$A$4=公区维修!$F112)+$BN$1:$BN$4&gt;0)))</f>
        <v>3</v>
      </c>
      <c r="AJ112" s="0" t="n">
        <f aca="false">IF(OR($A$5=公区维修!$F112,$BN$5=1),0,5-SUMPRODUCT(--(($A$1:$A$5=公区维修!$F112)+$BN$1:$BN$5&gt;0)))</f>
        <v>4</v>
      </c>
      <c r="AL112" s="0" t="str">
        <f aca="false">IFERROR(INDEX($A$1:$A$5,MATCH(1,$AF112:$AJ112,0)),IF(1=MAX($AF112:$AJ112)+1,"取消",""))</f>
        <v>李师傅</v>
      </c>
      <c r="AM112" s="0" t="str">
        <f aca="false">IFERROR(INDEX($A$1:$A$5,MATCH(2,$AF112:$AJ112,0)),IF(2=MAX($AF112:$AJ112)+1,"取消",""))</f>
        <v>王师傅</v>
      </c>
      <c r="AN112" s="0" t="str">
        <f aca="false">IFERROR(INDEX($A$1:$A$5,MATCH(3,$AF112:$AJ112,0)),IF(3=MAX($AF112:$AJ112)+1,"取消",""))</f>
        <v>陈师傅</v>
      </c>
      <c r="AO112" s="0" t="str">
        <f aca="false">IFERROR(INDEX($A$1:$A$5,MATCH(4,$AF112:$AJ112,0)),IF(4=MAX($AF112:$AJ112)+1,"取消",""))</f>
        <v>刘师傅</v>
      </c>
      <c r="AP112" s="0" t="str">
        <f aca="false">IFERROR(INDEX($A$1:$A$5,MATCH(5,$AF112:$AJ112,0)),IF(5=MAX($AF112:$AJ112)+1,"取消",""))</f>
        <v>取消</v>
      </c>
      <c r="AQ112" s="0" t="str">
        <f aca="false">IFERROR(INDEX($A$1:$A$5,MATCH(6,$AF112:$AJ112,0)),IF(6=MAX($AF112:$AJ112)+1,"取消",""))</f>
        <v/>
      </c>
      <c r="AS112" s="0" t="n">
        <f aca="false">IF(OR($A$1=公区维修!$F112,$A$1=公区维修!$G112,$BN$1=1),0,1-SUMPRODUCT(--(($A$1=公区维修!$F112)+($A$1=公区维修!$G112)+$BN$1&gt;0)))</f>
        <v>0</v>
      </c>
      <c r="AT112" s="0" t="n">
        <f aca="false">IF(OR($A$2=公区维修!$F112,$A$2=公区维修!$G112,$BN$2=1),0,2-SUMPRODUCT(--(($A$1:$A$2=公区维修!$F112)+($A$1:$A$2=公区维修!$G112)+$BN$1:$BN$2&gt;0)))</f>
        <v>1</v>
      </c>
      <c r="AU112" s="0" t="n">
        <f aca="false">IF(OR($A$3=公区维修!$F112,$A$3=公区维修!$G112,$BN$3=1),0,3-SUMPRODUCT(--(($A$1:$A$3=公区维修!$F112)+($A$1:$A$3=公区维修!$G112)+$BN$1:$BN$3&gt;0)))</f>
        <v>2</v>
      </c>
      <c r="AV112" s="0" t="n">
        <f aca="false">IF(OR($A$4=公区维修!$F112,$A$4=公区维修!$G112,$BN$4=1),0,4-SUMPRODUCT(--(($A$1:$A$4=公区维修!$F112)+($A$1:$A$4=公区维修!$G112)+$BN$1:$BN$4&gt;0)))</f>
        <v>3</v>
      </c>
      <c r="AW112" s="0" t="n">
        <f aca="false">IF(OR($A$5=公区维修!$F112,$A$5=公区维修!$G112,$BN$5=1),0,5-SUMPRODUCT(--(($A$1:$A$5=公区维修!$F112)+($A$1:$A$5=公区维修!$G112)+$BN$1:$BN$5&gt;0)))</f>
        <v>4</v>
      </c>
      <c r="AY112" s="0" t="str">
        <f aca="false">IFERROR(INDEX($A$1:$A$5,MATCH(1,$AS112:$AW112,0)),IF(1=MAX($AS112:$AW112)+1,"取消",""))</f>
        <v>李师傅</v>
      </c>
      <c r="AZ112" s="0" t="str">
        <f aca="false">IFERROR(INDEX($A$1:$A$5,MATCH(2,$AS112:$AW112,0)),IF(2=MAX($AS112:$AW112)+1,"取消",""))</f>
        <v>王师傅</v>
      </c>
      <c r="BA112" s="0" t="str">
        <f aca="false">IFERROR(INDEX($A$1:$A$5,MATCH(3,$AS112:$AW112,0)),IF(3=MAX($AS112:$AW112)+1,"取消",""))</f>
        <v>陈师傅</v>
      </c>
      <c r="BB112" s="0" t="str">
        <f aca="false">IFERROR(INDEX($A$1:$A$5,MATCH(4,$AS112:$AW112,0)),IF(4=MAX($AS112:$AW112)+1,"取消",""))</f>
        <v>刘师傅</v>
      </c>
      <c r="BC112" s="0" t="str">
        <f aca="false">IFERROR(INDEX($A$1:$A$5,MATCH(5,$AS112:$AW112,0)),IF(5=MAX($AS112:$AW112)+1,"取消",""))</f>
        <v>取消</v>
      </c>
      <c r="BD112" s="0" t="str">
        <f aca="false">IFERROR(INDEX($A$1:$A$5,MATCH(6,$AS112:$AW112,0)),IF(6=MAX($AS112:$AW112)+1,"取消",""))</f>
        <v/>
      </c>
      <c r="FW112" s="0" t="str">
        <f aca="false">IF(AND(单元查询!$D$3&lt;&gt;"",IF(单元查询!$B$3="公区维修",公区维修!$E112&lt;&gt;"",入户维修!$E112&lt;&gt;""),IF(单元查询!$B$3="公区维修",公区维修!$C112,入户维修!$C112)=单元查询!$D$3,OR(单元查询!$F$3="",IF(单元查询!$B$3="公区维修",公区维修!$D112,入户维修!$D112)&amp;""=(单元查询!$F$3)&amp;"")),MAX($FW$4:$FW111)+1,"")</f>
        <v/>
      </c>
    </row>
    <row r="113" customFormat="false" ht="15" hidden="false" customHeight="true" outlineLevel="0" collapsed="false">
      <c r="F113" s="0" t="n">
        <f aca="false">IF(OR($A$1=入户维修!$F113,$BN$1=1),0,1-SUMPRODUCT(--(($A$1=入户维修!$F113)+$BN$1&gt;0)))</f>
        <v>0</v>
      </c>
      <c r="G113" s="0" t="n">
        <f aca="false">IF(OR($A$2=入户维修!$F113,$BN$2=1),0,2-SUMPRODUCT(--(($A$1:$A$2=入户维修!$F113)+$BN$1:$BN$2&gt;0)))</f>
        <v>1</v>
      </c>
      <c r="H113" s="0" t="n">
        <f aca="false">IF(OR($A$3=入户维修!$F113,$BN$3=1),0,3-SUMPRODUCT(--(($A$1:$A$3=入户维修!$F113)+$BN$1:$BN$3&gt;0)))</f>
        <v>2</v>
      </c>
      <c r="I113" s="0" t="n">
        <f aca="false">IF(OR($A$4=入户维修!$F113,$BN$4=1),0,4-SUMPRODUCT(--(($A$1:$A$4=入户维修!$F113)+$BN$1:$BN$4&gt;0)))</f>
        <v>0</v>
      </c>
      <c r="J113" s="0" t="n">
        <f aca="false">IF(OR($A$5=入户维修!$F113,$BN$5=1),0,5-SUMPRODUCT(--(($A$1:$A$5=入户维修!$F113)+$BN$1:$BN$5&gt;0)))</f>
        <v>3</v>
      </c>
      <c r="L113" s="0" t="str">
        <f aca="false">IFERROR(INDEX($A$1:$A$5,MATCH(1,$F113:$J113,0)),IF(1=MAX($F113:$J113)+1,"取消",""))</f>
        <v>李师傅</v>
      </c>
      <c r="M113" s="0" t="str">
        <f aca="false">IFERROR(INDEX($A$1:$A$5,MATCH(2,$F113:$J113,0)),IF(2=MAX($F113:$J113)+1,"取消",""))</f>
        <v>王师傅</v>
      </c>
      <c r="N113" s="0" t="str">
        <f aca="false">IFERROR(INDEX($A$1:$A$5,MATCH(3,$F113:$J113,0)),IF(3=MAX($F113:$J113)+1,"取消",""))</f>
        <v>刘师傅</v>
      </c>
      <c r="O113" s="0" t="str">
        <f aca="false">IFERROR(INDEX($A$1:$A$5,MATCH(4,$F113:$J113,0)),IF(4=MAX($F113:$J113)+1,"取消",""))</f>
        <v>取消</v>
      </c>
      <c r="P113" s="0" t="str">
        <f aca="false">IFERROR(INDEX($A$1:$A$5,MATCH(5,$F113:$J113,0)),IF(5=MAX($F113:$J113)+1,"取消",""))</f>
        <v/>
      </c>
      <c r="Q113" s="0" t="str">
        <f aca="false">IFERROR(INDEX($A$1:$A$5,MATCH(6,$F113:$J113,0)),IF(6=MAX($F113:$J113)+1,"取消",""))</f>
        <v/>
      </c>
      <c r="S113" s="0" t="n">
        <f aca="false">IF(OR($A$1=入户维修!$F113,$A$1=入户维修!$G113,$BN$1=1),0,1-SUMPRODUCT(--(($A$1=入户维修!$F113)+($A$1=入户维修!$G113)+$BN$1&gt;0)))</f>
        <v>0</v>
      </c>
      <c r="T113" s="0" t="n">
        <f aca="false">IF(OR($A$2=入户维修!$F113,$A$2=入户维修!$G113,$BN$2=1),0,2-SUMPRODUCT(--(($A$1:$A$2=入户维修!$F113)+($A$1:$A$2=入户维修!$G113)+$BN$1:$BN$2&gt;0)))</f>
        <v>1</v>
      </c>
      <c r="U113" s="0" t="n">
        <f aca="false">IF(OR($A$3=入户维修!$F113,$A$3=入户维修!$G113,$BN$3=1),0,3-SUMPRODUCT(--(($A$1:$A$3=入户维修!$F113)+($A$1:$A$3=入户维修!$G113)+$BN$1:$BN$3&gt;0)))</f>
        <v>2</v>
      </c>
      <c r="V113" s="0" t="n">
        <f aca="false">IF(OR($A$4=入户维修!$F113,$A$4=入户维修!$G113,$BN$4=1),0,4-SUMPRODUCT(--(($A$1:$A$4=入户维修!$F113)+($A$1:$A$4=入户维修!$G113)+$BN$1:$BN$4&gt;0)))</f>
        <v>0</v>
      </c>
      <c r="W113" s="0" t="n">
        <f aca="false">IF(OR($A$5=入户维修!$F113,$A$5=入户维修!$G113,$BN$5=1),0,5-SUMPRODUCT(--(($A$1:$A$5=入户维修!$F113)+($A$1:$A$5=入户维修!$G113)+$BN$1:$BN$5&gt;0)))</f>
        <v>3</v>
      </c>
      <c r="Y113" s="0" t="str">
        <f aca="false">IFERROR(INDEX($A$1:$A$5,MATCH(1,$S113:$W113,0)),IF(1=MAX($S113:$W113)+1,"取消",""))</f>
        <v>李师傅</v>
      </c>
      <c r="Z113" s="0" t="str">
        <f aca="false">IFERROR(INDEX($A$1:$A$5,MATCH(2,$S113:$W113,0)),IF(2=MAX($S113:$W113)+1,"取消",""))</f>
        <v>王师傅</v>
      </c>
      <c r="AA113" s="0" t="str">
        <f aca="false">IFERROR(INDEX($A$1:$A$5,MATCH(3,$S113:$W113,0)),IF(3=MAX($S113:$W113)+1,"取消",""))</f>
        <v>刘师傅</v>
      </c>
      <c r="AB113" s="0" t="str">
        <f aca="false">IFERROR(INDEX($A$1:$A$5,MATCH(4,$S113:$W113,0)),IF(4=MAX($S113:$W113)+1,"取消",""))</f>
        <v>取消</v>
      </c>
      <c r="AC113" s="0" t="str">
        <f aca="false">IFERROR(INDEX($A$1:$A$5,MATCH(5,$S113:$W113,0)),IF(5=MAX($S113:$W113)+1,"取消",""))</f>
        <v/>
      </c>
      <c r="AD113" s="0" t="str">
        <f aca="false">IFERROR(INDEX($A$1:$A$5,MATCH(6,$S113:$W113,0)),IF(6=MAX($S113:$W113)+1,"取消",""))</f>
        <v/>
      </c>
      <c r="AF113" s="0" t="n">
        <f aca="false">IF(OR($A$1=公区维修!$F113,$BN$1=1),0,1-SUMPRODUCT(--(($A$1=公区维修!$F113)+$BN$1&gt;0)))</f>
        <v>0</v>
      </c>
      <c r="AG113" s="0" t="n">
        <f aca="false">IF(OR($A$2=公区维修!$F113,$BN$2=1),0,2-SUMPRODUCT(--(($A$1:$A$2=公区维修!$F113)+$BN$1:$BN$2&gt;0)))</f>
        <v>1</v>
      </c>
      <c r="AH113" s="0" t="n">
        <f aca="false">IF(OR($A$3=公区维修!$F113,$BN$3=1),0,3-SUMPRODUCT(--(($A$1:$A$3=公区维修!$F113)+$BN$1:$BN$3&gt;0)))</f>
        <v>2</v>
      </c>
      <c r="AI113" s="0" t="n">
        <f aca="false">IF(OR($A$4=公区维修!$F113,$BN$4=1),0,4-SUMPRODUCT(--(($A$1:$A$4=公区维修!$F113)+$BN$1:$BN$4&gt;0)))</f>
        <v>3</v>
      </c>
      <c r="AJ113" s="0" t="n">
        <f aca="false">IF(OR($A$5=公区维修!$F113,$BN$5=1),0,5-SUMPRODUCT(--(($A$1:$A$5=公区维修!$F113)+$BN$1:$BN$5&gt;0)))</f>
        <v>4</v>
      </c>
      <c r="AL113" s="0" t="str">
        <f aca="false">IFERROR(INDEX($A$1:$A$5,MATCH(1,$AF113:$AJ113,0)),IF(1=MAX($AF113:$AJ113)+1,"取消",""))</f>
        <v>李师傅</v>
      </c>
      <c r="AM113" s="0" t="str">
        <f aca="false">IFERROR(INDEX($A$1:$A$5,MATCH(2,$AF113:$AJ113,0)),IF(2=MAX($AF113:$AJ113)+1,"取消",""))</f>
        <v>王师傅</v>
      </c>
      <c r="AN113" s="0" t="str">
        <f aca="false">IFERROR(INDEX($A$1:$A$5,MATCH(3,$AF113:$AJ113,0)),IF(3=MAX($AF113:$AJ113)+1,"取消",""))</f>
        <v>陈师傅</v>
      </c>
      <c r="AO113" s="0" t="str">
        <f aca="false">IFERROR(INDEX($A$1:$A$5,MATCH(4,$AF113:$AJ113,0)),IF(4=MAX($AF113:$AJ113)+1,"取消",""))</f>
        <v>刘师傅</v>
      </c>
      <c r="AP113" s="0" t="str">
        <f aca="false">IFERROR(INDEX($A$1:$A$5,MATCH(5,$AF113:$AJ113,0)),IF(5=MAX($AF113:$AJ113)+1,"取消",""))</f>
        <v>取消</v>
      </c>
      <c r="AQ113" s="0" t="str">
        <f aca="false">IFERROR(INDEX($A$1:$A$5,MATCH(6,$AF113:$AJ113,0)),IF(6=MAX($AF113:$AJ113)+1,"取消",""))</f>
        <v/>
      </c>
      <c r="AS113" s="0" t="n">
        <f aca="false">IF(OR($A$1=公区维修!$F113,$A$1=公区维修!$G113,$BN$1=1),0,1-SUMPRODUCT(--(($A$1=公区维修!$F113)+($A$1=公区维修!$G113)+$BN$1&gt;0)))</f>
        <v>0</v>
      </c>
      <c r="AT113" s="0" t="n">
        <f aca="false">IF(OR($A$2=公区维修!$F113,$A$2=公区维修!$G113,$BN$2=1),0,2-SUMPRODUCT(--(($A$1:$A$2=公区维修!$F113)+($A$1:$A$2=公区维修!$G113)+$BN$1:$BN$2&gt;0)))</f>
        <v>1</v>
      </c>
      <c r="AU113" s="0" t="n">
        <f aca="false">IF(OR($A$3=公区维修!$F113,$A$3=公区维修!$G113,$BN$3=1),0,3-SUMPRODUCT(--(($A$1:$A$3=公区维修!$F113)+($A$1:$A$3=公区维修!$G113)+$BN$1:$BN$3&gt;0)))</f>
        <v>2</v>
      </c>
      <c r="AV113" s="0" t="n">
        <f aca="false">IF(OR($A$4=公区维修!$F113,$A$4=公区维修!$G113,$BN$4=1),0,4-SUMPRODUCT(--(($A$1:$A$4=公区维修!$F113)+($A$1:$A$4=公区维修!$G113)+$BN$1:$BN$4&gt;0)))</f>
        <v>3</v>
      </c>
      <c r="AW113" s="0" t="n">
        <f aca="false">IF(OR($A$5=公区维修!$F113,$A$5=公区维修!$G113,$BN$5=1),0,5-SUMPRODUCT(--(($A$1:$A$5=公区维修!$F113)+($A$1:$A$5=公区维修!$G113)+$BN$1:$BN$5&gt;0)))</f>
        <v>4</v>
      </c>
      <c r="AY113" s="0" t="str">
        <f aca="false">IFERROR(INDEX($A$1:$A$5,MATCH(1,$AS113:$AW113,0)),IF(1=MAX($AS113:$AW113)+1,"取消",""))</f>
        <v>李师傅</v>
      </c>
      <c r="AZ113" s="0" t="str">
        <f aca="false">IFERROR(INDEX($A$1:$A$5,MATCH(2,$AS113:$AW113,0)),IF(2=MAX($AS113:$AW113)+1,"取消",""))</f>
        <v>王师傅</v>
      </c>
      <c r="BA113" s="0" t="str">
        <f aca="false">IFERROR(INDEX($A$1:$A$5,MATCH(3,$AS113:$AW113,0)),IF(3=MAX($AS113:$AW113)+1,"取消",""))</f>
        <v>陈师傅</v>
      </c>
      <c r="BB113" s="0" t="str">
        <f aca="false">IFERROR(INDEX($A$1:$A$5,MATCH(4,$AS113:$AW113,0)),IF(4=MAX($AS113:$AW113)+1,"取消",""))</f>
        <v>刘师傅</v>
      </c>
      <c r="BC113" s="0" t="str">
        <f aca="false">IFERROR(INDEX($A$1:$A$5,MATCH(5,$AS113:$AW113,0)),IF(5=MAX($AS113:$AW113)+1,"取消",""))</f>
        <v>取消</v>
      </c>
      <c r="BD113" s="0" t="str">
        <f aca="false">IFERROR(INDEX($A$1:$A$5,MATCH(6,$AS113:$AW113,0)),IF(6=MAX($AS113:$AW113)+1,"取消",""))</f>
        <v/>
      </c>
      <c r="FW113" s="0" t="str">
        <f aca="false">IF(AND(单元查询!$D$3&lt;&gt;"",IF(单元查询!$B$3="公区维修",公区维修!$E113&lt;&gt;"",入户维修!$E113&lt;&gt;""),IF(单元查询!$B$3="公区维修",公区维修!$C113,入户维修!$C113)=单元查询!$D$3,OR(单元查询!$F$3="",IF(单元查询!$B$3="公区维修",公区维修!$D113,入户维修!$D113)&amp;""=(单元查询!$F$3)&amp;"")),MAX($FW$4:$FW112)+1,"")</f>
        <v/>
      </c>
    </row>
    <row r="114" customFormat="false" ht="15" hidden="false" customHeight="true" outlineLevel="0" collapsed="false">
      <c r="F114" s="0" t="n">
        <f aca="false">IF(OR($A$1=入户维修!$F114,$BN$1=1),0,1-SUMPRODUCT(--(($A$1=入户维修!$F114)+$BN$1&gt;0)))</f>
        <v>0</v>
      </c>
      <c r="G114" s="0" t="n">
        <f aca="false">IF(OR($A$2=入户维修!$F114,$BN$2=1),0,2-SUMPRODUCT(--(($A$1:$A$2=入户维修!$F114)+$BN$1:$BN$2&gt;0)))</f>
        <v>1</v>
      </c>
      <c r="H114" s="0" t="n">
        <f aca="false">IF(OR($A$3=入户维修!$F114,$BN$3=1),0,3-SUMPRODUCT(--(($A$1:$A$3=入户维修!$F114)+$BN$1:$BN$3&gt;0)))</f>
        <v>2</v>
      </c>
      <c r="I114" s="0" t="n">
        <f aca="false">IF(OR($A$4=入户维修!$F114,$BN$4=1),0,4-SUMPRODUCT(--(($A$1:$A$4=入户维修!$F114)+$BN$1:$BN$4&gt;0)))</f>
        <v>3</v>
      </c>
      <c r="J114" s="0" t="n">
        <f aca="false">IF(OR($A$5=入户维修!$F114,$BN$5=1),0,5-SUMPRODUCT(--(($A$1:$A$5=入户维修!$F114)+$BN$1:$BN$5&gt;0)))</f>
        <v>4</v>
      </c>
      <c r="L114" s="0" t="str">
        <f aca="false">IFERROR(INDEX($A$1:$A$5,MATCH(1,$F114:$J114,0)),IF(1=MAX($F114:$J114)+1,"取消",""))</f>
        <v>李师傅</v>
      </c>
      <c r="M114" s="0" t="str">
        <f aca="false">IFERROR(INDEX($A$1:$A$5,MATCH(2,$F114:$J114,0)),IF(2=MAX($F114:$J114)+1,"取消",""))</f>
        <v>王师傅</v>
      </c>
      <c r="N114" s="0" t="str">
        <f aca="false">IFERROR(INDEX($A$1:$A$5,MATCH(3,$F114:$J114,0)),IF(3=MAX($F114:$J114)+1,"取消",""))</f>
        <v>陈师傅</v>
      </c>
      <c r="O114" s="0" t="str">
        <f aca="false">IFERROR(INDEX($A$1:$A$5,MATCH(4,$F114:$J114,0)),IF(4=MAX($F114:$J114)+1,"取消",""))</f>
        <v>刘师傅</v>
      </c>
      <c r="P114" s="0" t="str">
        <f aca="false">IFERROR(INDEX($A$1:$A$5,MATCH(5,$F114:$J114,0)),IF(5=MAX($F114:$J114)+1,"取消",""))</f>
        <v>取消</v>
      </c>
      <c r="Q114" s="0" t="str">
        <f aca="false">IFERROR(INDEX($A$1:$A$5,MATCH(6,$F114:$J114,0)),IF(6=MAX($F114:$J114)+1,"取消",""))</f>
        <v/>
      </c>
      <c r="S114" s="0" t="n">
        <f aca="false">IF(OR($A$1=入户维修!$F114,$A$1=入户维修!$G114,$BN$1=1),0,1-SUMPRODUCT(--(($A$1=入户维修!$F114)+($A$1=入户维修!$G114)+$BN$1&gt;0)))</f>
        <v>0</v>
      </c>
      <c r="T114" s="0" t="n">
        <f aca="false">IF(OR($A$2=入户维修!$F114,$A$2=入户维修!$G114,$BN$2=1),0,2-SUMPRODUCT(--(($A$1:$A$2=入户维修!$F114)+($A$1:$A$2=入户维修!$G114)+$BN$1:$BN$2&gt;0)))</f>
        <v>1</v>
      </c>
      <c r="U114" s="0" t="n">
        <f aca="false">IF(OR($A$3=入户维修!$F114,$A$3=入户维修!$G114,$BN$3=1),0,3-SUMPRODUCT(--(($A$1:$A$3=入户维修!$F114)+($A$1:$A$3=入户维修!$G114)+$BN$1:$BN$3&gt;0)))</f>
        <v>2</v>
      </c>
      <c r="V114" s="0" t="n">
        <f aca="false">IF(OR($A$4=入户维修!$F114,$A$4=入户维修!$G114,$BN$4=1),0,4-SUMPRODUCT(--(($A$1:$A$4=入户维修!$F114)+($A$1:$A$4=入户维修!$G114)+$BN$1:$BN$4&gt;0)))</f>
        <v>3</v>
      </c>
      <c r="W114" s="0" t="n">
        <f aca="false">IF(OR($A$5=入户维修!$F114,$A$5=入户维修!$G114,$BN$5=1),0,5-SUMPRODUCT(--(($A$1:$A$5=入户维修!$F114)+($A$1:$A$5=入户维修!$G114)+$BN$1:$BN$5&gt;0)))</f>
        <v>4</v>
      </c>
      <c r="Y114" s="0" t="str">
        <f aca="false">IFERROR(INDEX($A$1:$A$5,MATCH(1,$S114:$W114,0)),IF(1=MAX($S114:$W114)+1,"取消",""))</f>
        <v>李师傅</v>
      </c>
      <c r="Z114" s="0" t="str">
        <f aca="false">IFERROR(INDEX($A$1:$A$5,MATCH(2,$S114:$W114,0)),IF(2=MAX($S114:$W114)+1,"取消",""))</f>
        <v>王师傅</v>
      </c>
      <c r="AA114" s="0" t="str">
        <f aca="false">IFERROR(INDEX($A$1:$A$5,MATCH(3,$S114:$W114,0)),IF(3=MAX($S114:$W114)+1,"取消",""))</f>
        <v>陈师傅</v>
      </c>
      <c r="AB114" s="0" t="str">
        <f aca="false">IFERROR(INDEX($A$1:$A$5,MATCH(4,$S114:$W114,0)),IF(4=MAX($S114:$W114)+1,"取消",""))</f>
        <v>刘师傅</v>
      </c>
      <c r="AC114" s="0" t="str">
        <f aca="false">IFERROR(INDEX($A$1:$A$5,MATCH(5,$S114:$W114,0)),IF(5=MAX($S114:$W114)+1,"取消",""))</f>
        <v>取消</v>
      </c>
      <c r="AD114" s="0" t="str">
        <f aca="false">IFERROR(INDEX($A$1:$A$5,MATCH(6,$S114:$W114,0)),IF(6=MAX($S114:$W114)+1,"取消",""))</f>
        <v/>
      </c>
      <c r="AF114" s="0" t="n">
        <f aca="false">IF(OR($A$1=公区维修!$F114,$BN$1=1),0,1-SUMPRODUCT(--(($A$1=公区维修!$F114)+$BN$1&gt;0)))</f>
        <v>0</v>
      </c>
      <c r="AG114" s="0" t="n">
        <f aca="false">IF(OR($A$2=公区维修!$F114,$BN$2=1),0,2-SUMPRODUCT(--(($A$1:$A$2=公区维修!$F114)+$BN$1:$BN$2&gt;0)))</f>
        <v>1</v>
      </c>
      <c r="AH114" s="0" t="n">
        <f aca="false">IF(OR($A$3=公区维修!$F114,$BN$3=1),0,3-SUMPRODUCT(--(($A$1:$A$3=公区维修!$F114)+$BN$1:$BN$3&gt;0)))</f>
        <v>2</v>
      </c>
      <c r="AI114" s="0" t="n">
        <f aca="false">IF(OR($A$4=公区维修!$F114,$BN$4=1),0,4-SUMPRODUCT(--(($A$1:$A$4=公区维修!$F114)+$BN$1:$BN$4&gt;0)))</f>
        <v>3</v>
      </c>
      <c r="AJ114" s="0" t="n">
        <f aca="false">IF(OR($A$5=公区维修!$F114,$BN$5=1),0,5-SUMPRODUCT(--(($A$1:$A$5=公区维修!$F114)+$BN$1:$BN$5&gt;0)))</f>
        <v>4</v>
      </c>
      <c r="AL114" s="0" t="str">
        <f aca="false">IFERROR(INDEX($A$1:$A$5,MATCH(1,$AF114:$AJ114,0)),IF(1=MAX($AF114:$AJ114)+1,"取消",""))</f>
        <v>李师傅</v>
      </c>
      <c r="AM114" s="0" t="str">
        <f aca="false">IFERROR(INDEX($A$1:$A$5,MATCH(2,$AF114:$AJ114,0)),IF(2=MAX($AF114:$AJ114)+1,"取消",""))</f>
        <v>王师傅</v>
      </c>
      <c r="AN114" s="0" t="str">
        <f aca="false">IFERROR(INDEX($A$1:$A$5,MATCH(3,$AF114:$AJ114,0)),IF(3=MAX($AF114:$AJ114)+1,"取消",""))</f>
        <v>陈师傅</v>
      </c>
      <c r="AO114" s="0" t="str">
        <f aca="false">IFERROR(INDEX($A$1:$A$5,MATCH(4,$AF114:$AJ114,0)),IF(4=MAX($AF114:$AJ114)+1,"取消",""))</f>
        <v>刘师傅</v>
      </c>
      <c r="AP114" s="0" t="str">
        <f aca="false">IFERROR(INDEX($A$1:$A$5,MATCH(5,$AF114:$AJ114,0)),IF(5=MAX($AF114:$AJ114)+1,"取消",""))</f>
        <v>取消</v>
      </c>
      <c r="AQ114" s="0" t="str">
        <f aca="false">IFERROR(INDEX($A$1:$A$5,MATCH(6,$AF114:$AJ114,0)),IF(6=MAX($AF114:$AJ114)+1,"取消",""))</f>
        <v/>
      </c>
      <c r="AS114" s="0" t="n">
        <f aca="false">IF(OR($A$1=公区维修!$F114,$A$1=公区维修!$G114,$BN$1=1),0,1-SUMPRODUCT(--(($A$1=公区维修!$F114)+($A$1=公区维修!$G114)+$BN$1&gt;0)))</f>
        <v>0</v>
      </c>
      <c r="AT114" s="0" t="n">
        <f aca="false">IF(OR($A$2=公区维修!$F114,$A$2=公区维修!$G114,$BN$2=1),0,2-SUMPRODUCT(--(($A$1:$A$2=公区维修!$F114)+($A$1:$A$2=公区维修!$G114)+$BN$1:$BN$2&gt;0)))</f>
        <v>1</v>
      </c>
      <c r="AU114" s="0" t="n">
        <f aca="false">IF(OR($A$3=公区维修!$F114,$A$3=公区维修!$G114,$BN$3=1),0,3-SUMPRODUCT(--(($A$1:$A$3=公区维修!$F114)+($A$1:$A$3=公区维修!$G114)+$BN$1:$BN$3&gt;0)))</f>
        <v>2</v>
      </c>
      <c r="AV114" s="0" t="n">
        <f aca="false">IF(OR($A$4=公区维修!$F114,$A$4=公区维修!$G114,$BN$4=1),0,4-SUMPRODUCT(--(($A$1:$A$4=公区维修!$F114)+($A$1:$A$4=公区维修!$G114)+$BN$1:$BN$4&gt;0)))</f>
        <v>3</v>
      </c>
      <c r="AW114" s="0" t="n">
        <f aca="false">IF(OR($A$5=公区维修!$F114,$A$5=公区维修!$G114,$BN$5=1),0,5-SUMPRODUCT(--(($A$1:$A$5=公区维修!$F114)+($A$1:$A$5=公区维修!$G114)+$BN$1:$BN$5&gt;0)))</f>
        <v>4</v>
      </c>
      <c r="AY114" s="0" t="str">
        <f aca="false">IFERROR(INDEX($A$1:$A$5,MATCH(1,$AS114:$AW114,0)),IF(1=MAX($AS114:$AW114)+1,"取消",""))</f>
        <v>李师傅</v>
      </c>
      <c r="AZ114" s="0" t="str">
        <f aca="false">IFERROR(INDEX($A$1:$A$5,MATCH(2,$AS114:$AW114,0)),IF(2=MAX($AS114:$AW114)+1,"取消",""))</f>
        <v>王师傅</v>
      </c>
      <c r="BA114" s="0" t="str">
        <f aca="false">IFERROR(INDEX($A$1:$A$5,MATCH(3,$AS114:$AW114,0)),IF(3=MAX($AS114:$AW114)+1,"取消",""))</f>
        <v>陈师傅</v>
      </c>
      <c r="BB114" s="0" t="str">
        <f aca="false">IFERROR(INDEX($A$1:$A$5,MATCH(4,$AS114:$AW114,0)),IF(4=MAX($AS114:$AW114)+1,"取消",""))</f>
        <v>刘师傅</v>
      </c>
      <c r="BC114" s="0" t="str">
        <f aca="false">IFERROR(INDEX($A$1:$A$5,MATCH(5,$AS114:$AW114,0)),IF(5=MAX($AS114:$AW114)+1,"取消",""))</f>
        <v>取消</v>
      </c>
      <c r="BD114" s="0" t="str">
        <f aca="false">IFERROR(INDEX($A$1:$A$5,MATCH(6,$AS114:$AW114,0)),IF(6=MAX($AS114:$AW114)+1,"取消",""))</f>
        <v/>
      </c>
      <c r="FW114" s="0" t="str">
        <f aca="false">IF(AND(单元查询!$D$3&lt;&gt;"",IF(单元查询!$B$3="公区维修",公区维修!$E114&lt;&gt;"",入户维修!$E114&lt;&gt;""),IF(单元查询!$B$3="公区维修",公区维修!$C114,入户维修!$C114)=单元查询!$D$3,OR(单元查询!$F$3="",IF(单元查询!$B$3="公区维修",公区维修!$D114,入户维修!$D114)&amp;""=(单元查询!$F$3)&amp;"")),MAX($FW$4:$FW113)+1,"")</f>
        <v/>
      </c>
    </row>
    <row r="115" customFormat="false" ht="15" hidden="false" customHeight="true" outlineLevel="0" collapsed="false">
      <c r="F115" s="0" t="n">
        <f aca="false">IF(OR($A$1=入户维修!$F115,$BN$1=1),0,1-SUMPRODUCT(--(($A$1=入户维修!$F115)+$BN$1&gt;0)))</f>
        <v>0</v>
      </c>
      <c r="G115" s="0" t="n">
        <f aca="false">IF(OR($A$2=入户维修!$F115,$BN$2=1),0,2-SUMPRODUCT(--(($A$1:$A$2=入户维修!$F115)+$BN$1:$BN$2&gt;0)))</f>
        <v>1</v>
      </c>
      <c r="H115" s="0" t="n">
        <f aca="false">IF(OR($A$3=入户维修!$F115,$BN$3=1),0,3-SUMPRODUCT(--(($A$1:$A$3=入户维修!$F115)+$BN$1:$BN$3&gt;0)))</f>
        <v>2</v>
      </c>
      <c r="I115" s="0" t="n">
        <f aca="false">IF(OR($A$4=入户维修!$F115,$BN$4=1),0,4-SUMPRODUCT(--(($A$1:$A$4=入户维修!$F115)+$BN$1:$BN$4&gt;0)))</f>
        <v>3</v>
      </c>
      <c r="J115" s="0" t="n">
        <f aca="false">IF(OR($A$5=入户维修!$F115,$BN$5=1),0,5-SUMPRODUCT(--(($A$1:$A$5=入户维修!$F115)+$BN$1:$BN$5&gt;0)))</f>
        <v>4</v>
      </c>
      <c r="L115" s="0" t="str">
        <f aca="false">IFERROR(INDEX($A$1:$A$5,MATCH(1,$F115:$J115,0)),IF(1=MAX($F115:$J115)+1,"取消",""))</f>
        <v>李师傅</v>
      </c>
      <c r="M115" s="0" t="str">
        <f aca="false">IFERROR(INDEX($A$1:$A$5,MATCH(2,$F115:$J115,0)),IF(2=MAX($F115:$J115)+1,"取消",""))</f>
        <v>王师傅</v>
      </c>
      <c r="N115" s="0" t="str">
        <f aca="false">IFERROR(INDEX($A$1:$A$5,MATCH(3,$F115:$J115,0)),IF(3=MAX($F115:$J115)+1,"取消",""))</f>
        <v>陈师傅</v>
      </c>
      <c r="O115" s="0" t="str">
        <f aca="false">IFERROR(INDEX($A$1:$A$5,MATCH(4,$F115:$J115,0)),IF(4=MAX($F115:$J115)+1,"取消",""))</f>
        <v>刘师傅</v>
      </c>
      <c r="P115" s="0" t="str">
        <f aca="false">IFERROR(INDEX($A$1:$A$5,MATCH(5,$F115:$J115,0)),IF(5=MAX($F115:$J115)+1,"取消",""))</f>
        <v>取消</v>
      </c>
      <c r="Q115" s="0" t="str">
        <f aca="false">IFERROR(INDEX($A$1:$A$5,MATCH(6,$F115:$J115,0)),IF(6=MAX($F115:$J115)+1,"取消",""))</f>
        <v/>
      </c>
      <c r="S115" s="0" t="n">
        <f aca="false">IF(OR($A$1=入户维修!$F115,$A$1=入户维修!$G115,$BN$1=1),0,1-SUMPRODUCT(--(($A$1=入户维修!$F115)+($A$1=入户维修!$G115)+$BN$1&gt;0)))</f>
        <v>0</v>
      </c>
      <c r="T115" s="0" t="n">
        <f aca="false">IF(OR($A$2=入户维修!$F115,$A$2=入户维修!$G115,$BN$2=1),0,2-SUMPRODUCT(--(($A$1:$A$2=入户维修!$F115)+($A$1:$A$2=入户维修!$G115)+$BN$1:$BN$2&gt;0)))</f>
        <v>1</v>
      </c>
      <c r="U115" s="0" t="n">
        <f aca="false">IF(OR($A$3=入户维修!$F115,$A$3=入户维修!$G115,$BN$3=1),0,3-SUMPRODUCT(--(($A$1:$A$3=入户维修!$F115)+($A$1:$A$3=入户维修!$G115)+$BN$1:$BN$3&gt;0)))</f>
        <v>2</v>
      </c>
      <c r="V115" s="0" t="n">
        <f aca="false">IF(OR($A$4=入户维修!$F115,$A$4=入户维修!$G115,$BN$4=1),0,4-SUMPRODUCT(--(($A$1:$A$4=入户维修!$F115)+($A$1:$A$4=入户维修!$G115)+$BN$1:$BN$4&gt;0)))</f>
        <v>3</v>
      </c>
      <c r="W115" s="0" t="n">
        <f aca="false">IF(OR($A$5=入户维修!$F115,$A$5=入户维修!$G115,$BN$5=1),0,5-SUMPRODUCT(--(($A$1:$A$5=入户维修!$F115)+($A$1:$A$5=入户维修!$G115)+$BN$1:$BN$5&gt;0)))</f>
        <v>4</v>
      </c>
      <c r="Y115" s="0" t="str">
        <f aca="false">IFERROR(INDEX($A$1:$A$5,MATCH(1,$S115:$W115,0)),IF(1=MAX($S115:$W115)+1,"取消",""))</f>
        <v>李师傅</v>
      </c>
      <c r="Z115" s="0" t="str">
        <f aca="false">IFERROR(INDEX($A$1:$A$5,MATCH(2,$S115:$W115,0)),IF(2=MAX($S115:$W115)+1,"取消",""))</f>
        <v>王师傅</v>
      </c>
      <c r="AA115" s="0" t="str">
        <f aca="false">IFERROR(INDEX($A$1:$A$5,MATCH(3,$S115:$W115,0)),IF(3=MAX($S115:$W115)+1,"取消",""))</f>
        <v>陈师傅</v>
      </c>
      <c r="AB115" s="0" t="str">
        <f aca="false">IFERROR(INDEX($A$1:$A$5,MATCH(4,$S115:$W115,0)),IF(4=MAX($S115:$W115)+1,"取消",""))</f>
        <v>刘师傅</v>
      </c>
      <c r="AC115" s="0" t="str">
        <f aca="false">IFERROR(INDEX($A$1:$A$5,MATCH(5,$S115:$W115,0)),IF(5=MAX($S115:$W115)+1,"取消",""))</f>
        <v>取消</v>
      </c>
      <c r="AD115" s="0" t="str">
        <f aca="false">IFERROR(INDEX($A$1:$A$5,MATCH(6,$S115:$W115,0)),IF(6=MAX($S115:$W115)+1,"取消",""))</f>
        <v/>
      </c>
      <c r="AF115" s="0" t="n">
        <f aca="false">IF(OR($A$1=公区维修!$F115,$BN$1=1),0,1-SUMPRODUCT(--(($A$1=公区维修!$F115)+$BN$1&gt;0)))</f>
        <v>0</v>
      </c>
      <c r="AG115" s="0" t="n">
        <f aca="false">IF(OR($A$2=公区维修!$F115,$BN$2=1),0,2-SUMPRODUCT(--(($A$1:$A$2=公区维修!$F115)+$BN$1:$BN$2&gt;0)))</f>
        <v>1</v>
      </c>
      <c r="AH115" s="0" t="n">
        <f aca="false">IF(OR($A$3=公区维修!$F115,$BN$3=1),0,3-SUMPRODUCT(--(($A$1:$A$3=公区维修!$F115)+$BN$1:$BN$3&gt;0)))</f>
        <v>2</v>
      </c>
      <c r="AI115" s="0" t="n">
        <f aca="false">IF(OR($A$4=公区维修!$F115,$BN$4=1),0,4-SUMPRODUCT(--(($A$1:$A$4=公区维修!$F115)+$BN$1:$BN$4&gt;0)))</f>
        <v>3</v>
      </c>
      <c r="AJ115" s="0" t="n">
        <f aca="false">IF(OR($A$5=公区维修!$F115,$BN$5=1),0,5-SUMPRODUCT(--(($A$1:$A$5=公区维修!$F115)+$BN$1:$BN$5&gt;0)))</f>
        <v>4</v>
      </c>
      <c r="AL115" s="0" t="str">
        <f aca="false">IFERROR(INDEX($A$1:$A$5,MATCH(1,$AF115:$AJ115,0)),IF(1=MAX($AF115:$AJ115)+1,"取消",""))</f>
        <v>李师傅</v>
      </c>
      <c r="AM115" s="0" t="str">
        <f aca="false">IFERROR(INDEX($A$1:$A$5,MATCH(2,$AF115:$AJ115,0)),IF(2=MAX($AF115:$AJ115)+1,"取消",""))</f>
        <v>王师傅</v>
      </c>
      <c r="AN115" s="0" t="str">
        <f aca="false">IFERROR(INDEX($A$1:$A$5,MATCH(3,$AF115:$AJ115,0)),IF(3=MAX($AF115:$AJ115)+1,"取消",""))</f>
        <v>陈师傅</v>
      </c>
      <c r="AO115" s="0" t="str">
        <f aca="false">IFERROR(INDEX($A$1:$A$5,MATCH(4,$AF115:$AJ115,0)),IF(4=MAX($AF115:$AJ115)+1,"取消",""))</f>
        <v>刘师傅</v>
      </c>
      <c r="AP115" s="0" t="str">
        <f aca="false">IFERROR(INDEX($A$1:$A$5,MATCH(5,$AF115:$AJ115,0)),IF(5=MAX($AF115:$AJ115)+1,"取消",""))</f>
        <v>取消</v>
      </c>
      <c r="AQ115" s="0" t="str">
        <f aca="false">IFERROR(INDEX($A$1:$A$5,MATCH(6,$AF115:$AJ115,0)),IF(6=MAX($AF115:$AJ115)+1,"取消",""))</f>
        <v/>
      </c>
      <c r="AS115" s="0" t="n">
        <f aca="false">IF(OR($A$1=公区维修!$F115,$A$1=公区维修!$G115,$BN$1=1),0,1-SUMPRODUCT(--(($A$1=公区维修!$F115)+($A$1=公区维修!$G115)+$BN$1&gt;0)))</f>
        <v>0</v>
      </c>
      <c r="AT115" s="0" t="n">
        <f aca="false">IF(OR($A$2=公区维修!$F115,$A$2=公区维修!$G115,$BN$2=1),0,2-SUMPRODUCT(--(($A$1:$A$2=公区维修!$F115)+($A$1:$A$2=公区维修!$G115)+$BN$1:$BN$2&gt;0)))</f>
        <v>1</v>
      </c>
      <c r="AU115" s="0" t="n">
        <f aca="false">IF(OR($A$3=公区维修!$F115,$A$3=公区维修!$G115,$BN$3=1),0,3-SUMPRODUCT(--(($A$1:$A$3=公区维修!$F115)+($A$1:$A$3=公区维修!$G115)+$BN$1:$BN$3&gt;0)))</f>
        <v>2</v>
      </c>
      <c r="AV115" s="0" t="n">
        <f aca="false">IF(OR($A$4=公区维修!$F115,$A$4=公区维修!$G115,$BN$4=1),0,4-SUMPRODUCT(--(($A$1:$A$4=公区维修!$F115)+($A$1:$A$4=公区维修!$G115)+$BN$1:$BN$4&gt;0)))</f>
        <v>3</v>
      </c>
      <c r="AW115" s="0" t="n">
        <f aca="false">IF(OR($A$5=公区维修!$F115,$A$5=公区维修!$G115,$BN$5=1),0,5-SUMPRODUCT(--(($A$1:$A$5=公区维修!$F115)+($A$1:$A$5=公区维修!$G115)+$BN$1:$BN$5&gt;0)))</f>
        <v>4</v>
      </c>
      <c r="AY115" s="0" t="str">
        <f aca="false">IFERROR(INDEX($A$1:$A$5,MATCH(1,$AS115:$AW115,0)),IF(1=MAX($AS115:$AW115)+1,"取消",""))</f>
        <v>李师傅</v>
      </c>
      <c r="AZ115" s="0" t="str">
        <f aca="false">IFERROR(INDEX($A$1:$A$5,MATCH(2,$AS115:$AW115,0)),IF(2=MAX($AS115:$AW115)+1,"取消",""))</f>
        <v>王师傅</v>
      </c>
      <c r="BA115" s="0" t="str">
        <f aca="false">IFERROR(INDEX($A$1:$A$5,MATCH(3,$AS115:$AW115,0)),IF(3=MAX($AS115:$AW115)+1,"取消",""))</f>
        <v>陈师傅</v>
      </c>
      <c r="BB115" s="0" t="str">
        <f aca="false">IFERROR(INDEX($A$1:$A$5,MATCH(4,$AS115:$AW115,0)),IF(4=MAX($AS115:$AW115)+1,"取消",""))</f>
        <v>刘师傅</v>
      </c>
      <c r="BC115" s="0" t="str">
        <f aca="false">IFERROR(INDEX($A$1:$A$5,MATCH(5,$AS115:$AW115,0)),IF(5=MAX($AS115:$AW115)+1,"取消",""))</f>
        <v>取消</v>
      </c>
      <c r="BD115" s="0" t="str">
        <f aca="false">IFERROR(INDEX($A$1:$A$5,MATCH(6,$AS115:$AW115,0)),IF(6=MAX($AS115:$AW115)+1,"取消",""))</f>
        <v/>
      </c>
      <c r="FW115" s="0" t="str">
        <f aca="false">IF(AND(单元查询!$D$3&lt;&gt;"",IF(单元查询!$B$3="公区维修",公区维修!$E115&lt;&gt;"",入户维修!$E115&lt;&gt;""),IF(单元查询!$B$3="公区维修",公区维修!$C115,入户维修!$C115)=单元查询!$D$3,OR(单元查询!$F$3="",IF(单元查询!$B$3="公区维修",公区维修!$D115,入户维修!$D115)&amp;""=(单元查询!$F$3)&amp;"")),MAX($FW$4:$FW114)+1,"")</f>
        <v/>
      </c>
    </row>
    <row r="116" customFormat="false" ht="15" hidden="false" customHeight="true" outlineLevel="0" collapsed="false">
      <c r="F116" s="0" t="n">
        <f aca="false">IF(OR($A$1=入户维修!$F116,$BN$1=1),0,1-SUMPRODUCT(--(($A$1=入户维修!$F116)+$BN$1&gt;0)))</f>
        <v>0</v>
      </c>
      <c r="G116" s="0" t="n">
        <f aca="false">IF(OR($A$2=入户维修!$F116,$BN$2=1),0,2-SUMPRODUCT(--(($A$1:$A$2=入户维修!$F116)+$BN$1:$BN$2&gt;0)))</f>
        <v>0</v>
      </c>
      <c r="H116" s="0" t="n">
        <f aca="false">IF(OR($A$3=入户维修!$F116,$BN$3=1),0,3-SUMPRODUCT(--(($A$1:$A$3=入户维修!$F116)+$BN$1:$BN$3&gt;0)))</f>
        <v>1</v>
      </c>
      <c r="I116" s="0" t="n">
        <f aca="false">IF(OR($A$4=入户维修!$F116,$BN$4=1),0,4-SUMPRODUCT(--(($A$1:$A$4=入户维修!$F116)+$BN$1:$BN$4&gt;0)))</f>
        <v>2</v>
      </c>
      <c r="J116" s="0" t="n">
        <f aca="false">IF(OR($A$5=入户维修!$F116,$BN$5=1),0,5-SUMPRODUCT(--(($A$1:$A$5=入户维修!$F116)+$BN$1:$BN$5&gt;0)))</f>
        <v>3</v>
      </c>
      <c r="L116" s="0" t="str">
        <f aca="false">IFERROR(INDEX($A$1:$A$5,MATCH(1,$F116:$J116,0)),IF(1=MAX($F116:$J116)+1,"取消",""))</f>
        <v>王师傅</v>
      </c>
      <c r="M116" s="0" t="str">
        <f aca="false">IFERROR(INDEX($A$1:$A$5,MATCH(2,$F116:$J116,0)),IF(2=MAX($F116:$J116)+1,"取消",""))</f>
        <v>陈师傅</v>
      </c>
      <c r="N116" s="0" t="str">
        <f aca="false">IFERROR(INDEX($A$1:$A$5,MATCH(3,$F116:$J116,0)),IF(3=MAX($F116:$J116)+1,"取消",""))</f>
        <v>刘师傅</v>
      </c>
      <c r="O116" s="0" t="str">
        <f aca="false">IFERROR(INDEX($A$1:$A$5,MATCH(4,$F116:$J116,0)),IF(4=MAX($F116:$J116)+1,"取消",""))</f>
        <v>取消</v>
      </c>
      <c r="P116" s="0" t="str">
        <f aca="false">IFERROR(INDEX($A$1:$A$5,MATCH(5,$F116:$J116,0)),IF(5=MAX($F116:$J116)+1,"取消",""))</f>
        <v/>
      </c>
      <c r="Q116" s="0" t="str">
        <f aca="false">IFERROR(INDEX($A$1:$A$5,MATCH(6,$F116:$J116,0)),IF(6=MAX($F116:$J116)+1,"取消",""))</f>
        <v/>
      </c>
      <c r="S116" s="0" t="n">
        <f aca="false">IF(OR($A$1=入户维修!$F116,$A$1=入户维修!$G116,$BN$1=1),0,1-SUMPRODUCT(--(($A$1=入户维修!$F116)+($A$1=入户维修!$G116)+$BN$1&gt;0)))</f>
        <v>0</v>
      </c>
      <c r="T116" s="0" t="n">
        <f aca="false">IF(OR($A$2=入户维修!$F116,$A$2=入户维修!$G116,$BN$2=1),0,2-SUMPRODUCT(--(($A$1:$A$2=入户维修!$F116)+($A$1:$A$2=入户维修!$G116)+$BN$1:$BN$2&gt;0)))</f>
        <v>0</v>
      </c>
      <c r="U116" s="0" t="n">
        <f aca="false">IF(OR($A$3=入户维修!$F116,$A$3=入户维修!$G116,$BN$3=1),0,3-SUMPRODUCT(--(($A$1:$A$3=入户维修!$F116)+($A$1:$A$3=入户维修!$G116)+$BN$1:$BN$3&gt;0)))</f>
        <v>1</v>
      </c>
      <c r="V116" s="0" t="n">
        <f aca="false">IF(OR($A$4=入户维修!$F116,$A$4=入户维修!$G116,$BN$4=1),0,4-SUMPRODUCT(--(($A$1:$A$4=入户维修!$F116)+($A$1:$A$4=入户维修!$G116)+$BN$1:$BN$4&gt;0)))</f>
        <v>2</v>
      </c>
      <c r="W116" s="0" t="n">
        <f aca="false">IF(OR($A$5=入户维修!$F116,$A$5=入户维修!$G116,$BN$5=1),0,5-SUMPRODUCT(--(($A$1:$A$5=入户维修!$F116)+($A$1:$A$5=入户维修!$G116)+$BN$1:$BN$5&gt;0)))</f>
        <v>3</v>
      </c>
      <c r="Y116" s="0" t="str">
        <f aca="false">IFERROR(INDEX($A$1:$A$5,MATCH(1,$S116:$W116,0)),IF(1=MAX($S116:$W116)+1,"取消",""))</f>
        <v>王师傅</v>
      </c>
      <c r="Z116" s="0" t="str">
        <f aca="false">IFERROR(INDEX($A$1:$A$5,MATCH(2,$S116:$W116,0)),IF(2=MAX($S116:$W116)+1,"取消",""))</f>
        <v>陈师傅</v>
      </c>
      <c r="AA116" s="0" t="str">
        <f aca="false">IFERROR(INDEX($A$1:$A$5,MATCH(3,$S116:$W116,0)),IF(3=MAX($S116:$W116)+1,"取消",""))</f>
        <v>刘师傅</v>
      </c>
      <c r="AB116" s="0" t="str">
        <f aca="false">IFERROR(INDEX($A$1:$A$5,MATCH(4,$S116:$W116,0)),IF(4=MAX($S116:$W116)+1,"取消",""))</f>
        <v>取消</v>
      </c>
      <c r="AC116" s="0" t="str">
        <f aca="false">IFERROR(INDEX($A$1:$A$5,MATCH(5,$S116:$W116,0)),IF(5=MAX($S116:$W116)+1,"取消",""))</f>
        <v/>
      </c>
      <c r="AD116" s="0" t="str">
        <f aca="false">IFERROR(INDEX($A$1:$A$5,MATCH(6,$S116:$W116,0)),IF(6=MAX($S116:$W116)+1,"取消",""))</f>
        <v/>
      </c>
      <c r="AF116" s="0" t="n">
        <f aca="false">IF(OR($A$1=公区维修!$F116,$BN$1=1),0,1-SUMPRODUCT(--(($A$1=公区维修!$F116)+$BN$1&gt;0)))</f>
        <v>0</v>
      </c>
      <c r="AG116" s="0" t="n">
        <f aca="false">IF(OR($A$2=公区维修!$F116,$BN$2=1),0,2-SUMPRODUCT(--(($A$1:$A$2=公区维修!$F116)+$BN$1:$BN$2&gt;0)))</f>
        <v>1</v>
      </c>
      <c r="AH116" s="0" t="n">
        <f aca="false">IF(OR($A$3=公区维修!$F116,$BN$3=1),0,3-SUMPRODUCT(--(($A$1:$A$3=公区维修!$F116)+$BN$1:$BN$3&gt;0)))</f>
        <v>2</v>
      </c>
      <c r="AI116" s="0" t="n">
        <f aca="false">IF(OR($A$4=公区维修!$F116,$BN$4=1),0,4-SUMPRODUCT(--(($A$1:$A$4=公区维修!$F116)+$BN$1:$BN$4&gt;0)))</f>
        <v>3</v>
      </c>
      <c r="AJ116" s="0" t="n">
        <f aca="false">IF(OR($A$5=公区维修!$F116,$BN$5=1),0,5-SUMPRODUCT(--(($A$1:$A$5=公区维修!$F116)+$BN$1:$BN$5&gt;0)))</f>
        <v>4</v>
      </c>
      <c r="AL116" s="0" t="str">
        <f aca="false">IFERROR(INDEX($A$1:$A$5,MATCH(1,$AF116:$AJ116,0)),IF(1=MAX($AF116:$AJ116)+1,"取消",""))</f>
        <v>李师傅</v>
      </c>
      <c r="AM116" s="0" t="str">
        <f aca="false">IFERROR(INDEX($A$1:$A$5,MATCH(2,$AF116:$AJ116,0)),IF(2=MAX($AF116:$AJ116)+1,"取消",""))</f>
        <v>王师傅</v>
      </c>
      <c r="AN116" s="0" t="str">
        <f aca="false">IFERROR(INDEX($A$1:$A$5,MATCH(3,$AF116:$AJ116,0)),IF(3=MAX($AF116:$AJ116)+1,"取消",""))</f>
        <v>陈师傅</v>
      </c>
      <c r="AO116" s="0" t="str">
        <f aca="false">IFERROR(INDEX($A$1:$A$5,MATCH(4,$AF116:$AJ116,0)),IF(4=MAX($AF116:$AJ116)+1,"取消",""))</f>
        <v>刘师傅</v>
      </c>
      <c r="AP116" s="0" t="str">
        <f aca="false">IFERROR(INDEX($A$1:$A$5,MATCH(5,$AF116:$AJ116,0)),IF(5=MAX($AF116:$AJ116)+1,"取消",""))</f>
        <v>取消</v>
      </c>
      <c r="AQ116" s="0" t="str">
        <f aca="false">IFERROR(INDEX($A$1:$A$5,MATCH(6,$AF116:$AJ116,0)),IF(6=MAX($AF116:$AJ116)+1,"取消",""))</f>
        <v/>
      </c>
      <c r="AS116" s="0" t="n">
        <f aca="false">IF(OR($A$1=公区维修!$F116,$A$1=公区维修!$G116,$BN$1=1),0,1-SUMPRODUCT(--(($A$1=公区维修!$F116)+($A$1=公区维修!$G116)+$BN$1&gt;0)))</f>
        <v>0</v>
      </c>
      <c r="AT116" s="0" t="n">
        <f aca="false">IF(OR($A$2=公区维修!$F116,$A$2=公区维修!$G116,$BN$2=1),0,2-SUMPRODUCT(--(($A$1:$A$2=公区维修!$F116)+($A$1:$A$2=公区维修!$G116)+$BN$1:$BN$2&gt;0)))</f>
        <v>1</v>
      </c>
      <c r="AU116" s="0" t="n">
        <f aca="false">IF(OR($A$3=公区维修!$F116,$A$3=公区维修!$G116,$BN$3=1),0,3-SUMPRODUCT(--(($A$1:$A$3=公区维修!$F116)+($A$1:$A$3=公区维修!$G116)+$BN$1:$BN$3&gt;0)))</f>
        <v>2</v>
      </c>
      <c r="AV116" s="0" t="n">
        <f aca="false">IF(OR($A$4=公区维修!$F116,$A$4=公区维修!$G116,$BN$4=1),0,4-SUMPRODUCT(--(($A$1:$A$4=公区维修!$F116)+($A$1:$A$4=公区维修!$G116)+$BN$1:$BN$4&gt;0)))</f>
        <v>3</v>
      </c>
      <c r="AW116" s="0" t="n">
        <f aca="false">IF(OR($A$5=公区维修!$F116,$A$5=公区维修!$G116,$BN$5=1),0,5-SUMPRODUCT(--(($A$1:$A$5=公区维修!$F116)+($A$1:$A$5=公区维修!$G116)+$BN$1:$BN$5&gt;0)))</f>
        <v>4</v>
      </c>
      <c r="AY116" s="0" t="str">
        <f aca="false">IFERROR(INDEX($A$1:$A$5,MATCH(1,$AS116:$AW116,0)),IF(1=MAX($AS116:$AW116)+1,"取消",""))</f>
        <v>李师傅</v>
      </c>
      <c r="AZ116" s="0" t="str">
        <f aca="false">IFERROR(INDEX($A$1:$A$5,MATCH(2,$AS116:$AW116,0)),IF(2=MAX($AS116:$AW116)+1,"取消",""))</f>
        <v>王师傅</v>
      </c>
      <c r="BA116" s="0" t="str">
        <f aca="false">IFERROR(INDEX($A$1:$A$5,MATCH(3,$AS116:$AW116,0)),IF(3=MAX($AS116:$AW116)+1,"取消",""))</f>
        <v>陈师傅</v>
      </c>
      <c r="BB116" s="0" t="str">
        <f aca="false">IFERROR(INDEX($A$1:$A$5,MATCH(4,$AS116:$AW116,0)),IF(4=MAX($AS116:$AW116)+1,"取消",""))</f>
        <v>刘师傅</v>
      </c>
      <c r="BC116" s="0" t="str">
        <f aca="false">IFERROR(INDEX($A$1:$A$5,MATCH(5,$AS116:$AW116,0)),IF(5=MAX($AS116:$AW116)+1,"取消",""))</f>
        <v>取消</v>
      </c>
      <c r="BD116" s="0" t="str">
        <f aca="false">IFERROR(INDEX($A$1:$A$5,MATCH(6,$AS116:$AW116,0)),IF(6=MAX($AS116:$AW116)+1,"取消",""))</f>
        <v/>
      </c>
      <c r="FW116" s="0" t="str">
        <f aca="false">IF(AND(单元查询!$D$3&lt;&gt;"",IF(单元查询!$B$3="公区维修",公区维修!$E116&lt;&gt;"",入户维修!$E116&lt;&gt;""),IF(单元查询!$B$3="公区维修",公区维修!$C116,入户维修!$C116)=单元查询!$D$3,OR(单元查询!$F$3="",IF(单元查询!$B$3="公区维修",公区维修!$D116,入户维修!$D116)&amp;""=(单元查询!$F$3)&amp;"")),MAX($FW$4:$FW115)+1,"")</f>
        <v/>
      </c>
    </row>
    <row r="117" customFormat="false" ht="15" hidden="false" customHeight="true" outlineLevel="0" collapsed="false">
      <c r="F117" s="0" t="n">
        <f aca="false">IF(OR($A$1=入户维修!$F117,$BN$1=1),0,1-SUMPRODUCT(--(($A$1=入户维修!$F117)+$BN$1&gt;0)))</f>
        <v>0</v>
      </c>
      <c r="G117" s="0" t="n">
        <f aca="false">IF(OR($A$2=入户维修!$F117,$BN$2=1),0,2-SUMPRODUCT(--(($A$1:$A$2=入户维修!$F117)+$BN$1:$BN$2&gt;0)))</f>
        <v>1</v>
      </c>
      <c r="H117" s="0" t="n">
        <f aca="false">IF(OR($A$3=入户维修!$F117,$BN$3=1),0,3-SUMPRODUCT(--(($A$1:$A$3=入户维修!$F117)+$BN$1:$BN$3&gt;0)))</f>
        <v>2</v>
      </c>
      <c r="I117" s="0" t="n">
        <f aca="false">IF(OR($A$4=入户维修!$F117,$BN$4=1),0,4-SUMPRODUCT(--(($A$1:$A$4=入户维修!$F117)+$BN$1:$BN$4&gt;0)))</f>
        <v>3</v>
      </c>
      <c r="J117" s="0" t="n">
        <f aca="false">IF(OR($A$5=入户维修!$F117,$BN$5=1),0,5-SUMPRODUCT(--(($A$1:$A$5=入户维修!$F117)+$BN$1:$BN$5&gt;0)))</f>
        <v>0</v>
      </c>
      <c r="L117" s="0" t="str">
        <f aca="false">IFERROR(INDEX($A$1:$A$5,MATCH(1,$F117:$J117,0)),IF(1=MAX($F117:$J117)+1,"取消",""))</f>
        <v>李师傅</v>
      </c>
      <c r="M117" s="0" t="str">
        <f aca="false">IFERROR(INDEX($A$1:$A$5,MATCH(2,$F117:$J117,0)),IF(2=MAX($F117:$J117)+1,"取消",""))</f>
        <v>王师傅</v>
      </c>
      <c r="N117" s="0" t="str">
        <f aca="false">IFERROR(INDEX($A$1:$A$5,MATCH(3,$F117:$J117,0)),IF(3=MAX($F117:$J117)+1,"取消",""))</f>
        <v>陈师傅</v>
      </c>
      <c r="O117" s="0" t="str">
        <f aca="false">IFERROR(INDEX($A$1:$A$5,MATCH(4,$F117:$J117,0)),IF(4=MAX($F117:$J117)+1,"取消",""))</f>
        <v>取消</v>
      </c>
      <c r="P117" s="0" t="str">
        <f aca="false">IFERROR(INDEX($A$1:$A$5,MATCH(5,$F117:$J117,0)),IF(5=MAX($F117:$J117)+1,"取消",""))</f>
        <v/>
      </c>
      <c r="Q117" s="0" t="str">
        <f aca="false">IFERROR(INDEX($A$1:$A$5,MATCH(6,$F117:$J117,0)),IF(6=MAX($F117:$J117)+1,"取消",""))</f>
        <v/>
      </c>
      <c r="S117" s="0" t="n">
        <f aca="false">IF(OR($A$1=入户维修!$F117,$A$1=入户维修!$G117,$BN$1=1),0,1-SUMPRODUCT(--(($A$1=入户维修!$F117)+($A$1=入户维修!$G117)+$BN$1&gt;0)))</f>
        <v>0</v>
      </c>
      <c r="T117" s="0" t="n">
        <f aca="false">IF(OR($A$2=入户维修!$F117,$A$2=入户维修!$G117,$BN$2=1),0,2-SUMPRODUCT(--(($A$1:$A$2=入户维修!$F117)+($A$1:$A$2=入户维修!$G117)+$BN$1:$BN$2&gt;0)))</f>
        <v>1</v>
      </c>
      <c r="U117" s="0" t="n">
        <f aca="false">IF(OR($A$3=入户维修!$F117,$A$3=入户维修!$G117,$BN$3=1),0,3-SUMPRODUCT(--(($A$1:$A$3=入户维修!$F117)+($A$1:$A$3=入户维修!$G117)+$BN$1:$BN$3&gt;0)))</f>
        <v>2</v>
      </c>
      <c r="V117" s="0" t="n">
        <f aca="false">IF(OR($A$4=入户维修!$F117,$A$4=入户维修!$G117,$BN$4=1),0,4-SUMPRODUCT(--(($A$1:$A$4=入户维修!$F117)+($A$1:$A$4=入户维修!$G117)+$BN$1:$BN$4&gt;0)))</f>
        <v>3</v>
      </c>
      <c r="W117" s="0" t="n">
        <f aca="false">IF(OR($A$5=入户维修!$F117,$A$5=入户维修!$G117,$BN$5=1),0,5-SUMPRODUCT(--(($A$1:$A$5=入户维修!$F117)+($A$1:$A$5=入户维修!$G117)+$BN$1:$BN$5&gt;0)))</f>
        <v>0</v>
      </c>
      <c r="Y117" s="0" t="str">
        <f aca="false">IFERROR(INDEX($A$1:$A$5,MATCH(1,$S117:$W117,0)),IF(1=MAX($S117:$W117)+1,"取消",""))</f>
        <v>李师傅</v>
      </c>
      <c r="Z117" s="0" t="str">
        <f aca="false">IFERROR(INDEX($A$1:$A$5,MATCH(2,$S117:$W117,0)),IF(2=MAX($S117:$W117)+1,"取消",""))</f>
        <v>王师傅</v>
      </c>
      <c r="AA117" s="0" t="str">
        <f aca="false">IFERROR(INDEX($A$1:$A$5,MATCH(3,$S117:$W117,0)),IF(3=MAX($S117:$W117)+1,"取消",""))</f>
        <v>陈师傅</v>
      </c>
      <c r="AB117" s="0" t="str">
        <f aca="false">IFERROR(INDEX($A$1:$A$5,MATCH(4,$S117:$W117,0)),IF(4=MAX($S117:$W117)+1,"取消",""))</f>
        <v>取消</v>
      </c>
      <c r="AC117" s="0" t="str">
        <f aca="false">IFERROR(INDEX($A$1:$A$5,MATCH(5,$S117:$W117,0)),IF(5=MAX($S117:$W117)+1,"取消",""))</f>
        <v/>
      </c>
      <c r="AD117" s="0" t="str">
        <f aca="false">IFERROR(INDEX($A$1:$A$5,MATCH(6,$S117:$W117,0)),IF(6=MAX($S117:$W117)+1,"取消",""))</f>
        <v/>
      </c>
      <c r="AF117" s="0" t="n">
        <f aca="false">IF(OR($A$1=公区维修!$F117,$BN$1=1),0,1-SUMPRODUCT(--(($A$1=公区维修!$F117)+$BN$1&gt;0)))</f>
        <v>0</v>
      </c>
      <c r="AG117" s="0" t="n">
        <f aca="false">IF(OR($A$2=公区维修!$F117,$BN$2=1),0,2-SUMPRODUCT(--(($A$1:$A$2=公区维修!$F117)+$BN$1:$BN$2&gt;0)))</f>
        <v>1</v>
      </c>
      <c r="AH117" s="0" t="n">
        <f aca="false">IF(OR($A$3=公区维修!$F117,$BN$3=1),0,3-SUMPRODUCT(--(($A$1:$A$3=公区维修!$F117)+$BN$1:$BN$3&gt;0)))</f>
        <v>2</v>
      </c>
      <c r="AI117" s="0" t="n">
        <f aca="false">IF(OR($A$4=公区维修!$F117,$BN$4=1),0,4-SUMPRODUCT(--(($A$1:$A$4=公区维修!$F117)+$BN$1:$BN$4&gt;0)))</f>
        <v>3</v>
      </c>
      <c r="AJ117" s="0" t="n">
        <f aca="false">IF(OR($A$5=公区维修!$F117,$BN$5=1),0,5-SUMPRODUCT(--(($A$1:$A$5=公区维修!$F117)+$BN$1:$BN$5&gt;0)))</f>
        <v>4</v>
      </c>
      <c r="AL117" s="0" t="str">
        <f aca="false">IFERROR(INDEX($A$1:$A$5,MATCH(1,$AF117:$AJ117,0)),IF(1=MAX($AF117:$AJ117)+1,"取消",""))</f>
        <v>李师傅</v>
      </c>
      <c r="AM117" s="0" t="str">
        <f aca="false">IFERROR(INDEX($A$1:$A$5,MATCH(2,$AF117:$AJ117,0)),IF(2=MAX($AF117:$AJ117)+1,"取消",""))</f>
        <v>王师傅</v>
      </c>
      <c r="AN117" s="0" t="str">
        <f aca="false">IFERROR(INDEX($A$1:$A$5,MATCH(3,$AF117:$AJ117,0)),IF(3=MAX($AF117:$AJ117)+1,"取消",""))</f>
        <v>陈师傅</v>
      </c>
      <c r="AO117" s="0" t="str">
        <f aca="false">IFERROR(INDEX($A$1:$A$5,MATCH(4,$AF117:$AJ117,0)),IF(4=MAX($AF117:$AJ117)+1,"取消",""))</f>
        <v>刘师傅</v>
      </c>
      <c r="AP117" s="0" t="str">
        <f aca="false">IFERROR(INDEX($A$1:$A$5,MATCH(5,$AF117:$AJ117,0)),IF(5=MAX($AF117:$AJ117)+1,"取消",""))</f>
        <v>取消</v>
      </c>
      <c r="AQ117" s="0" t="str">
        <f aca="false">IFERROR(INDEX($A$1:$A$5,MATCH(6,$AF117:$AJ117,0)),IF(6=MAX($AF117:$AJ117)+1,"取消",""))</f>
        <v/>
      </c>
      <c r="AS117" s="0" t="n">
        <f aca="false">IF(OR($A$1=公区维修!$F117,$A$1=公区维修!$G117,$BN$1=1),0,1-SUMPRODUCT(--(($A$1=公区维修!$F117)+($A$1=公区维修!$G117)+$BN$1&gt;0)))</f>
        <v>0</v>
      </c>
      <c r="AT117" s="0" t="n">
        <f aca="false">IF(OR($A$2=公区维修!$F117,$A$2=公区维修!$G117,$BN$2=1),0,2-SUMPRODUCT(--(($A$1:$A$2=公区维修!$F117)+($A$1:$A$2=公区维修!$G117)+$BN$1:$BN$2&gt;0)))</f>
        <v>1</v>
      </c>
      <c r="AU117" s="0" t="n">
        <f aca="false">IF(OR($A$3=公区维修!$F117,$A$3=公区维修!$G117,$BN$3=1),0,3-SUMPRODUCT(--(($A$1:$A$3=公区维修!$F117)+($A$1:$A$3=公区维修!$G117)+$BN$1:$BN$3&gt;0)))</f>
        <v>2</v>
      </c>
      <c r="AV117" s="0" t="n">
        <f aca="false">IF(OR($A$4=公区维修!$F117,$A$4=公区维修!$G117,$BN$4=1),0,4-SUMPRODUCT(--(($A$1:$A$4=公区维修!$F117)+($A$1:$A$4=公区维修!$G117)+$BN$1:$BN$4&gt;0)))</f>
        <v>3</v>
      </c>
      <c r="AW117" s="0" t="n">
        <f aca="false">IF(OR($A$5=公区维修!$F117,$A$5=公区维修!$G117,$BN$5=1),0,5-SUMPRODUCT(--(($A$1:$A$5=公区维修!$F117)+($A$1:$A$5=公区维修!$G117)+$BN$1:$BN$5&gt;0)))</f>
        <v>4</v>
      </c>
      <c r="AY117" s="0" t="str">
        <f aca="false">IFERROR(INDEX($A$1:$A$5,MATCH(1,$AS117:$AW117,0)),IF(1=MAX($AS117:$AW117)+1,"取消",""))</f>
        <v>李师傅</v>
      </c>
      <c r="AZ117" s="0" t="str">
        <f aca="false">IFERROR(INDEX($A$1:$A$5,MATCH(2,$AS117:$AW117,0)),IF(2=MAX($AS117:$AW117)+1,"取消",""))</f>
        <v>王师傅</v>
      </c>
      <c r="BA117" s="0" t="str">
        <f aca="false">IFERROR(INDEX($A$1:$A$5,MATCH(3,$AS117:$AW117,0)),IF(3=MAX($AS117:$AW117)+1,"取消",""))</f>
        <v>陈师傅</v>
      </c>
      <c r="BB117" s="0" t="str">
        <f aca="false">IFERROR(INDEX($A$1:$A$5,MATCH(4,$AS117:$AW117,0)),IF(4=MAX($AS117:$AW117)+1,"取消",""))</f>
        <v>刘师傅</v>
      </c>
      <c r="BC117" s="0" t="str">
        <f aca="false">IFERROR(INDEX($A$1:$A$5,MATCH(5,$AS117:$AW117,0)),IF(5=MAX($AS117:$AW117)+1,"取消",""))</f>
        <v>取消</v>
      </c>
      <c r="BD117" s="0" t="str">
        <f aca="false">IFERROR(INDEX($A$1:$A$5,MATCH(6,$AS117:$AW117,0)),IF(6=MAX($AS117:$AW117)+1,"取消",""))</f>
        <v/>
      </c>
      <c r="FW117" s="0" t="str">
        <f aca="false">IF(AND(单元查询!$D$3&lt;&gt;"",IF(单元查询!$B$3="公区维修",公区维修!$E117&lt;&gt;"",入户维修!$E117&lt;&gt;""),IF(单元查询!$B$3="公区维修",公区维修!$C117,入户维修!$C117)=单元查询!$D$3,OR(单元查询!$F$3="",IF(单元查询!$B$3="公区维修",公区维修!$D117,入户维修!$D117)&amp;""=(单元查询!$F$3)&amp;"")),MAX($FW$4:$FW116)+1,"")</f>
        <v/>
      </c>
    </row>
    <row r="118" customFormat="false" ht="15" hidden="false" customHeight="true" outlineLevel="0" collapsed="false">
      <c r="F118" s="0" t="n">
        <f aca="false">IF(OR($A$1=入户维修!$F118,$BN$1=1),0,1-SUMPRODUCT(--(($A$1=入户维修!$F118)+$BN$1&gt;0)))</f>
        <v>0</v>
      </c>
      <c r="G118" s="0" t="n">
        <f aca="false">IF(OR($A$2=入户维修!$F118,$BN$2=1),0,2-SUMPRODUCT(--(($A$1:$A$2=入户维修!$F118)+$BN$1:$BN$2&gt;0)))</f>
        <v>1</v>
      </c>
      <c r="H118" s="0" t="n">
        <f aca="false">IF(OR($A$3=入户维修!$F118,$BN$3=1),0,3-SUMPRODUCT(--(($A$1:$A$3=入户维修!$F118)+$BN$1:$BN$3&gt;0)))</f>
        <v>2</v>
      </c>
      <c r="I118" s="0" t="n">
        <f aca="false">IF(OR($A$4=入户维修!$F118,$BN$4=1),0,4-SUMPRODUCT(--(($A$1:$A$4=入户维修!$F118)+$BN$1:$BN$4&gt;0)))</f>
        <v>3</v>
      </c>
      <c r="J118" s="0" t="n">
        <f aca="false">IF(OR($A$5=入户维修!$F118,$BN$5=1),0,5-SUMPRODUCT(--(($A$1:$A$5=入户维修!$F118)+$BN$1:$BN$5&gt;0)))</f>
        <v>4</v>
      </c>
      <c r="L118" s="0" t="str">
        <f aca="false">IFERROR(INDEX($A$1:$A$5,MATCH(1,$F118:$J118,0)),IF(1=MAX($F118:$J118)+1,"取消",""))</f>
        <v>李师傅</v>
      </c>
      <c r="M118" s="0" t="str">
        <f aca="false">IFERROR(INDEX($A$1:$A$5,MATCH(2,$F118:$J118,0)),IF(2=MAX($F118:$J118)+1,"取消",""))</f>
        <v>王师傅</v>
      </c>
      <c r="N118" s="0" t="str">
        <f aca="false">IFERROR(INDEX($A$1:$A$5,MATCH(3,$F118:$J118,0)),IF(3=MAX($F118:$J118)+1,"取消",""))</f>
        <v>陈师傅</v>
      </c>
      <c r="O118" s="0" t="str">
        <f aca="false">IFERROR(INDEX($A$1:$A$5,MATCH(4,$F118:$J118,0)),IF(4=MAX($F118:$J118)+1,"取消",""))</f>
        <v>刘师傅</v>
      </c>
      <c r="P118" s="0" t="str">
        <f aca="false">IFERROR(INDEX($A$1:$A$5,MATCH(5,$F118:$J118,0)),IF(5=MAX($F118:$J118)+1,"取消",""))</f>
        <v>取消</v>
      </c>
      <c r="Q118" s="0" t="str">
        <f aca="false">IFERROR(INDEX($A$1:$A$5,MATCH(6,$F118:$J118,0)),IF(6=MAX($F118:$J118)+1,"取消",""))</f>
        <v/>
      </c>
      <c r="S118" s="0" t="n">
        <f aca="false">IF(OR($A$1=入户维修!$F118,$A$1=入户维修!$G118,$BN$1=1),0,1-SUMPRODUCT(--(($A$1=入户维修!$F118)+($A$1=入户维修!$G118)+$BN$1&gt;0)))</f>
        <v>0</v>
      </c>
      <c r="T118" s="0" t="n">
        <f aca="false">IF(OR($A$2=入户维修!$F118,$A$2=入户维修!$G118,$BN$2=1),0,2-SUMPRODUCT(--(($A$1:$A$2=入户维修!$F118)+($A$1:$A$2=入户维修!$G118)+$BN$1:$BN$2&gt;0)))</f>
        <v>1</v>
      </c>
      <c r="U118" s="0" t="n">
        <f aca="false">IF(OR($A$3=入户维修!$F118,$A$3=入户维修!$G118,$BN$3=1),0,3-SUMPRODUCT(--(($A$1:$A$3=入户维修!$F118)+($A$1:$A$3=入户维修!$G118)+$BN$1:$BN$3&gt;0)))</f>
        <v>2</v>
      </c>
      <c r="V118" s="0" t="n">
        <f aca="false">IF(OR($A$4=入户维修!$F118,$A$4=入户维修!$G118,$BN$4=1),0,4-SUMPRODUCT(--(($A$1:$A$4=入户维修!$F118)+($A$1:$A$4=入户维修!$G118)+$BN$1:$BN$4&gt;0)))</f>
        <v>3</v>
      </c>
      <c r="W118" s="0" t="n">
        <f aca="false">IF(OR($A$5=入户维修!$F118,$A$5=入户维修!$G118,$BN$5=1),0,5-SUMPRODUCT(--(($A$1:$A$5=入户维修!$F118)+($A$1:$A$5=入户维修!$G118)+$BN$1:$BN$5&gt;0)))</f>
        <v>4</v>
      </c>
      <c r="Y118" s="0" t="str">
        <f aca="false">IFERROR(INDEX($A$1:$A$5,MATCH(1,$S118:$W118,0)),IF(1=MAX($S118:$W118)+1,"取消",""))</f>
        <v>李师傅</v>
      </c>
      <c r="Z118" s="0" t="str">
        <f aca="false">IFERROR(INDEX($A$1:$A$5,MATCH(2,$S118:$W118,0)),IF(2=MAX($S118:$W118)+1,"取消",""))</f>
        <v>王师傅</v>
      </c>
      <c r="AA118" s="0" t="str">
        <f aca="false">IFERROR(INDEX($A$1:$A$5,MATCH(3,$S118:$W118,0)),IF(3=MAX($S118:$W118)+1,"取消",""))</f>
        <v>陈师傅</v>
      </c>
      <c r="AB118" s="0" t="str">
        <f aca="false">IFERROR(INDEX($A$1:$A$5,MATCH(4,$S118:$W118,0)),IF(4=MAX($S118:$W118)+1,"取消",""))</f>
        <v>刘师傅</v>
      </c>
      <c r="AC118" s="0" t="str">
        <f aca="false">IFERROR(INDEX($A$1:$A$5,MATCH(5,$S118:$W118,0)),IF(5=MAX($S118:$W118)+1,"取消",""))</f>
        <v>取消</v>
      </c>
      <c r="AD118" s="0" t="str">
        <f aca="false">IFERROR(INDEX($A$1:$A$5,MATCH(6,$S118:$W118,0)),IF(6=MAX($S118:$W118)+1,"取消",""))</f>
        <v/>
      </c>
      <c r="AF118" s="0" t="n">
        <f aca="false">IF(OR($A$1=公区维修!$F118,$BN$1=1),0,1-SUMPRODUCT(--(($A$1=公区维修!$F118)+$BN$1&gt;0)))</f>
        <v>0</v>
      </c>
      <c r="AG118" s="0" t="n">
        <f aca="false">IF(OR($A$2=公区维修!$F118,$BN$2=1),0,2-SUMPRODUCT(--(($A$1:$A$2=公区维修!$F118)+$BN$1:$BN$2&gt;0)))</f>
        <v>1</v>
      </c>
      <c r="AH118" s="0" t="n">
        <f aca="false">IF(OR($A$3=公区维修!$F118,$BN$3=1),0,3-SUMPRODUCT(--(($A$1:$A$3=公区维修!$F118)+$BN$1:$BN$3&gt;0)))</f>
        <v>2</v>
      </c>
      <c r="AI118" s="0" t="n">
        <f aca="false">IF(OR($A$4=公区维修!$F118,$BN$4=1),0,4-SUMPRODUCT(--(($A$1:$A$4=公区维修!$F118)+$BN$1:$BN$4&gt;0)))</f>
        <v>3</v>
      </c>
      <c r="AJ118" s="0" t="n">
        <f aca="false">IF(OR($A$5=公区维修!$F118,$BN$5=1),0,5-SUMPRODUCT(--(($A$1:$A$5=公区维修!$F118)+$BN$1:$BN$5&gt;0)))</f>
        <v>4</v>
      </c>
      <c r="AL118" s="0" t="str">
        <f aca="false">IFERROR(INDEX($A$1:$A$5,MATCH(1,$AF118:$AJ118,0)),IF(1=MAX($AF118:$AJ118)+1,"取消",""))</f>
        <v>李师傅</v>
      </c>
      <c r="AM118" s="0" t="str">
        <f aca="false">IFERROR(INDEX($A$1:$A$5,MATCH(2,$AF118:$AJ118,0)),IF(2=MAX($AF118:$AJ118)+1,"取消",""))</f>
        <v>王师傅</v>
      </c>
      <c r="AN118" s="0" t="str">
        <f aca="false">IFERROR(INDEX($A$1:$A$5,MATCH(3,$AF118:$AJ118,0)),IF(3=MAX($AF118:$AJ118)+1,"取消",""))</f>
        <v>陈师傅</v>
      </c>
      <c r="AO118" s="0" t="str">
        <f aca="false">IFERROR(INDEX($A$1:$A$5,MATCH(4,$AF118:$AJ118,0)),IF(4=MAX($AF118:$AJ118)+1,"取消",""))</f>
        <v>刘师傅</v>
      </c>
      <c r="AP118" s="0" t="str">
        <f aca="false">IFERROR(INDEX($A$1:$A$5,MATCH(5,$AF118:$AJ118,0)),IF(5=MAX($AF118:$AJ118)+1,"取消",""))</f>
        <v>取消</v>
      </c>
      <c r="AQ118" s="0" t="str">
        <f aca="false">IFERROR(INDEX($A$1:$A$5,MATCH(6,$AF118:$AJ118,0)),IF(6=MAX($AF118:$AJ118)+1,"取消",""))</f>
        <v/>
      </c>
      <c r="AS118" s="0" t="n">
        <f aca="false">IF(OR($A$1=公区维修!$F118,$A$1=公区维修!$G118,$BN$1=1),0,1-SUMPRODUCT(--(($A$1=公区维修!$F118)+($A$1=公区维修!$G118)+$BN$1&gt;0)))</f>
        <v>0</v>
      </c>
      <c r="AT118" s="0" t="n">
        <f aca="false">IF(OR($A$2=公区维修!$F118,$A$2=公区维修!$G118,$BN$2=1),0,2-SUMPRODUCT(--(($A$1:$A$2=公区维修!$F118)+($A$1:$A$2=公区维修!$G118)+$BN$1:$BN$2&gt;0)))</f>
        <v>1</v>
      </c>
      <c r="AU118" s="0" t="n">
        <f aca="false">IF(OR($A$3=公区维修!$F118,$A$3=公区维修!$G118,$BN$3=1),0,3-SUMPRODUCT(--(($A$1:$A$3=公区维修!$F118)+($A$1:$A$3=公区维修!$G118)+$BN$1:$BN$3&gt;0)))</f>
        <v>2</v>
      </c>
      <c r="AV118" s="0" t="n">
        <f aca="false">IF(OR($A$4=公区维修!$F118,$A$4=公区维修!$G118,$BN$4=1),0,4-SUMPRODUCT(--(($A$1:$A$4=公区维修!$F118)+($A$1:$A$4=公区维修!$G118)+$BN$1:$BN$4&gt;0)))</f>
        <v>3</v>
      </c>
      <c r="AW118" s="0" t="n">
        <f aca="false">IF(OR($A$5=公区维修!$F118,$A$5=公区维修!$G118,$BN$5=1),0,5-SUMPRODUCT(--(($A$1:$A$5=公区维修!$F118)+($A$1:$A$5=公区维修!$G118)+$BN$1:$BN$5&gt;0)))</f>
        <v>4</v>
      </c>
      <c r="AY118" s="0" t="str">
        <f aca="false">IFERROR(INDEX($A$1:$A$5,MATCH(1,$AS118:$AW118,0)),IF(1=MAX($AS118:$AW118)+1,"取消",""))</f>
        <v>李师傅</v>
      </c>
      <c r="AZ118" s="0" t="str">
        <f aca="false">IFERROR(INDEX($A$1:$A$5,MATCH(2,$AS118:$AW118,0)),IF(2=MAX($AS118:$AW118)+1,"取消",""))</f>
        <v>王师傅</v>
      </c>
      <c r="BA118" s="0" t="str">
        <f aca="false">IFERROR(INDEX($A$1:$A$5,MATCH(3,$AS118:$AW118,0)),IF(3=MAX($AS118:$AW118)+1,"取消",""))</f>
        <v>陈师傅</v>
      </c>
      <c r="BB118" s="0" t="str">
        <f aca="false">IFERROR(INDEX($A$1:$A$5,MATCH(4,$AS118:$AW118,0)),IF(4=MAX($AS118:$AW118)+1,"取消",""))</f>
        <v>刘师傅</v>
      </c>
      <c r="BC118" s="0" t="str">
        <f aca="false">IFERROR(INDEX($A$1:$A$5,MATCH(5,$AS118:$AW118,0)),IF(5=MAX($AS118:$AW118)+1,"取消",""))</f>
        <v>取消</v>
      </c>
      <c r="BD118" s="0" t="str">
        <f aca="false">IFERROR(INDEX($A$1:$A$5,MATCH(6,$AS118:$AW118,0)),IF(6=MAX($AS118:$AW118)+1,"取消",""))</f>
        <v/>
      </c>
      <c r="FW118" s="0" t="str">
        <f aca="false">IF(AND(单元查询!$D$3&lt;&gt;"",IF(单元查询!$B$3="公区维修",公区维修!$E118&lt;&gt;"",入户维修!$E118&lt;&gt;""),IF(单元查询!$B$3="公区维修",公区维修!$C118,入户维修!$C118)=单元查询!$D$3,OR(单元查询!$F$3="",IF(单元查询!$B$3="公区维修",公区维修!$D118,入户维修!$D118)&amp;""=(单元查询!$F$3)&amp;"")),MAX($FW$4:$FW117)+1,"")</f>
        <v/>
      </c>
    </row>
    <row r="119" customFormat="false" ht="15" hidden="false" customHeight="true" outlineLevel="0" collapsed="false">
      <c r="F119" s="0" t="n">
        <f aca="false">IF(OR($A$1=入户维修!$F119,$BN$1=1),0,1-SUMPRODUCT(--(($A$1=入户维修!$F119)+$BN$1&gt;0)))</f>
        <v>0</v>
      </c>
      <c r="G119" s="0" t="n">
        <f aca="false">IF(OR($A$2=入户维修!$F119,$BN$2=1),0,2-SUMPRODUCT(--(($A$1:$A$2=入户维修!$F119)+$BN$1:$BN$2&gt;0)))</f>
        <v>0</v>
      </c>
      <c r="H119" s="0" t="n">
        <f aca="false">IF(OR($A$3=入户维修!$F119,$BN$3=1),0,3-SUMPRODUCT(--(($A$1:$A$3=入户维修!$F119)+$BN$1:$BN$3&gt;0)))</f>
        <v>1</v>
      </c>
      <c r="I119" s="0" t="n">
        <f aca="false">IF(OR($A$4=入户维修!$F119,$BN$4=1),0,4-SUMPRODUCT(--(($A$1:$A$4=入户维修!$F119)+$BN$1:$BN$4&gt;0)))</f>
        <v>2</v>
      </c>
      <c r="J119" s="0" t="n">
        <f aca="false">IF(OR($A$5=入户维修!$F119,$BN$5=1),0,5-SUMPRODUCT(--(($A$1:$A$5=入户维修!$F119)+$BN$1:$BN$5&gt;0)))</f>
        <v>3</v>
      </c>
      <c r="L119" s="0" t="str">
        <f aca="false">IFERROR(INDEX($A$1:$A$5,MATCH(1,$F119:$J119,0)),IF(1=MAX($F119:$J119)+1,"取消",""))</f>
        <v>王师傅</v>
      </c>
      <c r="M119" s="0" t="str">
        <f aca="false">IFERROR(INDEX($A$1:$A$5,MATCH(2,$F119:$J119,0)),IF(2=MAX($F119:$J119)+1,"取消",""))</f>
        <v>陈师傅</v>
      </c>
      <c r="N119" s="0" t="str">
        <f aca="false">IFERROR(INDEX($A$1:$A$5,MATCH(3,$F119:$J119,0)),IF(3=MAX($F119:$J119)+1,"取消",""))</f>
        <v>刘师傅</v>
      </c>
      <c r="O119" s="0" t="str">
        <f aca="false">IFERROR(INDEX($A$1:$A$5,MATCH(4,$F119:$J119,0)),IF(4=MAX($F119:$J119)+1,"取消",""))</f>
        <v>取消</v>
      </c>
      <c r="P119" s="0" t="str">
        <f aca="false">IFERROR(INDEX($A$1:$A$5,MATCH(5,$F119:$J119,0)),IF(5=MAX($F119:$J119)+1,"取消",""))</f>
        <v/>
      </c>
      <c r="Q119" s="0" t="str">
        <f aca="false">IFERROR(INDEX($A$1:$A$5,MATCH(6,$F119:$J119,0)),IF(6=MAX($F119:$J119)+1,"取消",""))</f>
        <v/>
      </c>
      <c r="S119" s="0" t="n">
        <f aca="false">IF(OR($A$1=入户维修!$F119,$A$1=入户维修!$G119,$BN$1=1),0,1-SUMPRODUCT(--(($A$1=入户维修!$F119)+($A$1=入户维修!$G119)+$BN$1&gt;0)))</f>
        <v>0</v>
      </c>
      <c r="T119" s="0" t="n">
        <f aca="false">IF(OR($A$2=入户维修!$F119,$A$2=入户维修!$G119,$BN$2=1),0,2-SUMPRODUCT(--(($A$1:$A$2=入户维修!$F119)+($A$1:$A$2=入户维修!$G119)+$BN$1:$BN$2&gt;0)))</f>
        <v>0</v>
      </c>
      <c r="U119" s="0" t="n">
        <f aca="false">IF(OR($A$3=入户维修!$F119,$A$3=入户维修!$G119,$BN$3=1),0,3-SUMPRODUCT(--(($A$1:$A$3=入户维修!$F119)+($A$1:$A$3=入户维修!$G119)+$BN$1:$BN$3&gt;0)))</f>
        <v>1</v>
      </c>
      <c r="V119" s="0" t="n">
        <f aca="false">IF(OR($A$4=入户维修!$F119,$A$4=入户维修!$G119,$BN$4=1),0,4-SUMPRODUCT(--(($A$1:$A$4=入户维修!$F119)+($A$1:$A$4=入户维修!$G119)+$BN$1:$BN$4&gt;0)))</f>
        <v>2</v>
      </c>
      <c r="W119" s="0" t="n">
        <f aca="false">IF(OR($A$5=入户维修!$F119,$A$5=入户维修!$G119,$BN$5=1),0,5-SUMPRODUCT(--(($A$1:$A$5=入户维修!$F119)+($A$1:$A$5=入户维修!$G119)+$BN$1:$BN$5&gt;0)))</f>
        <v>3</v>
      </c>
      <c r="Y119" s="0" t="str">
        <f aca="false">IFERROR(INDEX($A$1:$A$5,MATCH(1,$S119:$W119,0)),IF(1=MAX($S119:$W119)+1,"取消",""))</f>
        <v>王师傅</v>
      </c>
      <c r="Z119" s="0" t="str">
        <f aca="false">IFERROR(INDEX($A$1:$A$5,MATCH(2,$S119:$W119,0)),IF(2=MAX($S119:$W119)+1,"取消",""))</f>
        <v>陈师傅</v>
      </c>
      <c r="AA119" s="0" t="str">
        <f aca="false">IFERROR(INDEX($A$1:$A$5,MATCH(3,$S119:$W119,0)),IF(3=MAX($S119:$W119)+1,"取消",""))</f>
        <v>刘师傅</v>
      </c>
      <c r="AB119" s="0" t="str">
        <f aca="false">IFERROR(INDEX($A$1:$A$5,MATCH(4,$S119:$W119,0)),IF(4=MAX($S119:$W119)+1,"取消",""))</f>
        <v>取消</v>
      </c>
      <c r="AC119" s="0" t="str">
        <f aca="false">IFERROR(INDEX($A$1:$A$5,MATCH(5,$S119:$W119,0)),IF(5=MAX($S119:$W119)+1,"取消",""))</f>
        <v/>
      </c>
      <c r="AD119" s="0" t="str">
        <f aca="false">IFERROR(INDEX($A$1:$A$5,MATCH(6,$S119:$W119,0)),IF(6=MAX($S119:$W119)+1,"取消",""))</f>
        <v/>
      </c>
      <c r="AF119" s="0" t="n">
        <f aca="false">IF(OR($A$1=公区维修!$F119,$BN$1=1),0,1-SUMPRODUCT(--(($A$1=公区维修!$F119)+$BN$1&gt;0)))</f>
        <v>0</v>
      </c>
      <c r="AG119" s="0" t="n">
        <f aca="false">IF(OR($A$2=公区维修!$F119,$BN$2=1),0,2-SUMPRODUCT(--(($A$1:$A$2=公区维修!$F119)+$BN$1:$BN$2&gt;0)))</f>
        <v>1</v>
      </c>
      <c r="AH119" s="0" t="n">
        <f aca="false">IF(OR($A$3=公区维修!$F119,$BN$3=1),0,3-SUMPRODUCT(--(($A$1:$A$3=公区维修!$F119)+$BN$1:$BN$3&gt;0)))</f>
        <v>2</v>
      </c>
      <c r="AI119" s="0" t="n">
        <f aca="false">IF(OR($A$4=公区维修!$F119,$BN$4=1),0,4-SUMPRODUCT(--(($A$1:$A$4=公区维修!$F119)+$BN$1:$BN$4&gt;0)))</f>
        <v>3</v>
      </c>
      <c r="AJ119" s="0" t="n">
        <f aca="false">IF(OR($A$5=公区维修!$F119,$BN$5=1),0,5-SUMPRODUCT(--(($A$1:$A$5=公区维修!$F119)+$BN$1:$BN$5&gt;0)))</f>
        <v>4</v>
      </c>
      <c r="AL119" s="0" t="str">
        <f aca="false">IFERROR(INDEX($A$1:$A$5,MATCH(1,$AF119:$AJ119,0)),IF(1=MAX($AF119:$AJ119)+1,"取消",""))</f>
        <v>李师傅</v>
      </c>
      <c r="AM119" s="0" t="str">
        <f aca="false">IFERROR(INDEX($A$1:$A$5,MATCH(2,$AF119:$AJ119,0)),IF(2=MAX($AF119:$AJ119)+1,"取消",""))</f>
        <v>王师傅</v>
      </c>
      <c r="AN119" s="0" t="str">
        <f aca="false">IFERROR(INDEX($A$1:$A$5,MATCH(3,$AF119:$AJ119,0)),IF(3=MAX($AF119:$AJ119)+1,"取消",""))</f>
        <v>陈师傅</v>
      </c>
      <c r="AO119" s="0" t="str">
        <f aca="false">IFERROR(INDEX($A$1:$A$5,MATCH(4,$AF119:$AJ119,0)),IF(4=MAX($AF119:$AJ119)+1,"取消",""))</f>
        <v>刘师傅</v>
      </c>
      <c r="AP119" s="0" t="str">
        <f aca="false">IFERROR(INDEX($A$1:$A$5,MATCH(5,$AF119:$AJ119,0)),IF(5=MAX($AF119:$AJ119)+1,"取消",""))</f>
        <v>取消</v>
      </c>
      <c r="AQ119" s="0" t="str">
        <f aca="false">IFERROR(INDEX($A$1:$A$5,MATCH(6,$AF119:$AJ119,0)),IF(6=MAX($AF119:$AJ119)+1,"取消",""))</f>
        <v/>
      </c>
      <c r="AS119" s="0" t="n">
        <f aca="false">IF(OR($A$1=公区维修!$F119,$A$1=公区维修!$G119,$BN$1=1),0,1-SUMPRODUCT(--(($A$1=公区维修!$F119)+($A$1=公区维修!$G119)+$BN$1&gt;0)))</f>
        <v>0</v>
      </c>
      <c r="AT119" s="0" t="n">
        <f aca="false">IF(OR($A$2=公区维修!$F119,$A$2=公区维修!$G119,$BN$2=1),0,2-SUMPRODUCT(--(($A$1:$A$2=公区维修!$F119)+($A$1:$A$2=公区维修!$G119)+$BN$1:$BN$2&gt;0)))</f>
        <v>1</v>
      </c>
      <c r="AU119" s="0" t="n">
        <f aca="false">IF(OR($A$3=公区维修!$F119,$A$3=公区维修!$G119,$BN$3=1),0,3-SUMPRODUCT(--(($A$1:$A$3=公区维修!$F119)+($A$1:$A$3=公区维修!$G119)+$BN$1:$BN$3&gt;0)))</f>
        <v>2</v>
      </c>
      <c r="AV119" s="0" t="n">
        <f aca="false">IF(OR($A$4=公区维修!$F119,$A$4=公区维修!$G119,$BN$4=1),0,4-SUMPRODUCT(--(($A$1:$A$4=公区维修!$F119)+($A$1:$A$4=公区维修!$G119)+$BN$1:$BN$4&gt;0)))</f>
        <v>3</v>
      </c>
      <c r="AW119" s="0" t="n">
        <f aca="false">IF(OR($A$5=公区维修!$F119,$A$5=公区维修!$G119,$BN$5=1),0,5-SUMPRODUCT(--(($A$1:$A$5=公区维修!$F119)+($A$1:$A$5=公区维修!$G119)+$BN$1:$BN$5&gt;0)))</f>
        <v>4</v>
      </c>
      <c r="AY119" s="0" t="str">
        <f aca="false">IFERROR(INDEX($A$1:$A$5,MATCH(1,$AS119:$AW119,0)),IF(1=MAX($AS119:$AW119)+1,"取消",""))</f>
        <v>李师傅</v>
      </c>
      <c r="AZ119" s="0" t="str">
        <f aca="false">IFERROR(INDEX($A$1:$A$5,MATCH(2,$AS119:$AW119,0)),IF(2=MAX($AS119:$AW119)+1,"取消",""))</f>
        <v>王师傅</v>
      </c>
      <c r="BA119" s="0" t="str">
        <f aca="false">IFERROR(INDEX($A$1:$A$5,MATCH(3,$AS119:$AW119,0)),IF(3=MAX($AS119:$AW119)+1,"取消",""))</f>
        <v>陈师傅</v>
      </c>
      <c r="BB119" s="0" t="str">
        <f aca="false">IFERROR(INDEX($A$1:$A$5,MATCH(4,$AS119:$AW119,0)),IF(4=MAX($AS119:$AW119)+1,"取消",""))</f>
        <v>刘师傅</v>
      </c>
      <c r="BC119" s="0" t="str">
        <f aca="false">IFERROR(INDEX($A$1:$A$5,MATCH(5,$AS119:$AW119,0)),IF(5=MAX($AS119:$AW119)+1,"取消",""))</f>
        <v>取消</v>
      </c>
      <c r="BD119" s="0" t="str">
        <f aca="false">IFERROR(INDEX($A$1:$A$5,MATCH(6,$AS119:$AW119,0)),IF(6=MAX($AS119:$AW119)+1,"取消",""))</f>
        <v/>
      </c>
      <c r="FW119" s="0" t="str">
        <f aca="false">IF(AND(单元查询!$D$3&lt;&gt;"",IF(单元查询!$B$3="公区维修",公区维修!$E119&lt;&gt;"",入户维修!$E119&lt;&gt;""),IF(单元查询!$B$3="公区维修",公区维修!$C119,入户维修!$C119)=单元查询!$D$3,OR(单元查询!$F$3="",IF(单元查询!$B$3="公区维修",公区维修!$D119,入户维修!$D119)&amp;""=(单元查询!$F$3)&amp;"")),MAX($FW$4:$FW118)+1,"")</f>
        <v/>
      </c>
    </row>
    <row r="120" customFormat="false" ht="15" hidden="false" customHeight="true" outlineLevel="0" collapsed="false">
      <c r="F120" s="0" t="n">
        <f aca="false">IF(OR($A$1=入户维修!$F120,$BN$1=1),0,1-SUMPRODUCT(--(($A$1=入户维修!$F120)+$BN$1&gt;0)))</f>
        <v>0</v>
      </c>
      <c r="G120" s="0" t="n">
        <f aca="false">IF(OR($A$2=入户维修!$F120,$BN$2=1),0,2-SUMPRODUCT(--(($A$1:$A$2=入户维修!$F120)+$BN$1:$BN$2&gt;0)))</f>
        <v>1</v>
      </c>
      <c r="H120" s="0" t="n">
        <f aca="false">IF(OR($A$3=入户维修!$F120,$BN$3=1),0,3-SUMPRODUCT(--(($A$1:$A$3=入户维修!$F120)+$BN$1:$BN$3&gt;0)))</f>
        <v>2</v>
      </c>
      <c r="I120" s="0" t="n">
        <f aca="false">IF(OR($A$4=入户维修!$F120,$BN$4=1),0,4-SUMPRODUCT(--(($A$1:$A$4=入户维修!$F120)+$BN$1:$BN$4&gt;0)))</f>
        <v>3</v>
      </c>
      <c r="J120" s="0" t="n">
        <f aca="false">IF(OR($A$5=入户维修!$F120,$BN$5=1),0,5-SUMPRODUCT(--(($A$1:$A$5=入户维修!$F120)+$BN$1:$BN$5&gt;0)))</f>
        <v>4</v>
      </c>
      <c r="L120" s="0" t="str">
        <f aca="false">IFERROR(INDEX($A$1:$A$5,MATCH(1,$F120:$J120,0)),IF(1=MAX($F120:$J120)+1,"取消",""))</f>
        <v>李师傅</v>
      </c>
      <c r="M120" s="0" t="str">
        <f aca="false">IFERROR(INDEX($A$1:$A$5,MATCH(2,$F120:$J120,0)),IF(2=MAX($F120:$J120)+1,"取消",""))</f>
        <v>王师傅</v>
      </c>
      <c r="N120" s="0" t="str">
        <f aca="false">IFERROR(INDEX($A$1:$A$5,MATCH(3,$F120:$J120,0)),IF(3=MAX($F120:$J120)+1,"取消",""))</f>
        <v>陈师傅</v>
      </c>
      <c r="O120" s="0" t="str">
        <f aca="false">IFERROR(INDEX($A$1:$A$5,MATCH(4,$F120:$J120,0)),IF(4=MAX($F120:$J120)+1,"取消",""))</f>
        <v>刘师傅</v>
      </c>
      <c r="P120" s="0" t="str">
        <f aca="false">IFERROR(INDEX($A$1:$A$5,MATCH(5,$F120:$J120,0)),IF(5=MAX($F120:$J120)+1,"取消",""))</f>
        <v>取消</v>
      </c>
      <c r="Q120" s="0" t="str">
        <f aca="false">IFERROR(INDEX($A$1:$A$5,MATCH(6,$F120:$J120,0)),IF(6=MAX($F120:$J120)+1,"取消",""))</f>
        <v/>
      </c>
      <c r="S120" s="0" t="n">
        <f aca="false">IF(OR($A$1=入户维修!$F120,$A$1=入户维修!$G120,$BN$1=1),0,1-SUMPRODUCT(--(($A$1=入户维修!$F120)+($A$1=入户维修!$G120)+$BN$1&gt;0)))</f>
        <v>0</v>
      </c>
      <c r="T120" s="0" t="n">
        <f aca="false">IF(OR($A$2=入户维修!$F120,$A$2=入户维修!$G120,$BN$2=1),0,2-SUMPRODUCT(--(($A$1:$A$2=入户维修!$F120)+($A$1:$A$2=入户维修!$G120)+$BN$1:$BN$2&gt;0)))</f>
        <v>1</v>
      </c>
      <c r="U120" s="0" t="n">
        <f aca="false">IF(OR($A$3=入户维修!$F120,$A$3=入户维修!$G120,$BN$3=1),0,3-SUMPRODUCT(--(($A$1:$A$3=入户维修!$F120)+($A$1:$A$3=入户维修!$G120)+$BN$1:$BN$3&gt;0)))</f>
        <v>2</v>
      </c>
      <c r="V120" s="0" t="n">
        <f aca="false">IF(OR($A$4=入户维修!$F120,$A$4=入户维修!$G120,$BN$4=1),0,4-SUMPRODUCT(--(($A$1:$A$4=入户维修!$F120)+($A$1:$A$4=入户维修!$G120)+$BN$1:$BN$4&gt;0)))</f>
        <v>3</v>
      </c>
      <c r="W120" s="0" t="n">
        <f aca="false">IF(OR($A$5=入户维修!$F120,$A$5=入户维修!$G120,$BN$5=1),0,5-SUMPRODUCT(--(($A$1:$A$5=入户维修!$F120)+($A$1:$A$5=入户维修!$G120)+$BN$1:$BN$5&gt;0)))</f>
        <v>4</v>
      </c>
      <c r="Y120" s="0" t="str">
        <f aca="false">IFERROR(INDEX($A$1:$A$5,MATCH(1,$S120:$W120,0)),IF(1=MAX($S120:$W120)+1,"取消",""))</f>
        <v>李师傅</v>
      </c>
      <c r="Z120" s="0" t="str">
        <f aca="false">IFERROR(INDEX($A$1:$A$5,MATCH(2,$S120:$W120,0)),IF(2=MAX($S120:$W120)+1,"取消",""))</f>
        <v>王师傅</v>
      </c>
      <c r="AA120" s="0" t="str">
        <f aca="false">IFERROR(INDEX($A$1:$A$5,MATCH(3,$S120:$W120,0)),IF(3=MAX($S120:$W120)+1,"取消",""))</f>
        <v>陈师傅</v>
      </c>
      <c r="AB120" s="0" t="str">
        <f aca="false">IFERROR(INDEX($A$1:$A$5,MATCH(4,$S120:$W120,0)),IF(4=MAX($S120:$W120)+1,"取消",""))</f>
        <v>刘师傅</v>
      </c>
      <c r="AC120" s="0" t="str">
        <f aca="false">IFERROR(INDEX($A$1:$A$5,MATCH(5,$S120:$W120,0)),IF(5=MAX($S120:$W120)+1,"取消",""))</f>
        <v>取消</v>
      </c>
      <c r="AD120" s="0" t="str">
        <f aca="false">IFERROR(INDEX($A$1:$A$5,MATCH(6,$S120:$W120,0)),IF(6=MAX($S120:$W120)+1,"取消",""))</f>
        <v/>
      </c>
      <c r="AF120" s="0" t="n">
        <f aca="false">IF(OR($A$1=公区维修!$F120,$BN$1=1),0,1-SUMPRODUCT(--(($A$1=公区维修!$F120)+$BN$1&gt;0)))</f>
        <v>0</v>
      </c>
      <c r="AG120" s="0" t="n">
        <f aca="false">IF(OR($A$2=公区维修!$F120,$BN$2=1),0,2-SUMPRODUCT(--(($A$1:$A$2=公区维修!$F120)+$BN$1:$BN$2&gt;0)))</f>
        <v>1</v>
      </c>
      <c r="AH120" s="0" t="n">
        <f aca="false">IF(OR($A$3=公区维修!$F120,$BN$3=1),0,3-SUMPRODUCT(--(($A$1:$A$3=公区维修!$F120)+$BN$1:$BN$3&gt;0)))</f>
        <v>2</v>
      </c>
      <c r="AI120" s="0" t="n">
        <f aca="false">IF(OR($A$4=公区维修!$F120,$BN$4=1),0,4-SUMPRODUCT(--(($A$1:$A$4=公区维修!$F120)+$BN$1:$BN$4&gt;0)))</f>
        <v>3</v>
      </c>
      <c r="AJ120" s="0" t="n">
        <f aca="false">IF(OR($A$5=公区维修!$F120,$BN$5=1),0,5-SUMPRODUCT(--(($A$1:$A$5=公区维修!$F120)+$BN$1:$BN$5&gt;0)))</f>
        <v>4</v>
      </c>
      <c r="AL120" s="0" t="str">
        <f aca="false">IFERROR(INDEX($A$1:$A$5,MATCH(1,$AF120:$AJ120,0)),IF(1=MAX($AF120:$AJ120)+1,"取消",""))</f>
        <v>李师傅</v>
      </c>
      <c r="AM120" s="0" t="str">
        <f aca="false">IFERROR(INDEX($A$1:$A$5,MATCH(2,$AF120:$AJ120,0)),IF(2=MAX($AF120:$AJ120)+1,"取消",""))</f>
        <v>王师傅</v>
      </c>
      <c r="AN120" s="0" t="str">
        <f aca="false">IFERROR(INDEX($A$1:$A$5,MATCH(3,$AF120:$AJ120,0)),IF(3=MAX($AF120:$AJ120)+1,"取消",""))</f>
        <v>陈师傅</v>
      </c>
      <c r="AO120" s="0" t="str">
        <f aca="false">IFERROR(INDEX($A$1:$A$5,MATCH(4,$AF120:$AJ120,0)),IF(4=MAX($AF120:$AJ120)+1,"取消",""))</f>
        <v>刘师傅</v>
      </c>
      <c r="AP120" s="0" t="str">
        <f aca="false">IFERROR(INDEX($A$1:$A$5,MATCH(5,$AF120:$AJ120,0)),IF(5=MAX($AF120:$AJ120)+1,"取消",""))</f>
        <v>取消</v>
      </c>
      <c r="AQ120" s="0" t="str">
        <f aca="false">IFERROR(INDEX($A$1:$A$5,MATCH(6,$AF120:$AJ120,0)),IF(6=MAX($AF120:$AJ120)+1,"取消",""))</f>
        <v/>
      </c>
      <c r="AS120" s="0" t="n">
        <f aca="false">IF(OR($A$1=公区维修!$F120,$A$1=公区维修!$G120,$BN$1=1),0,1-SUMPRODUCT(--(($A$1=公区维修!$F120)+($A$1=公区维修!$G120)+$BN$1&gt;0)))</f>
        <v>0</v>
      </c>
      <c r="AT120" s="0" t="n">
        <f aca="false">IF(OR($A$2=公区维修!$F120,$A$2=公区维修!$G120,$BN$2=1),0,2-SUMPRODUCT(--(($A$1:$A$2=公区维修!$F120)+($A$1:$A$2=公区维修!$G120)+$BN$1:$BN$2&gt;0)))</f>
        <v>1</v>
      </c>
      <c r="AU120" s="0" t="n">
        <f aca="false">IF(OR($A$3=公区维修!$F120,$A$3=公区维修!$G120,$BN$3=1),0,3-SUMPRODUCT(--(($A$1:$A$3=公区维修!$F120)+($A$1:$A$3=公区维修!$G120)+$BN$1:$BN$3&gt;0)))</f>
        <v>2</v>
      </c>
      <c r="AV120" s="0" t="n">
        <f aca="false">IF(OR($A$4=公区维修!$F120,$A$4=公区维修!$G120,$BN$4=1),0,4-SUMPRODUCT(--(($A$1:$A$4=公区维修!$F120)+($A$1:$A$4=公区维修!$G120)+$BN$1:$BN$4&gt;0)))</f>
        <v>3</v>
      </c>
      <c r="AW120" s="0" t="n">
        <f aca="false">IF(OR($A$5=公区维修!$F120,$A$5=公区维修!$G120,$BN$5=1),0,5-SUMPRODUCT(--(($A$1:$A$5=公区维修!$F120)+($A$1:$A$5=公区维修!$G120)+$BN$1:$BN$5&gt;0)))</f>
        <v>4</v>
      </c>
      <c r="AY120" s="0" t="str">
        <f aca="false">IFERROR(INDEX($A$1:$A$5,MATCH(1,$AS120:$AW120,0)),IF(1=MAX($AS120:$AW120)+1,"取消",""))</f>
        <v>李师傅</v>
      </c>
      <c r="AZ120" s="0" t="str">
        <f aca="false">IFERROR(INDEX($A$1:$A$5,MATCH(2,$AS120:$AW120,0)),IF(2=MAX($AS120:$AW120)+1,"取消",""))</f>
        <v>王师傅</v>
      </c>
      <c r="BA120" s="0" t="str">
        <f aca="false">IFERROR(INDEX($A$1:$A$5,MATCH(3,$AS120:$AW120,0)),IF(3=MAX($AS120:$AW120)+1,"取消",""))</f>
        <v>陈师傅</v>
      </c>
      <c r="BB120" s="0" t="str">
        <f aca="false">IFERROR(INDEX($A$1:$A$5,MATCH(4,$AS120:$AW120,0)),IF(4=MAX($AS120:$AW120)+1,"取消",""))</f>
        <v>刘师傅</v>
      </c>
      <c r="BC120" s="0" t="str">
        <f aca="false">IFERROR(INDEX($A$1:$A$5,MATCH(5,$AS120:$AW120,0)),IF(5=MAX($AS120:$AW120)+1,"取消",""))</f>
        <v>取消</v>
      </c>
      <c r="BD120" s="0" t="str">
        <f aca="false">IFERROR(INDEX($A$1:$A$5,MATCH(6,$AS120:$AW120,0)),IF(6=MAX($AS120:$AW120)+1,"取消",""))</f>
        <v/>
      </c>
      <c r="FW120" s="0" t="n">
        <f aca="false">IF(AND(单元查询!$D$3&lt;&gt;"",IF(单元查询!$B$3="公区维修",公区维修!$E120&lt;&gt;"",入户维修!$E120&lt;&gt;""),IF(单元查询!$B$3="公区维修",公区维修!$C120,入户维修!$C120)=单元查询!$D$3,OR(单元查询!$F$3="",IF(单元查询!$B$3="公区维修",公区维修!$D120,入户维修!$D120)&amp;""=(单元查询!$F$3)&amp;"")),MAX($FW$4:$FW119)+1,"")</f>
        <v>17</v>
      </c>
    </row>
    <row r="121" customFormat="false" ht="15" hidden="false" customHeight="true" outlineLevel="0" collapsed="false">
      <c r="F121" s="0" t="n">
        <f aca="false">IF(OR($A$1=入户维修!$F121,$BN$1=1),0,1-SUMPRODUCT(--(($A$1=入户维修!$F121)+$BN$1&gt;0)))</f>
        <v>0</v>
      </c>
      <c r="G121" s="0" t="n">
        <f aca="false">IF(OR($A$2=入户维修!$F121,$BN$2=1),0,2-SUMPRODUCT(--(($A$1:$A$2=入户维修!$F121)+$BN$1:$BN$2&gt;0)))</f>
        <v>1</v>
      </c>
      <c r="H121" s="0" t="n">
        <f aca="false">IF(OR($A$3=入户维修!$F121,$BN$3=1),0,3-SUMPRODUCT(--(($A$1:$A$3=入户维修!$F121)+$BN$1:$BN$3&gt;0)))</f>
        <v>2</v>
      </c>
      <c r="I121" s="0" t="n">
        <f aca="false">IF(OR($A$4=入户维修!$F121,$BN$4=1),0,4-SUMPRODUCT(--(($A$1:$A$4=入户维修!$F121)+$BN$1:$BN$4&gt;0)))</f>
        <v>3</v>
      </c>
      <c r="J121" s="0" t="n">
        <f aca="false">IF(OR($A$5=入户维修!$F121,$BN$5=1),0,5-SUMPRODUCT(--(($A$1:$A$5=入户维修!$F121)+$BN$1:$BN$5&gt;0)))</f>
        <v>4</v>
      </c>
      <c r="L121" s="0" t="str">
        <f aca="false">IFERROR(INDEX($A$1:$A$5,MATCH(1,$F121:$J121,0)),IF(1=MAX($F121:$J121)+1,"取消",""))</f>
        <v>李师傅</v>
      </c>
      <c r="M121" s="0" t="str">
        <f aca="false">IFERROR(INDEX($A$1:$A$5,MATCH(2,$F121:$J121,0)),IF(2=MAX($F121:$J121)+1,"取消",""))</f>
        <v>王师傅</v>
      </c>
      <c r="N121" s="0" t="str">
        <f aca="false">IFERROR(INDEX($A$1:$A$5,MATCH(3,$F121:$J121,0)),IF(3=MAX($F121:$J121)+1,"取消",""))</f>
        <v>陈师傅</v>
      </c>
      <c r="O121" s="0" t="str">
        <f aca="false">IFERROR(INDEX($A$1:$A$5,MATCH(4,$F121:$J121,0)),IF(4=MAX($F121:$J121)+1,"取消",""))</f>
        <v>刘师傅</v>
      </c>
      <c r="P121" s="0" t="str">
        <f aca="false">IFERROR(INDEX($A$1:$A$5,MATCH(5,$F121:$J121,0)),IF(5=MAX($F121:$J121)+1,"取消",""))</f>
        <v>取消</v>
      </c>
      <c r="Q121" s="0" t="str">
        <f aca="false">IFERROR(INDEX($A$1:$A$5,MATCH(6,$F121:$J121,0)),IF(6=MAX($F121:$J121)+1,"取消",""))</f>
        <v/>
      </c>
      <c r="S121" s="0" t="n">
        <f aca="false">IF(OR($A$1=入户维修!$F121,$A$1=入户维修!$G121,$BN$1=1),0,1-SUMPRODUCT(--(($A$1=入户维修!$F121)+($A$1=入户维修!$G121)+$BN$1&gt;0)))</f>
        <v>0</v>
      </c>
      <c r="T121" s="0" t="n">
        <f aca="false">IF(OR($A$2=入户维修!$F121,$A$2=入户维修!$G121,$BN$2=1),0,2-SUMPRODUCT(--(($A$1:$A$2=入户维修!$F121)+($A$1:$A$2=入户维修!$G121)+$BN$1:$BN$2&gt;0)))</f>
        <v>1</v>
      </c>
      <c r="U121" s="0" t="n">
        <f aca="false">IF(OR($A$3=入户维修!$F121,$A$3=入户维修!$G121,$BN$3=1),0,3-SUMPRODUCT(--(($A$1:$A$3=入户维修!$F121)+($A$1:$A$3=入户维修!$G121)+$BN$1:$BN$3&gt;0)))</f>
        <v>2</v>
      </c>
      <c r="V121" s="0" t="n">
        <f aca="false">IF(OR($A$4=入户维修!$F121,$A$4=入户维修!$G121,$BN$4=1),0,4-SUMPRODUCT(--(($A$1:$A$4=入户维修!$F121)+($A$1:$A$4=入户维修!$G121)+$BN$1:$BN$4&gt;0)))</f>
        <v>3</v>
      </c>
      <c r="W121" s="0" t="n">
        <f aca="false">IF(OR($A$5=入户维修!$F121,$A$5=入户维修!$G121,$BN$5=1),0,5-SUMPRODUCT(--(($A$1:$A$5=入户维修!$F121)+($A$1:$A$5=入户维修!$G121)+$BN$1:$BN$5&gt;0)))</f>
        <v>4</v>
      </c>
      <c r="Y121" s="0" t="str">
        <f aca="false">IFERROR(INDEX($A$1:$A$5,MATCH(1,$S121:$W121,0)),IF(1=MAX($S121:$W121)+1,"取消",""))</f>
        <v>李师傅</v>
      </c>
      <c r="Z121" s="0" t="str">
        <f aca="false">IFERROR(INDEX($A$1:$A$5,MATCH(2,$S121:$W121,0)),IF(2=MAX($S121:$W121)+1,"取消",""))</f>
        <v>王师傅</v>
      </c>
      <c r="AA121" s="0" t="str">
        <f aca="false">IFERROR(INDEX($A$1:$A$5,MATCH(3,$S121:$W121,0)),IF(3=MAX($S121:$W121)+1,"取消",""))</f>
        <v>陈师傅</v>
      </c>
      <c r="AB121" s="0" t="str">
        <f aca="false">IFERROR(INDEX($A$1:$A$5,MATCH(4,$S121:$W121,0)),IF(4=MAX($S121:$W121)+1,"取消",""))</f>
        <v>刘师傅</v>
      </c>
      <c r="AC121" s="0" t="str">
        <f aca="false">IFERROR(INDEX($A$1:$A$5,MATCH(5,$S121:$W121,0)),IF(5=MAX($S121:$W121)+1,"取消",""))</f>
        <v>取消</v>
      </c>
      <c r="AD121" s="0" t="str">
        <f aca="false">IFERROR(INDEX($A$1:$A$5,MATCH(6,$S121:$W121,0)),IF(6=MAX($S121:$W121)+1,"取消",""))</f>
        <v/>
      </c>
      <c r="AF121" s="0" t="n">
        <f aca="false">IF(OR($A$1=公区维修!$F121,$BN$1=1),0,1-SUMPRODUCT(--(($A$1=公区维修!$F121)+$BN$1&gt;0)))</f>
        <v>0</v>
      </c>
      <c r="AG121" s="0" t="n">
        <f aca="false">IF(OR($A$2=公区维修!$F121,$BN$2=1),0,2-SUMPRODUCT(--(($A$1:$A$2=公区维修!$F121)+$BN$1:$BN$2&gt;0)))</f>
        <v>1</v>
      </c>
      <c r="AH121" s="0" t="n">
        <f aca="false">IF(OR($A$3=公区维修!$F121,$BN$3=1),0,3-SUMPRODUCT(--(($A$1:$A$3=公区维修!$F121)+$BN$1:$BN$3&gt;0)))</f>
        <v>2</v>
      </c>
      <c r="AI121" s="0" t="n">
        <f aca="false">IF(OR($A$4=公区维修!$F121,$BN$4=1),0,4-SUMPRODUCT(--(($A$1:$A$4=公区维修!$F121)+$BN$1:$BN$4&gt;0)))</f>
        <v>3</v>
      </c>
      <c r="AJ121" s="0" t="n">
        <f aca="false">IF(OR($A$5=公区维修!$F121,$BN$5=1),0,5-SUMPRODUCT(--(($A$1:$A$5=公区维修!$F121)+$BN$1:$BN$5&gt;0)))</f>
        <v>4</v>
      </c>
      <c r="AL121" s="0" t="str">
        <f aca="false">IFERROR(INDEX($A$1:$A$5,MATCH(1,$AF121:$AJ121,0)),IF(1=MAX($AF121:$AJ121)+1,"取消",""))</f>
        <v>李师傅</v>
      </c>
      <c r="AM121" s="0" t="str">
        <f aca="false">IFERROR(INDEX($A$1:$A$5,MATCH(2,$AF121:$AJ121,0)),IF(2=MAX($AF121:$AJ121)+1,"取消",""))</f>
        <v>王师傅</v>
      </c>
      <c r="AN121" s="0" t="str">
        <f aca="false">IFERROR(INDEX($A$1:$A$5,MATCH(3,$AF121:$AJ121,0)),IF(3=MAX($AF121:$AJ121)+1,"取消",""))</f>
        <v>陈师傅</v>
      </c>
      <c r="AO121" s="0" t="str">
        <f aca="false">IFERROR(INDEX($A$1:$A$5,MATCH(4,$AF121:$AJ121,0)),IF(4=MAX($AF121:$AJ121)+1,"取消",""))</f>
        <v>刘师傅</v>
      </c>
      <c r="AP121" s="0" t="str">
        <f aca="false">IFERROR(INDEX($A$1:$A$5,MATCH(5,$AF121:$AJ121,0)),IF(5=MAX($AF121:$AJ121)+1,"取消",""))</f>
        <v>取消</v>
      </c>
      <c r="AQ121" s="0" t="str">
        <f aca="false">IFERROR(INDEX($A$1:$A$5,MATCH(6,$AF121:$AJ121,0)),IF(6=MAX($AF121:$AJ121)+1,"取消",""))</f>
        <v/>
      </c>
      <c r="AS121" s="0" t="n">
        <f aca="false">IF(OR($A$1=公区维修!$F121,$A$1=公区维修!$G121,$BN$1=1),0,1-SUMPRODUCT(--(($A$1=公区维修!$F121)+($A$1=公区维修!$G121)+$BN$1&gt;0)))</f>
        <v>0</v>
      </c>
      <c r="AT121" s="0" t="n">
        <f aca="false">IF(OR($A$2=公区维修!$F121,$A$2=公区维修!$G121,$BN$2=1),0,2-SUMPRODUCT(--(($A$1:$A$2=公区维修!$F121)+($A$1:$A$2=公区维修!$G121)+$BN$1:$BN$2&gt;0)))</f>
        <v>1</v>
      </c>
      <c r="AU121" s="0" t="n">
        <f aca="false">IF(OR($A$3=公区维修!$F121,$A$3=公区维修!$G121,$BN$3=1),0,3-SUMPRODUCT(--(($A$1:$A$3=公区维修!$F121)+($A$1:$A$3=公区维修!$G121)+$BN$1:$BN$3&gt;0)))</f>
        <v>2</v>
      </c>
      <c r="AV121" s="0" t="n">
        <f aca="false">IF(OR($A$4=公区维修!$F121,$A$4=公区维修!$G121,$BN$4=1),0,4-SUMPRODUCT(--(($A$1:$A$4=公区维修!$F121)+($A$1:$A$4=公区维修!$G121)+$BN$1:$BN$4&gt;0)))</f>
        <v>3</v>
      </c>
      <c r="AW121" s="0" t="n">
        <f aca="false">IF(OR($A$5=公区维修!$F121,$A$5=公区维修!$G121,$BN$5=1),0,5-SUMPRODUCT(--(($A$1:$A$5=公区维修!$F121)+($A$1:$A$5=公区维修!$G121)+$BN$1:$BN$5&gt;0)))</f>
        <v>4</v>
      </c>
      <c r="AY121" s="0" t="str">
        <f aca="false">IFERROR(INDEX($A$1:$A$5,MATCH(1,$AS121:$AW121,0)),IF(1=MAX($AS121:$AW121)+1,"取消",""))</f>
        <v>李师傅</v>
      </c>
      <c r="AZ121" s="0" t="str">
        <f aca="false">IFERROR(INDEX($A$1:$A$5,MATCH(2,$AS121:$AW121,0)),IF(2=MAX($AS121:$AW121)+1,"取消",""))</f>
        <v>王师傅</v>
      </c>
      <c r="BA121" s="0" t="str">
        <f aca="false">IFERROR(INDEX($A$1:$A$5,MATCH(3,$AS121:$AW121,0)),IF(3=MAX($AS121:$AW121)+1,"取消",""))</f>
        <v>陈师傅</v>
      </c>
      <c r="BB121" s="0" t="str">
        <f aca="false">IFERROR(INDEX($A$1:$A$5,MATCH(4,$AS121:$AW121,0)),IF(4=MAX($AS121:$AW121)+1,"取消",""))</f>
        <v>刘师傅</v>
      </c>
      <c r="BC121" s="0" t="str">
        <f aca="false">IFERROR(INDEX($A$1:$A$5,MATCH(5,$AS121:$AW121,0)),IF(5=MAX($AS121:$AW121)+1,"取消",""))</f>
        <v>取消</v>
      </c>
      <c r="BD121" s="0" t="str">
        <f aca="false">IFERROR(INDEX($A$1:$A$5,MATCH(6,$AS121:$AW121,0)),IF(6=MAX($AS121:$AW121)+1,"取消",""))</f>
        <v/>
      </c>
      <c r="FW121" s="0" t="str">
        <f aca="false">IF(AND(单元查询!$D$3&lt;&gt;"",IF(单元查询!$B$3="公区维修",公区维修!$E121&lt;&gt;"",入户维修!$E121&lt;&gt;""),IF(单元查询!$B$3="公区维修",公区维修!$C121,入户维修!$C121)=单元查询!$D$3,OR(单元查询!$F$3="",IF(单元查询!$B$3="公区维修",公区维修!$D121,入户维修!$D121)&amp;""=(单元查询!$F$3)&amp;"")),MAX($FW$4:$FW120)+1,"")</f>
        <v/>
      </c>
    </row>
    <row r="122" customFormat="false" ht="15" hidden="false" customHeight="true" outlineLevel="0" collapsed="false">
      <c r="F122" s="0" t="n">
        <f aca="false">IF(OR($A$1=入户维修!$F122,$BN$1=1),0,1-SUMPRODUCT(--(($A$1=入户维修!$F122)+$BN$1&gt;0)))</f>
        <v>0</v>
      </c>
      <c r="G122" s="0" t="n">
        <f aca="false">IF(OR($A$2=入户维修!$F122,$BN$2=1),0,2-SUMPRODUCT(--(($A$1:$A$2=入户维修!$F122)+$BN$1:$BN$2&gt;0)))</f>
        <v>0</v>
      </c>
      <c r="H122" s="0" t="n">
        <f aca="false">IF(OR($A$3=入户维修!$F122,$BN$3=1),0,3-SUMPRODUCT(--(($A$1:$A$3=入户维修!$F122)+$BN$1:$BN$3&gt;0)))</f>
        <v>1</v>
      </c>
      <c r="I122" s="0" t="n">
        <f aca="false">IF(OR($A$4=入户维修!$F122,$BN$4=1),0,4-SUMPRODUCT(--(($A$1:$A$4=入户维修!$F122)+$BN$1:$BN$4&gt;0)))</f>
        <v>2</v>
      </c>
      <c r="J122" s="0" t="n">
        <f aca="false">IF(OR($A$5=入户维修!$F122,$BN$5=1),0,5-SUMPRODUCT(--(($A$1:$A$5=入户维修!$F122)+$BN$1:$BN$5&gt;0)))</f>
        <v>3</v>
      </c>
      <c r="L122" s="0" t="str">
        <f aca="false">IFERROR(INDEX($A$1:$A$5,MATCH(1,$F122:$J122,0)),IF(1=MAX($F122:$J122)+1,"取消",""))</f>
        <v>王师傅</v>
      </c>
      <c r="M122" s="0" t="str">
        <f aca="false">IFERROR(INDEX($A$1:$A$5,MATCH(2,$F122:$J122,0)),IF(2=MAX($F122:$J122)+1,"取消",""))</f>
        <v>陈师傅</v>
      </c>
      <c r="N122" s="0" t="str">
        <f aca="false">IFERROR(INDEX($A$1:$A$5,MATCH(3,$F122:$J122,0)),IF(3=MAX($F122:$J122)+1,"取消",""))</f>
        <v>刘师傅</v>
      </c>
      <c r="O122" s="0" t="str">
        <f aca="false">IFERROR(INDEX($A$1:$A$5,MATCH(4,$F122:$J122,0)),IF(4=MAX($F122:$J122)+1,"取消",""))</f>
        <v>取消</v>
      </c>
      <c r="P122" s="0" t="str">
        <f aca="false">IFERROR(INDEX($A$1:$A$5,MATCH(5,$F122:$J122,0)),IF(5=MAX($F122:$J122)+1,"取消",""))</f>
        <v/>
      </c>
      <c r="Q122" s="0" t="str">
        <f aca="false">IFERROR(INDEX($A$1:$A$5,MATCH(6,$F122:$J122,0)),IF(6=MAX($F122:$J122)+1,"取消",""))</f>
        <v/>
      </c>
      <c r="S122" s="0" t="n">
        <f aca="false">IF(OR($A$1=入户维修!$F122,$A$1=入户维修!$G122,$BN$1=1),0,1-SUMPRODUCT(--(($A$1=入户维修!$F122)+($A$1=入户维修!$G122)+$BN$1&gt;0)))</f>
        <v>0</v>
      </c>
      <c r="T122" s="0" t="n">
        <f aca="false">IF(OR($A$2=入户维修!$F122,$A$2=入户维修!$G122,$BN$2=1),0,2-SUMPRODUCT(--(($A$1:$A$2=入户维修!$F122)+($A$1:$A$2=入户维修!$G122)+$BN$1:$BN$2&gt;0)))</f>
        <v>0</v>
      </c>
      <c r="U122" s="0" t="n">
        <f aca="false">IF(OR($A$3=入户维修!$F122,$A$3=入户维修!$G122,$BN$3=1),0,3-SUMPRODUCT(--(($A$1:$A$3=入户维修!$F122)+($A$1:$A$3=入户维修!$G122)+$BN$1:$BN$3&gt;0)))</f>
        <v>1</v>
      </c>
      <c r="V122" s="0" t="n">
        <f aca="false">IF(OR($A$4=入户维修!$F122,$A$4=入户维修!$G122,$BN$4=1),0,4-SUMPRODUCT(--(($A$1:$A$4=入户维修!$F122)+($A$1:$A$4=入户维修!$G122)+$BN$1:$BN$4&gt;0)))</f>
        <v>2</v>
      </c>
      <c r="W122" s="0" t="n">
        <f aca="false">IF(OR($A$5=入户维修!$F122,$A$5=入户维修!$G122,$BN$5=1),0,5-SUMPRODUCT(--(($A$1:$A$5=入户维修!$F122)+($A$1:$A$5=入户维修!$G122)+$BN$1:$BN$5&gt;0)))</f>
        <v>3</v>
      </c>
      <c r="Y122" s="0" t="str">
        <f aca="false">IFERROR(INDEX($A$1:$A$5,MATCH(1,$S122:$W122,0)),IF(1=MAX($S122:$W122)+1,"取消",""))</f>
        <v>王师傅</v>
      </c>
      <c r="Z122" s="0" t="str">
        <f aca="false">IFERROR(INDEX($A$1:$A$5,MATCH(2,$S122:$W122,0)),IF(2=MAX($S122:$W122)+1,"取消",""))</f>
        <v>陈师傅</v>
      </c>
      <c r="AA122" s="0" t="str">
        <f aca="false">IFERROR(INDEX($A$1:$A$5,MATCH(3,$S122:$W122,0)),IF(3=MAX($S122:$W122)+1,"取消",""))</f>
        <v>刘师傅</v>
      </c>
      <c r="AB122" s="0" t="str">
        <f aca="false">IFERROR(INDEX($A$1:$A$5,MATCH(4,$S122:$W122,0)),IF(4=MAX($S122:$W122)+1,"取消",""))</f>
        <v>取消</v>
      </c>
      <c r="AC122" s="0" t="str">
        <f aca="false">IFERROR(INDEX($A$1:$A$5,MATCH(5,$S122:$W122,0)),IF(5=MAX($S122:$W122)+1,"取消",""))</f>
        <v/>
      </c>
      <c r="AD122" s="0" t="str">
        <f aca="false">IFERROR(INDEX($A$1:$A$5,MATCH(6,$S122:$W122,0)),IF(6=MAX($S122:$W122)+1,"取消",""))</f>
        <v/>
      </c>
      <c r="AF122" s="0" t="n">
        <f aca="false">IF(OR($A$1=公区维修!$F122,$BN$1=1),0,1-SUMPRODUCT(--(($A$1=公区维修!$F122)+$BN$1&gt;0)))</f>
        <v>0</v>
      </c>
      <c r="AG122" s="0" t="n">
        <f aca="false">IF(OR($A$2=公区维修!$F122,$BN$2=1),0,2-SUMPRODUCT(--(($A$1:$A$2=公区维修!$F122)+$BN$1:$BN$2&gt;0)))</f>
        <v>1</v>
      </c>
      <c r="AH122" s="0" t="n">
        <f aca="false">IF(OR($A$3=公区维修!$F122,$BN$3=1),0,3-SUMPRODUCT(--(($A$1:$A$3=公区维修!$F122)+$BN$1:$BN$3&gt;0)))</f>
        <v>2</v>
      </c>
      <c r="AI122" s="0" t="n">
        <f aca="false">IF(OR($A$4=公区维修!$F122,$BN$4=1),0,4-SUMPRODUCT(--(($A$1:$A$4=公区维修!$F122)+$BN$1:$BN$4&gt;0)))</f>
        <v>3</v>
      </c>
      <c r="AJ122" s="0" t="n">
        <f aca="false">IF(OR($A$5=公区维修!$F122,$BN$5=1),0,5-SUMPRODUCT(--(($A$1:$A$5=公区维修!$F122)+$BN$1:$BN$5&gt;0)))</f>
        <v>4</v>
      </c>
      <c r="AL122" s="0" t="str">
        <f aca="false">IFERROR(INDEX($A$1:$A$5,MATCH(1,$AF122:$AJ122,0)),IF(1=MAX($AF122:$AJ122)+1,"取消",""))</f>
        <v>李师傅</v>
      </c>
      <c r="AM122" s="0" t="str">
        <f aca="false">IFERROR(INDEX($A$1:$A$5,MATCH(2,$AF122:$AJ122,0)),IF(2=MAX($AF122:$AJ122)+1,"取消",""))</f>
        <v>王师傅</v>
      </c>
      <c r="AN122" s="0" t="str">
        <f aca="false">IFERROR(INDEX($A$1:$A$5,MATCH(3,$AF122:$AJ122,0)),IF(3=MAX($AF122:$AJ122)+1,"取消",""))</f>
        <v>陈师傅</v>
      </c>
      <c r="AO122" s="0" t="str">
        <f aca="false">IFERROR(INDEX($A$1:$A$5,MATCH(4,$AF122:$AJ122,0)),IF(4=MAX($AF122:$AJ122)+1,"取消",""))</f>
        <v>刘师傅</v>
      </c>
      <c r="AP122" s="0" t="str">
        <f aca="false">IFERROR(INDEX($A$1:$A$5,MATCH(5,$AF122:$AJ122,0)),IF(5=MAX($AF122:$AJ122)+1,"取消",""))</f>
        <v>取消</v>
      </c>
      <c r="AQ122" s="0" t="str">
        <f aca="false">IFERROR(INDEX($A$1:$A$5,MATCH(6,$AF122:$AJ122,0)),IF(6=MAX($AF122:$AJ122)+1,"取消",""))</f>
        <v/>
      </c>
      <c r="AS122" s="0" t="n">
        <f aca="false">IF(OR($A$1=公区维修!$F122,$A$1=公区维修!$G122,$BN$1=1),0,1-SUMPRODUCT(--(($A$1=公区维修!$F122)+($A$1=公区维修!$G122)+$BN$1&gt;0)))</f>
        <v>0</v>
      </c>
      <c r="AT122" s="0" t="n">
        <f aca="false">IF(OR($A$2=公区维修!$F122,$A$2=公区维修!$G122,$BN$2=1),0,2-SUMPRODUCT(--(($A$1:$A$2=公区维修!$F122)+($A$1:$A$2=公区维修!$G122)+$BN$1:$BN$2&gt;0)))</f>
        <v>1</v>
      </c>
      <c r="AU122" s="0" t="n">
        <f aca="false">IF(OR($A$3=公区维修!$F122,$A$3=公区维修!$G122,$BN$3=1),0,3-SUMPRODUCT(--(($A$1:$A$3=公区维修!$F122)+($A$1:$A$3=公区维修!$G122)+$BN$1:$BN$3&gt;0)))</f>
        <v>2</v>
      </c>
      <c r="AV122" s="0" t="n">
        <f aca="false">IF(OR($A$4=公区维修!$F122,$A$4=公区维修!$G122,$BN$4=1),0,4-SUMPRODUCT(--(($A$1:$A$4=公区维修!$F122)+($A$1:$A$4=公区维修!$G122)+$BN$1:$BN$4&gt;0)))</f>
        <v>3</v>
      </c>
      <c r="AW122" s="0" t="n">
        <f aca="false">IF(OR($A$5=公区维修!$F122,$A$5=公区维修!$G122,$BN$5=1),0,5-SUMPRODUCT(--(($A$1:$A$5=公区维修!$F122)+($A$1:$A$5=公区维修!$G122)+$BN$1:$BN$5&gt;0)))</f>
        <v>4</v>
      </c>
      <c r="AY122" s="0" t="str">
        <f aca="false">IFERROR(INDEX($A$1:$A$5,MATCH(1,$AS122:$AW122,0)),IF(1=MAX($AS122:$AW122)+1,"取消",""))</f>
        <v>李师傅</v>
      </c>
      <c r="AZ122" s="0" t="str">
        <f aca="false">IFERROR(INDEX($A$1:$A$5,MATCH(2,$AS122:$AW122,0)),IF(2=MAX($AS122:$AW122)+1,"取消",""))</f>
        <v>王师傅</v>
      </c>
      <c r="BA122" s="0" t="str">
        <f aca="false">IFERROR(INDEX($A$1:$A$5,MATCH(3,$AS122:$AW122,0)),IF(3=MAX($AS122:$AW122)+1,"取消",""))</f>
        <v>陈师傅</v>
      </c>
      <c r="BB122" s="0" t="str">
        <f aca="false">IFERROR(INDEX($A$1:$A$5,MATCH(4,$AS122:$AW122,0)),IF(4=MAX($AS122:$AW122)+1,"取消",""))</f>
        <v>刘师傅</v>
      </c>
      <c r="BC122" s="0" t="str">
        <f aca="false">IFERROR(INDEX($A$1:$A$5,MATCH(5,$AS122:$AW122,0)),IF(5=MAX($AS122:$AW122)+1,"取消",""))</f>
        <v>取消</v>
      </c>
      <c r="BD122" s="0" t="str">
        <f aca="false">IFERROR(INDEX($A$1:$A$5,MATCH(6,$AS122:$AW122,0)),IF(6=MAX($AS122:$AW122)+1,"取消",""))</f>
        <v/>
      </c>
      <c r="FW122" s="0" t="str">
        <f aca="false">IF(AND(单元查询!$D$3&lt;&gt;"",IF(单元查询!$B$3="公区维修",公区维修!$E122&lt;&gt;"",入户维修!$E122&lt;&gt;""),IF(单元查询!$B$3="公区维修",公区维修!$C122,入户维修!$C122)=单元查询!$D$3,OR(单元查询!$F$3="",IF(单元查询!$B$3="公区维修",公区维修!$D122,入户维修!$D122)&amp;""=(单元查询!$F$3)&amp;"")),MAX($FW$4:$FW121)+1,"")</f>
        <v/>
      </c>
    </row>
    <row r="123" customFormat="false" ht="15" hidden="false" customHeight="true" outlineLevel="0" collapsed="false">
      <c r="F123" s="0" t="n">
        <f aca="false">IF(OR($A$1=入户维修!$F123,$BN$1=1),0,1-SUMPRODUCT(--(($A$1=入户维修!$F123)+$BN$1&gt;0)))</f>
        <v>0</v>
      </c>
      <c r="G123" s="0" t="n">
        <f aca="false">IF(OR($A$2=入户维修!$F123,$BN$2=1),0,2-SUMPRODUCT(--(($A$1:$A$2=入户维修!$F123)+$BN$1:$BN$2&gt;0)))</f>
        <v>0</v>
      </c>
      <c r="H123" s="0" t="n">
        <f aca="false">IF(OR($A$3=入户维修!$F123,$BN$3=1),0,3-SUMPRODUCT(--(($A$1:$A$3=入户维修!$F123)+$BN$1:$BN$3&gt;0)))</f>
        <v>1</v>
      </c>
      <c r="I123" s="0" t="n">
        <f aca="false">IF(OR($A$4=入户维修!$F123,$BN$4=1),0,4-SUMPRODUCT(--(($A$1:$A$4=入户维修!$F123)+$BN$1:$BN$4&gt;0)))</f>
        <v>2</v>
      </c>
      <c r="J123" s="0" t="n">
        <f aca="false">IF(OR($A$5=入户维修!$F123,$BN$5=1),0,5-SUMPRODUCT(--(($A$1:$A$5=入户维修!$F123)+$BN$1:$BN$5&gt;0)))</f>
        <v>3</v>
      </c>
      <c r="L123" s="0" t="str">
        <f aca="false">IFERROR(INDEX($A$1:$A$5,MATCH(1,$F123:$J123,0)),IF(1=MAX($F123:$J123)+1,"取消",""))</f>
        <v>王师傅</v>
      </c>
      <c r="M123" s="0" t="str">
        <f aca="false">IFERROR(INDEX($A$1:$A$5,MATCH(2,$F123:$J123,0)),IF(2=MAX($F123:$J123)+1,"取消",""))</f>
        <v>陈师傅</v>
      </c>
      <c r="N123" s="0" t="str">
        <f aca="false">IFERROR(INDEX($A$1:$A$5,MATCH(3,$F123:$J123,0)),IF(3=MAX($F123:$J123)+1,"取消",""))</f>
        <v>刘师傅</v>
      </c>
      <c r="O123" s="0" t="str">
        <f aca="false">IFERROR(INDEX($A$1:$A$5,MATCH(4,$F123:$J123,0)),IF(4=MAX($F123:$J123)+1,"取消",""))</f>
        <v>取消</v>
      </c>
      <c r="P123" s="0" t="str">
        <f aca="false">IFERROR(INDEX($A$1:$A$5,MATCH(5,$F123:$J123,0)),IF(5=MAX($F123:$J123)+1,"取消",""))</f>
        <v/>
      </c>
      <c r="Q123" s="0" t="str">
        <f aca="false">IFERROR(INDEX($A$1:$A$5,MATCH(6,$F123:$J123,0)),IF(6=MAX($F123:$J123)+1,"取消",""))</f>
        <v/>
      </c>
      <c r="S123" s="0" t="n">
        <f aca="false">IF(OR($A$1=入户维修!$F123,$A$1=入户维修!$G123,$BN$1=1),0,1-SUMPRODUCT(--(($A$1=入户维修!$F123)+($A$1=入户维修!$G123)+$BN$1&gt;0)))</f>
        <v>0</v>
      </c>
      <c r="T123" s="0" t="n">
        <f aca="false">IF(OR($A$2=入户维修!$F123,$A$2=入户维修!$G123,$BN$2=1),0,2-SUMPRODUCT(--(($A$1:$A$2=入户维修!$F123)+($A$1:$A$2=入户维修!$G123)+$BN$1:$BN$2&gt;0)))</f>
        <v>0</v>
      </c>
      <c r="U123" s="0" t="n">
        <f aca="false">IF(OR($A$3=入户维修!$F123,$A$3=入户维修!$G123,$BN$3=1),0,3-SUMPRODUCT(--(($A$1:$A$3=入户维修!$F123)+($A$1:$A$3=入户维修!$G123)+$BN$1:$BN$3&gt;0)))</f>
        <v>1</v>
      </c>
      <c r="V123" s="0" t="n">
        <f aca="false">IF(OR($A$4=入户维修!$F123,$A$4=入户维修!$G123,$BN$4=1),0,4-SUMPRODUCT(--(($A$1:$A$4=入户维修!$F123)+($A$1:$A$4=入户维修!$G123)+$BN$1:$BN$4&gt;0)))</f>
        <v>2</v>
      </c>
      <c r="W123" s="0" t="n">
        <f aca="false">IF(OR($A$5=入户维修!$F123,$A$5=入户维修!$G123,$BN$5=1),0,5-SUMPRODUCT(--(($A$1:$A$5=入户维修!$F123)+($A$1:$A$5=入户维修!$G123)+$BN$1:$BN$5&gt;0)))</f>
        <v>3</v>
      </c>
      <c r="Y123" s="0" t="str">
        <f aca="false">IFERROR(INDEX($A$1:$A$5,MATCH(1,$S123:$W123,0)),IF(1=MAX($S123:$W123)+1,"取消",""))</f>
        <v>王师傅</v>
      </c>
      <c r="Z123" s="0" t="str">
        <f aca="false">IFERROR(INDEX($A$1:$A$5,MATCH(2,$S123:$W123,0)),IF(2=MAX($S123:$W123)+1,"取消",""))</f>
        <v>陈师傅</v>
      </c>
      <c r="AA123" s="0" t="str">
        <f aca="false">IFERROR(INDEX($A$1:$A$5,MATCH(3,$S123:$W123,0)),IF(3=MAX($S123:$W123)+1,"取消",""))</f>
        <v>刘师傅</v>
      </c>
      <c r="AB123" s="0" t="str">
        <f aca="false">IFERROR(INDEX($A$1:$A$5,MATCH(4,$S123:$W123,0)),IF(4=MAX($S123:$W123)+1,"取消",""))</f>
        <v>取消</v>
      </c>
      <c r="AC123" s="0" t="str">
        <f aca="false">IFERROR(INDEX($A$1:$A$5,MATCH(5,$S123:$W123,0)),IF(5=MAX($S123:$W123)+1,"取消",""))</f>
        <v/>
      </c>
      <c r="AD123" s="0" t="str">
        <f aca="false">IFERROR(INDEX($A$1:$A$5,MATCH(6,$S123:$W123,0)),IF(6=MAX($S123:$W123)+1,"取消",""))</f>
        <v/>
      </c>
      <c r="AF123" s="0" t="n">
        <f aca="false">IF(OR($A$1=公区维修!$F123,$BN$1=1),0,1-SUMPRODUCT(--(($A$1=公区维修!$F123)+$BN$1&gt;0)))</f>
        <v>0</v>
      </c>
      <c r="AG123" s="0" t="n">
        <f aca="false">IF(OR($A$2=公区维修!$F123,$BN$2=1),0,2-SUMPRODUCT(--(($A$1:$A$2=公区维修!$F123)+$BN$1:$BN$2&gt;0)))</f>
        <v>1</v>
      </c>
      <c r="AH123" s="0" t="n">
        <f aca="false">IF(OR($A$3=公区维修!$F123,$BN$3=1),0,3-SUMPRODUCT(--(($A$1:$A$3=公区维修!$F123)+$BN$1:$BN$3&gt;0)))</f>
        <v>2</v>
      </c>
      <c r="AI123" s="0" t="n">
        <f aca="false">IF(OR($A$4=公区维修!$F123,$BN$4=1),0,4-SUMPRODUCT(--(($A$1:$A$4=公区维修!$F123)+$BN$1:$BN$4&gt;0)))</f>
        <v>3</v>
      </c>
      <c r="AJ123" s="0" t="n">
        <f aca="false">IF(OR($A$5=公区维修!$F123,$BN$5=1),0,5-SUMPRODUCT(--(($A$1:$A$5=公区维修!$F123)+$BN$1:$BN$5&gt;0)))</f>
        <v>4</v>
      </c>
      <c r="AL123" s="0" t="str">
        <f aca="false">IFERROR(INDEX($A$1:$A$5,MATCH(1,$AF123:$AJ123,0)),IF(1=MAX($AF123:$AJ123)+1,"取消",""))</f>
        <v>李师傅</v>
      </c>
      <c r="AM123" s="0" t="str">
        <f aca="false">IFERROR(INDEX($A$1:$A$5,MATCH(2,$AF123:$AJ123,0)),IF(2=MAX($AF123:$AJ123)+1,"取消",""))</f>
        <v>王师傅</v>
      </c>
      <c r="AN123" s="0" t="str">
        <f aca="false">IFERROR(INDEX($A$1:$A$5,MATCH(3,$AF123:$AJ123,0)),IF(3=MAX($AF123:$AJ123)+1,"取消",""))</f>
        <v>陈师傅</v>
      </c>
      <c r="AO123" s="0" t="str">
        <f aca="false">IFERROR(INDEX($A$1:$A$5,MATCH(4,$AF123:$AJ123,0)),IF(4=MAX($AF123:$AJ123)+1,"取消",""))</f>
        <v>刘师傅</v>
      </c>
      <c r="AP123" s="0" t="str">
        <f aca="false">IFERROR(INDEX($A$1:$A$5,MATCH(5,$AF123:$AJ123,0)),IF(5=MAX($AF123:$AJ123)+1,"取消",""))</f>
        <v>取消</v>
      </c>
      <c r="AQ123" s="0" t="str">
        <f aca="false">IFERROR(INDEX($A$1:$A$5,MATCH(6,$AF123:$AJ123,0)),IF(6=MAX($AF123:$AJ123)+1,"取消",""))</f>
        <v/>
      </c>
      <c r="AS123" s="0" t="n">
        <f aca="false">IF(OR($A$1=公区维修!$F123,$A$1=公区维修!$G123,$BN$1=1),0,1-SUMPRODUCT(--(($A$1=公区维修!$F123)+($A$1=公区维修!$G123)+$BN$1&gt;0)))</f>
        <v>0</v>
      </c>
      <c r="AT123" s="0" t="n">
        <f aca="false">IF(OR($A$2=公区维修!$F123,$A$2=公区维修!$G123,$BN$2=1),0,2-SUMPRODUCT(--(($A$1:$A$2=公区维修!$F123)+($A$1:$A$2=公区维修!$G123)+$BN$1:$BN$2&gt;0)))</f>
        <v>1</v>
      </c>
      <c r="AU123" s="0" t="n">
        <f aca="false">IF(OR($A$3=公区维修!$F123,$A$3=公区维修!$G123,$BN$3=1),0,3-SUMPRODUCT(--(($A$1:$A$3=公区维修!$F123)+($A$1:$A$3=公区维修!$G123)+$BN$1:$BN$3&gt;0)))</f>
        <v>2</v>
      </c>
      <c r="AV123" s="0" t="n">
        <f aca="false">IF(OR($A$4=公区维修!$F123,$A$4=公区维修!$G123,$BN$4=1),0,4-SUMPRODUCT(--(($A$1:$A$4=公区维修!$F123)+($A$1:$A$4=公区维修!$G123)+$BN$1:$BN$4&gt;0)))</f>
        <v>3</v>
      </c>
      <c r="AW123" s="0" t="n">
        <f aca="false">IF(OR($A$5=公区维修!$F123,$A$5=公区维修!$G123,$BN$5=1),0,5-SUMPRODUCT(--(($A$1:$A$5=公区维修!$F123)+($A$1:$A$5=公区维修!$G123)+$BN$1:$BN$5&gt;0)))</f>
        <v>4</v>
      </c>
      <c r="AY123" s="0" t="str">
        <f aca="false">IFERROR(INDEX($A$1:$A$5,MATCH(1,$AS123:$AW123,0)),IF(1=MAX($AS123:$AW123)+1,"取消",""))</f>
        <v>李师傅</v>
      </c>
      <c r="AZ123" s="0" t="str">
        <f aca="false">IFERROR(INDEX($A$1:$A$5,MATCH(2,$AS123:$AW123,0)),IF(2=MAX($AS123:$AW123)+1,"取消",""))</f>
        <v>王师傅</v>
      </c>
      <c r="BA123" s="0" t="str">
        <f aca="false">IFERROR(INDEX($A$1:$A$5,MATCH(3,$AS123:$AW123,0)),IF(3=MAX($AS123:$AW123)+1,"取消",""))</f>
        <v>陈师傅</v>
      </c>
      <c r="BB123" s="0" t="str">
        <f aca="false">IFERROR(INDEX($A$1:$A$5,MATCH(4,$AS123:$AW123,0)),IF(4=MAX($AS123:$AW123)+1,"取消",""))</f>
        <v>刘师傅</v>
      </c>
      <c r="BC123" s="0" t="str">
        <f aca="false">IFERROR(INDEX($A$1:$A$5,MATCH(5,$AS123:$AW123,0)),IF(5=MAX($AS123:$AW123)+1,"取消",""))</f>
        <v>取消</v>
      </c>
      <c r="BD123" s="0" t="str">
        <f aca="false">IFERROR(INDEX($A$1:$A$5,MATCH(6,$AS123:$AW123,0)),IF(6=MAX($AS123:$AW123)+1,"取消",""))</f>
        <v/>
      </c>
      <c r="FW123" s="0" t="str">
        <f aca="false">IF(AND(单元查询!$D$3&lt;&gt;"",IF(单元查询!$B$3="公区维修",公区维修!$E123&lt;&gt;"",入户维修!$E123&lt;&gt;""),IF(单元查询!$B$3="公区维修",公区维修!$C123,入户维修!$C123)=单元查询!$D$3,OR(单元查询!$F$3="",IF(单元查询!$B$3="公区维修",公区维修!$D123,入户维修!$D123)&amp;""=(单元查询!$F$3)&amp;"")),MAX($FW$4:$FW122)+1,"")</f>
        <v/>
      </c>
    </row>
    <row r="124" customFormat="false" ht="15" hidden="false" customHeight="true" outlineLevel="0" collapsed="false">
      <c r="F124" s="0" t="n">
        <f aca="false">IF(OR($A$1=入户维修!$F124,$BN$1=1),0,1-SUMPRODUCT(--(($A$1=入户维修!$F124)+$BN$1&gt;0)))</f>
        <v>0</v>
      </c>
      <c r="G124" s="0" t="n">
        <f aca="false">IF(OR($A$2=入户维修!$F124,$BN$2=1),0,2-SUMPRODUCT(--(($A$1:$A$2=入户维修!$F124)+$BN$1:$BN$2&gt;0)))</f>
        <v>1</v>
      </c>
      <c r="H124" s="0" t="n">
        <f aca="false">IF(OR($A$3=入户维修!$F124,$BN$3=1),0,3-SUMPRODUCT(--(($A$1:$A$3=入户维修!$F124)+$BN$1:$BN$3&gt;0)))</f>
        <v>2</v>
      </c>
      <c r="I124" s="0" t="n">
        <f aca="false">IF(OR($A$4=入户维修!$F124,$BN$4=1),0,4-SUMPRODUCT(--(($A$1:$A$4=入户维修!$F124)+$BN$1:$BN$4&gt;0)))</f>
        <v>0</v>
      </c>
      <c r="J124" s="0" t="n">
        <f aca="false">IF(OR($A$5=入户维修!$F124,$BN$5=1),0,5-SUMPRODUCT(--(($A$1:$A$5=入户维修!$F124)+$BN$1:$BN$5&gt;0)))</f>
        <v>3</v>
      </c>
      <c r="L124" s="0" t="str">
        <f aca="false">IFERROR(INDEX($A$1:$A$5,MATCH(1,$F124:$J124,0)),IF(1=MAX($F124:$J124)+1,"取消",""))</f>
        <v>李师傅</v>
      </c>
      <c r="M124" s="0" t="str">
        <f aca="false">IFERROR(INDEX($A$1:$A$5,MATCH(2,$F124:$J124,0)),IF(2=MAX($F124:$J124)+1,"取消",""))</f>
        <v>王师傅</v>
      </c>
      <c r="N124" s="0" t="str">
        <f aca="false">IFERROR(INDEX($A$1:$A$5,MATCH(3,$F124:$J124,0)),IF(3=MAX($F124:$J124)+1,"取消",""))</f>
        <v>刘师傅</v>
      </c>
      <c r="O124" s="0" t="str">
        <f aca="false">IFERROR(INDEX($A$1:$A$5,MATCH(4,$F124:$J124,0)),IF(4=MAX($F124:$J124)+1,"取消",""))</f>
        <v>取消</v>
      </c>
      <c r="P124" s="0" t="str">
        <f aca="false">IFERROR(INDEX($A$1:$A$5,MATCH(5,$F124:$J124,0)),IF(5=MAX($F124:$J124)+1,"取消",""))</f>
        <v/>
      </c>
      <c r="Q124" s="0" t="str">
        <f aca="false">IFERROR(INDEX($A$1:$A$5,MATCH(6,$F124:$J124,0)),IF(6=MAX($F124:$J124)+1,"取消",""))</f>
        <v/>
      </c>
      <c r="S124" s="0" t="n">
        <f aca="false">IF(OR($A$1=入户维修!$F124,$A$1=入户维修!$G124,$BN$1=1),0,1-SUMPRODUCT(--(($A$1=入户维修!$F124)+($A$1=入户维修!$G124)+$BN$1&gt;0)))</f>
        <v>0</v>
      </c>
      <c r="T124" s="0" t="n">
        <f aca="false">IF(OR($A$2=入户维修!$F124,$A$2=入户维修!$G124,$BN$2=1),0,2-SUMPRODUCT(--(($A$1:$A$2=入户维修!$F124)+($A$1:$A$2=入户维修!$G124)+$BN$1:$BN$2&gt;0)))</f>
        <v>1</v>
      </c>
      <c r="U124" s="0" t="n">
        <f aca="false">IF(OR($A$3=入户维修!$F124,$A$3=入户维修!$G124,$BN$3=1),0,3-SUMPRODUCT(--(($A$1:$A$3=入户维修!$F124)+($A$1:$A$3=入户维修!$G124)+$BN$1:$BN$3&gt;0)))</f>
        <v>2</v>
      </c>
      <c r="V124" s="0" t="n">
        <f aca="false">IF(OR($A$4=入户维修!$F124,$A$4=入户维修!$G124,$BN$4=1),0,4-SUMPRODUCT(--(($A$1:$A$4=入户维修!$F124)+($A$1:$A$4=入户维修!$G124)+$BN$1:$BN$4&gt;0)))</f>
        <v>0</v>
      </c>
      <c r="W124" s="0" t="n">
        <f aca="false">IF(OR($A$5=入户维修!$F124,$A$5=入户维修!$G124,$BN$5=1),0,5-SUMPRODUCT(--(($A$1:$A$5=入户维修!$F124)+($A$1:$A$5=入户维修!$G124)+$BN$1:$BN$5&gt;0)))</f>
        <v>3</v>
      </c>
      <c r="Y124" s="0" t="str">
        <f aca="false">IFERROR(INDEX($A$1:$A$5,MATCH(1,$S124:$W124,0)),IF(1=MAX($S124:$W124)+1,"取消",""))</f>
        <v>李师傅</v>
      </c>
      <c r="Z124" s="0" t="str">
        <f aca="false">IFERROR(INDEX($A$1:$A$5,MATCH(2,$S124:$W124,0)),IF(2=MAX($S124:$W124)+1,"取消",""))</f>
        <v>王师傅</v>
      </c>
      <c r="AA124" s="0" t="str">
        <f aca="false">IFERROR(INDEX($A$1:$A$5,MATCH(3,$S124:$W124,0)),IF(3=MAX($S124:$W124)+1,"取消",""))</f>
        <v>刘师傅</v>
      </c>
      <c r="AB124" s="0" t="str">
        <f aca="false">IFERROR(INDEX($A$1:$A$5,MATCH(4,$S124:$W124,0)),IF(4=MAX($S124:$W124)+1,"取消",""))</f>
        <v>取消</v>
      </c>
      <c r="AC124" s="0" t="str">
        <f aca="false">IFERROR(INDEX($A$1:$A$5,MATCH(5,$S124:$W124,0)),IF(5=MAX($S124:$W124)+1,"取消",""))</f>
        <v/>
      </c>
      <c r="AD124" s="0" t="str">
        <f aca="false">IFERROR(INDEX($A$1:$A$5,MATCH(6,$S124:$W124,0)),IF(6=MAX($S124:$W124)+1,"取消",""))</f>
        <v/>
      </c>
      <c r="AF124" s="0" t="n">
        <f aca="false">IF(OR($A$1=公区维修!$F124,$BN$1=1),0,1-SUMPRODUCT(--(($A$1=公区维修!$F124)+$BN$1&gt;0)))</f>
        <v>0</v>
      </c>
      <c r="AG124" s="0" t="n">
        <f aca="false">IF(OR($A$2=公区维修!$F124,$BN$2=1),0,2-SUMPRODUCT(--(($A$1:$A$2=公区维修!$F124)+$BN$1:$BN$2&gt;0)))</f>
        <v>1</v>
      </c>
      <c r="AH124" s="0" t="n">
        <f aca="false">IF(OR($A$3=公区维修!$F124,$BN$3=1),0,3-SUMPRODUCT(--(($A$1:$A$3=公区维修!$F124)+$BN$1:$BN$3&gt;0)))</f>
        <v>2</v>
      </c>
      <c r="AI124" s="0" t="n">
        <f aca="false">IF(OR($A$4=公区维修!$F124,$BN$4=1),0,4-SUMPRODUCT(--(($A$1:$A$4=公区维修!$F124)+$BN$1:$BN$4&gt;0)))</f>
        <v>3</v>
      </c>
      <c r="AJ124" s="0" t="n">
        <f aca="false">IF(OR($A$5=公区维修!$F124,$BN$5=1),0,5-SUMPRODUCT(--(($A$1:$A$5=公区维修!$F124)+$BN$1:$BN$5&gt;0)))</f>
        <v>4</v>
      </c>
      <c r="AL124" s="0" t="str">
        <f aca="false">IFERROR(INDEX($A$1:$A$5,MATCH(1,$AF124:$AJ124,0)),IF(1=MAX($AF124:$AJ124)+1,"取消",""))</f>
        <v>李师傅</v>
      </c>
      <c r="AM124" s="0" t="str">
        <f aca="false">IFERROR(INDEX($A$1:$A$5,MATCH(2,$AF124:$AJ124,0)),IF(2=MAX($AF124:$AJ124)+1,"取消",""))</f>
        <v>王师傅</v>
      </c>
      <c r="AN124" s="0" t="str">
        <f aca="false">IFERROR(INDEX($A$1:$A$5,MATCH(3,$AF124:$AJ124,0)),IF(3=MAX($AF124:$AJ124)+1,"取消",""))</f>
        <v>陈师傅</v>
      </c>
      <c r="AO124" s="0" t="str">
        <f aca="false">IFERROR(INDEX($A$1:$A$5,MATCH(4,$AF124:$AJ124,0)),IF(4=MAX($AF124:$AJ124)+1,"取消",""))</f>
        <v>刘师傅</v>
      </c>
      <c r="AP124" s="0" t="str">
        <f aca="false">IFERROR(INDEX($A$1:$A$5,MATCH(5,$AF124:$AJ124,0)),IF(5=MAX($AF124:$AJ124)+1,"取消",""))</f>
        <v>取消</v>
      </c>
      <c r="AQ124" s="0" t="str">
        <f aca="false">IFERROR(INDEX($A$1:$A$5,MATCH(6,$AF124:$AJ124,0)),IF(6=MAX($AF124:$AJ124)+1,"取消",""))</f>
        <v/>
      </c>
      <c r="AS124" s="0" t="n">
        <f aca="false">IF(OR($A$1=公区维修!$F124,$A$1=公区维修!$G124,$BN$1=1),0,1-SUMPRODUCT(--(($A$1=公区维修!$F124)+($A$1=公区维修!$G124)+$BN$1&gt;0)))</f>
        <v>0</v>
      </c>
      <c r="AT124" s="0" t="n">
        <f aca="false">IF(OR($A$2=公区维修!$F124,$A$2=公区维修!$G124,$BN$2=1),0,2-SUMPRODUCT(--(($A$1:$A$2=公区维修!$F124)+($A$1:$A$2=公区维修!$G124)+$BN$1:$BN$2&gt;0)))</f>
        <v>1</v>
      </c>
      <c r="AU124" s="0" t="n">
        <f aca="false">IF(OR($A$3=公区维修!$F124,$A$3=公区维修!$G124,$BN$3=1),0,3-SUMPRODUCT(--(($A$1:$A$3=公区维修!$F124)+($A$1:$A$3=公区维修!$G124)+$BN$1:$BN$3&gt;0)))</f>
        <v>2</v>
      </c>
      <c r="AV124" s="0" t="n">
        <f aca="false">IF(OR($A$4=公区维修!$F124,$A$4=公区维修!$G124,$BN$4=1),0,4-SUMPRODUCT(--(($A$1:$A$4=公区维修!$F124)+($A$1:$A$4=公区维修!$G124)+$BN$1:$BN$4&gt;0)))</f>
        <v>3</v>
      </c>
      <c r="AW124" s="0" t="n">
        <f aca="false">IF(OR($A$5=公区维修!$F124,$A$5=公区维修!$G124,$BN$5=1),0,5-SUMPRODUCT(--(($A$1:$A$5=公区维修!$F124)+($A$1:$A$5=公区维修!$G124)+$BN$1:$BN$5&gt;0)))</f>
        <v>4</v>
      </c>
      <c r="AY124" s="0" t="str">
        <f aca="false">IFERROR(INDEX($A$1:$A$5,MATCH(1,$AS124:$AW124,0)),IF(1=MAX($AS124:$AW124)+1,"取消",""))</f>
        <v>李师傅</v>
      </c>
      <c r="AZ124" s="0" t="str">
        <f aca="false">IFERROR(INDEX($A$1:$A$5,MATCH(2,$AS124:$AW124,0)),IF(2=MAX($AS124:$AW124)+1,"取消",""))</f>
        <v>王师傅</v>
      </c>
      <c r="BA124" s="0" t="str">
        <f aca="false">IFERROR(INDEX($A$1:$A$5,MATCH(3,$AS124:$AW124,0)),IF(3=MAX($AS124:$AW124)+1,"取消",""))</f>
        <v>陈师傅</v>
      </c>
      <c r="BB124" s="0" t="str">
        <f aca="false">IFERROR(INDEX($A$1:$A$5,MATCH(4,$AS124:$AW124,0)),IF(4=MAX($AS124:$AW124)+1,"取消",""))</f>
        <v>刘师傅</v>
      </c>
      <c r="BC124" s="0" t="str">
        <f aca="false">IFERROR(INDEX($A$1:$A$5,MATCH(5,$AS124:$AW124,0)),IF(5=MAX($AS124:$AW124)+1,"取消",""))</f>
        <v>取消</v>
      </c>
      <c r="BD124" s="0" t="str">
        <f aca="false">IFERROR(INDEX($A$1:$A$5,MATCH(6,$AS124:$AW124,0)),IF(6=MAX($AS124:$AW124)+1,"取消",""))</f>
        <v/>
      </c>
      <c r="FW124" s="0" t="str">
        <f aca="false">IF(AND(单元查询!$D$3&lt;&gt;"",IF(单元查询!$B$3="公区维修",公区维修!$E124&lt;&gt;"",入户维修!$E124&lt;&gt;""),IF(单元查询!$B$3="公区维修",公区维修!$C124,入户维修!$C124)=单元查询!$D$3,OR(单元查询!$F$3="",IF(单元查询!$B$3="公区维修",公区维修!$D124,入户维修!$D124)&amp;""=(单元查询!$F$3)&amp;"")),MAX($FW$4:$FW123)+1,"")</f>
        <v/>
      </c>
    </row>
    <row r="125" customFormat="false" ht="15" hidden="false" customHeight="true" outlineLevel="0" collapsed="false">
      <c r="F125" s="0" t="n">
        <f aca="false">IF(OR($A$1=入户维修!$F125,$BN$1=1),0,1-SUMPRODUCT(--(($A$1=入户维修!$F125)+$BN$1&gt;0)))</f>
        <v>0</v>
      </c>
      <c r="G125" s="0" t="n">
        <f aca="false">IF(OR($A$2=入户维修!$F125,$BN$2=1),0,2-SUMPRODUCT(--(($A$1:$A$2=入户维修!$F125)+$BN$1:$BN$2&gt;0)))</f>
        <v>1</v>
      </c>
      <c r="H125" s="0" t="n">
        <f aca="false">IF(OR($A$3=入户维修!$F125,$BN$3=1),0,3-SUMPRODUCT(--(($A$1:$A$3=入户维修!$F125)+$BN$1:$BN$3&gt;0)))</f>
        <v>2</v>
      </c>
      <c r="I125" s="0" t="n">
        <f aca="false">IF(OR($A$4=入户维修!$F125,$BN$4=1),0,4-SUMPRODUCT(--(($A$1:$A$4=入户维修!$F125)+$BN$1:$BN$4&gt;0)))</f>
        <v>3</v>
      </c>
      <c r="J125" s="0" t="n">
        <f aca="false">IF(OR($A$5=入户维修!$F125,$BN$5=1),0,5-SUMPRODUCT(--(($A$1:$A$5=入户维修!$F125)+$BN$1:$BN$5&gt;0)))</f>
        <v>4</v>
      </c>
      <c r="L125" s="0" t="str">
        <f aca="false">IFERROR(INDEX($A$1:$A$5,MATCH(1,$F125:$J125,0)),IF(1=MAX($F125:$J125)+1,"取消",""))</f>
        <v>李师傅</v>
      </c>
      <c r="M125" s="0" t="str">
        <f aca="false">IFERROR(INDEX($A$1:$A$5,MATCH(2,$F125:$J125,0)),IF(2=MAX($F125:$J125)+1,"取消",""))</f>
        <v>王师傅</v>
      </c>
      <c r="N125" s="0" t="str">
        <f aca="false">IFERROR(INDEX($A$1:$A$5,MATCH(3,$F125:$J125,0)),IF(3=MAX($F125:$J125)+1,"取消",""))</f>
        <v>陈师傅</v>
      </c>
      <c r="O125" s="0" t="str">
        <f aca="false">IFERROR(INDEX($A$1:$A$5,MATCH(4,$F125:$J125,0)),IF(4=MAX($F125:$J125)+1,"取消",""))</f>
        <v>刘师傅</v>
      </c>
      <c r="P125" s="0" t="str">
        <f aca="false">IFERROR(INDEX($A$1:$A$5,MATCH(5,$F125:$J125,0)),IF(5=MAX($F125:$J125)+1,"取消",""))</f>
        <v>取消</v>
      </c>
      <c r="Q125" s="0" t="str">
        <f aca="false">IFERROR(INDEX($A$1:$A$5,MATCH(6,$F125:$J125,0)),IF(6=MAX($F125:$J125)+1,"取消",""))</f>
        <v/>
      </c>
      <c r="S125" s="0" t="n">
        <f aca="false">IF(OR($A$1=入户维修!$F125,$A$1=入户维修!$G125,$BN$1=1),0,1-SUMPRODUCT(--(($A$1=入户维修!$F125)+($A$1=入户维修!$G125)+$BN$1&gt;0)))</f>
        <v>0</v>
      </c>
      <c r="T125" s="0" t="n">
        <f aca="false">IF(OR($A$2=入户维修!$F125,$A$2=入户维修!$G125,$BN$2=1),0,2-SUMPRODUCT(--(($A$1:$A$2=入户维修!$F125)+($A$1:$A$2=入户维修!$G125)+$BN$1:$BN$2&gt;0)))</f>
        <v>1</v>
      </c>
      <c r="U125" s="0" t="n">
        <f aca="false">IF(OR($A$3=入户维修!$F125,$A$3=入户维修!$G125,$BN$3=1),0,3-SUMPRODUCT(--(($A$1:$A$3=入户维修!$F125)+($A$1:$A$3=入户维修!$G125)+$BN$1:$BN$3&gt;0)))</f>
        <v>2</v>
      </c>
      <c r="V125" s="0" t="n">
        <f aca="false">IF(OR($A$4=入户维修!$F125,$A$4=入户维修!$G125,$BN$4=1),0,4-SUMPRODUCT(--(($A$1:$A$4=入户维修!$F125)+($A$1:$A$4=入户维修!$G125)+$BN$1:$BN$4&gt;0)))</f>
        <v>3</v>
      </c>
      <c r="W125" s="0" t="n">
        <f aca="false">IF(OR($A$5=入户维修!$F125,$A$5=入户维修!$G125,$BN$5=1),0,5-SUMPRODUCT(--(($A$1:$A$5=入户维修!$F125)+($A$1:$A$5=入户维修!$G125)+$BN$1:$BN$5&gt;0)))</f>
        <v>4</v>
      </c>
      <c r="Y125" s="0" t="str">
        <f aca="false">IFERROR(INDEX($A$1:$A$5,MATCH(1,$S125:$W125,0)),IF(1=MAX($S125:$W125)+1,"取消",""))</f>
        <v>李师傅</v>
      </c>
      <c r="Z125" s="0" t="str">
        <f aca="false">IFERROR(INDEX($A$1:$A$5,MATCH(2,$S125:$W125,0)),IF(2=MAX($S125:$W125)+1,"取消",""))</f>
        <v>王师傅</v>
      </c>
      <c r="AA125" s="0" t="str">
        <f aca="false">IFERROR(INDEX($A$1:$A$5,MATCH(3,$S125:$W125,0)),IF(3=MAX($S125:$W125)+1,"取消",""))</f>
        <v>陈师傅</v>
      </c>
      <c r="AB125" s="0" t="str">
        <f aca="false">IFERROR(INDEX($A$1:$A$5,MATCH(4,$S125:$W125,0)),IF(4=MAX($S125:$W125)+1,"取消",""))</f>
        <v>刘师傅</v>
      </c>
      <c r="AC125" s="0" t="str">
        <f aca="false">IFERROR(INDEX($A$1:$A$5,MATCH(5,$S125:$W125,0)),IF(5=MAX($S125:$W125)+1,"取消",""))</f>
        <v>取消</v>
      </c>
      <c r="AD125" s="0" t="str">
        <f aca="false">IFERROR(INDEX($A$1:$A$5,MATCH(6,$S125:$W125,0)),IF(6=MAX($S125:$W125)+1,"取消",""))</f>
        <v/>
      </c>
      <c r="AF125" s="0" t="n">
        <f aca="false">IF(OR($A$1=公区维修!$F125,$BN$1=1),0,1-SUMPRODUCT(--(($A$1=公区维修!$F125)+$BN$1&gt;0)))</f>
        <v>0</v>
      </c>
      <c r="AG125" s="0" t="n">
        <f aca="false">IF(OR($A$2=公区维修!$F125,$BN$2=1),0,2-SUMPRODUCT(--(($A$1:$A$2=公区维修!$F125)+$BN$1:$BN$2&gt;0)))</f>
        <v>1</v>
      </c>
      <c r="AH125" s="0" t="n">
        <f aca="false">IF(OR($A$3=公区维修!$F125,$BN$3=1),0,3-SUMPRODUCT(--(($A$1:$A$3=公区维修!$F125)+$BN$1:$BN$3&gt;0)))</f>
        <v>2</v>
      </c>
      <c r="AI125" s="0" t="n">
        <f aca="false">IF(OR($A$4=公区维修!$F125,$BN$4=1),0,4-SUMPRODUCT(--(($A$1:$A$4=公区维修!$F125)+$BN$1:$BN$4&gt;0)))</f>
        <v>3</v>
      </c>
      <c r="AJ125" s="0" t="n">
        <f aca="false">IF(OR($A$5=公区维修!$F125,$BN$5=1),0,5-SUMPRODUCT(--(($A$1:$A$5=公区维修!$F125)+$BN$1:$BN$5&gt;0)))</f>
        <v>4</v>
      </c>
      <c r="AL125" s="0" t="str">
        <f aca="false">IFERROR(INDEX($A$1:$A$5,MATCH(1,$AF125:$AJ125,0)),IF(1=MAX($AF125:$AJ125)+1,"取消",""))</f>
        <v>李师傅</v>
      </c>
      <c r="AM125" s="0" t="str">
        <f aca="false">IFERROR(INDEX($A$1:$A$5,MATCH(2,$AF125:$AJ125,0)),IF(2=MAX($AF125:$AJ125)+1,"取消",""))</f>
        <v>王师傅</v>
      </c>
      <c r="AN125" s="0" t="str">
        <f aca="false">IFERROR(INDEX($A$1:$A$5,MATCH(3,$AF125:$AJ125,0)),IF(3=MAX($AF125:$AJ125)+1,"取消",""))</f>
        <v>陈师傅</v>
      </c>
      <c r="AO125" s="0" t="str">
        <f aca="false">IFERROR(INDEX($A$1:$A$5,MATCH(4,$AF125:$AJ125,0)),IF(4=MAX($AF125:$AJ125)+1,"取消",""))</f>
        <v>刘师傅</v>
      </c>
      <c r="AP125" s="0" t="str">
        <f aca="false">IFERROR(INDEX($A$1:$A$5,MATCH(5,$AF125:$AJ125,0)),IF(5=MAX($AF125:$AJ125)+1,"取消",""))</f>
        <v>取消</v>
      </c>
      <c r="AQ125" s="0" t="str">
        <f aca="false">IFERROR(INDEX($A$1:$A$5,MATCH(6,$AF125:$AJ125,0)),IF(6=MAX($AF125:$AJ125)+1,"取消",""))</f>
        <v/>
      </c>
      <c r="AS125" s="0" t="n">
        <f aca="false">IF(OR($A$1=公区维修!$F125,$A$1=公区维修!$G125,$BN$1=1),0,1-SUMPRODUCT(--(($A$1=公区维修!$F125)+($A$1=公区维修!$G125)+$BN$1&gt;0)))</f>
        <v>0</v>
      </c>
      <c r="AT125" s="0" t="n">
        <f aca="false">IF(OR($A$2=公区维修!$F125,$A$2=公区维修!$G125,$BN$2=1),0,2-SUMPRODUCT(--(($A$1:$A$2=公区维修!$F125)+($A$1:$A$2=公区维修!$G125)+$BN$1:$BN$2&gt;0)))</f>
        <v>1</v>
      </c>
      <c r="AU125" s="0" t="n">
        <f aca="false">IF(OR($A$3=公区维修!$F125,$A$3=公区维修!$G125,$BN$3=1),0,3-SUMPRODUCT(--(($A$1:$A$3=公区维修!$F125)+($A$1:$A$3=公区维修!$G125)+$BN$1:$BN$3&gt;0)))</f>
        <v>2</v>
      </c>
      <c r="AV125" s="0" t="n">
        <f aca="false">IF(OR($A$4=公区维修!$F125,$A$4=公区维修!$G125,$BN$4=1),0,4-SUMPRODUCT(--(($A$1:$A$4=公区维修!$F125)+($A$1:$A$4=公区维修!$G125)+$BN$1:$BN$4&gt;0)))</f>
        <v>3</v>
      </c>
      <c r="AW125" s="0" t="n">
        <f aca="false">IF(OR($A$5=公区维修!$F125,$A$5=公区维修!$G125,$BN$5=1),0,5-SUMPRODUCT(--(($A$1:$A$5=公区维修!$F125)+($A$1:$A$5=公区维修!$G125)+$BN$1:$BN$5&gt;0)))</f>
        <v>4</v>
      </c>
      <c r="AY125" s="0" t="str">
        <f aca="false">IFERROR(INDEX($A$1:$A$5,MATCH(1,$AS125:$AW125,0)),IF(1=MAX($AS125:$AW125)+1,"取消",""))</f>
        <v>李师傅</v>
      </c>
      <c r="AZ125" s="0" t="str">
        <f aca="false">IFERROR(INDEX($A$1:$A$5,MATCH(2,$AS125:$AW125,0)),IF(2=MAX($AS125:$AW125)+1,"取消",""))</f>
        <v>王师傅</v>
      </c>
      <c r="BA125" s="0" t="str">
        <f aca="false">IFERROR(INDEX($A$1:$A$5,MATCH(3,$AS125:$AW125,0)),IF(3=MAX($AS125:$AW125)+1,"取消",""))</f>
        <v>陈师傅</v>
      </c>
      <c r="BB125" s="0" t="str">
        <f aca="false">IFERROR(INDEX($A$1:$A$5,MATCH(4,$AS125:$AW125,0)),IF(4=MAX($AS125:$AW125)+1,"取消",""))</f>
        <v>刘师傅</v>
      </c>
      <c r="BC125" s="0" t="str">
        <f aca="false">IFERROR(INDEX($A$1:$A$5,MATCH(5,$AS125:$AW125,0)),IF(5=MAX($AS125:$AW125)+1,"取消",""))</f>
        <v>取消</v>
      </c>
      <c r="BD125" s="0" t="str">
        <f aca="false">IFERROR(INDEX($A$1:$A$5,MATCH(6,$AS125:$AW125,0)),IF(6=MAX($AS125:$AW125)+1,"取消",""))</f>
        <v/>
      </c>
      <c r="FW125" s="0" t="str">
        <f aca="false">IF(AND(单元查询!$D$3&lt;&gt;"",IF(单元查询!$B$3="公区维修",公区维修!$E125&lt;&gt;"",入户维修!$E125&lt;&gt;""),IF(单元查询!$B$3="公区维修",公区维修!$C125,入户维修!$C125)=单元查询!$D$3,OR(单元查询!$F$3="",IF(单元查询!$B$3="公区维修",公区维修!$D125,入户维修!$D125)&amp;""=(单元查询!$F$3)&amp;"")),MAX($FW$4:$FW124)+1,"")</f>
        <v/>
      </c>
    </row>
    <row r="126" customFormat="false" ht="15" hidden="false" customHeight="true" outlineLevel="0" collapsed="false">
      <c r="F126" s="0" t="n">
        <f aca="false">IF(OR($A$1=入户维修!$F126,$BN$1=1),0,1-SUMPRODUCT(--(($A$1=入户维修!$F126)+$BN$1&gt;0)))</f>
        <v>0</v>
      </c>
      <c r="G126" s="0" t="n">
        <f aca="false">IF(OR($A$2=入户维修!$F126,$BN$2=1),0,2-SUMPRODUCT(--(($A$1:$A$2=入户维修!$F126)+$BN$1:$BN$2&gt;0)))</f>
        <v>1</v>
      </c>
      <c r="H126" s="0" t="n">
        <f aca="false">IF(OR($A$3=入户维修!$F126,$BN$3=1),0,3-SUMPRODUCT(--(($A$1:$A$3=入户维修!$F126)+$BN$1:$BN$3&gt;0)))</f>
        <v>2</v>
      </c>
      <c r="I126" s="0" t="n">
        <f aca="false">IF(OR($A$4=入户维修!$F126,$BN$4=1),0,4-SUMPRODUCT(--(($A$1:$A$4=入户维修!$F126)+$BN$1:$BN$4&gt;0)))</f>
        <v>3</v>
      </c>
      <c r="J126" s="0" t="n">
        <f aca="false">IF(OR($A$5=入户维修!$F126,$BN$5=1),0,5-SUMPRODUCT(--(($A$1:$A$5=入户维修!$F126)+$BN$1:$BN$5&gt;0)))</f>
        <v>4</v>
      </c>
      <c r="L126" s="0" t="str">
        <f aca="false">IFERROR(INDEX($A$1:$A$5,MATCH(1,$F126:$J126,0)),IF(1=MAX($F126:$J126)+1,"取消",""))</f>
        <v>李师傅</v>
      </c>
      <c r="M126" s="0" t="str">
        <f aca="false">IFERROR(INDEX($A$1:$A$5,MATCH(2,$F126:$J126,0)),IF(2=MAX($F126:$J126)+1,"取消",""))</f>
        <v>王师傅</v>
      </c>
      <c r="N126" s="0" t="str">
        <f aca="false">IFERROR(INDEX($A$1:$A$5,MATCH(3,$F126:$J126,0)),IF(3=MAX($F126:$J126)+1,"取消",""))</f>
        <v>陈师傅</v>
      </c>
      <c r="O126" s="0" t="str">
        <f aca="false">IFERROR(INDEX($A$1:$A$5,MATCH(4,$F126:$J126,0)),IF(4=MAX($F126:$J126)+1,"取消",""))</f>
        <v>刘师傅</v>
      </c>
      <c r="P126" s="0" t="str">
        <f aca="false">IFERROR(INDEX($A$1:$A$5,MATCH(5,$F126:$J126,0)),IF(5=MAX($F126:$J126)+1,"取消",""))</f>
        <v>取消</v>
      </c>
      <c r="Q126" s="0" t="str">
        <f aca="false">IFERROR(INDEX($A$1:$A$5,MATCH(6,$F126:$J126,0)),IF(6=MAX($F126:$J126)+1,"取消",""))</f>
        <v/>
      </c>
      <c r="S126" s="0" t="n">
        <f aca="false">IF(OR($A$1=入户维修!$F126,$A$1=入户维修!$G126,$BN$1=1),0,1-SUMPRODUCT(--(($A$1=入户维修!$F126)+($A$1=入户维修!$G126)+$BN$1&gt;0)))</f>
        <v>0</v>
      </c>
      <c r="T126" s="0" t="n">
        <f aca="false">IF(OR($A$2=入户维修!$F126,$A$2=入户维修!$G126,$BN$2=1),0,2-SUMPRODUCT(--(($A$1:$A$2=入户维修!$F126)+($A$1:$A$2=入户维修!$G126)+$BN$1:$BN$2&gt;0)))</f>
        <v>1</v>
      </c>
      <c r="U126" s="0" t="n">
        <f aca="false">IF(OR($A$3=入户维修!$F126,$A$3=入户维修!$G126,$BN$3=1),0,3-SUMPRODUCT(--(($A$1:$A$3=入户维修!$F126)+($A$1:$A$3=入户维修!$G126)+$BN$1:$BN$3&gt;0)))</f>
        <v>2</v>
      </c>
      <c r="V126" s="0" t="n">
        <f aca="false">IF(OR($A$4=入户维修!$F126,$A$4=入户维修!$G126,$BN$4=1),0,4-SUMPRODUCT(--(($A$1:$A$4=入户维修!$F126)+($A$1:$A$4=入户维修!$G126)+$BN$1:$BN$4&gt;0)))</f>
        <v>3</v>
      </c>
      <c r="W126" s="0" t="n">
        <f aca="false">IF(OR($A$5=入户维修!$F126,$A$5=入户维修!$G126,$BN$5=1),0,5-SUMPRODUCT(--(($A$1:$A$5=入户维修!$F126)+($A$1:$A$5=入户维修!$G126)+$BN$1:$BN$5&gt;0)))</f>
        <v>4</v>
      </c>
      <c r="Y126" s="0" t="str">
        <f aca="false">IFERROR(INDEX($A$1:$A$5,MATCH(1,$S126:$W126,0)),IF(1=MAX($S126:$W126)+1,"取消",""))</f>
        <v>李师傅</v>
      </c>
      <c r="Z126" s="0" t="str">
        <f aca="false">IFERROR(INDEX($A$1:$A$5,MATCH(2,$S126:$W126,0)),IF(2=MAX($S126:$W126)+1,"取消",""))</f>
        <v>王师傅</v>
      </c>
      <c r="AA126" s="0" t="str">
        <f aca="false">IFERROR(INDEX($A$1:$A$5,MATCH(3,$S126:$W126,0)),IF(3=MAX($S126:$W126)+1,"取消",""))</f>
        <v>陈师傅</v>
      </c>
      <c r="AB126" s="0" t="str">
        <f aca="false">IFERROR(INDEX($A$1:$A$5,MATCH(4,$S126:$W126,0)),IF(4=MAX($S126:$W126)+1,"取消",""))</f>
        <v>刘师傅</v>
      </c>
      <c r="AC126" s="0" t="str">
        <f aca="false">IFERROR(INDEX($A$1:$A$5,MATCH(5,$S126:$W126,0)),IF(5=MAX($S126:$W126)+1,"取消",""))</f>
        <v>取消</v>
      </c>
      <c r="AD126" s="0" t="str">
        <f aca="false">IFERROR(INDEX($A$1:$A$5,MATCH(6,$S126:$W126,0)),IF(6=MAX($S126:$W126)+1,"取消",""))</f>
        <v/>
      </c>
      <c r="AF126" s="0" t="n">
        <f aca="false">IF(OR($A$1=公区维修!$F126,$BN$1=1),0,1-SUMPRODUCT(--(($A$1=公区维修!$F126)+$BN$1&gt;0)))</f>
        <v>0</v>
      </c>
      <c r="AG126" s="0" t="n">
        <f aca="false">IF(OR($A$2=公区维修!$F126,$BN$2=1),0,2-SUMPRODUCT(--(($A$1:$A$2=公区维修!$F126)+$BN$1:$BN$2&gt;0)))</f>
        <v>1</v>
      </c>
      <c r="AH126" s="0" t="n">
        <f aca="false">IF(OR($A$3=公区维修!$F126,$BN$3=1),0,3-SUMPRODUCT(--(($A$1:$A$3=公区维修!$F126)+$BN$1:$BN$3&gt;0)))</f>
        <v>2</v>
      </c>
      <c r="AI126" s="0" t="n">
        <f aca="false">IF(OR($A$4=公区维修!$F126,$BN$4=1),0,4-SUMPRODUCT(--(($A$1:$A$4=公区维修!$F126)+$BN$1:$BN$4&gt;0)))</f>
        <v>3</v>
      </c>
      <c r="AJ126" s="0" t="n">
        <f aca="false">IF(OR($A$5=公区维修!$F126,$BN$5=1),0,5-SUMPRODUCT(--(($A$1:$A$5=公区维修!$F126)+$BN$1:$BN$5&gt;0)))</f>
        <v>4</v>
      </c>
      <c r="AL126" s="0" t="str">
        <f aca="false">IFERROR(INDEX($A$1:$A$5,MATCH(1,$AF126:$AJ126,0)),IF(1=MAX($AF126:$AJ126)+1,"取消",""))</f>
        <v>李师傅</v>
      </c>
      <c r="AM126" s="0" t="str">
        <f aca="false">IFERROR(INDEX($A$1:$A$5,MATCH(2,$AF126:$AJ126,0)),IF(2=MAX($AF126:$AJ126)+1,"取消",""))</f>
        <v>王师傅</v>
      </c>
      <c r="AN126" s="0" t="str">
        <f aca="false">IFERROR(INDEX($A$1:$A$5,MATCH(3,$AF126:$AJ126,0)),IF(3=MAX($AF126:$AJ126)+1,"取消",""))</f>
        <v>陈师傅</v>
      </c>
      <c r="AO126" s="0" t="str">
        <f aca="false">IFERROR(INDEX($A$1:$A$5,MATCH(4,$AF126:$AJ126,0)),IF(4=MAX($AF126:$AJ126)+1,"取消",""))</f>
        <v>刘师傅</v>
      </c>
      <c r="AP126" s="0" t="str">
        <f aca="false">IFERROR(INDEX($A$1:$A$5,MATCH(5,$AF126:$AJ126,0)),IF(5=MAX($AF126:$AJ126)+1,"取消",""))</f>
        <v>取消</v>
      </c>
      <c r="AQ126" s="0" t="str">
        <f aca="false">IFERROR(INDEX($A$1:$A$5,MATCH(6,$AF126:$AJ126,0)),IF(6=MAX($AF126:$AJ126)+1,"取消",""))</f>
        <v/>
      </c>
      <c r="AS126" s="0" t="n">
        <f aca="false">IF(OR($A$1=公区维修!$F126,$A$1=公区维修!$G126,$BN$1=1),0,1-SUMPRODUCT(--(($A$1=公区维修!$F126)+($A$1=公区维修!$G126)+$BN$1&gt;0)))</f>
        <v>0</v>
      </c>
      <c r="AT126" s="0" t="n">
        <f aca="false">IF(OR($A$2=公区维修!$F126,$A$2=公区维修!$G126,$BN$2=1),0,2-SUMPRODUCT(--(($A$1:$A$2=公区维修!$F126)+($A$1:$A$2=公区维修!$G126)+$BN$1:$BN$2&gt;0)))</f>
        <v>1</v>
      </c>
      <c r="AU126" s="0" t="n">
        <f aca="false">IF(OR($A$3=公区维修!$F126,$A$3=公区维修!$G126,$BN$3=1),0,3-SUMPRODUCT(--(($A$1:$A$3=公区维修!$F126)+($A$1:$A$3=公区维修!$G126)+$BN$1:$BN$3&gt;0)))</f>
        <v>2</v>
      </c>
      <c r="AV126" s="0" t="n">
        <f aca="false">IF(OR($A$4=公区维修!$F126,$A$4=公区维修!$G126,$BN$4=1),0,4-SUMPRODUCT(--(($A$1:$A$4=公区维修!$F126)+($A$1:$A$4=公区维修!$G126)+$BN$1:$BN$4&gt;0)))</f>
        <v>3</v>
      </c>
      <c r="AW126" s="0" t="n">
        <f aca="false">IF(OR($A$5=公区维修!$F126,$A$5=公区维修!$G126,$BN$5=1),0,5-SUMPRODUCT(--(($A$1:$A$5=公区维修!$F126)+($A$1:$A$5=公区维修!$G126)+$BN$1:$BN$5&gt;0)))</f>
        <v>4</v>
      </c>
      <c r="AY126" s="0" t="str">
        <f aca="false">IFERROR(INDEX($A$1:$A$5,MATCH(1,$AS126:$AW126,0)),IF(1=MAX($AS126:$AW126)+1,"取消",""))</f>
        <v>李师傅</v>
      </c>
      <c r="AZ126" s="0" t="str">
        <f aca="false">IFERROR(INDEX($A$1:$A$5,MATCH(2,$AS126:$AW126,0)),IF(2=MAX($AS126:$AW126)+1,"取消",""))</f>
        <v>王师傅</v>
      </c>
      <c r="BA126" s="0" t="str">
        <f aca="false">IFERROR(INDEX($A$1:$A$5,MATCH(3,$AS126:$AW126,0)),IF(3=MAX($AS126:$AW126)+1,"取消",""))</f>
        <v>陈师傅</v>
      </c>
      <c r="BB126" s="0" t="str">
        <f aca="false">IFERROR(INDEX($A$1:$A$5,MATCH(4,$AS126:$AW126,0)),IF(4=MAX($AS126:$AW126)+1,"取消",""))</f>
        <v>刘师傅</v>
      </c>
      <c r="BC126" s="0" t="str">
        <f aca="false">IFERROR(INDEX($A$1:$A$5,MATCH(5,$AS126:$AW126,0)),IF(5=MAX($AS126:$AW126)+1,"取消",""))</f>
        <v>取消</v>
      </c>
      <c r="BD126" s="0" t="str">
        <f aca="false">IFERROR(INDEX($A$1:$A$5,MATCH(6,$AS126:$AW126,0)),IF(6=MAX($AS126:$AW126)+1,"取消",""))</f>
        <v/>
      </c>
      <c r="FW126" s="0" t="str">
        <f aca="false">IF(AND(单元查询!$D$3&lt;&gt;"",IF(单元查询!$B$3="公区维修",公区维修!$E126&lt;&gt;"",入户维修!$E126&lt;&gt;""),IF(单元查询!$B$3="公区维修",公区维修!$C126,入户维修!$C126)=单元查询!$D$3,OR(单元查询!$F$3="",IF(单元查询!$B$3="公区维修",公区维修!$D126,入户维修!$D126)&amp;""=(单元查询!$F$3)&amp;"")),MAX($FW$4:$FW125)+1,"")</f>
        <v/>
      </c>
    </row>
    <row r="127" customFormat="false" ht="15" hidden="false" customHeight="true" outlineLevel="0" collapsed="false">
      <c r="F127" s="0" t="n">
        <f aca="false">IF(OR($A$1=入户维修!$F127,$BN$1=1),0,1-SUMPRODUCT(--(($A$1=入户维修!$F127)+$BN$1&gt;0)))</f>
        <v>0</v>
      </c>
      <c r="G127" s="0" t="n">
        <f aca="false">IF(OR($A$2=入户维修!$F127,$BN$2=1),0,2-SUMPRODUCT(--(($A$1:$A$2=入户维修!$F127)+$BN$1:$BN$2&gt;0)))</f>
        <v>1</v>
      </c>
      <c r="H127" s="0" t="n">
        <f aca="false">IF(OR($A$3=入户维修!$F127,$BN$3=1),0,3-SUMPRODUCT(--(($A$1:$A$3=入户维修!$F127)+$BN$1:$BN$3&gt;0)))</f>
        <v>2</v>
      </c>
      <c r="I127" s="0" t="n">
        <f aca="false">IF(OR($A$4=入户维修!$F127,$BN$4=1),0,4-SUMPRODUCT(--(($A$1:$A$4=入户维修!$F127)+$BN$1:$BN$4&gt;0)))</f>
        <v>3</v>
      </c>
      <c r="J127" s="0" t="n">
        <f aca="false">IF(OR($A$5=入户维修!$F127,$BN$5=1),0,5-SUMPRODUCT(--(($A$1:$A$5=入户维修!$F127)+$BN$1:$BN$5&gt;0)))</f>
        <v>4</v>
      </c>
      <c r="L127" s="0" t="str">
        <f aca="false">IFERROR(INDEX($A$1:$A$5,MATCH(1,$F127:$J127,0)),IF(1=MAX($F127:$J127)+1,"取消",""))</f>
        <v>李师傅</v>
      </c>
      <c r="M127" s="0" t="str">
        <f aca="false">IFERROR(INDEX($A$1:$A$5,MATCH(2,$F127:$J127,0)),IF(2=MAX($F127:$J127)+1,"取消",""))</f>
        <v>王师傅</v>
      </c>
      <c r="N127" s="0" t="str">
        <f aca="false">IFERROR(INDEX($A$1:$A$5,MATCH(3,$F127:$J127,0)),IF(3=MAX($F127:$J127)+1,"取消",""))</f>
        <v>陈师傅</v>
      </c>
      <c r="O127" s="0" t="str">
        <f aca="false">IFERROR(INDEX($A$1:$A$5,MATCH(4,$F127:$J127,0)),IF(4=MAX($F127:$J127)+1,"取消",""))</f>
        <v>刘师傅</v>
      </c>
      <c r="P127" s="0" t="str">
        <f aca="false">IFERROR(INDEX($A$1:$A$5,MATCH(5,$F127:$J127,0)),IF(5=MAX($F127:$J127)+1,"取消",""))</f>
        <v>取消</v>
      </c>
      <c r="Q127" s="0" t="str">
        <f aca="false">IFERROR(INDEX($A$1:$A$5,MATCH(6,$F127:$J127,0)),IF(6=MAX($F127:$J127)+1,"取消",""))</f>
        <v/>
      </c>
      <c r="S127" s="0" t="n">
        <f aca="false">IF(OR($A$1=入户维修!$F127,$A$1=入户维修!$G127,$BN$1=1),0,1-SUMPRODUCT(--(($A$1=入户维修!$F127)+($A$1=入户维修!$G127)+$BN$1&gt;0)))</f>
        <v>0</v>
      </c>
      <c r="T127" s="0" t="n">
        <f aca="false">IF(OR($A$2=入户维修!$F127,$A$2=入户维修!$G127,$BN$2=1),0,2-SUMPRODUCT(--(($A$1:$A$2=入户维修!$F127)+($A$1:$A$2=入户维修!$G127)+$BN$1:$BN$2&gt;0)))</f>
        <v>1</v>
      </c>
      <c r="U127" s="0" t="n">
        <f aca="false">IF(OR($A$3=入户维修!$F127,$A$3=入户维修!$G127,$BN$3=1),0,3-SUMPRODUCT(--(($A$1:$A$3=入户维修!$F127)+($A$1:$A$3=入户维修!$G127)+$BN$1:$BN$3&gt;0)))</f>
        <v>2</v>
      </c>
      <c r="V127" s="0" t="n">
        <f aca="false">IF(OR($A$4=入户维修!$F127,$A$4=入户维修!$G127,$BN$4=1),0,4-SUMPRODUCT(--(($A$1:$A$4=入户维修!$F127)+($A$1:$A$4=入户维修!$G127)+$BN$1:$BN$4&gt;0)))</f>
        <v>3</v>
      </c>
      <c r="W127" s="0" t="n">
        <f aca="false">IF(OR($A$5=入户维修!$F127,$A$5=入户维修!$G127,$BN$5=1),0,5-SUMPRODUCT(--(($A$1:$A$5=入户维修!$F127)+($A$1:$A$5=入户维修!$G127)+$BN$1:$BN$5&gt;0)))</f>
        <v>4</v>
      </c>
      <c r="Y127" s="0" t="str">
        <f aca="false">IFERROR(INDEX($A$1:$A$5,MATCH(1,$S127:$W127,0)),IF(1=MAX($S127:$W127)+1,"取消",""))</f>
        <v>李师傅</v>
      </c>
      <c r="Z127" s="0" t="str">
        <f aca="false">IFERROR(INDEX($A$1:$A$5,MATCH(2,$S127:$W127,0)),IF(2=MAX($S127:$W127)+1,"取消",""))</f>
        <v>王师傅</v>
      </c>
      <c r="AA127" s="0" t="str">
        <f aca="false">IFERROR(INDEX($A$1:$A$5,MATCH(3,$S127:$W127,0)),IF(3=MAX($S127:$W127)+1,"取消",""))</f>
        <v>陈师傅</v>
      </c>
      <c r="AB127" s="0" t="str">
        <f aca="false">IFERROR(INDEX($A$1:$A$5,MATCH(4,$S127:$W127,0)),IF(4=MAX($S127:$W127)+1,"取消",""))</f>
        <v>刘师傅</v>
      </c>
      <c r="AC127" s="0" t="str">
        <f aca="false">IFERROR(INDEX($A$1:$A$5,MATCH(5,$S127:$W127,0)),IF(5=MAX($S127:$W127)+1,"取消",""))</f>
        <v>取消</v>
      </c>
      <c r="AD127" s="0" t="str">
        <f aca="false">IFERROR(INDEX($A$1:$A$5,MATCH(6,$S127:$W127,0)),IF(6=MAX($S127:$W127)+1,"取消",""))</f>
        <v/>
      </c>
      <c r="AF127" s="0" t="n">
        <f aca="false">IF(OR($A$1=公区维修!$F127,$BN$1=1),0,1-SUMPRODUCT(--(($A$1=公区维修!$F127)+$BN$1&gt;0)))</f>
        <v>0</v>
      </c>
      <c r="AG127" s="0" t="n">
        <f aca="false">IF(OR($A$2=公区维修!$F127,$BN$2=1),0,2-SUMPRODUCT(--(($A$1:$A$2=公区维修!$F127)+$BN$1:$BN$2&gt;0)))</f>
        <v>1</v>
      </c>
      <c r="AH127" s="0" t="n">
        <f aca="false">IF(OR($A$3=公区维修!$F127,$BN$3=1),0,3-SUMPRODUCT(--(($A$1:$A$3=公区维修!$F127)+$BN$1:$BN$3&gt;0)))</f>
        <v>2</v>
      </c>
      <c r="AI127" s="0" t="n">
        <f aca="false">IF(OR($A$4=公区维修!$F127,$BN$4=1),0,4-SUMPRODUCT(--(($A$1:$A$4=公区维修!$F127)+$BN$1:$BN$4&gt;0)))</f>
        <v>3</v>
      </c>
      <c r="AJ127" s="0" t="n">
        <f aca="false">IF(OR($A$5=公区维修!$F127,$BN$5=1),0,5-SUMPRODUCT(--(($A$1:$A$5=公区维修!$F127)+$BN$1:$BN$5&gt;0)))</f>
        <v>4</v>
      </c>
      <c r="AL127" s="0" t="str">
        <f aca="false">IFERROR(INDEX($A$1:$A$5,MATCH(1,$AF127:$AJ127,0)),IF(1=MAX($AF127:$AJ127)+1,"取消",""))</f>
        <v>李师傅</v>
      </c>
      <c r="AM127" s="0" t="str">
        <f aca="false">IFERROR(INDEX($A$1:$A$5,MATCH(2,$AF127:$AJ127,0)),IF(2=MAX($AF127:$AJ127)+1,"取消",""))</f>
        <v>王师傅</v>
      </c>
      <c r="AN127" s="0" t="str">
        <f aca="false">IFERROR(INDEX($A$1:$A$5,MATCH(3,$AF127:$AJ127,0)),IF(3=MAX($AF127:$AJ127)+1,"取消",""))</f>
        <v>陈师傅</v>
      </c>
      <c r="AO127" s="0" t="str">
        <f aca="false">IFERROR(INDEX($A$1:$A$5,MATCH(4,$AF127:$AJ127,0)),IF(4=MAX($AF127:$AJ127)+1,"取消",""))</f>
        <v>刘师傅</v>
      </c>
      <c r="AP127" s="0" t="str">
        <f aca="false">IFERROR(INDEX($A$1:$A$5,MATCH(5,$AF127:$AJ127,0)),IF(5=MAX($AF127:$AJ127)+1,"取消",""))</f>
        <v>取消</v>
      </c>
      <c r="AQ127" s="0" t="str">
        <f aca="false">IFERROR(INDEX($A$1:$A$5,MATCH(6,$AF127:$AJ127,0)),IF(6=MAX($AF127:$AJ127)+1,"取消",""))</f>
        <v/>
      </c>
      <c r="AS127" s="0" t="n">
        <f aca="false">IF(OR($A$1=公区维修!$F127,$A$1=公区维修!$G127,$BN$1=1),0,1-SUMPRODUCT(--(($A$1=公区维修!$F127)+($A$1=公区维修!$G127)+$BN$1&gt;0)))</f>
        <v>0</v>
      </c>
      <c r="AT127" s="0" t="n">
        <f aca="false">IF(OR($A$2=公区维修!$F127,$A$2=公区维修!$G127,$BN$2=1),0,2-SUMPRODUCT(--(($A$1:$A$2=公区维修!$F127)+($A$1:$A$2=公区维修!$G127)+$BN$1:$BN$2&gt;0)))</f>
        <v>1</v>
      </c>
      <c r="AU127" s="0" t="n">
        <f aca="false">IF(OR($A$3=公区维修!$F127,$A$3=公区维修!$G127,$BN$3=1),0,3-SUMPRODUCT(--(($A$1:$A$3=公区维修!$F127)+($A$1:$A$3=公区维修!$G127)+$BN$1:$BN$3&gt;0)))</f>
        <v>2</v>
      </c>
      <c r="AV127" s="0" t="n">
        <f aca="false">IF(OR($A$4=公区维修!$F127,$A$4=公区维修!$G127,$BN$4=1),0,4-SUMPRODUCT(--(($A$1:$A$4=公区维修!$F127)+($A$1:$A$4=公区维修!$G127)+$BN$1:$BN$4&gt;0)))</f>
        <v>3</v>
      </c>
      <c r="AW127" s="0" t="n">
        <f aca="false">IF(OR($A$5=公区维修!$F127,$A$5=公区维修!$G127,$BN$5=1),0,5-SUMPRODUCT(--(($A$1:$A$5=公区维修!$F127)+($A$1:$A$5=公区维修!$G127)+$BN$1:$BN$5&gt;0)))</f>
        <v>4</v>
      </c>
      <c r="AY127" s="0" t="str">
        <f aca="false">IFERROR(INDEX($A$1:$A$5,MATCH(1,$AS127:$AW127,0)),IF(1=MAX($AS127:$AW127)+1,"取消",""))</f>
        <v>李师傅</v>
      </c>
      <c r="AZ127" s="0" t="str">
        <f aca="false">IFERROR(INDEX($A$1:$A$5,MATCH(2,$AS127:$AW127,0)),IF(2=MAX($AS127:$AW127)+1,"取消",""))</f>
        <v>王师傅</v>
      </c>
      <c r="BA127" s="0" t="str">
        <f aca="false">IFERROR(INDEX($A$1:$A$5,MATCH(3,$AS127:$AW127,0)),IF(3=MAX($AS127:$AW127)+1,"取消",""))</f>
        <v>陈师傅</v>
      </c>
      <c r="BB127" s="0" t="str">
        <f aca="false">IFERROR(INDEX($A$1:$A$5,MATCH(4,$AS127:$AW127,0)),IF(4=MAX($AS127:$AW127)+1,"取消",""))</f>
        <v>刘师傅</v>
      </c>
      <c r="BC127" s="0" t="str">
        <f aca="false">IFERROR(INDEX($A$1:$A$5,MATCH(5,$AS127:$AW127,0)),IF(5=MAX($AS127:$AW127)+1,"取消",""))</f>
        <v>取消</v>
      </c>
      <c r="BD127" s="0" t="str">
        <f aca="false">IFERROR(INDEX($A$1:$A$5,MATCH(6,$AS127:$AW127,0)),IF(6=MAX($AS127:$AW127)+1,"取消",""))</f>
        <v/>
      </c>
      <c r="FW127" s="0" t="str">
        <f aca="false">IF(AND(单元查询!$D$3&lt;&gt;"",IF(单元查询!$B$3="公区维修",公区维修!$E127&lt;&gt;"",入户维修!$E127&lt;&gt;""),IF(单元查询!$B$3="公区维修",公区维修!$C127,入户维修!$C127)=单元查询!$D$3,OR(单元查询!$F$3="",IF(单元查询!$B$3="公区维修",公区维修!$D127,入户维修!$D127)&amp;""=(单元查询!$F$3)&amp;"")),MAX($FW$4:$FW126)+1,"")</f>
        <v/>
      </c>
    </row>
    <row r="128" customFormat="false" ht="15" hidden="false" customHeight="true" outlineLevel="0" collapsed="false">
      <c r="F128" s="0" t="n">
        <f aca="false">IF(OR($A$1=入户维修!$F128,$BN$1=1),0,1-SUMPRODUCT(--(($A$1=入户维修!$F128)+$BN$1&gt;0)))</f>
        <v>0</v>
      </c>
      <c r="G128" s="0" t="n">
        <f aca="false">IF(OR($A$2=入户维修!$F128,$BN$2=1),0,2-SUMPRODUCT(--(($A$1:$A$2=入户维修!$F128)+$BN$1:$BN$2&gt;0)))</f>
        <v>1</v>
      </c>
      <c r="H128" s="0" t="n">
        <f aca="false">IF(OR($A$3=入户维修!$F128,$BN$3=1),0,3-SUMPRODUCT(--(($A$1:$A$3=入户维修!$F128)+$BN$1:$BN$3&gt;0)))</f>
        <v>2</v>
      </c>
      <c r="I128" s="0" t="n">
        <f aca="false">IF(OR($A$4=入户维修!$F128,$BN$4=1),0,4-SUMPRODUCT(--(($A$1:$A$4=入户维修!$F128)+$BN$1:$BN$4&gt;0)))</f>
        <v>3</v>
      </c>
      <c r="J128" s="0" t="n">
        <f aca="false">IF(OR($A$5=入户维修!$F128,$BN$5=1),0,5-SUMPRODUCT(--(($A$1:$A$5=入户维修!$F128)+$BN$1:$BN$5&gt;0)))</f>
        <v>4</v>
      </c>
      <c r="L128" s="0" t="str">
        <f aca="false">IFERROR(INDEX($A$1:$A$5,MATCH(1,$F128:$J128,0)),IF(1=MAX($F128:$J128)+1,"取消",""))</f>
        <v>李师傅</v>
      </c>
      <c r="M128" s="0" t="str">
        <f aca="false">IFERROR(INDEX($A$1:$A$5,MATCH(2,$F128:$J128,0)),IF(2=MAX($F128:$J128)+1,"取消",""))</f>
        <v>王师傅</v>
      </c>
      <c r="N128" s="0" t="str">
        <f aca="false">IFERROR(INDEX($A$1:$A$5,MATCH(3,$F128:$J128,0)),IF(3=MAX($F128:$J128)+1,"取消",""))</f>
        <v>陈师傅</v>
      </c>
      <c r="O128" s="0" t="str">
        <f aca="false">IFERROR(INDEX($A$1:$A$5,MATCH(4,$F128:$J128,0)),IF(4=MAX($F128:$J128)+1,"取消",""))</f>
        <v>刘师傅</v>
      </c>
      <c r="P128" s="0" t="str">
        <f aca="false">IFERROR(INDEX($A$1:$A$5,MATCH(5,$F128:$J128,0)),IF(5=MAX($F128:$J128)+1,"取消",""))</f>
        <v>取消</v>
      </c>
      <c r="Q128" s="0" t="str">
        <f aca="false">IFERROR(INDEX($A$1:$A$5,MATCH(6,$F128:$J128,0)),IF(6=MAX($F128:$J128)+1,"取消",""))</f>
        <v/>
      </c>
      <c r="S128" s="0" t="n">
        <f aca="false">IF(OR($A$1=入户维修!$F128,$A$1=入户维修!$G128,$BN$1=1),0,1-SUMPRODUCT(--(($A$1=入户维修!$F128)+($A$1=入户维修!$G128)+$BN$1&gt;0)))</f>
        <v>0</v>
      </c>
      <c r="T128" s="0" t="n">
        <f aca="false">IF(OR($A$2=入户维修!$F128,$A$2=入户维修!$G128,$BN$2=1),0,2-SUMPRODUCT(--(($A$1:$A$2=入户维修!$F128)+($A$1:$A$2=入户维修!$G128)+$BN$1:$BN$2&gt;0)))</f>
        <v>1</v>
      </c>
      <c r="U128" s="0" t="n">
        <f aca="false">IF(OR($A$3=入户维修!$F128,$A$3=入户维修!$G128,$BN$3=1),0,3-SUMPRODUCT(--(($A$1:$A$3=入户维修!$F128)+($A$1:$A$3=入户维修!$G128)+$BN$1:$BN$3&gt;0)))</f>
        <v>2</v>
      </c>
      <c r="V128" s="0" t="n">
        <f aca="false">IF(OR($A$4=入户维修!$F128,$A$4=入户维修!$G128,$BN$4=1),0,4-SUMPRODUCT(--(($A$1:$A$4=入户维修!$F128)+($A$1:$A$4=入户维修!$G128)+$BN$1:$BN$4&gt;0)))</f>
        <v>3</v>
      </c>
      <c r="W128" s="0" t="n">
        <f aca="false">IF(OR($A$5=入户维修!$F128,$A$5=入户维修!$G128,$BN$5=1),0,5-SUMPRODUCT(--(($A$1:$A$5=入户维修!$F128)+($A$1:$A$5=入户维修!$G128)+$BN$1:$BN$5&gt;0)))</f>
        <v>4</v>
      </c>
      <c r="Y128" s="0" t="str">
        <f aca="false">IFERROR(INDEX($A$1:$A$5,MATCH(1,$S128:$W128,0)),IF(1=MAX($S128:$W128)+1,"取消",""))</f>
        <v>李师傅</v>
      </c>
      <c r="Z128" s="0" t="str">
        <f aca="false">IFERROR(INDEX($A$1:$A$5,MATCH(2,$S128:$W128,0)),IF(2=MAX($S128:$W128)+1,"取消",""))</f>
        <v>王师傅</v>
      </c>
      <c r="AA128" s="0" t="str">
        <f aca="false">IFERROR(INDEX($A$1:$A$5,MATCH(3,$S128:$W128,0)),IF(3=MAX($S128:$W128)+1,"取消",""))</f>
        <v>陈师傅</v>
      </c>
      <c r="AB128" s="0" t="str">
        <f aca="false">IFERROR(INDEX($A$1:$A$5,MATCH(4,$S128:$W128,0)),IF(4=MAX($S128:$W128)+1,"取消",""))</f>
        <v>刘师傅</v>
      </c>
      <c r="AC128" s="0" t="str">
        <f aca="false">IFERROR(INDEX($A$1:$A$5,MATCH(5,$S128:$W128,0)),IF(5=MAX($S128:$W128)+1,"取消",""))</f>
        <v>取消</v>
      </c>
      <c r="AD128" s="0" t="str">
        <f aca="false">IFERROR(INDEX($A$1:$A$5,MATCH(6,$S128:$W128,0)),IF(6=MAX($S128:$W128)+1,"取消",""))</f>
        <v/>
      </c>
      <c r="AF128" s="0" t="n">
        <f aca="false">IF(OR($A$1=公区维修!$F128,$BN$1=1),0,1-SUMPRODUCT(--(($A$1=公区维修!$F128)+$BN$1&gt;0)))</f>
        <v>0</v>
      </c>
      <c r="AG128" s="0" t="n">
        <f aca="false">IF(OR($A$2=公区维修!$F128,$BN$2=1),0,2-SUMPRODUCT(--(($A$1:$A$2=公区维修!$F128)+$BN$1:$BN$2&gt;0)))</f>
        <v>1</v>
      </c>
      <c r="AH128" s="0" t="n">
        <f aca="false">IF(OR($A$3=公区维修!$F128,$BN$3=1),0,3-SUMPRODUCT(--(($A$1:$A$3=公区维修!$F128)+$BN$1:$BN$3&gt;0)))</f>
        <v>2</v>
      </c>
      <c r="AI128" s="0" t="n">
        <f aca="false">IF(OR($A$4=公区维修!$F128,$BN$4=1),0,4-SUMPRODUCT(--(($A$1:$A$4=公区维修!$F128)+$BN$1:$BN$4&gt;0)))</f>
        <v>3</v>
      </c>
      <c r="AJ128" s="0" t="n">
        <f aca="false">IF(OR($A$5=公区维修!$F128,$BN$5=1),0,5-SUMPRODUCT(--(($A$1:$A$5=公区维修!$F128)+$BN$1:$BN$5&gt;0)))</f>
        <v>4</v>
      </c>
      <c r="AL128" s="0" t="str">
        <f aca="false">IFERROR(INDEX($A$1:$A$5,MATCH(1,$AF128:$AJ128,0)),IF(1=MAX($AF128:$AJ128)+1,"取消",""))</f>
        <v>李师傅</v>
      </c>
      <c r="AM128" s="0" t="str">
        <f aca="false">IFERROR(INDEX($A$1:$A$5,MATCH(2,$AF128:$AJ128,0)),IF(2=MAX($AF128:$AJ128)+1,"取消",""))</f>
        <v>王师傅</v>
      </c>
      <c r="AN128" s="0" t="str">
        <f aca="false">IFERROR(INDEX($A$1:$A$5,MATCH(3,$AF128:$AJ128,0)),IF(3=MAX($AF128:$AJ128)+1,"取消",""))</f>
        <v>陈师傅</v>
      </c>
      <c r="AO128" s="0" t="str">
        <f aca="false">IFERROR(INDEX($A$1:$A$5,MATCH(4,$AF128:$AJ128,0)),IF(4=MAX($AF128:$AJ128)+1,"取消",""))</f>
        <v>刘师傅</v>
      </c>
      <c r="AP128" s="0" t="str">
        <f aca="false">IFERROR(INDEX($A$1:$A$5,MATCH(5,$AF128:$AJ128,0)),IF(5=MAX($AF128:$AJ128)+1,"取消",""))</f>
        <v>取消</v>
      </c>
      <c r="AQ128" s="0" t="str">
        <f aca="false">IFERROR(INDEX($A$1:$A$5,MATCH(6,$AF128:$AJ128,0)),IF(6=MAX($AF128:$AJ128)+1,"取消",""))</f>
        <v/>
      </c>
      <c r="AS128" s="0" t="n">
        <f aca="false">IF(OR($A$1=公区维修!$F128,$A$1=公区维修!$G128,$BN$1=1),0,1-SUMPRODUCT(--(($A$1=公区维修!$F128)+($A$1=公区维修!$G128)+$BN$1&gt;0)))</f>
        <v>0</v>
      </c>
      <c r="AT128" s="0" t="n">
        <f aca="false">IF(OR($A$2=公区维修!$F128,$A$2=公区维修!$G128,$BN$2=1),0,2-SUMPRODUCT(--(($A$1:$A$2=公区维修!$F128)+($A$1:$A$2=公区维修!$G128)+$BN$1:$BN$2&gt;0)))</f>
        <v>1</v>
      </c>
      <c r="AU128" s="0" t="n">
        <f aca="false">IF(OR($A$3=公区维修!$F128,$A$3=公区维修!$G128,$BN$3=1),0,3-SUMPRODUCT(--(($A$1:$A$3=公区维修!$F128)+($A$1:$A$3=公区维修!$G128)+$BN$1:$BN$3&gt;0)))</f>
        <v>2</v>
      </c>
      <c r="AV128" s="0" t="n">
        <f aca="false">IF(OR($A$4=公区维修!$F128,$A$4=公区维修!$G128,$BN$4=1),0,4-SUMPRODUCT(--(($A$1:$A$4=公区维修!$F128)+($A$1:$A$4=公区维修!$G128)+$BN$1:$BN$4&gt;0)))</f>
        <v>3</v>
      </c>
      <c r="AW128" s="0" t="n">
        <f aca="false">IF(OR($A$5=公区维修!$F128,$A$5=公区维修!$G128,$BN$5=1),0,5-SUMPRODUCT(--(($A$1:$A$5=公区维修!$F128)+($A$1:$A$5=公区维修!$G128)+$BN$1:$BN$5&gt;0)))</f>
        <v>4</v>
      </c>
      <c r="AY128" s="0" t="str">
        <f aca="false">IFERROR(INDEX($A$1:$A$5,MATCH(1,$AS128:$AW128,0)),IF(1=MAX($AS128:$AW128)+1,"取消",""))</f>
        <v>李师傅</v>
      </c>
      <c r="AZ128" s="0" t="str">
        <f aca="false">IFERROR(INDEX($A$1:$A$5,MATCH(2,$AS128:$AW128,0)),IF(2=MAX($AS128:$AW128)+1,"取消",""))</f>
        <v>王师傅</v>
      </c>
      <c r="BA128" s="0" t="str">
        <f aca="false">IFERROR(INDEX($A$1:$A$5,MATCH(3,$AS128:$AW128,0)),IF(3=MAX($AS128:$AW128)+1,"取消",""))</f>
        <v>陈师傅</v>
      </c>
      <c r="BB128" s="0" t="str">
        <f aca="false">IFERROR(INDEX($A$1:$A$5,MATCH(4,$AS128:$AW128,0)),IF(4=MAX($AS128:$AW128)+1,"取消",""))</f>
        <v>刘师傅</v>
      </c>
      <c r="BC128" s="0" t="str">
        <f aca="false">IFERROR(INDEX($A$1:$A$5,MATCH(5,$AS128:$AW128,0)),IF(5=MAX($AS128:$AW128)+1,"取消",""))</f>
        <v>取消</v>
      </c>
      <c r="BD128" s="0" t="str">
        <f aca="false">IFERROR(INDEX($A$1:$A$5,MATCH(6,$AS128:$AW128,0)),IF(6=MAX($AS128:$AW128)+1,"取消",""))</f>
        <v/>
      </c>
      <c r="FW128" s="0" t="str">
        <f aca="false">IF(AND(单元查询!$D$3&lt;&gt;"",IF(单元查询!$B$3="公区维修",公区维修!$E128&lt;&gt;"",入户维修!$E128&lt;&gt;""),IF(单元查询!$B$3="公区维修",公区维修!$C128,入户维修!$C128)=单元查询!$D$3,OR(单元查询!$F$3="",IF(单元查询!$B$3="公区维修",公区维修!$D128,入户维修!$D128)&amp;""=(单元查询!$F$3)&amp;"")),MAX($FW$4:$FW127)+1,"")</f>
        <v/>
      </c>
    </row>
    <row r="129" customFormat="false" ht="15" hidden="false" customHeight="true" outlineLevel="0" collapsed="false">
      <c r="F129" s="0" t="n">
        <f aca="false">IF(OR($A$1=入户维修!$F129,$BN$1=1),0,1-SUMPRODUCT(--(($A$1=入户维修!$F129)+$BN$1&gt;0)))</f>
        <v>0</v>
      </c>
      <c r="G129" s="0" t="n">
        <f aca="false">IF(OR($A$2=入户维修!$F129,$BN$2=1),0,2-SUMPRODUCT(--(($A$1:$A$2=入户维修!$F129)+$BN$1:$BN$2&gt;0)))</f>
        <v>1</v>
      </c>
      <c r="H129" s="0" t="n">
        <f aca="false">IF(OR($A$3=入户维修!$F129,$BN$3=1),0,3-SUMPRODUCT(--(($A$1:$A$3=入户维修!$F129)+$BN$1:$BN$3&gt;0)))</f>
        <v>2</v>
      </c>
      <c r="I129" s="0" t="n">
        <f aca="false">IF(OR($A$4=入户维修!$F129,$BN$4=1),0,4-SUMPRODUCT(--(($A$1:$A$4=入户维修!$F129)+$BN$1:$BN$4&gt;0)))</f>
        <v>3</v>
      </c>
      <c r="J129" s="0" t="n">
        <f aca="false">IF(OR($A$5=入户维修!$F129,$BN$5=1),0,5-SUMPRODUCT(--(($A$1:$A$5=入户维修!$F129)+$BN$1:$BN$5&gt;0)))</f>
        <v>4</v>
      </c>
      <c r="L129" s="0" t="str">
        <f aca="false">IFERROR(INDEX($A$1:$A$5,MATCH(1,$F129:$J129,0)),IF(1=MAX($F129:$J129)+1,"取消",""))</f>
        <v>李师傅</v>
      </c>
      <c r="M129" s="0" t="str">
        <f aca="false">IFERROR(INDEX($A$1:$A$5,MATCH(2,$F129:$J129,0)),IF(2=MAX($F129:$J129)+1,"取消",""))</f>
        <v>王师傅</v>
      </c>
      <c r="N129" s="0" t="str">
        <f aca="false">IFERROR(INDEX($A$1:$A$5,MATCH(3,$F129:$J129,0)),IF(3=MAX($F129:$J129)+1,"取消",""))</f>
        <v>陈师傅</v>
      </c>
      <c r="O129" s="0" t="str">
        <f aca="false">IFERROR(INDEX($A$1:$A$5,MATCH(4,$F129:$J129,0)),IF(4=MAX($F129:$J129)+1,"取消",""))</f>
        <v>刘师傅</v>
      </c>
      <c r="P129" s="0" t="str">
        <f aca="false">IFERROR(INDEX($A$1:$A$5,MATCH(5,$F129:$J129,0)),IF(5=MAX($F129:$J129)+1,"取消",""))</f>
        <v>取消</v>
      </c>
      <c r="Q129" s="0" t="str">
        <f aca="false">IFERROR(INDEX($A$1:$A$5,MATCH(6,$F129:$J129,0)),IF(6=MAX($F129:$J129)+1,"取消",""))</f>
        <v/>
      </c>
      <c r="S129" s="0" t="n">
        <f aca="false">IF(OR($A$1=入户维修!$F129,$A$1=入户维修!$G129,$BN$1=1),0,1-SUMPRODUCT(--(($A$1=入户维修!$F129)+($A$1=入户维修!$G129)+$BN$1&gt;0)))</f>
        <v>0</v>
      </c>
      <c r="T129" s="0" t="n">
        <f aca="false">IF(OR($A$2=入户维修!$F129,$A$2=入户维修!$G129,$BN$2=1),0,2-SUMPRODUCT(--(($A$1:$A$2=入户维修!$F129)+($A$1:$A$2=入户维修!$G129)+$BN$1:$BN$2&gt;0)))</f>
        <v>1</v>
      </c>
      <c r="U129" s="0" t="n">
        <f aca="false">IF(OR($A$3=入户维修!$F129,$A$3=入户维修!$G129,$BN$3=1),0,3-SUMPRODUCT(--(($A$1:$A$3=入户维修!$F129)+($A$1:$A$3=入户维修!$G129)+$BN$1:$BN$3&gt;0)))</f>
        <v>2</v>
      </c>
      <c r="V129" s="0" t="n">
        <f aca="false">IF(OR($A$4=入户维修!$F129,$A$4=入户维修!$G129,$BN$4=1),0,4-SUMPRODUCT(--(($A$1:$A$4=入户维修!$F129)+($A$1:$A$4=入户维修!$G129)+$BN$1:$BN$4&gt;0)))</f>
        <v>3</v>
      </c>
      <c r="W129" s="0" t="n">
        <f aca="false">IF(OR($A$5=入户维修!$F129,$A$5=入户维修!$G129,$BN$5=1),0,5-SUMPRODUCT(--(($A$1:$A$5=入户维修!$F129)+($A$1:$A$5=入户维修!$G129)+$BN$1:$BN$5&gt;0)))</f>
        <v>4</v>
      </c>
      <c r="Y129" s="0" t="str">
        <f aca="false">IFERROR(INDEX($A$1:$A$5,MATCH(1,$S129:$W129,0)),IF(1=MAX($S129:$W129)+1,"取消",""))</f>
        <v>李师傅</v>
      </c>
      <c r="Z129" s="0" t="str">
        <f aca="false">IFERROR(INDEX($A$1:$A$5,MATCH(2,$S129:$W129,0)),IF(2=MAX($S129:$W129)+1,"取消",""))</f>
        <v>王师傅</v>
      </c>
      <c r="AA129" s="0" t="str">
        <f aca="false">IFERROR(INDEX($A$1:$A$5,MATCH(3,$S129:$W129,0)),IF(3=MAX($S129:$W129)+1,"取消",""))</f>
        <v>陈师傅</v>
      </c>
      <c r="AB129" s="0" t="str">
        <f aca="false">IFERROR(INDEX($A$1:$A$5,MATCH(4,$S129:$W129,0)),IF(4=MAX($S129:$W129)+1,"取消",""))</f>
        <v>刘师傅</v>
      </c>
      <c r="AC129" s="0" t="str">
        <f aca="false">IFERROR(INDEX($A$1:$A$5,MATCH(5,$S129:$W129,0)),IF(5=MAX($S129:$W129)+1,"取消",""))</f>
        <v>取消</v>
      </c>
      <c r="AD129" s="0" t="str">
        <f aca="false">IFERROR(INDEX($A$1:$A$5,MATCH(6,$S129:$W129,0)),IF(6=MAX($S129:$W129)+1,"取消",""))</f>
        <v/>
      </c>
      <c r="AF129" s="0" t="n">
        <f aca="false">IF(OR($A$1=公区维修!$F129,$BN$1=1),0,1-SUMPRODUCT(--(($A$1=公区维修!$F129)+$BN$1&gt;0)))</f>
        <v>0</v>
      </c>
      <c r="AG129" s="0" t="n">
        <f aca="false">IF(OR($A$2=公区维修!$F129,$BN$2=1),0,2-SUMPRODUCT(--(($A$1:$A$2=公区维修!$F129)+$BN$1:$BN$2&gt;0)))</f>
        <v>1</v>
      </c>
      <c r="AH129" s="0" t="n">
        <f aca="false">IF(OR($A$3=公区维修!$F129,$BN$3=1),0,3-SUMPRODUCT(--(($A$1:$A$3=公区维修!$F129)+$BN$1:$BN$3&gt;0)))</f>
        <v>2</v>
      </c>
      <c r="AI129" s="0" t="n">
        <f aca="false">IF(OR($A$4=公区维修!$F129,$BN$4=1),0,4-SUMPRODUCT(--(($A$1:$A$4=公区维修!$F129)+$BN$1:$BN$4&gt;0)))</f>
        <v>3</v>
      </c>
      <c r="AJ129" s="0" t="n">
        <f aca="false">IF(OR($A$5=公区维修!$F129,$BN$5=1),0,5-SUMPRODUCT(--(($A$1:$A$5=公区维修!$F129)+$BN$1:$BN$5&gt;0)))</f>
        <v>4</v>
      </c>
      <c r="AL129" s="0" t="str">
        <f aca="false">IFERROR(INDEX($A$1:$A$5,MATCH(1,$AF129:$AJ129,0)),IF(1=MAX($AF129:$AJ129)+1,"取消",""))</f>
        <v>李师傅</v>
      </c>
      <c r="AM129" s="0" t="str">
        <f aca="false">IFERROR(INDEX($A$1:$A$5,MATCH(2,$AF129:$AJ129,0)),IF(2=MAX($AF129:$AJ129)+1,"取消",""))</f>
        <v>王师傅</v>
      </c>
      <c r="AN129" s="0" t="str">
        <f aca="false">IFERROR(INDEX($A$1:$A$5,MATCH(3,$AF129:$AJ129,0)),IF(3=MAX($AF129:$AJ129)+1,"取消",""))</f>
        <v>陈师傅</v>
      </c>
      <c r="AO129" s="0" t="str">
        <f aca="false">IFERROR(INDEX($A$1:$A$5,MATCH(4,$AF129:$AJ129,0)),IF(4=MAX($AF129:$AJ129)+1,"取消",""))</f>
        <v>刘师傅</v>
      </c>
      <c r="AP129" s="0" t="str">
        <f aca="false">IFERROR(INDEX($A$1:$A$5,MATCH(5,$AF129:$AJ129,0)),IF(5=MAX($AF129:$AJ129)+1,"取消",""))</f>
        <v>取消</v>
      </c>
      <c r="AQ129" s="0" t="str">
        <f aca="false">IFERROR(INDEX($A$1:$A$5,MATCH(6,$AF129:$AJ129,0)),IF(6=MAX($AF129:$AJ129)+1,"取消",""))</f>
        <v/>
      </c>
      <c r="AS129" s="0" t="n">
        <f aca="false">IF(OR($A$1=公区维修!$F129,$A$1=公区维修!$G129,$BN$1=1),0,1-SUMPRODUCT(--(($A$1=公区维修!$F129)+($A$1=公区维修!$G129)+$BN$1&gt;0)))</f>
        <v>0</v>
      </c>
      <c r="AT129" s="0" t="n">
        <f aca="false">IF(OR($A$2=公区维修!$F129,$A$2=公区维修!$G129,$BN$2=1),0,2-SUMPRODUCT(--(($A$1:$A$2=公区维修!$F129)+($A$1:$A$2=公区维修!$G129)+$BN$1:$BN$2&gt;0)))</f>
        <v>1</v>
      </c>
      <c r="AU129" s="0" t="n">
        <f aca="false">IF(OR($A$3=公区维修!$F129,$A$3=公区维修!$G129,$BN$3=1),0,3-SUMPRODUCT(--(($A$1:$A$3=公区维修!$F129)+($A$1:$A$3=公区维修!$G129)+$BN$1:$BN$3&gt;0)))</f>
        <v>2</v>
      </c>
      <c r="AV129" s="0" t="n">
        <f aca="false">IF(OR($A$4=公区维修!$F129,$A$4=公区维修!$G129,$BN$4=1),0,4-SUMPRODUCT(--(($A$1:$A$4=公区维修!$F129)+($A$1:$A$4=公区维修!$G129)+$BN$1:$BN$4&gt;0)))</f>
        <v>3</v>
      </c>
      <c r="AW129" s="0" t="n">
        <f aca="false">IF(OR($A$5=公区维修!$F129,$A$5=公区维修!$G129,$BN$5=1),0,5-SUMPRODUCT(--(($A$1:$A$5=公区维修!$F129)+($A$1:$A$5=公区维修!$G129)+$BN$1:$BN$5&gt;0)))</f>
        <v>4</v>
      </c>
      <c r="AY129" s="0" t="str">
        <f aca="false">IFERROR(INDEX($A$1:$A$5,MATCH(1,$AS129:$AW129,0)),IF(1=MAX($AS129:$AW129)+1,"取消",""))</f>
        <v>李师傅</v>
      </c>
      <c r="AZ129" s="0" t="str">
        <f aca="false">IFERROR(INDEX($A$1:$A$5,MATCH(2,$AS129:$AW129,0)),IF(2=MAX($AS129:$AW129)+1,"取消",""))</f>
        <v>王师傅</v>
      </c>
      <c r="BA129" s="0" t="str">
        <f aca="false">IFERROR(INDEX($A$1:$A$5,MATCH(3,$AS129:$AW129,0)),IF(3=MAX($AS129:$AW129)+1,"取消",""))</f>
        <v>陈师傅</v>
      </c>
      <c r="BB129" s="0" t="str">
        <f aca="false">IFERROR(INDEX($A$1:$A$5,MATCH(4,$AS129:$AW129,0)),IF(4=MAX($AS129:$AW129)+1,"取消",""))</f>
        <v>刘师傅</v>
      </c>
      <c r="BC129" s="0" t="str">
        <f aca="false">IFERROR(INDEX($A$1:$A$5,MATCH(5,$AS129:$AW129,0)),IF(5=MAX($AS129:$AW129)+1,"取消",""))</f>
        <v>取消</v>
      </c>
      <c r="BD129" s="0" t="str">
        <f aca="false">IFERROR(INDEX($A$1:$A$5,MATCH(6,$AS129:$AW129,0)),IF(6=MAX($AS129:$AW129)+1,"取消",""))</f>
        <v/>
      </c>
      <c r="FW129" s="0" t="str">
        <f aca="false">IF(AND(单元查询!$D$3&lt;&gt;"",IF(单元查询!$B$3="公区维修",公区维修!$E129&lt;&gt;"",入户维修!$E129&lt;&gt;""),IF(单元查询!$B$3="公区维修",公区维修!$C129,入户维修!$C129)=单元查询!$D$3,OR(单元查询!$F$3="",IF(单元查询!$B$3="公区维修",公区维修!$D129,入户维修!$D129)&amp;""=(单元查询!$F$3)&amp;"")),MAX($FW$4:$FW128)+1,"")</f>
        <v/>
      </c>
    </row>
    <row r="130" customFormat="false" ht="15" hidden="false" customHeight="true" outlineLevel="0" collapsed="false">
      <c r="F130" s="0" t="n">
        <f aca="false">IF(OR($A$1=入户维修!$F130,$BN$1=1),0,1-SUMPRODUCT(--(($A$1=入户维修!$F130)+$BN$1&gt;0)))</f>
        <v>0</v>
      </c>
      <c r="G130" s="0" t="n">
        <f aca="false">IF(OR($A$2=入户维修!$F130,$BN$2=1),0,2-SUMPRODUCT(--(($A$1:$A$2=入户维修!$F130)+$BN$1:$BN$2&gt;0)))</f>
        <v>1</v>
      </c>
      <c r="H130" s="0" t="n">
        <f aca="false">IF(OR($A$3=入户维修!$F130,$BN$3=1),0,3-SUMPRODUCT(--(($A$1:$A$3=入户维修!$F130)+$BN$1:$BN$3&gt;0)))</f>
        <v>2</v>
      </c>
      <c r="I130" s="0" t="n">
        <f aca="false">IF(OR($A$4=入户维修!$F130,$BN$4=1),0,4-SUMPRODUCT(--(($A$1:$A$4=入户维修!$F130)+$BN$1:$BN$4&gt;0)))</f>
        <v>3</v>
      </c>
      <c r="J130" s="0" t="n">
        <f aca="false">IF(OR($A$5=入户维修!$F130,$BN$5=1),0,5-SUMPRODUCT(--(($A$1:$A$5=入户维修!$F130)+$BN$1:$BN$5&gt;0)))</f>
        <v>4</v>
      </c>
      <c r="L130" s="0" t="str">
        <f aca="false">IFERROR(INDEX($A$1:$A$5,MATCH(1,$F130:$J130,0)),IF(1=MAX($F130:$J130)+1,"取消",""))</f>
        <v>李师傅</v>
      </c>
      <c r="M130" s="0" t="str">
        <f aca="false">IFERROR(INDEX($A$1:$A$5,MATCH(2,$F130:$J130,0)),IF(2=MAX($F130:$J130)+1,"取消",""))</f>
        <v>王师傅</v>
      </c>
      <c r="N130" s="0" t="str">
        <f aca="false">IFERROR(INDEX($A$1:$A$5,MATCH(3,$F130:$J130,0)),IF(3=MAX($F130:$J130)+1,"取消",""))</f>
        <v>陈师傅</v>
      </c>
      <c r="O130" s="0" t="str">
        <f aca="false">IFERROR(INDEX($A$1:$A$5,MATCH(4,$F130:$J130,0)),IF(4=MAX($F130:$J130)+1,"取消",""))</f>
        <v>刘师傅</v>
      </c>
      <c r="P130" s="0" t="str">
        <f aca="false">IFERROR(INDEX($A$1:$A$5,MATCH(5,$F130:$J130,0)),IF(5=MAX($F130:$J130)+1,"取消",""))</f>
        <v>取消</v>
      </c>
      <c r="Q130" s="0" t="str">
        <f aca="false">IFERROR(INDEX($A$1:$A$5,MATCH(6,$F130:$J130,0)),IF(6=MAX($F130:$J130)+1,"取消",""))</f>
        <v/>
      </c>
      <c r="S130" s="0" t="n">
        <f aca="false">IF(OR($A$1=入户维修!$F130,$A$1=入户维修!$G130,$BN$1=1),0,1-SUMPRODUCT(--(($A$1=入户维修!$F130)+($A$1=入户维修!$G130)+$BN$1&gt;0)))</f>
        <v>0</v>
      </c>
      <c r="T130" s="0" t="n">
        <f aca="false">IF(OR($A$2=入户维修!$F130,$A$2=入户维修!$G130,$BN$2=1),0,2-SUMPRODUCT(--(($A$1:$A$2=入户维修!$F130)+($A$1:$A$2=入户维修!$G130)+$BN$1:$BN$2&gt;0)))</f>
        <v>1</v>
      </c>
      <c r="U130" s="0" t="n">
        <f aca="false">IF(OR($A$3=入户维修!$F130,$A$3=入户维修!$G130,$BN$3=1),0,3-SUMPRODUCT(--(($A$1:$A$3=入户维修!$F130)+($A$1:$A$3=入户维修!$G130)+$BN$1:$BN$3&gt;0)))</f>
        <v>2</v>
      </c>
      <c r="V130" s="0" t="n">
        <f aca="false">IF(OR($A$4=入户维修!$F130,$A$4=入户维修!$G130,$BN$4=1),0,4-SUMPRODUCT(--(($A$1:$A$4=入户维修!$F130)+($A$1:$A$4=入户维修!$G130)+$BN$1:$BN$4&gt;0)))</f>
        <v>3</v>
      </c>
      <c r="W130" s="0" t="n">
        <f aca="false">IF(OR($A$5=入户维修!$F130,$A$5=入户维修!$G130,$BN$5=1),0,5-SUMPRODUCT(--(($A$1:$A$5=入户维修!$F130)+($A$1:$A$5=入户维修!$G130)+$BN$1:$BN$5&gt;0)))</f>
        <v>4</v>
      </c>
      <c r="Y130" s="0" t="str">
        <f aca="false">IFERROR(INDEX($A$1:$A$5,MATCH(1,$S130:$W130,0)),IF(1=MAX($S130:$W130)+1,"取消",""))</f>
        <v>李师傅</v>
      </c>
      <c r="Z130" s="0" t="str">
        <f aca="false">IFERROR(INDEX($A$1:$A$5,MATCH(2,$S130:$W130,0)),IF(2=MAX($S130:$W130)+1,"取消",""))</f>
        <v>王师傅</v>
      </c>
      <c r="AA130" s="0" t="str">
        <f aca="false">IFERROR(INDEX($A$1:$A$5,MATCH(3,$S130:$W130,0)),IF(3=MAX($S130:$W130)+1,"取消",""))</f>
        <v>陈师傅</v>
      </c>
      <c r="AB130" s="0" t="str">
        <f aca="false">IFERROR(INDEX($A$1:$A$5,MATCH(4,$S130:$W130,0)),IF(4=MAX($S130:$W130)+1,"取消",""))</f>
        <v>刘师傅</v>
      </c>
      <c r="AC130" s="0" t="str">
        <f aca="false">IFERROR(INDEX($A$1:$A$5,MATCH(5,$S130:$W130,0)),IF(5=MAX($S130:$W130)+1,"取消",""))</f>
        <v>取消</v>
      </c>
      <c r="AD130" s="0" t="str">
        <f aca="false">IFERROR(INDEX($A$1:$A$5,MATCH(6,$S130:$W130,0)),IF(6=MAX($S130:$W130)+1,"取消",""))</f>
        <v/>
      </c>
      <c r="AF130" s="0" t="n">
        <f aca="false">IF(OR($A$1=公区维修!$F130,$BN$1=1),0,1-SUMPRODUCT(--(($A$1=公区维修!$F130)+$BN$1&gt;0)))</f>
        <v>0</v>
      </c>
      <c r="AG130" s="0" t="n">
        <f aca="false">IF(OR($A$2=公区维修!$F130,$BN$2=1),0,2-SUMPRODUCT(--(($A$1:$A$2=公区维修!$F130)+$BN$1:$BN$2&gt;0)))</f>
        <v>1</v>
      </c>
      <c r="AH130" s="0" t="n">
        <f aca="false">IF(OR($A$3=公区维修!$F130,$BN$3=1),0,3-SUMPRODUCT(--(($A$1:$A$3=公区维修!$F130)+$BN$1:$BN$3&gt;0)))</f>
        <v>2</v>
      </c>
      <c r="AI130" s="0" t="n">
        <f aca="false">IF(OR($A$4=公区维修!$F130,$BN$4=1),0,4-SUMPRODUCT(--(($A$1:$A$4=公区维修!$F130)+$BN$1:$BN$4&gt;0)))</f>
        <v>3</v>
      </c>
      <c r="AJ130" s="0" t="n">
        <f aca="false">IF(OR($A$5=公区维修!$F130,$BN$5=1),0,5-SUMPRODUCT(--(($A$1:$A$5=公区维修!$F130)+$BN$1:$BN$5&gt;0)))</f>
        <v>4</v>
      </c>
      <c r="AL130" s="0" t="str">
        <f aca="false">IFERROR(INDEX($A$1:$A$5,MATCH(1,$AF130:$AJ130,0)),IF(1=MAX($AF130:$AJ130)+1,"取消",""))</f>
        <v>李师傅</v>
      </c>
      <c r="AM130" s="0" t="str">
        <f aca="false">IFERROR(INDEX($A$1:$A$5,MATCH(2,$AF130:$AJ130,0)),IF(2=MAX($AF130:$AJ130)+1,"取消",""))</f>
        <v>王师傅</v>
      </c>
      <c r="AN130" s="0" t="str">
        <f aca="false">IFERROR(INDEX($A$1:$A$5,MATCH(3,$AF130:$AJ130,0)),IF(3=MAX($AF130:$AJ130)+1,"取消",""))</f>
        <v>陈师傅</v>
      </c>
      <c r="AO130" s="0" t="str">
        <f aca="false">IFERROR(INDEX($A$1:$A$5,MATCH(4,$AF130:$AJ130,0)),IF(4=MAX($AF130:$AJ130)+1,"取消",""))</f>
        <v>刘师傅</v>
      </c>
      <c r="AP130" s="0" t="str">
        <f aca="false">IFERROR(INDEX($A$1:$A$5,MATCH(5,$AF130:$AJ130,0)),IF(5=MAX($AF130:$AJ130)+1,"取消",""))</f>
        <v>取消</v>
      </c>
      <c r="AQ130" s="0" t="str">
        <f aca="false">IFERROR(INDEX($A$1:$A$5,MATCH(6,$AF130:$AJ130,0)),IF(6=MAX($AF130:$AJ130)+1,"取消",""))</f>
        <v/>
      </c>
      <c r="AS130" s="0" t="n">
        <f aca="false">IF(OR($A$1=公区维修!$F130,$A$1=公区维修!$G130,$BN$1=1),0,1-SUMPRODUCT(--(($A$1=公区维修!$F130)+($A$1=公区维修!$G130)+$BN$1&gt;0)))</f>
        <v>0</v>
      </c>
      <c r="AT130" s="0" t="n">
        <f aca="false">IF(OR($A$2=公区维修!$F130,$A$2=公区维修!$G130,$BN$2=1),0,2-SUMPRODUCT(--(($A$1:$A$2=公区维修!$F130)+($A$1:$A$2=公区维修!$G130)+$BN$1:$BN$2&gt;0)))</f>
        <v>1</v>
      </c>
      <c r="AU130" s="0" t="n">
        <f aca="false">IF(OR($A$3=公区维修!$F130,$A$3=公区维修!$G130,$BN$3=1),0,3-SUMPRODUCT(--(($A$1:$A$3=公区维修!$F130)+($A$1:$A$3=公区维修!$G130)+$BN$1:$BN$3&gt;0)))</f>
        <v>2</v>
      </c>
      <c r="AV130" s="0" t="n">
        <f aca="false">IF(OR($A$4=公区维修!$F130,$A$4=公区维修!$G130,$BN$4=1),0,4-SUMPRODUCT(--(($A$1:$A$4=公区维修!$F130)+($A$1:$A$4=公区维修!$G130)+$BN$1:$BN$4&gt;0)))</f>
        <v>3</v>
      </c>
      <c r="AW130" s="0" t="n">
        <f aca="false">IF(OR($A$5=公区维修!$F130,$A$5=公区维修!$G130,$BN$5=1),0,5-SUMPRODUCT(--(($A$1:$A$5=公区维修!$F130)+($A$1:$A$5=公区维修!$G130)+$BN$1:$BN$5&gt;0)))</f>
        <v>4</v>
      </c>
      <c r="AY130" s="0" t="str">
        <f aca="false">IFERROR(INDEX($A$1:$A$5,MATCH(1,$AS130:$AW130,0)),IF(1=MAX($AS130:$AW130)+1,"取消",""))</f>
        <v>李师傅</v>
      </c>
      <c r="AZ130" s="0" t="str">
        <f aca="false">IFERROR(INDEX($A$1:$A$5,MATCH(2,$AS130:$AW130,0)),IF(2=MAX($AS130:$AW130)+1,"取消",""))</f>
        <v>王师傅</v>
      </c>
      <c r="BA130" s="0" t="str">
        <f aca="false">IFERROR(INDEX($A$1:$A$5,MATCH(3,$AS130:$AW130,0)),IF(3=MAX($AS130:$AW130)+1,"取消",""))</f>
        <v>陈师傅</v>
      </c>
      <c r="BB130" s="0" t="str">
        <f aca="false">IFERROR(INDEX($A$1:$A$5,MATCH(4,$AS130:$AW130,0)),IF(4=MAX($AS130:$AW130)+1,"取消",""))</f>
        <v>刘师傅</v>
      </c>
      <c r="BC130" s="0" t="str">
        <f aca="false">IFERROR(INDEX($A$1:$A$5,MATCH(5,$AS130:$AW130,0)),IF(5=MAX($AS130:$AW130)+1,"取消",""))</f>
        <v>取消</v>
      </c>
      <c r="BD130" s="0" t="str">
        <f aca="false">IFERROR(INDEX($A$1:$A$5,MATCH(6,$AS130:$AW130,0)),IF(6=MAX($AS130:$AW130)+1,"取消",""))</f>
        <v/>
      </c>
      <c r="FW130" s="0" t="str">
        <f aca="false">IF(AND(单元查询!$D$3&lt;&gt;"",IF(单元查询!$B$3="公区维修",公区维修!$E130&lt;&gt;"",入户维修!$E130&lt;&gt;""),IF(单元查询!$B$3="公区维修",公区维修!$C130,入户维修!$C130)=单元查询!$D$3,OR(单元查询!$F$3="",IF(单元查询!$B$3="公区维修",公区维修!$D130,入户维修!$D130)&amp;""=(单元查询!$F$3)&amp;"")),MAX($FW$4:$FW129)+1,"")</f>
        <v/>
      </c>
    </row>
    <row r="131" customFormat="false" ht="15" hidden="false" customHeight="true" outlineLevel="0" collapsed="false">
      <c r="F131" s="0" t="n">
        <f aca="false">IF(OR($A$1=入户维修!$F131,$BN$1=1),0,1-SUMPRODUCT(--(($A$1=入户维修!$F131)+$BN$1&gt;0)))</f>
        <v>0</v>
      </c>
      <c r="G131" s="0" t="n">
        <f aca="false">IF(OR($A$2=入户维修!$F131,$BN$2=1),0,2-SUMPRODUCT(--(($A$1:$A$2=入户维修!$F131)+$BN$1:$BN$2&gt;0)))</f>
        <v>1</v>
      </c>
      <c r="H131" s="0" t="n">
        <f aca="false">IF(OR($A$3=入户维修!$F131,$BN$3=1),0,3-SUMPRODUCT(--(($A$1:$A$3=入户维修!$F131)+$BN$1:$BN$3&gt;0)))</f>
        <v>2</v>
      </c>
      <c r="I131" s="0" t="n">
        <f aca="false">IF(OR($A$4=入户维修!$F131,$BN$4=1),0,4-SUMPRODUCT(--(($A$1:$A$4=入户维修!$F131)+$BN$1:$BN$4&gt;0)))</f>
        <v>3</v>
      </c>
      <c r="J131" s="0" t="n">
        <f aca="false">IF(OR($A$5=入户维修!$F131,$BN$5=1),0,5-SUMPRODUCT(--(($A$1:$A$5=入户维修!$F131)+$BN$1:$BN$5&gt;0)))</f>
        <v>4</v>
      </c>
      <c r="L131" s="0" t="str">
        <f aca="false">IFERROR(INDEX($A$1:$A$5,MATCH(1,$F131:$J131,0)),IF(1=MAX($F131:$J131)+1,"取消",""))</f>
        <v>李师傅</v>
      </c>
      <c r="M131" s="0" t="str">
        <f aca="false">IFERROR(INDEX($A$1:$A$5,MATCH(2,$F131:$J131,0)),IF(2=MAX($F131:$J131)+1,"取消",""))</f>
        <v>王师傅</v>
      </c>
      <c r="N131" s="0" t="str">
        <f aca="false">IFERROR(INDEX($A$1:$A$5,MATCH(3,$F131:$J131,0)),IF(3=MAX($F131:$J131)+1,"取消",""))</f>
        <v>陈师傅</v>
      </c>
      <c r="O131" s="0" t="str">
        <f aca="false">IFERROR(INDEX($A$1:$A$5,MATCH(4,$F131:$J131,0)),IF(4=MAX($F131:$J131)+1,"取消",""))</f>
        <v>刘师傅</v>
      </c>
      <c r="P131" s="0" t="str">
        <f aca="false">IFERROR(INDEX($A$1:$A$5,MATCH(5,$F131:$J131,0)),IF(5=MAX($F131:$J131)+1,"取消",""))</f>
        <v>取消</v>
      </c>
      <c r="Q131" s="0" t="str">
        <f aca="false">IFERROR(INDEX($A$1:$A$5,MATCH(6,$F131:$J131,0)),IF(6=MAX($F131:$J131)+1,"取消",""))</f>
        <v/>
      </c>
      <c r="S131" s="0" t="n">
        <f aca="false">IF(OR($A$1=入户维修!$F131,$A$1=入户维修!$G131,$BN$1=1),0,1-SUMPRODUCT(--(($A$1=入户维修!$F131)+($A$1=入户维修!$G131)+$BN$1&gt;0)))</f>
        <v>0</v>
      </c>
      <c r="T131" s="0" t="n">
        <f aca="false">IF(OR($A$2=入户维修!$F131,$A$2=入户维修!$G131,$BN$2=1),0,2-SUMPRODUCT(--(($A$1:$A$2=入户维修!$F131)+($A$1:$A$2=入户维修!$G131)+$BN$1:$BN$2&gt;0)))</f>
        <v>1</v>
      </c>
      <c r="U131" s="0" t="n">
        <f aca="false">IF(OR($A$3=入户维修!$F131,$A$3=入户维修!$G131,$BN$3=1),0,3-SUMPRODUCT(--(($A$1:$A$3=入户维修!$F131)+($A$1:$A$3=入户维修!$G131)+$BN$1:$BN$3&gt;0)))</f>
        <v>2</v>
      </c>
      <c r="V131" s="0" t="n">
        <f aca="false">IF(OR($A$4=入户维修!$F131,$A$4=入户维修!$G131,$BN$4=1),0,4-SUMPRODUCT(--(($A$1:$A$4=入户维修!$F131)+($A$1:$A$4=入户维修!$G131)+$BN$1:$BN$4&gt;0)))</f>
        <v>3</v>
      </c>
      <c r="W131" s="0" t="n">
        <f aca="false">IF(OR($A$5=入户维修!$F131,$A$5=入户维修!$G131,$BN$5=1),0,5-SUMPRODUCT(--(($A$1:$A$5=入户维修!$F131)+($A$1:$A$5=入户维修!$G131)+$BN$1:$BN$5&gt;0)))</f>
        <v>4</v>
      </c>
      <c r="Y131" s="0" t="str">
        <f aca="false">IFERROR(INDEX($A$1:$A$5,MATCH(1,$S131:$W131,0)),IF(1=MAX($S131:$W131)+1,"取消",""))</f>
        <v>李师傅</v>
      </c>
      <c r="Z131" s="0" t="str">
        <f aca="false">IFERROR(INDEX($A$1:$A$5,MATCH(2,$S131:$W131,0)),IF(2=MAX($S131:$W131)+1,"取消",""))</f>
        <v>王师傅</v>
      </c>
      <c r="AA131" s="0" t="str">
        <f aca="false">IFERROR(INDEX($A$1:$A$5,MATCH(3,$S131:$W131,0)),IF(3=MAX($S131:$W131)+1,"取消",""))</f>
        <v>陈师傅</v>
      </c>
      <c r="AB131" s="0" t="str">
        <f aca="false">IFERROR(INDEX($A$1:$A$5,MATCH(4,$S131:$W131,0)),IF(4=MAX($S131:$W131)+1,"取消",""))</f>
        <v>刘师傅</v>
      </c>
      <c r="AC131" s="0" t="str">
        <f aca="false">IFERROR(INDEX($A$1:$A$5,MATCH(5,$S131:$W131,0)),IF(5=MAX($S131:$W131)+1,"取消",""))</f>
        <v>取消</v>
      </c>
      <c r="AD131" s="0" t="str">
        <f aca="false">IFERROR(INDEX($A$1:$A$5,MATCH(6,$S131:$W131,0)),IF(6=MAX($S131:$W131)+1,"取消",""))</f>
        <v/>
      </c>
      <c r="AF131" s="0" t="n">
        <f aca="false">IF(OR($A$1=公区维修!$F131,$BN$1=1),0,1-SUMPRODUCT(--(($A$1=公区维修!$F131)+$BN$1&gt;0)))</f>
        <v>0</v>
      </c>
      <c r="AG131" s="0" t="n">
        <f aca="false">IF(OR($A$2=公区维修!$F131,$BN$2=1),0,2-SUMPRODUCT(--(($A$1:$A$2=公区维修!$F131)+$BN$1:$BN$2&gt;0)))</f>
        <v>1</v>
      </c>
      <c r="AH131" s="0" t="n">
        <f aca="false">IF(OR($A$3=公区维修!$F131,$BN$3=1),0,3-SUMPRODUCT(--(($A$1:$A$3=公区维修!$F131)+$BN$1:$BN$3&gt;0)))</f>
        <v>2</v>
      </c>
      <c r="AI131" s="0" t="n">
        <f aca="false">IF(OR($A$4=公区维修!$F131,$BN$4=1),0,4-SUMPRODUCT(--(($A$1:$A$4=公区维修!$F131)+$BN$1:$BN$4&gt;0)))</f>
        <v>3</v>
      </c>
      <c r="AJ131" s="0" t="n">
        <f aca="false">IF(OR($A$5=公区维修!$F131,$BN$5=1),0,5-SUMPRODUCT(--(($A$1:$A$5=公区维修!$F131)+$BN$1:$BN$5&gt;0)))</f>
        <v>4</v>
      </c>
      <c r="AL131" s="0" t="str">
        <f aca="false">IFERROR(INDEX($A$1:$A$5,MATCH(1,$AF131:$AJ131,0)),IF(1=MAX($AF131:$AJ131)+1,"取消",""))</f>
        <v>李师傅</v>
      </c>
      <c r="AM131" s="0" t="str">
        <f aca="false">IFERROR(INDEX($A$1:$A$5,MATCH(2,$AF131:$AJ131,0)),IF(2=MAX($AF131:$AJ131)+1,"取消",""))</f>
        <v>王师傅</v>
      </c>
      <c r="AN131" s="0" t="str">
        <f aca="false">IFERROR(INDEX($A$1:$A$5,MATCH(3,$AF131:$AJ131,0)),IF(3=MAX($AF131:$AJ131)+1,"取消",""))</f>
        <v>陈师傅</v>
      </c>
      <c r="AO131" s="0" t="str">
        <f aca="false">IFERROR(INDEX($A$1:$A$5,MATCH(4,$AF131:$AJ131,0)),IF(4=MAX($AF131:$AJ131)+1,"取消",""))</f>
        <v>刘师傅</v>
      </c>
      <c r="AP131" s="0" t="str">
        <f aca="false">IFERROR(INDEX($A$1:$A$5,MATCH(5,$AF131:$AJ131,0)),IF(5=MAX($AF131:$AJ131)+1,"取消",""))</f>
        <v>取消</v>
      </c>
      <c r="AQ131" s="0" t="str">
        <f aca="false">IFERROR(INDEX($A$1:$A$5,MATCH(6,$AF131:$AJ131,0)),IF(6=MAX($AF131:$AJ131)+1,"取消",""))</f>
        <v/>
      </c>
      <c r="AS131" s="0" t="n">
        <f aca="false">IF(OR($A$1=公区维修!$F131,$A$1=公区维修!$G131,$BN$1=1),0,1-SUMPRODUCT(--(($A$1=公区维修!$F131)+($A$1=公区维修!$G131)+$BN$1&gt;0)))</f>
        <v>0</v>
      </c>
      <c r="AT131" s="0" t="n">
        <f aca="false">IF(OR($A$2=公区维修!$F131,$A$2=公区维修!$G131,$BN$2=1),0,2-SUMPRODUCT(--(($A$1:$A$2=公区维修!$F131)+($A$1:$A$2=公区维修!$G131)+$BN$1:$BN$2&gt;0)))</f>
        <v>1</v>
      </c>
      <c r="AU131" s="0" t="n">
        <f aca="false">IF(OR($A$3=公区维修!$F131,$A$3=公区维修!$G131,$BN$3=1),0,3-SUMPRODUCT(--(($A$1:$A$3=公区维修!$F131)+($A$1:$A$3=公区维修!$G131)+$BN$1:$BN$3&gt;0)))</f>
        <v>2</v>
      </c>
      <c r="AV131" s="0" t="n">
        <f aca="false">IF(OR($A$4=公区维修!$F131,$A$4=公区维修!$G131,$BN$4=1),0,4-SUMPRODUCT(--(($A$1:$A$4=公区维修!$F131)+($A$1:$A$4=公区维修!$G131)+$BN$1:$BN$4&gt;0)))</f>
        <v>3</v>
      </c>
      <c r="AW131" s="0" t="n">
        <f aca="false">IF(OR($A$5=公区维修!$F131,$A$5=公区维修!$G131,$BN$5=1),0,5-SUMPRODUCT(--(($A$1:$A$5=公区维修!$F131)+($A$1:$A$5=公区维修!$G131)+$BN$1:$BN$5&gt;0)))</f>
        <v>4</v>
      </c>
      <c r="AY131" s="0" t="str">
        <f aca="false">IFERROR(INDEX($A$1:$A$5,MATCH(1,$AS131:$AW131,0)),IF(1=MAX($AS131:$AW131)+1,"取消",""))</f>
        <v>李师傅</v>
      </c>
      <c r="AZ131" s="0" t="str">
        <f aca="false">IFERROR(INDEX($A$1:$A$5,MATCH(2,$AS131:$AW131,0)),IF(2=MAX($AS131:$AW131)+1,"取消",""))</f>
        <v>王师傅</v>
      </c>
      <c r="BA131" s="0" t="str">
        <f aca="false">IFERROR(INDEX($A$1:$A$5,MATCH(3,$AS131:$AW131,0)),IF(3=MAX($AS131:$AW131)+1,"取消",""))</f>
        <v>陈师傅</v>
      </c>
      <c r="BB131" s="0" t="str">
        <f aca="false">IFERROR(INDEX($A$1:$A$5,MATCH(4,$AS131:$AW131,0)),IF(4=MAX($AS131:$AW131)+1,"取消",""))</f>
        <v>刘师傅</v>
      </c>
      <c r="BC131" s="0" t="str">
        <f aca="false">IFERROR(INDEX($A$1:$A$5,MATCH(5,$AS131:$AW131,0)),IF(5=MAX($AS131:$AW131)+1,"取消",""))</f>
        <v>取消</v>
      </c>
      <c r="BD131" s="0" t="str">
        <f aca="false">IFERROR(INDEX($A$1:$A$5,MATCH(6,$AS131:$AW131,0)),IF(6=MAX($AS131:$AW131)+1,"取消",""))</f>
        <v/>
      </c>
      <c r="FW131" s="0" t="str">
        <f aca="false">IF(AND(单元查询!$D$3&lt;&gt;"",IF(单元查询!$B$3="公区维修",公区维修!$E131&lt;&gt;"",入户维修!$E131&lt;&gt;""),IF(单元查询!$B$3="公区维修",公区维修!$C131,入户维修!$C131)=单元查询!$D$3,OR(单元查询!$F$3="",IF(单元查询!$B$3="公区维修",公区维修!$D131,入户维修!$D131)&amp;""=(单元查询!$F$3)&amp;"")),MAX($FW$4:$FW130)+1,"")</f>
        <v/>
      </c>
    </row>
    <row r="132" customFormat="false" ht="15" hidden="false" customHeight="true" outlineLevel="0" collapsed="false">
      <c r="F132" s="0" t="n">
        <f aca="false">IF(OR($A$1=入户维修!$F132,$BN$1=1),0,1-SUMPRODUCT(--(($A$1=入户维修!$F132)+$BN$1&gt;0)))</f>
        <v>0</v>
      </c>
      <c r="G132" s="0" t="n">
        <f aca="false">IF(OR($A$2=入户维修!$F132,$BN$2=1),0,2-SUMPRODUCT(--(($A$1:$A$2=入户维修!$F132)+$BN$1:$BN$2&gt;0)))</f>
        <v>1</v>
      </c>
      <c r="H132" s="0" t="n">
        <f aca="false">IF(OR($A$3=入户维修!$F132,$BN$3=1),0,3-SUMPRODUCT(--(($A$1:$A$3=入户维修!$F132)+$BN$1:$BN$3&gt;0)))</f>
        <v>2</v>
      </c>
      <c r="I132" s="0" t="n">
        <f aca="false">IF(OR($A$4=入户维修!$F132,$BN$4=1),0,4-SUMPRODUCT(--(($A$1:$A$4=入户维修!$F132)+$BN$1:$BN$4&gt;0)))</f>
        <v>3</v>
      </c>
      <c r="J132" s="0" t="n">
        <f aca="false">IF(OR($A$5=入户维修!$F132,$BN$5=1),0,5-SUMPRODUCT(--(($A$1:$A$5=入户维修!$F132)+$BN$1:$BN$5&gt;0)))</f>
        <v>4</v>
      </c>
      <c r="L132" s="0" t="str">
        <f aca="false">IFERROR(INDEX($A$1:$A$5,MATCH(1,$F132:$J132,0)),IF(1=MAX($F132:$J132)+1,"取消",""))</f>
        <v>李师傅</v>
      </c>
      <c r="M132" s="0" t="str">
        <f aca="false">IFERROR(INDEX($A$1:$A$5,MATCH(2,$F132:$J132,0)),IF(2=MAX($F132:$J132)+1,"取消",""))</f>
        <v>王师傅</v>
      </c>
      <c r="N132" s="0" t="str">
        <f aca="false">IFERROR(INDEX($A$1:$A$5,MATCH(3,$F132:$J132,0)),IF(3=MAX($F132:$J132)+1,"取消",""))</f>
        <v>陈师傅</v>
      </c>
      <c r="O132" s="0" t="str">
        <f aca="false">IFERROR(INDEX($A$1:$A$5,MATCH(4,$F132:$J132,0)),IF(4=MAX($F132:$J132)+1,"取消",""))</f>
        <v>刘师傅</v>
      </c>
      <c r="P132" s="0" t="str">
        <f aca="false">IFERROR(INDEX($A$1:$A$5,MATCH(5,$F132:$J132,0)),IF(5=MAX($F132:$J132)+1,"取消",""))</f>
        <v>取消</v>
      </c>
      <c r="Q132" s="0" t="str">
        <f aca="false">IFERROR(INDEX($A$1:$A$5,MATCH(6,$F132:$J132,0)),IF(6=MAX($F132:$J132)+1,"取消",""))</f>
        <v/>
      </c>
      <c r="S132" s="0" t="n">
        <f aca="false">IF(OR($A$1=入户维修!$F132,$A$1=入户维修!$G132,$BN$1=1),0,1-SUMPRODUCT(--(($A$1=入户维修!$F132)+($A$1=入户维修!$G132)+$BN$1&gt;0)))</f>
        <v>0</v>
      </c>
      <c r="T132" s="0" t="n">
        <f aca="false">IF(OR($A$2=入户维修!$F132,$A$2=入户维修!$G132,$BN$2=1),0,2-SUMPRODUCT(--(($A$1:$A$2=入户维修!$F132)+($A$1:$A$2=入户维修!$G132)+$BN$1:$BN$2&gt;0)))</f>
        <v>1</v>
      </c>
      <c r="U132" s="0" t="n">
        <f aca="false">IF(OR($A$3=入户维修!$F132,$A$3=入户维修!$G132,$BN$3=1),0,3-SUMPRODUCT(--(($A$1:$A$3=入户维修!$F132)+($A$1:$A$3=入户维修!$G132)+$BN$1:$BN$3&gt;0)))</f>
        <v>2</v>
      </c>
      <c r="V132" s="0" t="n">
        <f aca="false">IF(OR($A$4=入户维修!$F132,$A$4=入户维修!$G132,$BN$4=1),0,4-SUMPRODUCT(--(($A$1:$A$4=入户维修!$F132)+($A$1:$A$4=入户维修!$G132)+$BN$1:$BN$4&gt;0)))</f>
        <v>3</v>
      </c>
      <c r="W132" s="0" t="n">
        <f aca="false">IF(OR($A$5=入户维修!$F132,$A$5=入户维修!$G132,$BN$5=1),0,5-SUMPRODUCT(--(($A$1:$A$5=入户维修!$F132)+($A$1:$A$5=入户维修!$G132)+$BN$1:$BN$5&gt;0)))</f>
        <v>4</v>
      </c>
      <c r="Y132" s="0" t="str">
        <f aca="false">IFERROR(INDEX($A$1:$A$5,MATCH(1,$S132:$W132,0)),IF(1=MAX($S132:$W132)+1,"取消",""))</f>
        <v>李师傅</v>
      </c>
      <c r="Z132" s="0" t="str">
        <f aca="false">IFERROR(INDEX($A$1:$A$5,MATCH(2,$S132:$W132,0)),IF(2=MAX($S132:$W132)+1,"取消",""))</f>
        <v>王师傅</v>
      </c>
      <c r="AA132" s="0" t="str">
        <f aca="false">IFERROR(INDEX($A$1:$A$5,MATCH(3,$S132:$W132,0)),IF(3=MAX($S132:$W132)+1,"取消",""))</f>
        <v>陈师傅</v>
      </c>
      <c r="AB132" s="0" t="str">
        <f aca="false">IFERROR(INDEX($A$1:$A$5,MATCH(4,$S132:$W132,0)),IF(4=MAX($S132:$W132)+1,"取消",""))</f>
        <v>刘师傅</v>
      </c>
      <c r="AC132" s="0" t="str">
        <f aca="false">IFERROR(INDEX($A$1:$A$5,MATCH(5,$S132:$W132,0)),IF(5=MAX($S132:$W132)+1,"取消",""))</f>
        <v>取消</v>
      </c>
      <c r="AD132" s="0" t="str">
        <f aca="false">IFERROR(INDEX($A$1:$A$5,MATCH(6,$S132:$W132,0)),IF(6=MAX($S132:$W132)+1,"取消",""))</f>
        <v/>
      </c>
      <c r="AF132" s="0" t="n">
        <f aca="false">IF(OR($A$1=公区维修!$F132,$BN$1=1),0,1-SUMPRODUCT(--(($A$1=公区维修!$F132)+$BN$1&gt;0)))</f>
        <v>0</v>
      </c>
      <c r="AG132" s="0" t="n">
        <f aca="false">IF(OR($A$2=公区维修!$F132,$BN$2=1),0,2-SUMPRODUCT(--(($A$1:$A$2=公区维修!$F132)+$BN$1:$BN$2&gt;0)))</f>
        <v>1</v>
      </c>
      <c r="AH132" s="0" t="n">
        <f aca="false">IF(OR($A$3=公区维修!$F132,$BN$3=1),0,3-SUMPRODUCT(--(($A$1:$A$3=公区维修!$F132)+$BN$1:$BN$3&gt;0)))</f>
        <v>2</v>
      </c>
      <c r="AI132" s="0" t="n">
        <f aca="false">IF(OR($A$4=公区维修!$F132,$BN$4=1),0,4-SUMPRODUCT(--(($A$1:$A$4=公区维修!$F132)+$BN$1:$BN$4&gt;0)))</f>
        <v>3</v>
      </c>
      <c r="AJ132" s="0" t="n">
        <f aca="false">IF(OR($A$5=公区维修!$F132,$BN$5=1),0,5-SUMPRODUCT(--(($A$1:$A$5=公区维修!$F132)+$BN$1:$BN$5&gt;0)))</f>
        <v>4</v>
      </c>
      <c r="AL132" s="0" t="str">
        <f aca="false">IFERROR(INDEX($A$1:$A$5,MATCH(1,$AF132:$AJ132,0)),IF(1=MAX($AF132:$AJ132)+1,"取消",""))</f>
        <v>李师傅</v>
      </c>
      <c r="AM132" s="0" t="str">
        <f aca="false">IFERROR(INDEX($A$1:$A$5,MATCH(2,$AF132:$AJ132,0)),IF(2=MAX($AF132:$AJ132)+1,"取消",""))</f>
        <v>王师傅</v>
      </c>
      <c r="AN132" s="0" t="str">
        <f aca="false">IFERROR(INDEX($A$1:$A$5,MATCH(3,$AF132:$AJ132,0)),IF(3=MAX($AF132:$AJ132)+1,"取消",""))</f>
        <v>陈师傅</v>
      </c>
      <c r="AO132" s="0" t="str">
        <f aca="false">IFERROR(INDEX($A$1:$A$5,MATCH(4,$AF132:$AJ132,0)),IF(4=MAX($AF132:$AJ132)+1,"取消",""))</f>
        <v>刘师傅</v>
      </c>
      <c r="AP132" s="0" t="str">
        <f aca="false">IFERROR(INDEX($A$1:$A$5,MATCH(5,$AF132:$AJ132,0)),IF(5=MAX($AF132:$AJ132)+1,"取消",""))</f>
        <v>取消</v>
      </c>
      <c r="AQ132" s="0" t="str">
        <f aca="false">IFERROR(INDEX($A$1:$A$5,MATCH(6,$AF132:$AJ132,0)),IF(6=MAX($AF132:$AJ132)+1,"取消",""))</f>
        <v/>
      </c>
      <c r="AS132" s="0" t="n">
        <f aca="false">IF(OR($A$1=公区维修!$F132,$A$1=公区维修!$G132,$BN$1=1),0,1-SUMPRODUCT(--(($A$1=公区维修!$F132)+($A$1=公区维修!$G132)+$BN$1&gt;0)))</f>
        <v>0</v>
      </c>
      <c r="AT132" s="0" t="n">
        <f aca="false">IF(OR($A$2=公区维修!$F132,$A$2=公区维修!$G132,$BN$2=1),0,2-SUMPRODUCT(--(($A$1:$A$2=公区维修!$F132)+($A$1:$A$2=公区维修!$G132)+$BN$1:$BN$2&gt;0)))</f>
        <v>1</v>
      </c>
      <c r="AU132" s="0" t="n">
        <f aca="false">IF(OR($A$3=公区维修!$F132,$A$3=公区维修!$G132,$BN$3=1),0,3-SUMPRODUCT(--(($A$1:$A$3=公区维修!$F132)+($A$1:$A$3=公区维修!$G132)+$BN$1:$BN$3&gt;0)))</f>
        <v>2</v>
      </c>
      <c r="AV132" s="0" t="n">
        <f aca="false">IF(OR($A$4=公区维修!$F132,$A$4=公区维修!$G132,$BN$4=1),0,4-SUMPRODUCT(--(($A$1:$A$4=公区维修!$F132)+($A$1:$A$4=公区维修!$G132)+$BN$1:$BN$4&gt;0)))</f>
        <v>3</v>
      </c>
      <c r="AW132" s="0" t="n">
        <f aca="false">IF(OR($A$5=公区维修!$F132,$A$5=公区维修!$G132,$BN$5=1),0,5-SUMPRODUCT(--(($A$1:$A$5=公区维修!$F132)+($A$1:$A$5=公区维修!$G132)+$BN$1:$BN$5&gt;0)))</f>
        <v>4</v>
      </c>
      <c r="AY132" s="0" t="str">
        <f aca="false">IFERROR(INDEX($A$1:$A$5,MATCH(1,$AS132:$AW132,0)),IF(1=MAX($AS132:$AW132)+1,"取消",""))</f>
        <v>李师傅</v>
      </c>
      <c r="AZ132" s="0" t="str">
        <f aca="false">IFERROR(INDEX($A$1:$A$5,MATCH(2,$AS132:$AW132,0)),IF(2=MAX($AS132:$AW132)+1,"取消",""))</f>
        <v>王师傅</v>
      </c>
      <c r="BA132" s="0" t="str">
        <f aca="false">IFERROR(INDEX($A$1:$A$5,MATCH(3,$AS132:$AW132,0)),IF(3=MAX($AS132:$AW132)+1,"取消",""))</f>
        <v>陈师傅</v>
      </c>
      <c r="BB132" s="0" t="str">
        <f aca="false">IFERROR(INDEX($A$1:$A$5,MATCH(4,$AS132:$AW132,0)),IF(4=MAX($AS132:$AW132)+1,"取消",""))</f>
        <v>刘师傅</v>
      </c>
      <c r="BC132" s="0" t="str">
        <f aca="false">IFERROR(INDEX($A$1:$A$5,MATCH(5,$AS132:$AW132,0)),IF(5=MAX($AS132:$AW132)+1,"取消",""))</f>
        <v>取消</v>
      </c>
      <c r="BD132" s="0" t="str">
        <f aca="false">IFERROR(INDEX($A$1:$A$5,MATCH(6,$AS132:$AW132,0)),IF(6=MAX($AS132:$AW132)+1,"取消",""))</f>
        <v/>
      </c>
      <c r="FW132" s="0" t="str">
        <f aca="false">IF(AND(单元查询!$D$3&lt;&gt;"",IF(单元查询!$B$3="公区维修",公区维修!$E132&lt;&gt;"",入户维修!$E132&lt;&gt;""),IF(单元查询!$B$3="公区维修",公区维修!$C132,入户维修!$C132)=单元查询!$D$3,OR(单元查询!$F$3="",IF(单元查询!$B$3="公区维修",公区维修!$D132,入户维修!$D132)&amp;""=(单元查询!$F$3)&amp;"")),MAX($FW$4:$FW131)+1,"")</f>
        <v/>
      </c>
    </row>
    <row r="133" customFormat="false" ht="15" hidden="false" customHeight="true" outlineLevel="0" collapsed="false">
      <c r="F133" s="0" t="n">
        <f aca="false">IF(OR($A$1=入户维修!$F133,$BN$1=1),0,1-SUMPRODUCT(--(($A$1=入户维修!$F133)+$BN$1&gt;0)))</f>
        <v>0</v>
      </c>
      <c r="G133" s="0" t="n">
        <f aca="false">IF(OR($A$2=入户维修!$F133,$BN$2=1),0,2-SUMPRODUCT(--(($A$1:$A$2=入户维修!$F133)+$BN$1:$BN$2&gt;0)))</f>
        <v>1</v>
      </c>
      <c r="H133" s="0" t="n">
        <f aca="false">IF(OR($A$3=入户维修!$F133,$BN$3=1),0,3-SUMPRODUCT(--(($A$1:$A$3=入户维修!$F133)+$BN$1:$BN$3&gt;0)))</f>
        <v>2</v>
      </c>
      <c r="I133" s="0" t="n">
        <f aca="false">IF(OR($A$4=入户维修!$F133,$BN$4=1),0,4-SUMPRODUCT(--(($A$1:$A$4=入户维修!$F133)+$BN$1:$BN$4&gt;0)))</f>
        <v>3</v>
      </c>
      <c r="J133" s="0" t="n">
        <f aca="false">IF(OR($A$5=入户维修!$F133,$BN$5=1),0,5-SUMPRODUCT(--(($A$1:$A$5=入户维修!$F133)+$BN$1:$BN$5&gt;0)))</f>
        <v>4</v>
      </c>
      <c r="L133" s="0" t="str">
        <f aca="false">IFERROR(INDEX($A$1:$A$5,MATCH(1,$F133:$J133,0)),IF(1=MAX($F133:$J133)+1,"取消",""))</f>
        <v>李师傅</v>
      </c>
      <c r="M133" s="0" t="str">
        <f aca="false">IFERROR(INDEX($A$1:$A$5,MATCH(2,$F133:$J133,0)),IF(2=MAX($F133:$J133)+1,"取消",""))</f>
        <v>王师傅</v>
      </c>
      <c r="N133" s="0" t="str">
        <f aca="false">IFERROR(INDEX($A$1:$A$5,MATCH(3,$F133:$J133,0)),IF(3=MAX($F133:$J133)+1,"取消",""))</f>
        <v>陈师傅</v>
      </c>
      <c r="O133" s="0" t="str">
        <f aca="false">IFERROR(INDEX($A$1:$A$5,MATCH(4,$F133:$J133,0)),IF(4=MAX($F133:$J133)+1,"取消",""))</f>
        <v>刘师傅</v>
      </c>
      <c r="P133" s="0" t="str">
        <f aca="false">IFERROR(INDEX($A$1:$A$5,MATCH(5,$F133:$J133,0)),IF(5=MAX($F133:$J133)+1,"取消",""))</f>
        <v>取消</v>
      </c>
      <c r="Q133" s="0" t="str">
        <f aca="false">IFERROR(INDEX($A$1:$A$5,MATCH(6,$F133:$J133,0)),IF(6=MAX($F133:$J133)+1,"取消",""))</f>
        <v/>
      </c>
      <c r="S133" s="0" t="n">
        <f aca="false">IF(OR($A$1=入户维修!$F133,$A$1=入户维修!$G133,$BN$1=1),0,1-SUMPRODUCT(--(($A$1=入户维修!$F133)+($A$1=入户维修!$G133)+$BN$1&gt;0)))</f>
        <v>0</v>
      </c>
      <c r="T133" s="0" t="n">
        <f aca="false">IF(OR($A$2=入户维修!$F133,$A$2=入户维修!$G133,$BN$2=1),0,2-SUMPRODUCT(--(($A$1:$A$2=入户维修!$F133)+($A$1:$A$2=入户维修!$G133)+$BN$1:$BN$2&gt;0)))</f>
        <v>1</v>
      </c>
      <c r="U133" s="0" t="n">
        <f aca="false">IF(OR($A$3=入户维修!$F133,$A$3=入户维修!$G133,$BN$3=1),0,3-SUMPRODUCT(--(($A$1:$A$3=入户维修!$F133)+($A$1:$A$3=入户维修!$G133)+$BN$1:$BN$3&gt;0)))</f>
        <v>2</v>
      </c>
      <c r="V133" s="0" t="n">
        <f aca="false">IF(OR($A$4=入户维修!$F133,$A$4=入户维修!$G133,$BN$4=1),0,4-SUMPRODUCT(--(($A$1:$A$4=入户维修!$F133)+($A$1:$A$4=入户维修!$G133)+$BN$1:$BN$4&gt;0)))</f>
        <v>3</v>
      </c>
      <c r="W133" s="0" t="n">
        <f aca="false">IF(OR($A$5=入户维修!$F133,$A$5=入户维修!$G133,$BN$5=1),0,5-SUMPRODUCT(--(($A$1:$A$5=入户维修!$F133)+($A$1:$A$5=入户维修!$G133)+$BN$1:$BN$5&gt;0)))</f>
        <v>4</v>
      </c>
      <c r="Y133" s="0" t="str">
        <f aca="false">IFERROR(INDEX($A$1:$A$5,MATCH(1,$S133:$W133,0)),IF(1=MAX($S133:$W133)+1,"取消",""))</f>
        <v>李师傅</v>
      </c>
      <c r="Z133" s="0" t="str">
        <f aca="false">IFERROR(INDEX($A$1:$A$5,MATCH(2,$S133:$W133,0)),IF(2=MAX($S133:$W133)+1,"取消",""))</f>
        <v>王师傅</v>
      </c>
      <c r="AA133" s="0" t="str">
        <f aca="false">IFERROR(INDEX($A$1:$A$5,MATCH(3,$S133:$W133,0)),IF(3=MAX($S133:$W133)+1,"取消",""))</f>
        <v>陈师傅</v>
      </c>
      <c r="AB133" s="0" t="str">
        <f aca="false">IFERROR(INDEX($A$1:$A$5,MATCH(4,$S133:$W133,0)),IF(4=MAX($S133:$W133)+1,"取消",""))</f>
        <v>刘师傅</v>
      </c>
      <c r="AC133" s="0" t="str">
        <f aca="false">IFERROR(INDEX($A$1:$A$5,MATCH(5,$S133:$W133,0)),IF(5=MAX($S133:$W133)+1,"取消",""))</f>
        <v>取消</v>
      </c>
      <c r="AD133" s="0" t="str">
        <f aca="false">IFERROR(INDEX($A$1:$A$5,MATCH(6,$S133:$W133,0)),IF(6=MAX($S133:$W133)+1,"取消",""))</f>
        <v/>
      </c>
      <c r="AF133" s="0" t="n">
        <f aca="false">IF(OR($A$1=公区维修!$F133,$BN$1=1),0,1-SUMPRODUCT(--(($A$1=公区维修!$F133)+$BN$1&gt;0)))</f>
        <v>0</v>
      </c>
      <c r="AG133" s="0" t="n">
        <f aca="false">IF(OR($A$2=公区维修!$F133,$BN$2=1),0,2-SUMPRODUCT(--(($A$1:$A$2=公区维修!$F133)+$BN$1:$BN$2&gt;0)))</f>
        <v>1</v>
      </c>
      <c r="AH133" s="0" t="n">
        <f aca="false">IF(OR($A$3=公区维修!$F133,$BN$3=1),0,3-SUMPRODUCT(--(($A$1:$A$3=公区维修!$F133)+$BN$1:$BN$3&gt;0)))</f>
        <v>2</v>
      </c>
      <c r="AI133" s="0" t="n">
        <f aca="false">IF(OR($A$4=公区维修!$F133,$BN$4=1),0,4-SUMPRODUCT(--(($A$1:$A$4=公区维修!$F133)+$BN$1:$BN$4&gt;0)))</f>
        <v>3</v>
      </c>
      <c r="AJ133" s="0" t="n">
        <f aca="false">IF(OR($A$5=公区维修!$F133,$BN$5=1),0,5-SUMPRODUCT(--(($A$1:$A$5=公区维修!$F133)+$BN$1:$BN$5&gt;0)))</f>
        <v>4</v>
      </c>
      <c r="AL133" s="0" t="str">
        <f aca="false">IFERROR(INDEX($A$1:$A$5,MATCH(1,$AF133:$AJ133,0)),IF(1=MAX($AF133:$AJ133)+1,"取消",""))</f>
        <v>李师傅</v>
      </c>
      <c r="AM133" s="0" t="str">
        <f aca="false">IFERROR(INDEX($A$1:$A$5,MATCH(2,$AF133:$AJ133,0)),IF(2=MAX($AF133:$AJ133)+1,"取消",""))</f>
        <v>王师傅</v>
      </c>
      <c r="AN133" s="0" t="str">
        <f aca="false">IFERROR(INDEX($A$1:$A$5,MATCH(3,$AF133:$AJ133,0)),IF(3=MAX($AF133:$AJ133)+1,"取消",""))</f>
        <v>陈师傅</v>
      </c>
      <c r="AO133" s="0" t="str">
        <f aca="false">IFERROR(INDEX($A$1:$A$5,MATCH(4,$AF133:$AJ133,0)),IF(4=MAX($AF133:$AJ133)+1,"取消",""))</f>
        <v>刘师傅</v>
      </c>
      <c r="AP133" s="0" t="str">
        <f aca="false">IFERROR(INDEX($A$1:$A$5,MATCH(5,$AF133:$AJ133,0)),IF(5=MAX($AF133:$AJ133)+1,"取消",""))</f>
        <v>取消</v>
      </c>
      <c r="AQ133" s="0" t="str">
        <f aca="false">IFERROR(INDEX($A$1:$A$5,MATCH(6,$AF133:$AJ133,0)),IF(6=MAX($AF133:$AJ133)+1,"取消",""))</f>
        <v/>
      </c>
      <c r="AS133" s="0" t="n">
        <f aca="false">IF(OR($A$1=公区维修!$F133,$A$1=公区维修!$G133,$BN$1=1),0,1-SUMPRODUCT(--(($A$1=公区维修!$F133)+($A$1=公区维修!$G133)+$BN$1&gt;0)))</f>
        <v>0</v>
      </c>
      <c r="AT133" s="0" t="n">
        <f aca="false">IF(OR($A$2=公区维修!$F133,$A$2=公区维修!$G133,$BN$2=1),0,2-SUMPRODUCT(--(($A$1:$A$2=公区维修!$F133)+($A$1:$A$2=公区维修!$G133)+$BN$1:$BN$2&gt;0)))</f>
        <v>1</v>
      </c>
      <c r="AU133" s="0" t="n">
        <f aca="false">IF(OR($A$3=公区维修!$F133,$A$3=公区维修!$G133,$BN$3=1),0,3-SUMPRODUCT(--(($A$1:$A$3=公区维修!$F133)+($A$1:$A$3=公区维修!$G133)+$BN$1:$BN$3&gt;0)))</f>
        <v>2</v>
      </c>
      <c r="AV133" s="0" t="n">
        <f aca="false">IF(OR($A$4=公区维修!$F133,$A$4=公区维修!$G133,$BN$4=1),0,4-SUMPRODUCT(--(($A$1:$A$4=公区维修!$F133)+($A$1:$A$4=公区维修!$G133)+$BN$1:$BN$4&gt;0)))</f>
        <v>3</v>
      </c>
      <c r="AW133" s="0" t="n">
        <f aca="false">IF(OR($A$5=公区维修!$F133,$A$5=公区维修!$G133,$BN$5=1),0,5-SUMPRODUCT(--(($A$1:$A$5=公区维修!$F133)+($A$1:$A$5=公区维修!$G133)+$BN$1:$BN$5&gt;0)))</f>
        <v>4</v>
      </c>
      <c r="AY133" s="0" t="str">
        <f aca="false">IFERROR(INDEX($A$1:$A$5,MATCH(1,$AS133:$AW133,0)),IF(1=MAX($AS133:$AW133)+1,"取消",""))</f>
        <v>李师傅</v>
      </c>
      <c r="AZ133" s="0" t="str">
        <f aca="false">IFERROR(INDEX($A$1:$A$5,MATCH(2,$AS133:$AW133,0)),IF(2=MAX($AS133:$AW133)+1,"取消",""))</f>
        <v>王师傅</v>
      </c>
      <c r="BA133" s="0" t="str">
        <f aca="false">IFERROR(INDEX($A$1:$A$5,MATCH(3,$AS133:$AW133,0)),IF(3=MAX($AS133:$AW133)+1,"取消",""))</f>
        <v>陈师傅</v>
      </c>
      <c r="BB133" s="0" t="str">
        <f aca="false">IFERROR(INDEX($A$1:$A$5,MATCH(4,$AS133:$AW133,0)),IF(4=MAX($AS133:$AW133)+1,"取消",""))</f>
        <v>刘师傅</v>
      </c>
      <c r="BC133" s="0" t="str">
        <f aca="false">IFERROR(INDEX($A$1:$A$5,MATCH(5,$AS133:$AW133,0)),IF(5=MAX($AS133:$AW133)+1,"取消",""))</f>
        <v>取消</v>
      </c>
      <c r="BD133" s="0" t="str">
        <f aca="false">IFERROR(INDEX($A$1:$A$5,MATCH(6,$AS133:$AW133,0)),IF(6=MAX($AS133:$AW133)+1,"取消",""))</f>
        <v/>
      </c>
      <c r="FW133" s="0" t="str">
        <f aca="false">IF(AND(单元查询!$D$3&lt;&gt;"",IF(单元查询!$B$3="公区维修",公区维修!$E133&lt;&gt;"",入户维修!$E133&lt;&gt;""),IF(单元查询!$B$3="公区维修",公区维修!$C133,入户维修!$C133)=单元查询!$D$3,OR(单元查询!$F$3="",IF(单元查询!$B$3="公区维修",公区维修!$D133,入户维修!$D133)&amp;""=(单元查询!$F$3)&amp;"")),MAX($FW$4:$FW132)+1,"")</f>
        <v/>
      </c>
    </row>
    <row r="134" customFormat="false" ht="15" hidden="false" customHeight="true" outlineLevel="0" collapsed="false">
      <c r="F134" s="0" t="n">
        <f aca="false">IF(OR($A$1=入户维修!$F134,$BN$1=1),0,1-SUMPRODUCT(--(($A$1=入户维修!$F134)+$BN$1&gt;0)))</f>
        <v>0</v>
      </c>
      <c r="G134" s="0" t="n">
        <f aca="false">IF(OR($A$2=入户维修!$F134,$BN$2=1),0,2-SUMPRODUCT(--(($A$1:$A$2=入户维修!$F134)+$BN$1:$BN$2&gt;0)))</f>
        <v>1</v>
      </c>
      <c r="H134" s="0" t="n">
        <f aca="false">IF(OR($A$3=入户维修!$F134,$BN$3=1),0,3-SUMPRODUCT(--(($A$1:$A$3=入户维修!$F134)+$BN$1:$BN$3&gt;0)))</f>
        <v>2</v>
      </c>
      <c r="I134" s="0" t="n">
        <f aca="false">IF(OR($A$4=入户维修!$F134,$BN$4=1),0,4-SUMPRODUCT(--(($A$1:$A$4=入户维修!$F134)+$BN$1:$BN$4&gt;0)))</f>
        <v>3</v>
      </c>
      <c r="J134" s="0" t="n">
        <f aca="false">IF(OR($A$5=入户维修!$F134,$BN$5=1),0,5-SUMPRODUCT(--(($A$1:$A$5=入户维修!$F134)+$BN$1:$BN$5&gt;0)))</f>
        <v>4</v>
      </c>
      <c r="L134" s="0" t="str">
        <f aca="false">IFERROR(INDEX($A$1:$A$5,MATCH(1,$F134:$J134,0)),IF(1=MAX($F134:$J134)+1,"取消",""))</f>
        <v>李师傅</v>
      </c>
      <c r="M134" s="0" t="str">
        <f aca="false">IFERROR(INDEX($A$1:$A$5,MATCH(2,$F134:$J134,0)),IF(2=MAX($F134:$J134)+1,"取消",""))</f>
        <v>王师傅</v>
      </c>
      <c r="N134" s="0" t="str">
        <f aca="false">IFERROR(INDEX($A$1:$A$5,MATCH(3,$F134:$J134,0)),IF(3=MAX($F134:$J134)+1,"取消",""))</f>
        <v>陈师傅</v>
      </c>
      <c r="O134" s="0" t="str">
        <f aca="false">IFERROR(INDEX($A$1:$A$5,MATCH(4,$F134:$J134,0)),IF(4=MAX($F134:$J134)+1,"取消",""))</f>
        <v>刘师傅</v>
      </c>
      <c r="P134" s="0" t="str">
        <f aca="false">IFERROR(INDEX($A$1:$A$5,MATCH(5,$F134:$J134,0)),IF(5=MAX($F134:$J134)+1,"取消",""))</f>
        <v>取消</v>
      </c>
      <c r="Q134" s="0" t="str">
        <f aca="false">IFERROR(INDEX($A$1:$A$5,MATCH(6,$F134:$J134,0)),IF(6=MAX($F134:$J134)+1,"取消",""))</f>
        <v/>
      </c>
      <c r="S134" s="0" t="n">
        <f aca="false">IF(OR($A$1=入户维修!$F134,$A$1=入户维修!$G134,$BN$1=1),0,1-SUMPRODUCT(--(($A$1=入户维修!$F134)+($A$1=入户维修!$G134)+$BN$1&gt;0)))</f>
        <v>0</v>
      </c>
      <c r="T134" s="0" t="n">
        <f aca="false">IF(OR($A$2=入户维修!$F134,$A$2=入户维修!$G134,$BN$2=1),0,2-SUMPRODUCT(--(($A$1:$A$2=入户维修!$F134)+($A$1:$A$2=入户维修!$G134)+$BN$1:$BN$2&gt;0)))</f>
        <v>1</v>
      </c>
      <c r="U134" s="0" t="n">
        <f aca="false">IF(OR($A$3=入户维修!$F134,$A$3=入户维修!$G134,$BN$3=1),0,3-SUMPRODUCT(--(($A$1:$A$3=入户维修!$F134)+($A$1:$A$3=入户维修!$G134)+$BN$1:$BN$3&gt;0)))</f>
        <v>2</v>
      </c>
      <c r="V134" s="0" t="n">
        <f aca="false">IF(OR($A$4=入户维修!$F134,$A$4=入户维修!$G134,$BN$4=1),0,4-SUMPRODUCT(--(($A$1:$A$4=入户维修!$F134)+($A$1:$A$4=入户维修!$G134)+$BN$1:$BN$4&gt;0)))</f>
        <v>3</v>
      </c>
      <c r="W134" s="0" t="n">
        <f aca="false">IF(OR($A$5=入户维修!$F134,$A$5=入户维修!$G134,$BN$5=1),0,5-SUMPRODUCT(--(($A$1:$A$5=入户维修!$F134)+($A$1:$A$5=入户维修!$G134)+$BN$1:$BN$5&gt;0)))</f>
        <v>4</v>
      </c>
      <c r="Y134" s="0" t="str">
        <f aca="false">IFERROR(INDEX($A$1:$A$5,MATCH(1,$S134:$W134,0)),IF(1=MAX($S134:$W134)+1,"取消",""))</f>
        <v>李师傅</v>
      </c>
      <c r="Z134" s="0" t="str">
        <f aca="false">IFERROR(INDEX($A$1:$A$5,MATCH(2,$S134:$W134,0)),IF(2=MAX($S134:$W134)+1,"取消",""))</f>
        <v>王师傅</v>
      </c>
      <c r="AA134" s="0" t="str">
        <f aca="false">IFERROR(INDEX($A$1:$A$5,MATCH(3,$S134:$W134,0)),IF(3=MAX($S134:$W134)+1,"取消",""))</f>
        <v>陈师傅</v>
      </c>
      <c r="AB134" s="0" t="str">
        <f aca="false">IFERROR(INDEX($A$1:$A$5,MATCH(4,$S134:$W134,0)),IF(4=MAX($S134:$W134)+1,"取消",""))</f>
        <v>刘师傅</v>
      </c>
      <c r="AC134" s="0" t="str">
        <f aca="false">IFERROR(INDEX($A$1:$A$5,MATCH(5,$S134:$W134,0)),IF(5=MAX($S134:$W134)+1,"取消",""))</f>
        <v>取消</v>
      </c>
      <c r="AD134" s="0" t="str">
        <f aca="false">IFERROR(INDEX($A$1:$A$5,MATCH(6,$S134:$W134,0)),IF(6=MAX($S134:$W134)+1,"取消",""))</f>
        <v/>
      </c>
      <c r="AF134" s="0" t="n">
        <f aca="false">IF(OR($A$1=公区维修!$F134,$BN$1=1),0,1-SUMPRODUCT(--(($A$1=公区维修!$F134)+$BN$1&gt;0)))</f>
        <v>0</v>
      </c>
      <c r="AG134" s="0" t="n">
        <f aca="false">IF(OR($A$2=公区维修!$F134,$BN$2=1),0,2-SUMPRODUCT(--(($A$1:$A$2=公区维修!$F134)+$BN$1:$BN$2&gt;0)))</f>
        <v>1</v>
      </c>
      <c r="AH134" s="0" t="n">
        <f aca="false">IF(OR($A$3=公区维修!$F134,$BN$3=1),0,3-SUMPRODUCT(--(($A$1:$A$3=公区维修!$F134)+$BN$1:$BN$3&gt;0)))</f>
        <v>2</v>
      </c>
      <c r="AI134" s="0" t="n">
        <f aca="false">IF(OR($A$4=公区维修!$F134,$BN$4=1),0,4-SUMPRODUCT(--(($A$1:$A$4=公区维修!$F134)+$BN$1:$BN$4&gt;0)))</f>
        <v>3</v>
      </c>
      <c r="AJ134" s="0" t="n">
        <f aca="false">IF(OR($A$5=公区维修!$F134,$BN$5=1),0,5-SUMPRODUCT(--(($A$1:$A$5=公区维修!$F134)+$BN$1:$BN$5&gt;0)))</f>
        <v>4</v>
      </c>
      <c r="AL134" s="0" t="str">
        <f aca="false">IFERROR(INDEX($A$1:$A$5,MATCH(1,$AF134:$AJ134,0)),IF(1=MAX($AF134:$AJ134)+1,"取消",""))</f>
        <v>李师傅</v>
      </c>
      <c r="AM134" s="0" t="str">
        <f aca="false">IFERROR(INDEX($A$1:$A$5,MATCH(2,$AF134:$AJ134,0)),IF(2=MAX($AF134:$AJ134)+1,"取消",""))</f>
        <v>王师傅</v>
      </c>
      <c r="AN134" s="0" t="str">
        <f aca="false">IFERROR(INDEX($A$1:$A$5,MATCH(3,$AF134:$AJ134,0)),IF(3=MAX($AF134:$AJ134)+1,"取消",""))</f>
        <v>陈师傅</v>
      </c>
      <c r="AO134" s="0" t="str">
        <f aca="false">IFERROR(INDEX($A$1:$A$5,MATCH(4,$AF134:$AJ134,0)),IF(4=MAX($AF134:$AJ134)+1,"取消",""))</f>
        <v>刘师傅</v>
      </c>
      <c r="AP134" s="0" t="str">
        <f aca="false">IFERROR(INDEX($A$1:$A$5,MATCH(5,$AF134:$AJ134,0)),IF(5=MAX($AF134:$AJ134)+1,"取消",""))</f>
        <v>取消</v>
      </c>
      <c r="AQ134" s="0" t="str">
        <f aca="false">IFERROR(INDEX($A$1:$A$5,MATCH(6,$AF134:$AJ134,0)),IF(6=MAX($AF134:$AJ134)+1,"取消",""))</f>
        <v/>
      </c>
      <c r="AS134" s="0" t="n">
        <f aca="false">IF(OR($A$1=公区维修!$F134,$A$1=公区维修!$G134,$BN$1=1),0,1-SUMPRODUCT(--(($A$1=公区维修!$F134)+($A$1=公区维修!$G134)+$BN$1&gt;0)))</f>
        <v>0</v>
      </c>
      <c r="AT134" s="0" t="n">
        <f aca="false">IF(OR($A$2=公区维修!$F134,$A$2=公区维修!$G134,$BN$2=1),0,2-SUMPRODUCT(--(($A$1:$A$2=公区维修!$F134)+($A$1:$A$2=公区维修!$G134)+$BN$1:$BN$2&gt;0)))</f>
        <v>1</v>
      </c>
      <c r="AU134" s="0" t="n">
        <f aca="false">IF(OR($A$3=公区维修!$F134,$A$3=公区维修!$G134,$BN$3=1),0,3-SUMPRODUCT(--(($A$1:$A$3=公区维修!$F134)+($A$1:$A$3=公区维修!$G134)+$BN$1:$BN$3&gt;0)))</f>
        <v>2</v>
      </c>
      <c r="AV134" s="0" t="n">
        <f aca="false">IF(OR($A$4=公区维修!$F134,$A$4=公区维修!$G134,$BN$4=1),0,4-SUMPRODUCT(--(($A$1:$A$4=公区维修!$F134)+($A$1:$A$4=公区维修!$G134)+$BN$1:$BN$4&gt;0)))</f>
        <v>3</v>
      </c>
      <c r="AW134" s="0" t="n">
        <f aca="false">IF(OR($A$5=公区维修!$F134,$A$5=公区维修!$G134,$BN$5=1),0,5-SUMPRODUCT(--(($A$1:$A$5=公区维修!$F134)+($A$1:$A$5=公区维修!$G134)+$BN$1:$BN$5&gt;0)))</f>
        <v>4</v>
      </c>
      <c r="AY134" s="0" t="str">
        <f aca="false">IFERROR(INDEX($A$1:$A$5,MATCH(1,$AS134:$AW134,0)),IF(1=MAX($AS134:$AW134)+1,"取消",""))</f>
        <v>李师傅</v>
      </c>
      <c r="AZ134" s="0" t="str">
        <f aca="false">IFERROR(INDEX($A$1:$A$5,MATCH(2,$AS134:$AW134,0)),IF(2=MAX($AS134:$AW134)+1,"取消",""))</f>
        <v>王师傅</v>
      </c>
      <c r="BA134" s="0" t="str">
        <f aca="false">IFERROR(INDEX($A$1:$A$5,MATCH(3,$AS134:$AW134,0)),IF(3=MAX($AS134:$AW134)+1,"取消",""))</f>
        <v>陈师傅</v>
      </c>
      <c r="BB134" s="0" t="str">
        <f aca="false">IFERROR(INDEX($A$1:$A$5,MATCH(4,$AS134:$AW134,0)),IF(4=MAX($AS134:$AW134)+1,"取消",""))</f>
        <v>刘师傅</v>
      </c>
      <c r="BC134" s="0" t="str">
        <f aca="false">IFERROR(INDEX($A$1:$A$5,MATCH(5,$AS134:$AW134,0)),IF(5=MAX($AS134:$AW134)+1,"取消",""))</f>
        <v>取消</v>
      </c>
      <c r="BD134" s="0" t="str">
        <f aca="false">IFERROR(INDEX($A$1:$A$5,MATCH(6,$AS134:$AW134,0)),IF(6=MAX($AS134:$AW134)+1,"取消",""))</f>
        <v/>
      </c>
      <c r="FW134" s="0" t="str">
        <f aca="false">IF(AND(单元查询!$D$3&lt;&gt;"",IF(单元查询!$B$3="公区维修",公区维修!$E134&lt;&gt;"",入户维修!$E134&lt;&gt;""),IF(单元查询!$B$3="公区维修",公区维修!$C134,入户维修!$C134)=单元查询!$D$3,OR(单元查询!$F$3="",IF(单元查询!$B$3="公区维修",公区维修!$D134,入户维修!$D134)&amp;""=(单元查询!$F$3)&amp;"")),MAX($FW$4:$FW133)+1,"")</f>
        <v/>
      </c>
    </row>
    <row r="135" customFormat="false" ht="15" hidden="false" customHeight="true" outlineLevel="0" collapsed="false">
      <c r="F135" s="0" t="n">
        <f aca="false">IF(OR($A$1=入户维修!$F135,$BN$1=1),0,1-SUMPRODUCT(--(($A$1=入户维修!$F135)+$BN$1&gt;0)))</f>
        <v>0</v>
      </c>
      <c r="G135" s="0" t="n">
        <f aca="false">IF(OR($A$2=入户维修!$F135,$BN$2=1),0,2-SUMPRODUCT(--(($A$1:$A$2=入户维修!$F135)+$BN$1:$BN$2&gt;0)))</f>
        <v>1</v>
      </c>
      <c r="H135" s="0" t="n">
        <f aca="false">IF(OR($A$3=入户维修!$F135,$BN$3=1),0,3-SUMPRODUCT(--(($A$1:$A$3=入户维修!$F135)+$BN$1:$BN$3&gt;0)))</f>
        <v>2</v>
      </c>
      <c r="I135" s="0" t="n">
        <f aca="false">IF(OR($A$4=入户维修!$F135,$BN$4=1),0,4-SUMPRODUCT(--(($A$1:$A$4=入户维修!$F135)+$BN$1:$BN$4&gt;0)))</f>
        <v>3</v>
      </c>
      <c r="J135" s="0" t="n">
        <f aca="false">IF(OR($A$5=入户维修!$F135,$BN$5=1),0,5-SUMPRODUCT(--(($A$1:$A$5=入户维修!$F135)+$BN$1:$BN$5&gt;0)))</f>
        <v>4</v>
      </c>
      <c r="L135" s="0" t="str">
        <f aca="false">IFERROR(INDEX($A$1:$A$5,MATCH(1,$F135:$J135,0)),IF(1=MAX($F135:$J135)+1,"取消",""))</f>
        <v>李师傅</v>
      </c>
      <c r="M135" s="0" t="str">
        <f aca="false">IFERROR(INDEX($A$1:$A$5,MATCH(2,$F135:$J135,0)),IF(2=MAX($F135:$J135)+1,"取消",""))</f>
        <v>王师傅</v>
      </c>
      <c r="N135" s="0" t="str">
        <f aca="false">IFERROR(INDEX($A$1:$A$5,MATCH(3,$F135:$J135,0)),IF(3=MAX($F135:$J135)+1,"取消",""))</f>
        <v>陈师傅</v>
      </c>
      <c r="O135" s="0" t="str">
        <f aca="false">IFERROR(INDEX($A$1:$A$5,MATCH(4,$F135:$J135,0)),IF(4=MAX($F135:$J135)+1,"取消",""))</f>
        <v>刘师傅</v>
      </c>
      <c r="P135" s="0" t="str">
        <f aca="false">IFERROR(INDEX($A$1:$A$5,MATCH(5,$F135:$J135,0)),IF(5=MAX($F135:$J135)+1,"取消",""))</f>
        <v>取消</v>
      </c>
      <c r="Q135" s="0" t="str">
        <f aca="false">IFERROR(INDEX($A$1:$A$5,MATCH(6,$F135:$J135,0)),IF(6=MAX($F135:$J135)+1,"取消",""))</f>
        <v/>
      </c>
      <c r="S135" s="0" t="n">
        <f aca="false">IF(OR($A$1=入户维修!$F135,$A$1=入户维修!$G135,$BN$1=1),0,1-SUMPRODUCT(--(($A$1=入户维修!$F135)+($A$1=入户维修!$G135)+$BN$1&gt;0)))</f>
        <v>0</v>
      </c>
      <c r="T135" s="0" t="n">
        <f aca="false">IF(OR($A$2=入户维修!$F135,$A$2=入户维修!$G135,$BN$2=1),0,2-SUMPRODUCT(--(($A$1:$A$2=入户维修!$F135)+($A$1:$A$2=入户维修!$G135)+$BN$1:$BN$2&gt;0)))</f>
        <v>1</v>
      </c>
      <c r="U135" s="0" t="n">
        <f aca="false">IF(OR($A$3=入户维修!$F135,$A$3=入户维修!$G135,$BN$3=1),0,3-SUMPRODUCT(--(($A$1:$A$3=入户维修!$F135)+($A$1:$A$3=入户维修!$G135)+$BN$1:$BN$3&gt;0)))</f>
        <v>2</v>
      </c>
      <c r="V135" s="0" t="n">
        <f aca="false">IF(OR($A$4=入户维修!$F135,$A$4=入户维修!$G135,$BN$4=1),0,4-SUMPRODUCT(--(($A$1:$A$4=入户维修!$F135)+($A$1:$A$4=入户维修!$G135)+$BN$1:$BN$4&gt;0)))</f>
        <v>3</v>
      </c>
      <c r="W135" s="0" t="n">
        <f aca="false">IF(OR($A$5=入户维修!$F135,$A$5=入户维修!$G135,$BN$5=1),0,5-SUMPRODUCT(--(($A$1:$A$5=入户维修!$F135)+($A$1:$A$5=入户维修!$G135)+$BN$1:$BN$5&gt;0)))</f>
        <v>4</v>
      </c>
      <c r="Y135" s="0" t="str">
        <f aca="false">IFERROR(INDEX($A$1:$A$5,MATCH(1,$S135:$W135,0)),IF(1=MAX($S135:$W135)+1,"取消",""))</f>
        <v>李师傅</v>
      </c>
      <c r="Z135" s="0" t="str">
        <f aca="false">IFERROR(INDEX($A$1:$A$5,MATCH(2,$S135:$W135,0)),IF(2=MAX($S135:$W135)+1,"取消",""))</f>
        <v>王师傅</v>
      </c>
      <c r="AA135" s="0" t="str">
        <f aca="false">IFERROR(INDEX($A$1:$A$5,MATCH(3,$S135:$W135,0)),IF(3=MAX($S135:$W135)+1,"取消",""))</f>
        <v>陈师傅</v>
      </c>
      <c r="AB135" s="0" t="str">
        <f aca="false">IFERROR(INDEX($A$1:$A$5,MATCH(4,$S135:$W135,0)),IF(4=MAX($S135:$W135)+1,"取消",""))</f>
        <v>刘师傅</v>
      </c>
      <c r="AC135" s="0" t="str">
        <f aca="false">IFERROR(INDEX($A$1:$A$5,MATCH(5,$S135:$W135,0)),IF(5=MAX($S135:$W135)+1,"取消",""))</f>
        <v>取消</v>
      </c>
      <c r="AD135" s="0" t="str">
        <f aca="false">IFERROR(INDEX($A$1:$A$5,MATCH(6,$S135:$W135,0)),IF(6=MAX($S135:$W135)+1,"取消",""))</f>
        <v/>
      </c>
      <c r="AF135" s="0" t="n">
        <f aca="false">IF(OR($A$1=公区维修!$F135,$BN$1=1),0,1-SUMPRODUCT(--(($A$1=公区维修!$F135)+$BN$1&gt;0)))</f>
        <v>0</v>
      </c>
      <c r="AG135" s="0" t="n">
        <f aca="false">IF(OR($A$2=公区维修!$F135,$BN$2=1),0,2-SUMPRODUCT(--(($A$1:$A$2=公区维修!$F135)+$BN$1:$BN$2&gt;0)))</f>
        <v>1</v>
      </c>
      <c r="AH135" s="0" t="n">
        <f aca="false">IF(OR($A$3=公区维修!$F135,$BN$3=1),0,3-SUMPRODUCT(--(($A$1:$A$3=公区维修!$F135)+$BN$1:$BN$3&gt;0)))</f>
        <v>2</v>
      </c>
      <c r="AI135" s="0" t="n">
        <f aca="false">IF(OR($A$4=公区维修!$F135,$BN$4=1),0,4-SUMPRODUCT(--(($A$1:$A$4=公区维修!$F135)+$BN$1:$BN$4&gt;0)))</f>
        <v>3</v>
      </c>
      <c r="AJ135" s="0" t="n">
        <f aca="false">IF(OR($A$5=公区维修!$F135,$BN$5=1),0,5-SUMPRODUCT(--(($A$1:$A$5=公区维修!$F135)+$BN$1:$BN$5&gt;0)))</f>
        <v>4</v>
      </c>
      <c r="AL135" s="0" t="str">
        <f aca="false">IFERROR(INDEX($A$1:$A$5,MATCH(1,$AF135:$AJ135,0)),IF(1=MAX($AF135:$AJ135)+1,"取消",""))</f>
        <v>李师傅</v>
      </c>
      <c r="AM135" s="0" t="str">
        <f aca="false">IFERROR(INDEX($A$1:$A$5,MATCH(2,$AF135:$AJ135,0)),IF(2=MAX($AF135:$AJ135)+1,"取消",""))</f>
        <v>王师傅</v>
      </c>
      <c r="AN135" s="0" t="str">
        <f aca="false">IFERROR(INDEX($A$1:$A$5,MATCH(3,$AF135:$AJ135,0)),IF(3=MAX($AF135:$AJ135)+1,"取消",""))</f>
        <v>陈师傅</v>
      </c>
      <c r="AO135" s="0" t="str">
        <f aca="false">IFERROR(INDEX($A$1:$A$5,MATCH(4,$AF135:$AJ135,0)),IF(4=MAX($AF135:$AJ135)+1,"取消",""))</f>
        <v>刘师傅</v>
      </c>
      <c r="AP135" s="0" t="str">
        <f aca="false">IFERROR(INDEX($A$1:$A$5,MATCH(5,$AF135:$AJ135,0)),IF(5=MAX($AF135:$AJ135)+1,"取消",""))</f>
        <v>取消</v>
      </c>
      <c r="AQ135" s="0" t="str">
        <f aca="false">IFERROR(INDEX($A$1:$A$5,MATCH(6,$AF135:$AJ135,0)),IF(6=MAX($AF135:$AJ135)+1,"取消",""))</f>
        <v/>
      </c>
      <c r="AS135" s="0" t="n">
        <f aca="false">IF(OR($A$1=公区维修!$F135,$A$1=公区维修!$G135,$BN$1=1),0,1-SUMPRODUCT(--(($A$1=公区维修!$F135)+($A$1=公区维修!$G135)+$BN$1&gt;0)))</f>
        <v>0</v>
      </c>
      <c r="AT135" s="0" t="n">
        <f aca="false">IF(OR($A$2=公区维修!$F135,$A$2=公区维修!$G135,$BN$2=1),0,2-SUMPRODUCT(--(($A$1:$A$2=公区维修!$F135)+($A$1:$A$2=公区维修!$G135)+$BN$1:$BN$2&gt;0)))</f>
        <v>1</v>
      </c>
      <c r="AU135" s="0" t="n">
        <f aca="false">IF(OR($A$3=公区维修!$F135,$A$3=公区维修!$G135,$BN$3=1),0,3-SUMPRODUCT(--(($A$1:$A$3=公区维修!$F135)+($A$1:$A$3=公区维修!$G135)+$BN$1:$BN$3&gt;0)))</f>
        <v>2</v>
      </c>
      <c r="AV135" s="0" t="n">
        <f aca="false">IF(OR($A$4=公区维修!$F135,$A$4=公区维修!$G135,$BN$4=1),0,4-SUMPRODUCT(--(($A$1:$A$4=公区维修!$F135)+($A$1:$A$4=公区维修!$G135)+$BN$1:$BN$4&gt;0)))</f>
        <v>3</v>
      </c>
      <c r="AW135" s="0" t="n">
        <f aca="false">IF(OR($A$5=公区维修!$F135,$A$5=公区维修!$G135,$BN$5=1),0,5-SUMPRODUCT(--(($A$1:$A$5=公区维修!$F135)+($A$1:$A$5=公区维修!$G135)+$BN$1:$BN$5&gt;0)))</f>
        <v>4</v>
      </c>
      <c r="AY135" s="0" t="str">
        <f aca="false">IFERROR(INDEX($A$1:$A$5,MATCH(1,$AS135:$AW135,0)),IF(1=MAX($AS135:$AW135)+1,"取消",""))</f>
        <v>李师傅</v>
      </c>
      <c r="AZ135" s="0" t="str">
        <f aca="false">IFERROR(INDEX($A$1:$A$5,MATCH(2,$AS135:$AW135,0)),IF(2=MAX($AS135:$AW135)+1,"取消",""))</f>
        <v>王师傅</v>
      </c>
      <c r="BA135" s="0" t="str">
        <f aca="false">IFERROR(INDEX($A$1:$A$5,MATCH(3,$AS135:$AW135,0)),IF(3=MAX($AS135:$AW135)+1,"取消",""))</f>
        <v>陈师傅</v>
      </c>
      <c r="BB135" s="0" t="str">
        <f aca="false">IFERROR(INDEX($A$1:$A$5,MATCH(4,$AS135:$AW135,0)),IF(4=MAX($AS135:$AW135)+1,"取消",""))</f>
        <v>刘师傅</v>
      </c>
      <c r="BC135" s="0" t="str">
        <f aca="false">IFERROR(INDEX($A$1:$A$5,MATCH(5,$AS135:$AW135,0)),IF(5=MAX($AS135:$AW135)+1,"取消",""))</f>
        <v>取消</v>
      </c>
      <c r="BD135" s="0" t="str">
        <f aca="false">IFERROR(INDEX($A$1:$A$5,MATCH(6,$AS135:$AW135,0)),IF(6=MAX($AS135:$AW135)+1,"取消",""))</f>
        <v/>
      </c>
      <c r="FW135" s="0" t="str">
        <f aca="false">IF(AND(单元查询!$D$3&lt;&gt;"",IF(单元查询!$B$3="公区维修",公区维修!$E135&lt;&gt;"",入户维修!$E135&lt;&gt;""),IF(单元查询!$B$3="公区维修",公区维修!$C135,入户维修!$C135)=单元查询!$D$3,OR(单元查询!$F$3="",IF(单元查询!$B$3="公区维修",公区维修!$D135,入户维修!$D135)&amp;""=(单元查询!$F$3)&amp;"")),MAX($FW$4:$FW134)+1,"")</f>
        <v/>
      </c>
    </row>
    <row r="136" customFormat="false" ht="15" hidden="false" customHeight="true" outlineLevel="0" collapsed="false">
      <c r="F136" s="0" t="n">
        <f aca="false">IF(OR($A$1=入户维修!$F136,$BN$1=1),0,1-SUMPRODUCT(--(($A$1=入户维修!$F136)+$BN$1&gt;0)))</f>
        <v>0</v>
      </c>
      <c r="G136" s="0" t="n">
        <f aca="false">IF(OR($A$2=入户维修!$F136,$BN$2=1),0,2-SUMPRODUCT(--(($A$1:$A$2=入户维修!$F136)+$BN$1:$BN$2&gt;0)))</f>
        <v>1</v>
      </c>
      <c r="H136" s="0" t="n">
        <f aca="false">IF(OR($A$3=入户维修!$F136,$BN$3=1),0,3-SUMPRODUCT(--(($A$1:$A$3=入户维修!$F136)+$BN$1:$BN$3&gt;0)))</f>
        <v>2</v>
      </c>
      <c r="I136" s="0" t="n">
        <f aca="false">IF(OR($A$4=入户维修!$F136,$BN$4=1),0,4-SUMPRODUCT(--(($A$1:$A$4=入户维修!$F136)+$BN$1:$BN$4&gt;0)))</f>
        <v>3</v>
      </c>
      <c r="J136" s="0" t="n">
        <f aca="false">IF(OR($A$5=入户维修!$F136,$BN$5=1),0,5-SUMPRODUCT(--(($A$1:$A$5=入户维修!$F136)+$BN$1:$BN$5&gt;0)))</f>
        <v>4</v>
      </c>
      <c r="L136" s="0" t="str">
        <f aca="false">IFERROR(INDEX($A$1:$A$5,MATCH(1,$F136:$J136,0)),IF(1=MAX($F136:$J136)+1,"取消",""))</f>
        <v>李师傅</v>
      </c>
      <c r="M136" s="0" t="str">
        <f aca="false">IFERROR(INDEX($A$1:$A$5,MATCH(2,$F136:$J136,0)),IF(2=MAX($F136:$J136)+1,"取消",""))</f>
        <v>王师傅</v>
      </c>
      <c r="N136" s="0" t="str">
        <f aca="false">IFERROR(INDEX($A$1:$A$5,MATCH(3,$F136:$J136,0)),IF(3=MAX($F136:$J136)+1,"取消",""))</f>
        <v>陈师傅</v>
      </c>
      <c r="O136" s="0" t="str">
        <f aca="false">IFERROR(INDEX($A$1:$A$5,MATCH(4,$F136:$J136,0)),IF(4=MAX($F136:$J136)+1,"取消",""))</f>
        <v>刘师傅</v>
      </c>
      <c r="P136" s="0" t="str">
        <f aca="false">IFERROR(INDEX($A$1:$A$5,MATCH(5,$F136:$J136,0)),IF(5=MAX($F136:$J136)+1,"取消",""))</f>
        <v>取消</v>
      </c>
      <c r="Q136" s="0" t="str">
        <f aca="false">IFERROR(INDEX($A$1:$A$5,MATCH(6,$F136:$J136,0)),IF(6=MAX($F136:$J136)+1,"取消",""))</f>
        <v/>
      </c>
      <c r="S136" s="0" t="n">
        <f aca="false">IF(OR($A$1=入户维修!$F136,$A$1=入户维修!$G136,$BN$1=1),0,1-SUMPRODUCT(--(($A$1=入户维修!$F136)+($A$1=入户维修!$G136)+$BN$1&gt;0)))</f>
        <v>0</v>
      </c>
      <c r="T136" s="0" t="n">
        <f aca="false">IF(OR($A$2=入户维修!$F136,$A$2=入户维修!$G136,$BN$2=1),0,2-SUMPRODUCT(--(($A$1:$A$2=入户维修!$F136)+($A$1:$A$2=入户维修!$G136)+$BN$1:$BN$2&gt;0)))</f>
        <v>1</v>
      </c>
      <c r="U136" s="0" t="n">
        <f aca="false">IF(OR($A$3=入户维修!$F136,$A$3=入户维修!$G136,$BN$3=1),0,3-SUMPRODUCT(--(($A$1:$A$3=入户维修!$F136)+($A$1:$A$3=入户维修!$G136)+$BN$1:$BN$3&gt;0)))</f>
        <v>2</v>
      </c>
      <c r="V136" s="0" t="n">
        <f aca="false">IF(OR($A$4=入户维修!$F136,$A$4=入户维修!$G136,$BN$4=1),0,4-SUMPRODUCT(--(($A$1:$A$4=入户维修!$F136)+($A$1:$A$4=入户维修!$G136)+$BN$1:$BN$4&gt;0)))</f>
        <v>3</v>
      </c>
      <c r="W136" s="0" t="n">
        <f aca="false">IF(OR($A$5=入户维修!$F136,$A$5=入户维修!$G136,$BN$5=1),0,5-SUMPRODUCT(--(($A$1:$A$5=入户维修!$F136)+($A$1:$A$5=入户维修!$G136)+$BN$1:$BN$5&gt;0)))</f>
        <v>4</v>
      </c>
      <c r="Y136" s="0" t="str">
        <f aca="false">IFERROR(INDEX($A$1:$A$5,MATCH(1,$S136:$W136,0)),IF(1=MAX($S136:$W136)+1,"取消",""))</f>
        <v>李师傅</v>
      </c>
      <c r="Z136" s="0" t="str">
        <f aca="false">IFERROR(INDEX($A$1:$A$5,MATCH(2,$S136:$W136,0)),IF(2=MAX($S136:$W136)+1,"取消",""))</f>
        <v>王师傅</v>
      </c>
      <c r="AA136" s="0" t="str">
        <f aca="false">IFERROR(INDEX($A$1:$A$5,MATCH(3,$S136:$W136,0)),IF(3=MAX($S136:$W136)+1,"取消",""))</f>
        <v>陈师傅</v>
      </c>
      <c r="AB136" s="0" t="str">
        <f aca="false">IFERROR(INDEX($A$1:$A$5,MATCH(4,$S136:$W136,0)),IF(4=MAX($S136:$W136)+1,"取消",""))</f>
        <v>刘师傅</v>
      </c>
      <c r="AC136" s="0" t="str">
        <f aca="false">IFERROR(INDEX($A$1:$A$5,MATCH(5,$S136:$W136,0)),IF(5=MAX($S136:$W136)+1,"取消",""))</f>
        <v>取消</v>
      </c>
      <c r="AD136" s="0" t="str">
        <f aca="false">IFERROR(INDEX($A$1:$A$5,MATCH(6,$S136:$W136,0)),IF(6=MAX($S136:$W136)+1,"取消",""))</f>
        <v/>
      </c>
      <c r="AF136" s="0" t="n">
        <f aca="false">IF(OR($A$1=公区维修!$F136,$BN$1=1),0,1-SUMPRODUCT(--(($A$1=公区维修!$F136)+$BN$1&gt;0)))</f>
        <v>0</v>
      </c>
      <c r="AG136" s="0" t="n">
        <f aca="false">IF(OR($A$2=公区维修!$F136,$BN$2=1),0,2-SUMPRODUCT(--(($A$1:$A$2=公区维修!$F136)+$BN$1:$BN$2&gt;0)))</f>
        <v>1</v>
      </c>
      <c r="AH136" s="0" t="n">
        <f aca="false">IF(OR($A$3=公区维修!$F136,$BN$3=1),0,3-SUMPRODUCT(--(($A$1:$A$3=公区维修!$F136)+$BN$1:$BN$3&gt;0)))</f>
        <v>2</v>
      </c>
      <c r="AI136" s="0" t="n">
        <f aca="false">IF(OR($A$4=公区维修!$F136,$BN$4=1),0,4-SUMPRODUCT(--(($A$1:$A$4=公区维修!$F136)+$BN$1:$BN$4&gt;0)))</f>
        <v>3</v>
      </c>
      <c r="AJ136" s="0" t="n">
        <f aca="false">IF(OR($A$5=公区维修!$F136,$BN$5=1),0,5-SUMPRODUCT(--(($A$1:$A$5=公区维修!$F136)+$BN$1:$BN$5&gt;0)))</f>
        <v>4</v>
      </c>
      <c r="AL136" s="0" t="str">
        <f aca="false">IFERROR(INDEX($A$1:$A$5,MATCH(1,$AF136:$AJ136,0)),IF(1=MAX($AF136:$AJ136)+1,"取消",""))</f>
        <v>李师傅</v>
      </c>
      <c r="AM136" s="0" t="str">
        <f aca="false">IFERROR(INDEX($A$1:$A$5,MATCH(2,$AF136:$AJ136,0)),IF(2=MAX($AF136:$AJ136)+1,"取消",""))</f>
        <v>王师傅</v>
      </c>
      <c r="AN136" s="0" t="str">
        <f aca="false">IFERROR(INDEX($A$1:$A$5,MATCH(3,$AF136:$AJ136,0)),IF(3=MAX($AF136:$AJ136)+1,"取消",""))</f>
        <v>陈师傅</v>
      </c>
      <c r="AO136" s="0" t="str">
        <f aca="false">IFERROR(INDEX($A$1:$A$5,MATCH(4,$AF136:$AJ136,0)),IF(4=MAX($AF136:$AJ136)+1,"取消",""))</f>
        <v>刘师傅</v>
      </c>
      <c r="AP136" s="0" t="str">
        <f aca="false">IFERROR(INDEX($A$1:$A$5,MATCH(5,$AF136:$AJ136,0)),IF(5=MAX($AF136:$AJ136)+1,"取消",""))</f>
        <v>取消</v>
      </c>
      <c r="AQ136" s="0" t="str">
        <f aca="false">IFERROR(INDEX($A$1:$A$5,MATCH(6,$AF136:$AJ136,0)),IF(6=MAX($AF136:$AJ136)+1,"取消",""))</f>
        <v/>
      </c>
      <c r="AS136" s="0" t="n">
        <f aca="false">IF(OR($A$1=公区维修!$F136,$A$1=公区维修!$G136,$BN$1=1),0,1-SUMPRODUCT(--(($A$1=公区维修!$F136)+($A$1=公区维修!$G136)+$BN$1&gt;0)))</f>
        <v>0</v>
      </c>
      <c r="AT136" s="0" t="n">
        <f aca="false">IF(OR($A$2=公区维修!$F136,$A$2=公区维修!$G136,$BN$2=1),0,2-SUMPRODUCT(--(($A$1:$A$2=公区维修!$F136)+($A$1:$A$2=公区维修!$G136)+$BN$1:$BN$2&gt;0)))</f>
        <v>1</v>
      </c>
      <c r="AU136" s="0" t="n">
        <f aca="false">IF(OR($A$3=公区维修!$F136,$A$3=公区维修!$G136,$BN$3=1),0,3-SUMPRODUCT(--(($A$1:$A$3=公区维修!$F136)+($A$1:$A$3=公区维修!$G136)+$BN$1:$BN$3&gt;0)))</f>
        <v>2</v>
      </c>
      <c r="AV136" s="0" t="n">
        <f aca="false">IF(OR($A$4=公区维修!$F136,$A$4=公区维修!$G136,$BN$4=1),0,4-SUMPRODUCT(--(($A$1:$A$4=公区维修!$F136)+($A$1:$A$4=公区维修!$G136)+$BN$1:$BN$4&gt;0)))</f>
        <v>3</v>
      </c>
      <c r="AW136" s="0" t="n">
        <f aca="false">IF(OR($A$5=公区维修!$F136,$A$5=公区维修!$G136,$BN$5=1),0,5-SUMPRODUCT(--(($A$1:$A$5=公区维修!$F136)+($A$1:$A$5=公区维修!$G136)+$BN$1:$BN$5&gt;0)))</f>
        <v>4</v>
      </c>
      <c r="AY136" s="0" t="str">
        <f aca="false">IFERROR(INDEX($A$1:$A$5,MATCH(1,$AS136:$AW136,0)),IF(1=MAX($AS136:$AW136)+1,"取消",""))</f>
        <v>李师傅</v>
      </c>
      <c r="AZ136" s="0" t="str">
        <f aca="false">IFERROR(INDEX($A$1:$A$5,MATCH(2,$AS136:$AW136,0)),IF(2=MAX($AS136:$AW136)+1,"取消",""))</f>
        <v>王师傅</v>
      </c>
      <c r="BA136" s="0" t="str">
        <f aca="false">IFERROR(INDEX($A$1:$A$5,MATCH(3,$AS136:$AW136,0)),IF(3=MAX($AS136:$AW136)+1,"取消",""))</f>
        <v>陈师傅</v>
      </c>
      <c r="BB136" s="0" t="str">
        <f aca="false">IFERROR(INDEX($A$1:$A$5,MATCH(4,$AS136:$AW136,0)),IF(4=MAX($AS136:$AW136)+1,"取消",""))</f>
        <v>刘师傅</v>
      </c>
      <c r="BC136" s="0" t="str">
        <f aca="false">IFERROR(INDEX($A$1:$A$5,MATCH(5,$AS136:$AW136,0)),IF(5=MAX($AS136:$AW136)+1,"取消",""))</f>
        <v>取消</v>
      </c>
      <c r="BD136" s="0" t="str">
        <f aca="false">IFERROR(INDEX($A$1:$A$5,MATCH(6,$AS136:$AW136,0)),IF(6=MAX($AS136:$AW136)+1,"取消",""))</f>
        <v/>
      </c>
      <c r="FW136" s="0" t="str">
        <f aca="false">IF(AND(单元查询!$D$3&lt;&gt;"",IF(单元查询!$B$3="公区维修",公区维修!$E136&lt;&gt;"",入户维修!$E136&lt;&gt;""),IF(单元查询!$B$3="公区维修",公区维修!$C136,入户维修!$C136)=单元查询!$D$3,OR(单元查询!$F$3="",IF(单元查询!$B$3="公区维修",公区维修!$D136,入户维修!$D136)&amp;""=(单元查询!$F$3)&amp;"")),MAX($FW$4:$FW135)+1,"")</f>
        <v/>
      </c>
    </row>
    <row r="137" customFormat="false" ht="15" hidden="false" customHeight="true" outlineLevel="0" collapsed="false">
      <c r="F137" s="0" t="n">
        <f aca="false">IF(OR($A$1=入户维修!$F137,$BN$1=1),0,1-SUMPRODUCT(--(($A$1=入户维修!$F137)+$BN$1&gt;0)))</f>
        <v>0</v>
      </c>
      <c r="G137" s="0" t="n">
        <f aca="false">IF(OR($A$2=入户维修!$F137,$BN$2=1),0,2-SUMPRODUCT(--(($A$1:$A$2=入户维修!$F137)+$BN$1:$BN$2&gt;0)))</f>
        <v>1</v>
      </c>
      <c r="H137" s="0" t="n">
        <f aca="false">IF(OR($A$3=入户维修!$F137,$BN$3=1),0,3-SUMPRODUCT(--(($A$1:$A$3=入户维修!$F137)+$BN$1:$BN$3&gt;0)))</f>
        <v>2</v>
      </c>
      <c r="I137" s="0" t="n">
        <f aca="false">IF(OR($A$4=入户维修!$F137,$BN$4=1),0,4-SUMPRODUCT(--(($A$1:$A$4=入户维修!$F137)+$BN$1:$BN$4&gt;0)))</f>
        <v>3</v>
      </c>
      <c r="J137" s="0" t="n">
        <f aca="false">IF(OR($A$5=入户维修!$F137,$BN$5=1),0,5-SUMPRODUCT(--(($A$1:$A$5=入户维修!$F137)+$BN$1:$BN$5&gt;0)))</f>
        <v>4</v>
      </c>
      <c r="L137" s="0" t="str">
        <f aca="false">IFERROR(INDEX($A$1:$A$5,MATCH(1,$F137:$J137,0)),IF(1=MAX($F137:$J137)+1,"取消",""))</f>
        <v>李师傅</v>
      </c>
      <c r="M137" s="0" t="str">
        <f aca="false">IFERROR(INDEX($A$1:$A$5,MATCH(2,$F137:$J137,0)),IF(2=MAX($F137:$J137)+1,"取消",""))</f>
        <v>王师傅</v>
      </c>
      <c r="N137" s="0" t="str">
        <f aca="false">IFERROR(INDEX($A$1:$A$5,MATCH(3,$F137:$J137,0)),IF(3=MAX($F137:$J137)+1,"取消",""))</f>
        <v>陈师傅</v>
      </c>
      <c r="O137" s="0" t="str">
        <f aca="false">IFERROR(INDEX($A$1:$A$5,MATCH(4,$F137:$J137,0)),IF(4=MAX($F137:$J137)+1,"取消",""))</f>
        <v>刘师傅</v>
      </c>
      <c r="P137" s="0" t="str">
        <f aca="false">IFERROR(INDEX($A$1:$A$5,MATCH(5,$F137:$J137,0)),IF(5=MAX($F137:$J137)+1,"取消",""))</f>
        <v>取消</v>
      </c>
      <c r="Q137" s="0" t="str">
        <f aca="false">IFERROR(INDEX($A$1:$A$5,MATCH(6,$F137:$J137,0)),IF(6=MAX($F137:$J137)+1,"取消",""))</f>
        <v/>
      </c>
      <c r="S137" s="0" t="n">
        <f aca="false">IF(OR($A$1=入户维修!$F137,$A$1=入户维修!$G137,$BN$1=1),0,1-SUMPRODUCT(--(($A$1=入户维修!$F137)+($A$1=入户维修!$G137)+$BN$1&gt;0)))</f>
        <v>0</v>
      </c>
      <c r="T137" s="0" t="n">
        <f aca="false">IF(OR($A$2=入户维修!$F137,$A$2=入户维修!$G137,$BN$2=1),0,2-SUMPRODUCT(--(($A$1:$A$2=入户维修!$F137)+($A$1:$A$2=入户维修!$G137)+$BN$1:$BN$2&gt;0)))</f>
        <v>1</v>
      </c>
      <c r="U137" s="0" t="n">
        <f aca="false">IF(OR($A$3=入户维修!$F137,$A$3=入户维修!$G137,$BN$3=1),0,3-SUMPRODUCT(--(($A$1:$A$3=入户维修!$F137)+($A$1:$A$3=入户维修!$G137)+$BN$1:$BN$3&gt;0)))</f>
        <v>2</v>
      </c>
      <c r="V137" s="0" t="n">
        <f aca="false">IF(OR($A$4=入户维修!$F137,$A$4=入户维修!$G137,$BN$4=1),0,4-SUMPRODUCT(--(($A$1:$A$4=入户维修!$F137)+($A$1:$A$4=入户维修!$G137)+$BN$1:$BN$4&gt;0)))</f>
        <v>3</v>
      </c>
      <c r="W137" s="0" t="n">
        <f aca="false">IF(OR($A$5=入户维修!$F137,$A$5=入户维修!$G137,$BN$5=1),0,5-SUMPRODUCT(--(($A$1:$A$5=入户维修!$F137)+($A$1:$A$5=入户维修!$G137)+$BN$1:$BN$5&gt;0)))</f>
        <v>4</v>
      </c>
      <c r="Y137" s="0" t="str">
        <f aca="false">IFERROR(INDEX($A$1:$A$5,MATCH(1,$S137:$W137,0)),IF(1=MAX($S137:$W137)+1,"取消",""))</f>
        <v>李师傅</v>
      </c>
      <c r="Z137" s="0" t="str">
        <f aca="false">IFERROR(INDEX($A$1:$A$5,MATCH(2,$S137:$W137,0)),IF(2=MAX($S137:$W137)+1,"取消",""))</f>
        <v>王师傅</v>
      </c>
      <c r="AA137" s="0" t="str">
        <f aca="false">IFERROR(INDEX($A$1:$A$5,MATCH(3,$S137:$W137,0)),IF(3=MAX($S137:$W137)+1,"取消",""))</f>
        <v>陈师傅</v>
      </c>
      <c r="AB137" s="0" t="str">
        <f aca="false">IFERROR(INDEX($A$1:$A$5,MATCH(4,$S137:$W137,0)),IF(4=MAX($S137:$W137)+1,"取消",""))</f>
        <v>刘师傅</v>
      </c>
      <c r="AC137" s="0" t="str">
        <f aca="false">IFERROR(INDEX($A$1:$A$5,MATCH(5,$S137:$W137,0)),IF(5=MAX($S137:$W137)+1,"取消",""))</f>
        <v>取消</v>
      </c>
      <c r="AD137" s="0" t="str">
        <f aca="false">IFERROR(INDEX($A$1:$A$5,MATCH(6,$S137:$W137,0)),IF(6=MAX($S137:$W137)+1,"取消",""))</f>
        <v/>
      </c>
      <c r="AF137" s="0" t="n">
        <f aca="false">IF(OR($A$1=公区维修!$F137,$BN$1=1),0,1-SUMPRODUCT(--(($A$1=公区维修!$F137)+$BN$1&gt;0)))</f>
        <v>0</v>
      </c>
      <c r="AG137" s="0" t="n">
        <f aca="false">IF(OR($A$2=公区维修!$F137,$BN$2=1),0,2-SUMPRODUCT(--(($A$1:$A$2=公区维修!$F137)+$BN$1:$BN$2&gt;0)))</f>
        <v>1</v>
      </c>
      <c r="AH137" s="0" t="n">
        <f aca="false">IF(OR($A$3=公区维修!$F137,$BN$3=1),0,3-SUMPRODUCT(--(($A$1:$A$3=公区维修!$F137)+$BN$1:$BN$3&gt;0)))</f>
        <v>2</v>
      </c>
      <c r="AI137" s="0" t="n">
        <f aca="false">IF(OR($A$4=公区维修!$F137,$BN$4=1),0,4-SUMPRODUCT(--(($A$1:$A$4=公区维修!$F137)+$BN$1:$BN$4&gt;0)))</f>
        <v>3</v>
      </c>
      <c r="AJ137" s="0" t="n">
        <f aca="false">IF(OR($A$5=公区维修!$F137,$BN$5=1),0,5-SUMPRODUCT(--(($A$1:$A$5=公区维修!$F137)+$BN$1:$BN$5&gt;0)))</f>
        <v>4</v>
      </c>
      <c r="AL137" s="0" t="str">
        <f aca="false">IFERROR(INDEX($A$1:$A$5,MATCH(1,$AF137:$AJ137,0)),IF(1=MAX($AF137:$AJ137)+1,"取消",""))</f>
        <v>李师傅</v>
      </c>
      <c r="AM137" s="0" t="str">
        <f aca="false">IFERROR(INDEX($A$1:$A$5,MATCH(2,$AF137:$AJ137,0)),IF(2=MAX($AF137:$AJ137)+1,"取消",""))</f>
        <v>王师傅</v>
      </c>
      <c r="AN137" s="0" t="str">
        <f aca="false">IFERROR(INDEX($A$1:$A$5,MATCH(3,$AF137:$AJ137,0)),IF(3=MAX($AF137:$AJ137)+1,"取消",""))</f>
        <v>陈师傅</v>
      </c>
      <c r="AO137" s="0" t="str">
        <f aca="false">IFERROR(INDEX($A$1:$A$5,MATCH(4,$AF137:$AJ137,0)),IF(4=MAX($AF137:$AJ137)+1,"取消",""))</f>
        <v>刘师傅</v>
      </c>
      <c r="AP137" s="0" t="str">
        <f aca="false">IFERROR(INDEX($A$1:$A$5,MATCH(5,$AF137:$AJ137,0)),IF(5=MAX($AF137:$AJ137)+1,"取消",""))</f>
        <v>取消</v>
      </c>
      <c r="AQ137" s="0" t="str">
        <f aca="false">IFERROR(INDEX($A$1:$A$5,MATCH(6,$AF137:$AJ137,0)),IF(6=MAX($AF137:$AJ137)+1,"取消",""))</f>
        <v/>
      </c>
      <c r="AS137" s="0" t="n">
        <f aca="false">IF(OR($A$1=公区维修!$F137,$A$1=公区维修!$G137,$BN$1=1),0,1-SUMPRODUCT(--(($A$1=公区维修!$F137)+($A$1=公区维修!$G137)+$BN$1&gt;0)))</f>
        <v>0</v>
      </c>
      <c r="AT137" s="0" t="n">
        <f aca="false">IF(OR($A$2=公区维修!$F137,$A$2=公区维修!$G137,$BN$2=1),0,2-SUMPRODUCT(--(($A$1:$A$2=公区维修!$F137)+($A$1:$A$2=公区维修!$G137)+$BN$1:$BN$2&gt;0)))</f>
        <v>1</v>
      </c>
      <c r="AU137" s="0" t="n">
        <f aca="false">IF(OR($A$3=公区维修!$F137,$A$3=公区维修!$G137,$BN$3=1),0,3-SUMPRODUCT(--(($A$1:$A$3=公区维修!$F137)+($A$1:$A$3=公区维修!$G137)+$BN$1:$BN$3&gt;0)))</f>
        <v>2</v>
      </c>
      <c r="AV137" s="0" t="n">
        <f aca="false">IF(OR($A$4=公区维修!$F137,$A$4=公区维修!$G137,$BN$4=1),0,4-SUMPRODUCT(--(($A$1:$A$4=公区维修!$F137)+($A$1:$A$4=公区维修!$G137)+$BN$1:$BN$4&gt;0)))</f>
        <v>3</v>
      </c>
      <c r="AW137" s="0" t="n">
        <f aca="false">IF(OR($A$5=公区维修!$F137,$A$5=公区维修!$G137,$BN$5=1),0,5-SUMPRODUCT(--(($A$1:$A$5=公区维修!$F137)+($A$1:$A$5=公区维修!$G137)+$BN$1:$BN$5&gt;0)))</f>
        <v>4</v>
      </c>
      <c r="AY137" s="0" t="str">
        <f aca="false">IFERROR(INDEX($A$1:$A$5,MATCH(1,$AS137:$AW137,0)),IF(1=MAX($AS137:$AW137)+1,"取消",""))</f>
        <v>李师傅</v>
      </c>
      <c r="AZ137" s="0" t="str">
        <f aca="false">IFERROR(INDEX($A$1:$A$5,MATCH(2,$AS137:$AW137,0)),IF(2=MAX($AS137:$AW137)+1,"取消",""))</f>
        <v>王师傅</v>
      </c>
      <c r="BA137" s="0" t="str">
        <f aca="false">IFERROR(INDEX($A$1:$A$5,MATCH(3,$AS137:$AW137,0)),IF(3=MAX($AS137:$AW137)+1,"取消",""))</f>
        <v>陈师傅</v>
      </c>
      <c r="BB137" s="0" t="str">
        <f aca="false">IFERROR(INDEX($A$1:$A$5,MATCH(4,$AS137:$AW137,0)),IF(4=MAX($AS137:$AW137)+1,"取消",""))</f>
        <v>刘师傅</v>
      </c>
      <c r="BC137" s="0" t="str">
        <f aca="false">IFERROR(INDEX($A$1:$A$5,MATCH(5,$AS137:$AW137,0)),IF(5=MAX($AS137:$AW137)+1,"取消",""))</f>
        <v>取消</v>
      </c>
      <c r="BD137" s="0" t="str">
        <f aca="false">IFERROR(INDEX($A$1:$A$5,MATCH(6,$AS137:$AW137,0)),IF(6=MAX($AS137:$AW137)+1,"取消",""))</f>
        <v/>
      </c>
      <c r="FW137" s="0" t="str">
        <f aca="false">IF(AND(单元查询!$D$3&lt;&gt;"",IF(单元查询!$B$3="公区维修",公区维修!$E137&lt;&gt;"",入户维修!$E137&lt;&gt;""),IF(单元查询!$B$3="公区维修",公区维修!$C137,入户维修!$C137)=单元查询!$D$3,OR(单元查询!$F$3="",IF(单元查询!$B$3="公区维修",公区维修!$D137,入户维修!$D137)&amp;""=(单元查询!$F$3)&amp;"")),MAX($FW$4:$FW136)+1,"")</f>
        <v/>
      </c>
    </row>
    <row r="138" customFormat="false" ht="15" hidden="false" customHeight="true" outlineLevel="0" collapsed="false">
      <c r="F138" s="0" t="n">
        <f aca="false">IF(OR($A$1=入户维修!$F138,$BN$1=1),0,1-SUMPRODUCT(--(($A$1=入户维修!$F138)+$BN$1&gt;0)))</f>
        <v>0</v>
      </c>
      <c r="G138" s="0" t="n">
        <f aca="false">IF(OR($A$2=入户维修!$F138,$BN$2=1),0,2-SUMPRODUCT(--(($A$1:$A$2=入户维修!$F138)+$BN$1:$BN$2&gt;0)))</f>
        <v>1</v>
      </c>
      <c r="H138" s="0" t="n">
        <f aca="false">IF(OR($A$3=入户维修!$F138,$BN$3=1),0,3-SUMPRODUCT(--(($A$1:$A$3=入户维修!$F138)+$BN$1:$BN$3&gt;0)))</f>
        <v>2</v>
      </c>
      <c r="I138" s="0" t="n">
        <f aca="false">IF(OR($A$4=入户维修!$F138,$BN$4=1),0,4-SUMPRODUCT(--(($A$1:$A$4=入户维修!$F138)+$BN$1:$BN$4&gt;0)))</f>
        <v>3</v>
      </c>
      <c r="J138" s="0" t="n">
        <f aca="false">IF(OR($A$5=入户维修!$F138,$BN$5=1),0,5-SUMPRODUCT(--(($A$1:$A$5=入户维修!$F138)+$BN$1:$BN$5&gt;0)))</f>
        <v>4</v>
      </c>
      <c r="L138" s="0" t="str">
        <f aca="false">IFERROR(INDEX($A$1:$A$5,MATCH(1,$F138:$J138,0)),IF(1=MAX($F138:$J138)+1,"取消",""))</f>
        <v>李师傅</v>
      </c>
      <c r="M138" s="0" t="str">
        <f aca="false">IFERROR(INDEX($A$1:$A$5,MATCH(2,$F138:$J138,0)),IF(2=MAX($F138:$J138)+1,"取消",""))</f>
        <v>王师傅</v>
      </c>
      <c r="N138" s="0" t="str">
        <f aca="false">IFERROR(INDEX($A$1:$A$5,MATCH(3,$F138:$J138,0)),IF(3=MAX($F138:$J138)+1,"取消",""))</f>
        <v>陈师傅</v>
      </c>
      <c r="O138" s="0" t="str">
        <f aca="false">IFERROR(INDEX($A$1:$A$5,MATCH(4,$F138:$J138,0)),IF(4=MAX($F138:$J138)+1,"取消",""))</f>
        <v>刘师傅</v>
      </c>
      <c r="P138" s="0" t="str">
        <f aca="false">IFERROR(INDEX($A$1:$A$5,MATCH(5,$F138:$J138,0)),IF(5=MAX($F138:$J138)+1,"取消",""))</f>
        <v>取消</v>
      </c>
      <c r="Q138" s="0" t="str">
        <f aca="false">IFERROR(INDEX($A$1:$A$5,MATCH(6,$F138:$J138,0)),IF(6=MAX($F138:$J138)+1,"取消",""))</f>
        <v/>
      </c>
      <c r="S138" s="0" t="n">
        <f aca="false">IF(OR($A$1=入户维修!$F138,$A$1=入户维修!$G138,$BN$1=1),0,1-SUMPRODUCT(--(($A$1=入户维修!$F138)+($A$1=入户维修!$G138)+$BN$1&gt;0)))</f>
        <v>0</v>
      </c>
      <c r="T138" s="0" t="n">
        <f aca="false">IF(OR($A$2=入户维修!$F138,$A$2=入户维修!$G138,$BN$2=1),0,2-SUMPRODUCT(--(($A$1:$A$2=入户维修!$F138)+($A$1:$A$2=入户维修!$G138)+$BN$1:$BN$2&gt;0)))</f>
        <v>1</v>
      </c>
      <c r="U138" s="0" t="n">
        <f aca="false">IF(OR($A$3=入户维修!$F138,$A$3=入户维修!$G138,$BN$3=1),0,3-SUMPRODUCT(--(($A$1:$A$3=入户维修!$F138)+($A$1:$A$3=入户维修!$G138)+$BN$1:$BN$3&gt;0)))</f>
        <v>2</v>
      </c>
      <c r="V138" s="0" t="n">
        <f aca="false">IF(OR($A$4=入户维修!$F138,$A$4=入户维修!$G138,$BN$4=1),0,4-SUMPRODUCT(--(($A$1:$A$4=入户维修!$F138)+($A$1:$A$4=入户维修!$G138)+$BN$1:$BN$4&gt;0)))</f>
        <v>3</v>
      </c>
      <c r="W138" s="0" t="n">
        <f aca="false">IF(OR($A$5=入户维修!$F138,$A$5=入户维修!$G138,$BN$5=1),0,5-SUMPRODUCT(--(($A$1:$A$5=入户维修!$F138)+($A$1:$A$5=入户维修!$G138)+$BN$1:$BN$5&gt;0)))</f>
        <v>4</v>
      </c>
      <c r="Y138" s="0" t="str">
        <f aca="false">IFERROR(INDEX($A$1:$A$5,MATCH(1,$S138:$W138,0)),IF(1=MAX($S138:$W138)+1,"取消",""))</f>
        <v>李师傅</v>
      </c>
      <c r="Z138" s="0" t="str">
        <f aca="false">IFERROR(INDEX($A$1:$A$5,MATCH(2,$S138:$W138,0)),IF(2=MAX($S138:$W138)+1,"取消",""))</f>
        <v>王师傅</v>
      </c>
      <c r="AA138" s="0" t="str">
        <f aca="false">IFERROR(INDEX($A$1:$A$5,MATCH(3,$S138:$W138,0)),IF(3=MAX($S138:$W138)+1,"取消",""))</f>
        <v>陈师傅</v>
      </c>
      <c r="AB138" s="0" t="str">
        <f aca="false">IFERROR(INDEX($A$1:$A$5,MATCH(4,$S138:$W138,0)),IF(4=MAX($S138:$W138)+1,"取消",""))</f>
        <v>刘师傅</v>
      </c>
      <c r="AC138" s="0" t="str">
        <f aca="false">IFERROR(INDEX($A$1:$A$5,MATCH(5,$S138:$W138,0)),IF(5=MAX($S138:$W138)+1,"取消",""))</f>
        <v>取消</v>
      </c>
      <c r="AD138" s="0" t="str">
        <f aca="false">IFERROR(INDEX($A$1:$A$5,MATCH(6,$S138:$W138,0)),IF(6=MAX($S138:$W138)+1,"取消",""))</f>
        <v/>
      </c>
      <c r="AF138" s="0" t="n">
        <f aca="false">IF(OR($A$1=公区维修!$F138,$BN$1=1),0,1-SUMPRODUCT(--(($A$1=公区维修!$F138)+$BN$1&gt;0)))</f>
        <v>0</v>
      </c>
      <c r="AG138" s="0" t="n">
        <f aca="false">IF(OR($A$2=公区维修!$F138,$BN$2=1),0,2-SUMPRODUCT(--(($A$1:$A$2=公区维修!$F138)+$BN$1:$BN$2&gt;0)))</f>
        <v>1</v>
      </c>
      <c r="AH138" s="0" t="n">
        <f aca="false">IF(OR($A$3=公区维修!$F138,$BN$3=1),0,3-SUMPRODUCT(--(($A$1:$A$3=公区维修!$F138)+$BN$1:$BN$3&gt;0)))</f>
        <v>2</v>
      </c>
      <c r="AI138" s="0" t="n">
        <f aca="false">IF(OR($A$4=公区维修!$F138,$BN$4=1),0,4-SUMPRODUCT(--(($A$1:$A$4=公区维修!$F138)+$BN$1:$BN$4&gt;0)))</f>
        <v>3</v>
      </c>
      <c r="AJ138" s="0" t="n">
        <f aca="false">IF(OR($A$5=公区维修!$F138,$BN$5=1),0,5-SUMPRODUCT(--(($A$1:$A$5=公区维修!$F138)+$BN$1:$BN$5&gt;0)))</f>
        <v>4</v>
      </c>
      <c r="AL138" s="0" t="str">
        <f aca="false">IFERROR(INDEX($A$1:$A$5,MATCH(1,$AF138:$AJ138,0)),IF(1=MAX($AF138:$AJ138)+1,"取消",""))</f>
        <v>李师傅</v>
      </c>
      <c r="AM138" s="0" t="str">
        <f aca="false">IFERROR(INDEX($A$1:$A$5,MATCH(2,$AF138:$AJ138,0)),IF(2=MAX($AF138:$AJ138)+1,"取消",""))</f>
        <v>王师傅</v>
      </c>
      <c r="AN138" s="0" t="str">
        <f aca="false">IFERROR(INDEX($A$1:$A$5,MATCH(3,$AF138:$AJ138,0)),IF(3=MAX($AF138:$AJ138)+1,"取消",""))</f>
        <v>陈师傅</v>
      </c>
      <c r="AO138" s="0" t="str">
        <f aca="false">IFERROR(INDEX($A$1:$A$5,MATCH(4,$AF138:$AJ138,0)),IF(4=MAX($AF138:$AJ138)+1,"取消",""))</f>
        <v>刘师傅</v>
      </c>
      <c r="AP138" s="0" t="str">
        <f aca="false">IFERROR(INDEX($A$1:$A$5,MATCH(5,$AF138:$AJ138,0)),IF(5=MAX($AF138:$AJ138)+1,"取消",""))</f>
        <v>取消</v>
      </c>
      <c r="AQ138" s="0" t="str">
        <f aca="false">IFERROR(INDEX($A$1:$A$5,MATCH(6,$AF138:$AJ138,0)),IF(6=MAX($AF138:$AJ138)+1,"取消",""))</f>
        <v/>
      </c>
      <c r="AS138" s="0" t="n">
        <f aca="false">IF(OR($A$1=公区维修!$F138,$A$1=公区维修!$G138,$BN$1=1),0,1-SUMPRODUCT(--(($A$1=公区维修!$F138)+($A$1=公区维修!$G138)+$BN$1&gt;0)))</f>
        <v>0</v>
      </c>
      <c r="AT138" s="0" t="n">
        <f aca="false">IF(OR($A$2=公区维修!$F138,$A$2=公区维修!$G138,$BN$2=1),0,2-SUMPRODUCT(--(($A$1:$A$2=公区维修!$F138)+($A$1:$A$2=公区维修!$G138)+$BN$1:$BN$2&gt;0)))</f>
        <v>1</v>
      </c>
      <c r="AU138" s="0" t="n">
        <f aca="false">IF(OR($A$3=公区维修!$F138,$A$3=公区维修!$G138,$BN$3=1),0,3-SUMPRODUCT(--(($A$1:$A$3=公区维修!$F138)+($A$1:$A$3=公区维修!$G138)+$BN$1:$BN$3&gt;0)))</f>
        <v>2</v>
      </c>
      <c r="AV138" s="0" t="n">
        <f aca="false">IF(OR($A$4=公区维修!$F138,$A$4=公区维修!$G138,$BN$4=1),0,4-SUMPRODUCT(--(($A$1:$A$4=公区维修!$F138)+($A$1:$A$4=公区维修!$G138)+$BN$1:$BN$4&gt;0)))</f>
        <v>3</v>
      </c>
      <c r="AW138" s="0" t="n">
        <f aca="false">IF(OR($A$5=公区维修!$F138,$A$5=公区维修!$G138,$BN$5=1),0,5-SUMPRODUCT(--(($A$1:$A$5=公区维修!$F138)+($A$1:$A$5=公区维修!$G138)+$BN$1:$BN$5&gt;0)))</f>
        <v>4</v>
      </c>
      <c r="AY138" s="0" t="str">
        <f aca="false">IFERROR(INDEX($A$1:$A$5,MATCH(1,$AS138:$AW138,0)),IF(1=MAX($AS138:$AW138)+1,"取消",""))</f>
        <v>李师傅</v>
      </c>
      <c r="AZ138" s="0" t="str">
        <f aca="false">IFERROR(INDEX($A$1:$A$5,MATCH(2,$AS138:$AW138,0)),IF(2=MAX($AS138:$AW138)+1,"取消",""))</f>
        <v>王师傅</v>
      </c>
      <c r="BA138" s="0" t="str">
        <f aca="false">IFERROR(INDEX($A$1:$A$5,MATCH(3,$AS138:$AW138,0)),IF(3=MAX($AS138:$AW138)+1,"取消",""))</f>
        <v>陈师傅</v>
      </c>
      <c r="BB138" s="0" t="str">
        <f aca="false">IFERROR(INDEX($A$1:$A$5,MATCH(4,$AS138:$AW138,0)),IF(4=MAX($AS138:$AW138)+1,"取消",""))</f>
        <v>刘师傅</v>
      </c>
      <c r="BC138" s="0" t="str">
        <f aca="false">IFERROR(INDEX($A$1:$A$5,MATCH(5,$AS138:$AW138,0)),IF(5=MAX($AS138:$AW138)+1,"取消",""))</f>
        <v>取消</v>
      </c>
      <c r="BD138" s="0" t="str">
        <f aca="false">IFERROR(INDEX($A$1:$A$5,MATCH(6,$AS138:$AW138,0)),IF(6=MAX($AS138:$AW138)+1,"取消",""))</f>
        <v/>
      </c>
      <c r="FW138" s="0" t="str">
        <f aca="false">IF(AND(单元查询!$D$3&lt;&gt;"",IF(单元查询!$B$3="公区维修",公区维修!$E138&lt;&gt;"",入户维修!$E138&lt;&gt;""),IF(单元查询!$B$3="公区维修",公区维修!$C138,入户维修!$C138)=单元查询!$D$3,OR(单元查询!$F$3="",IF(单元查询!$B$3="公区维修",公区维修!$D138,入户维修!$D138)&amp;""=(单元查询!$F$3)&amp;"")),MAX($FW$4:$FW137)+1,"")</f>
        <v/>
      </c>
    </row>
    <row r="139" customFormat="false" ht="15" hidden="false" customHeight="true" outlineLevel="0" collapsed="false">
      <c r="F139" s="0" t="n">
        <f aca="false">IF(OR($A$1=入户维修!$F139,$BN$1=1),0,1-SUMPRODUCT(--(($A$1=入户维修!$F139)+$BN$1&gt;0)))</f>
        <v>0</v>
      </c>
      <c r="G139" s="0" t="n">
        <f aca="false">IF(OR($A$2=入户维修!$F139,$BN$2=1),0,2-SUMPRODUCT(--(($A$1:$A$2=入户维修!$F139)+$BN$1:$BN$2&gt;0)))</f>
        <v>1</v>
      </c>
      <c r="H139" s="0" t="n">
        <f aca="false">IF(OR($A$3=入户维修!$F139,$BN$3=1),0,3-SUMPRODUCT(--(($A$1:$A$3=入户维修!$F139)+$BN$1:$BN$3&gt;0)))</f>
        <v>2</v>
      </c>
      <c r="I139" s="0" t="n">
        <f aca="false">IF(OR($A$4=入户维修!$F139,$BN$4=1),0,4-SUMPRODUCT(--(($A$1:$A$4=入户维修!$F139)+$BN$1:$BN$4&gt;0)))</f>
        <v>3</v>
      </c>
      <c r="J139" s="0" t="n">
        <f aca="false">IF(OR($A$5=入户维修!$F139,$BN$5=1),0,5-SUMPRODUCT(--(($A$1:$A$5=入户维修!$F139)+$BN$1:$BN$5&gt;0)))</f>
        <v>4</v>
      </c>
      <c r="L139" s="0" t="str">
        <f aca="false">IFERROR(INDEX($A$1:$A$5,MATCH(1,$F139:$J139,0)),IF(1=MAX($F139:$J139)+1,"取消",""))</f>
        <v>李师傅</v>
      </c>
      <c r="M139" s="0" t="str">
        <f aca="false">IFERROR(INDEX($A$1:$A$5,MATCH(2,$F139:$J139,0)),IF(2=MAX($F139:$J139)+1,"取消",""))</f>
        <v>王师傅</v>
      </c>
      <c r="N139" s="0" t="str">
        <f aca="false">IFERROR(INDEX($A$1:$A$5,MATCH(3,$F139:$J139,0)),IF(3=MAX($F139:$J139)+1,"取消",""))</f>
        <v>陈师傅</v>
      </c>
      <c r="O139" s="0" t="str">
        <f aca="false">IFERROR(INDEX($A$1:$A$5,MATCH(4,$F139:$J139,0)),IF(4=MAX($F139:$J139)+1,"取消",""))</f>
        <v>刘师傅</v>
      </c>
      <c r="P139" s="0" t="str">
        <f aca="false">IFERROR(INDEX($A$1:$A$5,MATCH(5,$F139:$J139,0)),IF(5=MAX($F139:$J139)+1,"取消",""))</f>
        <v>取消</v>
      </c>
      <c r="Q139" s="0" t="str">
        <f aca="false">IFERROR(INDEX($A$1:$A$5,MATCH(6,$F139:$J139,0)),IF(6=MAX($F139:$J139)+1,"取消",""))</f>
        <v/>
      </c>
      <c r="S139" s="0" t="n">
        <f aca="false">IF(OR($A$1=入户维修!$F139,$A$1=入户维修!$G139,$BN$1=1),0,1-SUMPRODUCT(--(($A$1=入户维修!$F139)+($A$1=入户维修!$G139)+$BN$1&gt;0)))</f>
        <v>0</v>
      </c>
      <c r="T139" s="0" t="n">
        <f aca="false">IF(OR($A$2=入户维修!$F139,$A$2=入户维修!$G139,$BN$2=1),0,2-SUMPRODUCT(--(($A$1:$A$2=入户维修!$F139)+($A$1:$A$2=入户维修!$G139)+$BN$1:$BN$2&gt;0)))</f>
        <v>1</v>
      </c>
      <c r="U139" s="0" t="n">
        <f aca="false">IF(OR($A$3=入户维修!$F139,$A$3=入户维修!$G139,$BN$3=1),0,3-SUMPRODUCT(--(($A$1:$A$3=入户维修!$F139)+($A$1:$A$3=入户维修!$G139)+$BN$1:$BN$3&gt;0)))</f>
        <v>2</v>
      </c>
      <c r="V139" s="0" t="n">
        <f aca="false">IF(OR($A$4=入户维修!$F139,$A$4=入户维修!$G139,$BN$4=1),0,4-SUMPRODUCT(--(($A$1:$A$4=入户维修!$F139)+($A$1:$A$4=入户维修!$G139)+$BN$1:$BN$4&gt;0)))</f>
        <v>3</v>
      </c>
      <c r="W139" s="0" t="n">
        <f aca="false">IF(OR($A$5=入户维修!$F139,$A$5=入户维修!$G139,$BN$5=1),0,5-SUMPRODUCT(--(($A$1:$A$5=入户维修!$F139)+($A$1:$A$5=入户维修!$G139)+$BN$1:$BN$5&gt;0)))</f>
        <v>4</v>
      </c>
      <c r="Y139" s="0" t="str">
        <f aca="false">IFERROR(INDEX($A$1:$A$5,MATCH(1,$S139:$W139,0)),IF(1=MAX($S139:$W139)+1,"取消",""))</f>
        <v>李师傅</v>
      </c>
      <c r="Z139" s="0" t="str">
        <f aca="false">IFERROR(INDEX($A$1:$A$5,MATCH(2,$S139:$W139,0)),IF(2=MAX($S139:$W139)+1,"取消",""))</f>
        <v>王师傅</v>
      </c>
      <c r="AA139" s="0" t="str">
        <f aca="false">IFERROR(INDEX($A$1:$A$5,MATCH(3,$S139:$W139,0)),IF(3=MAX($S139:$W139)+1,"取消",""))</f>
        <v>陈师傅</v>
      </c>
      <c r="AB139" s="0" t="str">
        <f aca="false">IFERROR(INDEX($A$1:$A$5,MATCH(4,$S139:$W139,0)),IF(4=MAX($S139:$W139)+1,"取消",""))</f>
        <v>刘师傅</v>
      </c>
      <c r="AC139" s="0" t="str">
        <f aca="false">IFERROR(INDEX($A$1:$A$5,MATCH(5,$S139:$W139,0)),IF(5=MAX($S139:$W139)+1,"取消",""))</f>
        <v>取消</v>
      </c>
      <c r="AD139" s="0" t="str">
        <f aca="false">IFERROR(INDEX($A$1:$A$5,MATCH(6,$S139:$W139,0)),IF(6=MAX($S139:$W139)+1,"取消",""))</f>
        <v/>
      </c>
      <c r="AF139" s="0" t="n">
        <f aca="false">IF(OR($A$1=公区维修!$F139,$BN$1=1),0,1-SUMPRODUCT(--(($A$1=公区维修!$F139)+$BN$1&gt;0)))</f>
        <v>0</v>
      </c>
      <c r="AG139" s="0" t="n">
        <f aca="false">IF(OR($A$2=公区维修!$F139,$BN$2=1),0,2-SUMPRODUCT(--(($A$1:$A$2=公区维修!$F139)+$BN$1:$BN$2&gt;0)))</f>
        <v>1</v>
      </c>
      <c r="AH139" s="0" t="n">
        <f aca="false">IF(OR($A$3=公区维修!$F139,$BN$3=1),0,3-SUMPRODUCT(--(($A$1:$A$3=公区维修!$F139)+$BN$1:$BN$3&gt;0)))</f>
        <v>2</v>
      </c>
      <c r="AI139" s="0" t="n">
        <f aca="false">IF(OR($A$4=公区维修!$F139,$BN$4=1),0,4-SUMPRODUCT(--(($A$1:$A$4=公区维修!$F139)+$BN$1:$BN$4&gt;0)))</f>
        <v>3</v>
      </c>
      <c r="AJ139" s="0" t="n">
        <f aca="false">IF(OR($A$5=公区维修!$F139,$BN$5=1),0,5-SUMPRODUCT(--(($A$1:$A$5=公区维修!$F139)+$BN$1:$BN$5&gt;0)))</f>
        <v>4</v>
      </c>
      <c r="AL139" s="0" t="str">
        <f aca="false">IFERROR(INDEX($A$1:$A$5,MATCH(1,$AF139:$AJ139,0)),IF(1=MAX($AF139:$AJ139)+1,"取消",""))</f>
        <v>李师傅</v>
      </c>
      <c r="AM139" s="0" t="str">
        <f aca="false">IFERROR(INDEX($A$1:$A$5,MATCH(2,$AF139:$AJ139,0)),IF(2=MAX($AF139:$AJ139)+1,"取消",""))</f>
        <v>王师傅</v>
      </c>
      <c r="AN139" s="0" t="str">
        <f aca="false">IFERROR(INDEX($A$1:$A$5,MATCH(3,$AF139:$AJ139,0)),IF(3=MAX($AF139:$AJ139)+1,"取消",""))</f>
        <v>陈师傅</v>
      </c>
      <c r="AO139" s="0" t="str">
        <f aca="false">IFERROR(INDEX($A$1:$A$5,MATCH(4,$AF139:$AJ139,0)),IF(4=MAX($AF139:$AJ139)+1,"取消",""))</f>
        <v>刘师傅</v>
      </c>
      <c r="AP139" s="0" t="str">
        <f aca="false">IFERROR(INDEX($A$1:$A$5,MATCH(5,$AF139:$AJ139,0)),IF(5=MAX($AF139:$AJ139)+1,"取消",""))</f>
        <v>取消</v>
      </c>
      <c r="AQ139" s="0" t="str">
        <f aca="false">IFERROR(INDEX($A$1:$A$5,MATCH(6,$AF139:$AJ139,0)),IF(6=MAX($AF139:$AJ139)+1,"取消",""))</f>
        <v/>
      </c>
      <c r="AS139" s="0" t="n">
        <f aca="false">IF(OR($A$1=公区维修!$F139,$A$1=公区维修!$G139,$BN$1=1),0,1-SUMPRODUCT(--(($A$1=公区维修!$F139)+($A$1=公区维修!$G139)+$BN$1&gt;0)))</f>
        <v>0</v>
      </c>
      <c r="AT139" s="0" t="n">
        <f aca="false">IF(OR($A$2=公区维修!$F139,$A$2=公区维修!$G139,$BN$2=1),0,2-SUMPRODUCT(--(($A$1:$A$2=公区维修!$F139)+($A$1:$A$2=公区维修!$G139)+$BN$1:$BN$2&gt;0)))</f>
        <v>1</v>
      </c>
      <c r="AU139" s="0" t="n">
        <f aca="false">IF(OR($A$3=公区维修!$F139,$A$3=公区维修!$G139,$BN$3=1),0,3-SUMPRODUCT(--(($A$1:$A$3=公区维修!$F139)+($A$1:$A$3=公区维修!$G139)+$BN$1:$BN$3&gt;0)))</f>
        <v>2</v>
      </c>
      <c r="AV139" s="0" t="n">
        <f aca="false">IF(OR($A$4=公区维修!$F139,$A$4=公区维修!$G139,$BN$4=1),0,4-SUMPRODUCT(--(($A$1:$A$4=公区维修!$F139)+($A$1:$A$4=公区维修!$G139)+$BN$1:$BN$4&gt;0)))</f>
        <v>3</v>
      </c>
      <c r="AW139" s="0" t="n">
        <f aca="false">IF(OR($A$5=公区维修!$F139,$A$5=公区维修!$G139,$BN$5=1),0,5-SUMPRODUCT(--(($A$1:$A$5=公区维修!$F139)+($A$1:$A$5=公区维修!$G139)+$BN$1:$BN$5&gt;0)))</f>
        <v>4</v>
      </c>
      <c r="AY139" s="0" t="str">
        <f aca="false">IFERROR(INDEX($A$1:$A$5,MATCH(1,$AS139:$AW139,0)),IF(1=MAX($AS139:$AW139)+1,"取消",""))</f>
        <v>李师傅</v>
      </c>
      <c r="AZ139" s="0" t="str">
        <f aca="false">IFERROR(INDEX($A$1:$A$5,MATCH(2,$AS139:$AW139,0)),IF(2=MAX($AS139:$AW139)+1,"取消",""))</f>
        <v>王师傅</v>
      </c>
      <c r="BA139" s="0" t="str">
        <f aca="false">IFERROR(INDEX($A$1:$A$5,MATCH(3,$AS139:$AW139,0)),IF(3=MAX($AS139:$AW139)+1,"取消",""))</f>
        <v>陈师傅</v>
      </c>
      <c r="BB139" s="0" t="str">
        <f aca="false">IFERROR(INDEX($A$1:$A$5,MATCH(4,$AS139:$AW139,0)),IF(4=MAX($AS139:$AW139)+1,"取消",""))</f>
        <v>刘师傅</v>
      </c>
      <c r="BC139" s="0" t="str">
        <f aca="false">IFERROR(INDEX($A$1:$A$5,MATCH(5,$AS139:$AW139,0)),IF(5=MAX($AS139:$AW139)+1,"取消",""))</f>
        <v>取消</v>
      </c>
      <c r="BD139" s="0" t="str">
        <f aca="false">IFERROR(INDEX($A$1:$A$5,MATCH(6,$AS139:$AW139,0)),IF(6=MAX($AS139:$AW139)+1,"取消",""))</f>
        <v/>
      </c>
      <c r="FW139" s="0" t="str">
        <f aca="false">IF(AND(单元查询!$D$3&lt;&gt;"",IF(单元查询!$B$3="公区维修",公区维修!$E139&lt;&gt;"",入户维修!$E139&lt;&gt;""),IF(单元查询!$B$3="公区维修",公区维修!$C139,入户维修!$C139)=单元查询!$D$3,OR(单元查询!$F$3="",IF(单元查询!$B$3="公区维修",公区维修!$D139,入户维修!$D139)&amp;""=(单元查询!$F$3)&amp;"")),MAX($FW$4:$FW138)+1,"")</f>
        <v/>
      </c>
    </row>
    <row r="140" customFormat="false" ht="15" hidden="false" customHeight="true" outlineLevel="0" collapsed="false">
      <c r="F140" s="0" t="n">
        <f aca="false">IF(OR($A$1=入户维修!$F140,$BN$1=1),0,1-SUMPRODUCT(--(($A$1=入户维修!$F140)+$BN$1&gt;0)))</f>
        <v>0</v>
      </c>
      <c r="G140" s="0" t="n">
        <f aca="false">IF(OR($A$2=入户维修!$F140,$BN$2=1),0,2-SUMPRODUCT(--(($A$1:$A$2=入户维修!$F140)+$BN$1:$BN$2&gt;0)))</f>
        <v>1</v>
      </c>
      <c r="H140" s="0" t="n">
        <f aca="false">IF(OR($A$3=入户维修!$F140,$BN$3=1),0,3-SUMPRODUCT(--(($A$1:$A$3=入户维修!$F140)+$BN$1:$BN$3&gt;0)))</f>
        <v>2</v>
      </c>
      <c r="I140" s="0" t="n">
        <f aca="false">IF(OR($A$4=入户维修!$F140,$BN$4=1),0,4-SUMPRODUCT(--(($A$1:$A$4=入户维修!$F140)+$BN$1:$BN$4&gt;0)))</f>
        <v>3</v>
      </c>
      <c r="J140" s="0" t="n">
        <f aca="false">IF(OR($A$5=入户维修!$F140,$BN$5=1),0,5-SUMPRODUCT(--(($A$1:$A$5=入户维修!$F140)+$BN$1:$BN$5&gt;0)))</f>
        <v>4</v>
      </c>
      <c r="L140" s="0" t="str">
        <f aca="false">IFERROR(INDEX($A$1:$A$5,MATCH(1,$F140:$J140,0)),IF(1=MAX($F140:$J140)+1,"取消",""))</f>
        <v>李师傅</v>
      </c>
      <c r="M140" s="0" t="str">
        <f aca="false">IFERROR(INDEX($A$1:$A$5,MATCH(2,$F140:$J140,0)),IF(2=MAX($F140:$J140)+1,"取消",""))</f>
        <v>王师傅</v>
      </c>
      <c r="N140" s="0" t="str">
        <f aca="false">IFERROR(INDEX($A$1:$A$5,MATCH(3,$F140:$J140,0)),IF(3=MAX($F140:$J140)+1,"取消",""))</f>
        <v>陈师傅</v>
      </c>
      <c r="O140" s="0" t="str">
        <f aca="false">IFERROR(INDEX($A$1:$A$5,MATCH(4,$F140:$J140,0)),IF(4=MAX($F140:$J140)+1,"取消",""))</f>
        <v>刘师傅</v>
      </c>
      <c r="P140" s="0" t="str">
        <f aca="false">IFERROR(INDEX($A$1:$A$5,MATCH(5,$F140:$J140,0)),IF(5=MAX($F140:$J140)+1,"取消",""))</f>
        <v>取消</v>
      </c>
      <c r="Q140" s="0" t="str">
        <f aca="false">IFERROR(INDEX($A$1:$A$5,MATCH(6,$F140:$J140,0)),IF(6=MAX($F140:$J140)+1,"取消",""))</f>
        <v/>
      </c>
      <c r="S140" s="0" t="n">
        <f aca="false">IF(OR($A$1=入户维修!$F140,$A$1=入户维修!$G140,$BN$1=1),0,1-SUMPRODUCT(--(($A$1=入户维修!$F140)+($A$1=入户维修!$G140)+$BN$1&gt;0)))</f>
        <v>0</v>
      </c>
      <c r="T140" s="0" t="n">
        <f aca="false">IF(OR($A$2=入户维修!$F140,$A$2=入户维修!$G140,$BN$2=1),0,2-SUMPRODUCT(--(($A$1:$A$2=入户维修!$F140)+($A$1:$A$2=入户维修!$G140)+$BN$1:$BN$2&gt;0)))</f>
        <v>1</v>
      </c>
      <c r="U140" s="0" t="n">
        <f aca="false">IF(OR($A$3=入户维修!$F140,$A$3=入户维修!$G140,$BN$3=1),0,3-SUMPRODUCT(--(($A$1:$A$3=入户维修!$F140)+($A$1:$A$3=入户维修!$G140)+$BN$1:$BN$3&gt;0)))</f>
        <v>2</v>
      </c>
      <c r="V140" s="0" t="n">
        <f aca="false">IF(OR($A$4=入户维修!$F140,$A$4=入户维修!$G140,$BN$4=1),0,4-SUMPRODUCT(--(($A$1:$A$4=入户维修!$F140)+($A$1:$A$4=入户维修!$G140)+$BN$1:$BN$4&gt;0)))</f>
        <v>3</v>
      </c>
      <c r="W140" s="0" t="n">
        <f aca="false">IF(OR($A$5=入户维修!$F140,$A$5=入户维修!$G140,$BN$5=1),0,5-SUMPRODUCT(--(($A$1:$A$5=入户维修!$F140)+($A$1:$A$5=入户维修!$G140)+$BN$1:$BN$5&gt;0)))</f>
        <v>4</v>
      </c>
      <c r="Y140" s="0" t="str">
        <f aca="false">IFERROR(INDEX($A$1:$A$5,MATCH(1,$S140:$W140,0)),IF(1=MAX($S140:$W140)+1,"取消",""))</f>
        <v>李师傅</v>
      </c>
      <c r="Z140" s="0" t="str">
        <f aca="false">IFERROR(INDEX($A$1:$A$5,MATCH(2,$S140:$W140,0)),IF(2=MAX($S140:$W140)+1,"取消",""))</f>
        <v>王师傅</v>
      </c>
      <c r="AA140" s="0" t="str">
        <f aca="false">IFERROR(INDEX($A$1:$A$5,MATCH(3,$S140:$W140,0)),IF(3=MAX($S140:$W140)+1,"取消",""))</f>
        <v>陈师傅</v>
      </c>
      <c r="AB140" s="0" t="str">
        <f aca="false">IFERROR(INDEX($A$1:$A$5,MATCH(4,$S140:$W140,0)),IF(4=MAX($S140:$W140)+1,"取消",""))</f>
        <v>刘师傅</v>
      </c>
      <c r="AC140" s="0" t="str">
        <f aca="false">IFERROR(INDEX($A$1:$A$5,MATCH(5,$S140:$W140,0)),IF(5=MAX($S140:$W140)+1,"取消",""))</f>
        <v>取消</v>
      </c>
      <c r="AD140" s="0" t="str">
        <f aca="false">IFERROR(INDEX($A$1:$A$5,MATCH(6,$S140:$W140,0)),IF(6=MAX($S140:$W140)+1,"取消",""))</f>
        <v/>
      </c>
      <c r="AF140" s="0" t="n">
        <f aca="false">IF(OR($A$1=公区维修!$F140,$BN$1=1),0,1-SUMPRODUCT(--(($A$1=公区维修!$F140)+$BN$1&gt;0)))</f>
        <v>0</v>
      </c>
      <c r="AG140" s="0" t="n">
        <f aca="false">IF(OR($A$2=公区维修!$F140,$BN$2=1),0,2-SUMPRODUCT(--(($A$1:$A$2=公区维修!$F140)+$BN$1:$BN$2&gt;0)))</f>
        <v>1</v>
      </c>
      <c r="AH140" s="0" t="n">
        <f aca="false">IF(OR($A$3=公区维修!$F140,$BN$3=1),0,3-SUMPRODUCT(--(($A$1:$A$3=公区维修!$F140)+$BN$1:$BN$3&gt;0)))</f>
        <v>2</v>
      </c>
      <c r="AI140" s="0" t="n">
        <f aca="false">IF(OR($A$4=公区维修!$F140,$BN$4=1),0,4-SUMPRODUCT(--(($A$1:$A$4=公区维修!$F140)+$BN$1:$BN$4&gt;0)))</f>
        <v>3</v>
      </c>
      <c r="AJ140" s="0" t="n">
        <f aca="false">IF(OR($A$5=公区维修!$F140,$BN$5=1),0,5-SUMPRODUCT(--(($A$1:$A$5=公区维修!$F140)+$BN$1:$BN$5&gt;0)))</f>
        <v>4</v>
      </c>
      <c r="AL140" s="0" t="str">
        <f aca="false">IFERROR(INDEX($A$1:$A$5,MATCH(1,$AF140:$AJ140,0)),IF(1=MAX($AF140:$AJ140)+1,"取消",""))</f>
        <v>李师傅</v>
      </c>
      <c r="AM140" s="0" t="str">
        <f aca="false">IFERROR(INDEX($A$1:$A$5,MATCH(2,$AF140:$AJ140,0)),IF(2=MAX($AF140:$AJ140)+1,"取消",""))</f>
        <v>王师傅</v>
      </c>
      <c r="AN140" s="0" t="str">
        <f aca="false">IFERROR(INDEX($A$1:$A$5,MATCH(3,$AF140:$AJ140,0)),IF(3=MAX($AF140:$AJ140)+1,"取消",""))</f>
        <v>陈师傅</v>
      </c>
      <c r="AO140" s="0" t="str">
        <f aca="false">IFERROR(INDEX($A$1:$A$5,MATCH(4,$AF140:$AJ140,0)),IF(4=MAX($AF140:$AJ140)+1,"取消",""))</f>
        <v>刘师傅</v>
      </c>
      <c r="AP140" s="0" t="str">
        <f aca="false">IFERROR(INDEX($A$1:$A$5,MATCH(5,$AF140:$AJ140,0)),IF(5=MAX($AF140:$AJ140)+1,"取消",""))</f>
        <v>取消</v>
      </c>
      <c r="AQ140" s="0" t="str">
        <f aca="false">IFERROR(INDEX($A$1:$A$5,MATCH(6,$AF140:$AJ140,0)),IF(6=MAX($AF140:$AJ140)+1,"取消",""))</f>
        <v/>
      </c>
      <c r="AS140" s="0" t="n">
        <f aca="false">IF(OR($A$1=公区维修!$F140,$A$1=公区维修!$G140,$BN$1=1),0,1-SUMPRODUCT(--(($A$1=公区维修!$F140)+($A$1=公区维修!$G140)+$BN$1&gt;0)))</f>
        <v>0</v>
      </c>
      <c r="AT140" s="0" t="n">
        <f aca="false">IF(OR($A$2=公区维修!$F140,$A$2=公区维修!$G140,$BN$2=1),0,2-SUMPRODUCT(--(($A$1:$A$2=公区维修!$F140)+($A$1:$A$2=公区维修!$G140)+$BN$1:$BN$2&gt;0)))</f>
        <v>1</v>
      </c>
      <c r="AU140" s="0" t="n">
        <f aca="false">IF(OR($A$3=公区维修!$F140,$A$3=公区维修!$G140,$BN$3=1),0,3-SUMPRODUCT(--(($A$1:$A$3=公区维修!$F140)+($A$1:$A$3=公区维修!$G140)+$BN$1:$BN$3&gt;0)))</f>
        <v>2</v>
      </c>
      <c r="AV140" s="0" t="n">
        <f aca="false">IF(OR($A$4=公区维修!$F140,$A$4=公区维修!$G140,$BN$4=1),0,4-SUMPRODUCT(--(($A$1:$A$4=公区维修!$F140)+($A$1:$A$4=公区维修!$G140)+$BN$1:$BN$4&gt;0)))</f>
        <v>3</v>
      </c>
      <c r="AW140" s="0" t="n">
        <f aca="false">IF(OR($A$5=公区维修!$F140,$A$5=公区维修!$G140,$BN$5=1),0,5-SUMPRODUCT(--(($A$1:$A$5=公区维修!$F140)+($A$1:$A$5=公区维修!$G140)+$BN$1:$BN$5&gt;0)))</f>
        <v>4</v>
      </c>
      <c r="AY140" s="0" t="str">
        <f aca="false">IFERROR(INDEX($A$1:$A$5,MATCH(1,$AS140:$AW140,0)),IF(1=MAX($AS140:$AW140)+1,"取消",""))</f>
        <v>李师傅</v>
      </c>
      <c r="AZ140" s="0" t="str">
        <f aca="false">IFERROR(INDEX($A$1:$A$5,MATCH(2,$AS140:$AW140,0)),IF(2=MAX($AS140:$AW140)+1,"取消",""))</f>
        <v>王师傅</v>
      </c>
      <c r="BA140" s="0" t="str">
        <f aca="false">IFERROR(INDEX($A$1:$A$5,MATCH(3,$AS140:$AW140,0)),IF(3=MAX($AS140:$AW140)+1,"取消",""))</f>
        <v>陈师傅</v>
      </c>
      <c r="BB140" s="0" t="str">
        <f aca="false">IFERROR(INDEX($A$1:$A$5,MATCH(4,$AS140:$AW140,0)),IF(4=MAX($AS140:$AW140)+1,"取消",""))</f>
        <v>刘师傅</v>
      </c>
      <c r="BC140" s="0" t="str">
        <f aca="false">IFERROR(INDEX($A$1:$A$5,MATCH(5,$AS140:$AW140,0)),IF(5=MAX($AS140:$AW140)+1,"取消",""))</f>
        <v>取消</v>
      </c>
      <c r="BD140" s="0" t="str">
        <f aca="false">IFERROR(INDEX($A$1:$A$5,MATCH(6,$AS140:$AW140,0)),IF(6=MAX($AS140:$AW140)+1,"取消",""))</f>
        <v/>
      </c>
      <c r="FW140" s="0" t="str">
        <f aca="false">IF(AND(单元查询!$D$3&lt;&gt;"",IF(单元查询!$B$3="公区维修",公区维修!$E140&lt;&gt;"",入户维修!$E140&lt;&gt;""),IF(单元查询!$B$3="公区维修",公区维修!$C140,入户维修!$C140)=单元查询!$D$3,OR(单元查询!$F$3="",IF(单元查询!$B$3="公区维修",公区维修!$D140,入户维修!$D140)&amp;""=(单元查询!$F$3)&amp;"")),MAX($FW$4:$FW139)+1,"")</f>
        <v/>
      </c>
    </row>
    <row r="141" customFormat="false" ht="15" hidden="false" customHeight="true" outlineLevel="0" collapsed="false">
      <c r="F141" s="0" t="n">
        <f aca="false">IF(OR($A$1=入户维修!$F141,$BN$1=1),0,1-SUMPRODUCT(--(($A$1=入户维修!$F141)+$BN$1&gt;0)))</f>
        <v>0</v>
      </c>
      <c r="G141" s="0" t="n">
        <f aca="false">IF(OR($A$2=入户维修!$F141,$BN$2=1),0,2-SUMPRODUCT(--(($A$1:$A$2=入户维修!$F141)+$BN$1:$BN$2&gt;0)))</f>
        <v>1</v>
      </c>
      <c r="H141" s="0" t="n">
        <f aca="false">IF(OR($A$3=入户维修!$F141,$BN$3=1),0,3-SUMPRODUCT(--(($A$1:$A$3=入户维修!$F141)+$BN$1:$BN$3&gt;0)))</f>
        <v>2</v>
      </c>
      <c r="I141" s="0" t="n">
        <f aca="false">IF(OR($A$4=入户维修!$F141,$BN$4=1),0,4-SUMPRODUCT(--(($A$1:$A$4=入户维修!$F141)+$BN$1:$BN$4&gt;0)))</f>
        <v>3</v>
      </c>
      <c r="J141" s="0" t="n">
        <f aca="false">IF(OR($A$5=入户维修!$F141,$BN$5=1),0,5-SUMPRODUCT(--(($A$1:$A$5=入户维修!$F141)+$BN$1:$BN$5&gt;0)))</f>
        <v>4</v>
      </c>
      <c r="L141" s="0" t="str">
        <f aca="false">IFERROR(INDEX($A$1:$A$5,MATCH(1,$F141:$J141,0)),IF(1=MAX($F141:$J141)+1,"取消",""))</f>
        <v>李师傅</v>
      </c>
      <c r="M141" s="0" t="str">
        <f aca="false">IFERROR(INDEX($A$1:$A$5,MATCH(2,$F141:$J141,0)),IF(2=MAX($F141:$J141)+1,"取消",""))</f>
        <v>王师傅</v>
      </c>
      <c r="N141" s="0" t="str">
        <f aca="false">IFERROR(INDEX($A$1:$A$5,MATCH(3,$F141:$J141,0)),IF(3=MAX($F141:$J141)+1,"取消",""))</f>
        <v>陈师傅</v>
      </c>
      <c r="O141" s="0" t="str">
        <f aca="false">IFERROR(INDEX($A$1:$A$5,MATCH(4,$F141:$J141,0)),IF(4=MAX($F141:$J141)+1,"取消",""))</f>
        <v>刘师傅</v>
      </c>
      <c r="P141" s="0" t="str">
        <f aca="false">IFERROR(INDEX($A$1:$A$5,MATCH(5,$F141:$J141,0)),IF(5=MAX($F141:$J141)+1,"取消",""))</f>
        <v>取消</v>
      </c>
      <c r="Q141" s="0" t="str">
        <f aca="false">IFERROR(INDEX($A$1:$A$5,MATCH(6,$F141:$J141,0)),IF(6=MAX($F141:$J141)+1,"取消",""))</f>
        <v/>
      </c>
      <c r="S141" s="0" t="n">
        <f aca="false">IF(OR($A$1=入户维修!$F141,$A$1=入户维修!$G141,$BN$1=1),0,1-SUMPRODUCT(--(($A$1=入户维修!$F141)+($A$1=入户维修!$G141)+$BN$1&gt;0)))</f>
        <v>0</v>
      </c>
      <c r="T141" s="0" t="n">
        <f aca="false">IF(OR($A$2=入户维修!$F141,$A$2=入户维修!$G141,$BN$2=1),0,2-SUMPRODUCT(--(($A$1:$A$2=入户维修!$F141)+($A$1:$A$2=入户维修!$G141)+$BN$1:$BN$2&gt;0)))</f>
        <v>1</v>
      </c>
      <c r="U141" s="0" t="n">
        <f aca="false">IF(OR($A$3=入户维修!$F141,$A$3=入户维修!$G141,$BN$3=1),0,3-SUMPRODUCT(--(($A$1:$A$3=入户维修!$F141)+($A$1:$A$3=入户维修!$G141)+$BN$1:$BN$3&gt;0)))</f>
        <v>2</v>
      </c>
      <c r="V141" s="0" t="n">
        <f aca="false">IF(OR($A$4=入户维修!$F141,$A$4=入户维修!$G141,$BN$4=1),0,4-SUMPRODUCT(--(($A$1:$A$4=入户维修!$F141)+($A$1:$A$4=入户维修!$G141)+$BN$1:$BN$4&gt;0)))</f>
        <v>3</v>
      </c>
      <c r="W141" s="0" t="n">
        <f aca="false">IF(OR($A$5=入户维修!$F141,$A$5=入户维修!$G141,$BN$5=1),0,5-SUMPRODUCT(--(($A$1:$A$5=入户维修!$F141)+($A$1:$A$5=入户维修!$G141)+$BN$1:$BN$5&gt;0)))</f>
        <v>4</v>
      </c>
      <c r="Y141" s="0" t="str">
        <f aca="false">IFERROR(INDEX($A$1:$A$5,MATCH(1,$S141:$W141,0)),IF(1=MAX($S141:$W141)+1,"取消",""))</f>
        <v>李师傅</v>
      </c>
      <c r="Z141" s="0" t="str">
        <f aca="false">IFERROR(INDEX($A$1:$A$5,MATCH(2,$S141:$W141,0)),IF(2=MAX($S141:$W141)+1,"取消",""))</f>
        <v>王师傅</v>
      </c>
      <c r="AA141" s="0" t="str">
        <f aca="false">IFERROR(INDEX($A$1:$A$5,MATCH(3,$S141:$W141,0)),IF(3=MAX($S141:$W141)+1,"取消",""))</f>
        <v>陈师傅</v>
      </c>
      <c r="AB141" s="0" t="str">
        <f aca="false">IFERROR(INDEX($A$1:$A$5,MATCH(4,$S141:$W141,0)),IF(4=MAX($S141:$W141)+1,"取消",""))</f>
        <v>刘师傅</v>
      </c>
      <c r="AC141" s="0" t="str">
        <f aca="false">IFERROR(INDEX($A$1:$A$5,MATCH(5,$S141:$W141,0)),IF(5=MAX($S141:$W141)+1,"取消",""))</f>
        <v>取消</v>
      </c>
      <c r="AD141" s="0" t="str">
        <f aca="false">IFERROR(INDEX($A$1:$A$5,MATCH(6,$S141:$W141,0)),IF(6=MAX($S141:$W141)+1,"取消",""))</f>
        <v/>
      </c>
      <c r="AF141" s="0" t="n">
        <f aca="false">IF(OR($A$1=公区维修!$F141,$BN$1=1),0,1-SUMPRODUCT(--(($A$1=公区维修!$F141)+$BN$1&gt;0)))</f>
        <v>0</v>
      </c>
      <c r="AG141" s="0" t="n">
        <f aca="false">IF(OR($A$2=公区维修!$F141,$BN$2=1),0,2-SUMPRODUCT(--(($A$1:$A$2=公区维修!$F141)+$BN$1:$BN$2&gt;0)))</f>
        <v>1</v>
      </c>
      <c r="AH141" s="0" t="n">
        <f aca="false">IF(OR($A$3=公区维修!$F141,$BN$3=1),0,3-SUMPRODUCT(--(($A$1:$A$3=公区维修!$F141)+$BN$1:$BN$3&gt;0)))</f>
        <v>2</v>
      </c>
      <c r="AI141" s="0" t="n">
        <f aca="false">IF(OR($A$4=公区维修!$F141,$BN$4=1),0,4-SUMPRODUCT(--(($A$1:$A$4=公区维修!$F141)+$BN$1:$BN$4&gt;0)))</f>
        <v>3</v>
      </c>
      <c r="AJ141" s="0" t="n">
        <f aca="false">IF(OR($A$5=公区维修!$F141,$BN$5=1),0,5-SUMPRODUCT(--(($A$1:$A$5=公区维修!$F141)+$BN$1:$BN$5&gt;0)))</f>
        <v>4</v>
      </c>
      <c r="AL141" s="0" t="str">
        <f aca="false">IFERROR(INDEX($A$1:$A$5,MATCH(1,$AF141:$AJ141,0)),IF(1=MAX($AF141:$AJ141)+1,"取消",""))</f>
        <v>李师傅</v>
      </c>
      <c r="AM141" s="0" t="str">
        <f aca="false">IFERROR(INDEX($A$1:$A$5,MATCH(2,$AF141:$AJ141,0)),IF(2=MAX($AF141:$AJ141)+1,"取消",""))</f>
        <v>王师傅</v>
      </c>
      <c r="AN141" s="0" t="str">
        <f aca="false">IFERROR(INDEX($A$1:$A$5,MATCH(3,$AF141:$AJ141,0)),IF(3=MAX($AF141:$AJ141)+1,"取消",""))</f>
        <v>陈师傅</v>
      </c>
      <c r="AO141" s="0" t="str">
        <f aca="false">IFERROR(INDEX($A$1:$A$5,MATCH(4,$AF141:$AJ141,0)),IF(4=MAX($AF141:$AJ141)+1,"取消",""))</f>
        <v>刘师傅</v>
      </c>
      <c r="AP141" s="0" t="str">
        <f aca="false">IFERROR(INDEX($A$1:$A$5,MATCH(5,$AF141:$AJ141,0)),IF(5=MAX($AF141:$AJ141)+1,"取消",""))</f>
        <v>取消</v>
      </c>
      <c r="AQ141" s="0" t="str">
        <f aca="false">IFERROR(INDEX($A$1:$A$5,MATCH(6,$AF141:$AJ141,0)),IF(6=MAX($AF141:$AJ141)+1,"取消",""))</f>
        <v/>
      </c>
      <c r="AS141" s="0" t="n">
        <f aca="false">IF(OR($A$1=公区维修!$F141,$A$1=公区维修!$G141,$BN$1=1),0,1-SUMPRODUCT(--(($A$1=公区维修!$F141)+($A$1=公区维修!$G141)+$BN$1&gt;0)))</f>
        <v>0</v>
      </c>
      <c r="AT141" s="0" t="n">
        <f aca="false">IF(OR($A$2=公区维修!$F141,$A$2=公区维修!$G141,$BN$2=1),0,2-SUMPRODUCT(--(($A$1:$A$2=公区维修!$F141)+($A$1:$A$2=公区维修!$G141)+$BN$1:$BN$2&gt;0)))</f>
        <v>1</v>
      </c>
      <c r="AU141" s="0" t="n">
        <f aca="false">IF(OR($A$3=公区维修!$F141,$A$3=公区维修!$G141,$BN$3=1),0,3-SUMPRODUCT(--(($A$1:$A$3=公区维修!$F141)+($A$1:$A$3=公区维修!$G141)+$BN$1:$BN$3&gt;0)))</f>
        <v>2</v>
      </c>
      <c r="AV141" s="0" t="n">
        <f aca="false">IF(OR($A$4=公区维修!$F141,$A$4=公区维修!$G141,$BN$4=1),0,4-SUMPRODUCT(--(($A$1:$A$4=公区维修!$F141)+($A$1:$A$4=公区维修!$G141)+$BN$1:$BN$4&gt;0)))</f>
        <v>3</v>
      </c>
      <c r="AW141" s="0" t="n">
        <f aca="false">IF(OR($A$5=公区维修!$F141,$A$5=公区维修!$G141,$BN$5=1),0,5-SUMPRODUCT(--(($A$1:$A$5=公区维修!$F141)+($A$1:$A$5=公区维修!$G141)+$BN$1:$BN$5&gt;0)))</f>
        <v>4</v>
      </c>
      <c r="AY141" s="0" t="str">
        <f aca="false">IFERROR(INDEX($A$1:$A$5,MATCH(1,$AS141:$AW141,0)),IF(1=MAX($AS141:$AW141)+1,"取消",""))</f>
        <v>李师傅</v>
      </c>
      <c r="AZ141" s="0" t="str">
        <f aca="false">IFERROR(INDEX($A$1:$A$5,MATCH(2,$AS141:$AW141,0)),IF(2=MAX($AS141:$AW141)+1,"取消",""))</f>
        <v>王师傅</v>
      </c>
      <c r="BA141" s="0" t="str">
        <f aca="false">IFERROR(INDEX($A$1:$A$5,MATCH(3,$AS141:$AW141,0)),IF(3=MAX($AS141:$AW141)+1,"取消",""))</f>
        <v>陈师傅</v>
      </c>
      <c r="BB141" s="0" t="str">
        <f aca="false">IFERROR(INDEX($A$1:$A$5,MATCH(4,$AS141:$AW141,0)),IF(4=MAX($AS141:$AW141)+1,"取消",""))</f>
        <v>刘师傅</v>
      </c>
      <c r="BC141" s="0" t="str">
        <f aca="false">IFERROR(INDEX($A$1:$A$5,MATCH(5,$AS141:$AW141,0)),IF(5=MAX($AS141:$AW141)+1,"取消",""))</f>
        <v>取消</v>
      </c>
      <c r="BD141" s="0" t="str">
        <f aca="false">IFERROR(INDEX($A$1:$A$5,MATCH(6,$AS141:$AW141,0)),IF(6=MAX($AS141:$AW141)+1,"取消",""))</f>
        <v/>
      </c>
      <c r="FW141" s="0" t="str">
        <f aca="false">IF(AND(单元查询!$D$3&lt;&gt;"",IF(单元查询!$B$3="公区维修",公区维修!$E141&lt;&gt;"",入户维修!$E141&lt;&gt;""),IF(单元查询!$B$3="公区维修",公区维修!$C141,入户维修!$C141)=单元查询!$D$3,OR(单元查询!$F$3="",IF(单元查询!$B$3="公区维修",公区维修!$D141,入户维修!$D141)&amp;""=(单元查询!$F$3)&amp;"")),MAX($FW$4:$FW140)+1,"")</f>
        <v/>
      </c>
    </row>
    <row r="142" customFormat="false" ht="15" hidden="false" customHeight="true" outlineLevel="0" collapsed="false">
      <c r="F142" s="0" t="n">
        <f aca="false">IF(OR($A$1=入户维修!$F142,$BN$1=1),0,1-SUMPRODUCT(--(($A$1=入户维修!$F142)+$BN$1&gt;0)))</f>
        <v>0</v>
      </c>
      <c r="G142" s="0" t="n">
        <f aca="false">IF(OR($A$2=入户维修!$F142,$BN$2=1),0,2-SUMPRODUCT(--(($A$1:$A$2=入户维修!$F142)+$BN$1:$BN$2&gt;0)))</f>
        <v>1</v>
      </c>
      <c r="H142" s="0" t="n">
        <f aca="false">IF(OR($A$3=入户维修!$F142,$BN$3=1),0,3-SUMPRODUCT(--(($A$1:$A$3=入户维修!$F142)+$BN$1:$BN$3&gt;0)))</f>
        <v>2</v>
      </c>
      <c r="I142" s="0" t="n">
        <f aca="false">IF(OR($A$4=入户维修!$F142,$BN$4=1),0,4-SUMPRODUCT(--(($A$1:$A$4=入户维修!$F142)+$BN$1:$BN$4&gt;0)))</f>
        <v>3</v>
      </c>
      <c r="J142" s="0" t="n">
        <f aca="false">IF(OR($A$5=入户维修!$F142,$BN$5=1),0,5-SUMPRODUCT(--(($A$1:$A$5=入户维修!$F142)+$BN$1:$BN$5&gt;0)))</f>
        <v>4</v>
      </c>
      <c r="L142" s="0" t="str">
        <f aca="false">IFERROR(INDEX($A$1:$A$5,MATCH(1,$F142:$J142,0)),IF(1=MAX($F142:$J142)+1,"取消",""))</f>
        <v>李师傅</v>
      </c>
      <c r="M142" s="0" t="str">
        <f aca="false">IFERROR(INDEX($A$1:$A$5,MATCH(2,$F142:$J142,0)),IF(2=MAX($F142:$J142)+1,"取消",""))</f>
        <v>王师傅</v>
      </c>
      <c r="N142" s="0" t="str">
        <f aca="false">IFERROR(INDEX($A$1:$A$5,MATCH(3,$F142:$J142,0)),IF(3=MAX($F142:$J142)+1,"取消",""))</f>
        <v>陈师傅</v>
      </c>
      <c r="O142" s="0" t="str">
        <f aca="false">IFERROR(INDEX($A$1:$A$5,MATCH(4,$F142:$J142,0)),IF(4=MAX($F142:$J142)+1,"取消",""))</f>
        <v>刘师傅</v>
      </c>
      <c r="P142" s="0" t="str">
        <f aca="false">IFERROR(INDEX($A$1:$A$5,MATCH(5,$F142:$J142,0)),IF(5=MAX($F142:$J142)+1,"取消",""))</f>
        <v>取消</v>
      </c>
      <c r="Q142" s="0" t="str">
        <f aca="false">IFERROR(INDEX($A$1:$A$5,MATCH(6,$F142:$J142,0)),IF(6=MAX($F142:$J142)+1,"取消",""))</f>
        <v/>
      </c>
      <c r="S142" s="0" t="n">
        <f aca="false">IF(OR($A$1=入户维修!$F142,$A$1=入户维修!$G142,$BN$1=1),0,1-SUMPRODUCT(--(($A$1=入户维修!$F142)+($A$1=入户维修!$G142)+$BN$1&gt;0)))</f>
        <v>0</v>
      </c>
      <c r="T142" s="0" t="n">
        <f aca="false">IF(OR($A$2=入户维修!$F142,$A$2=入户维修!$G142,$BN$2=1),0,2-SUMPRODUCT(--(($A$1:$A$2=入户维修!$F142)+($A$1:$A$2=入户维修!$G142)+$BN$1:$BN$2&gt;0)))</f>
        <v>1</v>
      </c>
      <c r="U142" s="0" t="n">
        <f aca="false">IF(OR($A$3=入户维修!$F142,$A$3=入户维修!$G142,$BN$3=1),0,3-SUMPRODUCT(--(($A$1:$A$3=入户维修!$F142)+($A$1:$A$3=入户维修!$G142)+$BN$1:$BN$3&gt;0)))</f>
        <v>2</v>
      </c>
      <c r="V142" s="0" t="n">
        <f aca="false">IF(OR($A$4=入户维修!$F142,$A$4=入户维修!$G142,$BN$4=1),0,4-SUMPRODUCT(--(($A$1:$A$4=入户维修!$F142)+($A$1:$A$4=入户维修!$G142)+$BN$1:$BN$4&gt;0)))</f>
        <v>3</v>
      </c>
      <c r="W142" s="0" t="n">
        <f aca="false">IF(OR($A$5=入户维修!$F142,$A$5=入户维修!$G142,$BN$5=1),0,5-SUMPRODUCT(--(($A$1:$A$5=入户维修!$F142)+($A$1:$A$5=入户维修!$G142)+$BN$1:$BN$5&gt;0)))</f>
        <v>4</v>
      </c>
      <c r="Y142" s="0" t="str">
        <f aca="false">IFERROR(INDEX($A$1:$A$5,MATCH(1,$S142:$W142,0)),IF(1=MAX($S142:$W142)+1,"取消",""))</f>
        <v>李师傅</v>
      </c>
      <c r="Z142" s="0" t="str">
        <f aca="false">IFERROR(INDEX($A$1:$A$5,MATCH(2,$S142:$W142,0)),IF(2=MAX($S142:$W142)+1,"取消",""))</f>
        <v>王师傅</v>
      </c>
      <c r="AA142" s="0" t="str">
        <f aca="false">IFERROR(INDEX($A$1:$A$5,MATCH(3,$S142:$W142,0)),IF(3=MAX($S142:$W142)+1,"取消",""))</f>
        <v>陈师傅</v>
      </c>
      <c r="AB142" s="0" t="str">
        <f aca="false">IFERROR(INDEX($A$1:$A$5,MATCH(4,$S142:$W142,0)),IF(4=MAX($S142:$W142)+1,"取消",""))</f>
        <v>刘师傅</v>
      </c>
      <c r="AC142" s="0" t="str">
        <f aca="false">IFERROR(INDEX($A$1:$A$5,MATCH(5,$S142:$W142,0)),IF(5=MAX($S142:$W142)+1,"取消",""))</f>
        <v>取消</v>
      </c>
      <c r="AD142" s="0" t="str">
        <f aca="false">IFERROR(INDEX($A$1:$A$5,MATCH(6,$S142:$W142,0)),IF(6=MAX($S142:$W142)+1,"取消",""))</f>
        <v/>
      </c>
      <c r="AF142" s="0" t="n">
        <f aca="false">IF(OR($A$1=公区维修!$F142,$BN$1=1),0,1-SUMPRODUCT(--(($A$1=公区维修!$F142)+$BN$1&gt;0)))</f>
        <v>0</v>
      </c>
      <c r="AG142" s="0" t="n">
        <f aca="false">IF(OR($A$2=公区维修!$F142,$BN$2=1),0,2-SUMPRODUCT(--(($A$1:$A$2=公区维修!$F142)+$BN$1:$BN$2&gt;0)))</f>
        <v>1</v>
      </c>
      <c r="AH142" s="0" t="n">
        <f aca="false">IF(OR($A$3=公区维修!$F142,$BN$3=1),0,3-SUMPRODUCT(--(($A$1:$A$3=公区维修!$F142)+$BN$1:$BN$3&gt;0)))</f>
        <v>2</v>
      </c>
      <c r="AI142" s="0" t="n">
        <f aca="false">IF(OR($A$4=公区维修!$F142,$BN$4=1),0,4-SUMPRODUCT(--(($A$1:$A$4=公区维修!$F142)+$BN$1:$BN$4&gt;0)))</f>
        <v>3</v>
      </c>
      <c r="AJ142" s="0" t="n">
        <f aca="false">IF(OR($A$5=公区维修!$F142,$BN$5=1),0,5-SUMPRODUCT(--(($A$1:$A$5=公区维修!$F142)+$BN$1:$BN$5&gt;0)))</f>
        <v>4</v>
      </c>
      <c r="AL142" s="0" t="str">
        <f aca="false">IFERROR(INDEX($A$1:$A$5,MATCH(1,$AF142:$AJ142,0)),IF(1=MAX($AF142:$AJ142)+1,"取消",""))</f>
        <v>李师傅</v>
      </c>
      <c r="AM142" s="0" t="str">
        <f aca="false">IFERROR(INDEX($A$1:$A$5,MATCH(2,$AF142:$AJ142,0)),IF(2=MAX($AF142:$AJ142)+1,"取消",""))</f>
        <v>王师傅</v>
      </c>
      <c r="AN142" s="0" t="str">
        <f aca="false">IFERROR(INDEX($A$1:$A$5,MATCH(3,$AF142:$AJ142,0)),IF(3=MAX($AF142:$AJ142)+1,"取消",""))</f>
        <v>陈师傅</v>
      </c>
      <c r="AO142" s="0" t="str">
        <f aca="false">IFERROR(INDEX($A$1:$A$5,MATCH(4,$AF142:$AJ142,0)),IF(4=MAX($AF142:$AJ142)+1,"取消",""))</f>
        <v>刘师傅</v>
      </c>
      <c r="AP142" s="0" t="str">
        <f aca="false">IFERROR(INDEX($A$1:$A$5,MATCH(5,$AF142:$AJ142,0)),IF(5=MAX($AF142:$AJ142)+1,"取消",""))</f>
        <v>取消</v>
      </c>
      <c r="AQ142" s="0" t="str">
        <f aca="false">IFERROR(INDEX($A$1:$A$5,MATCH(6,$AF142:$AJ142,0)),IF(6=MAX($AF142:$AJ142)+1,"取消",""))</f>
        <v/>
      </c>
      <c r="AS142" s="0" t="n">
        <f aca="false">IF(OR($A$1=公区维修!$F142,$A$1=公区维修!$G142,$BN$1=1),0,1-SUMPRODUCT(--(($A$1=公区维修!$F142)+($A$1=公区维修!$G142)+$BN$1&gt;0)))</f>
        <v>0</v>
      </c>
      <c r="AT142" s="0" t="n">
        <f aca="false">IF(OR($A$2=公区维修!$F142,$A$2=公区维修!$G142,$BN$2=1),0,2-SUMPRODUCT(--(($A$1:$A$2=公区维修!$F142)+($A$1:$A$2=公区维修!$G142)+$BN$1:$BN$2&gt;0)))</f>
        <v>1</v>
      </c>
      <c r="AU142" s="0" t="n">
        <f aca="false">IF(OR($A$3=公区维修!$F142,$A$3=公区维修!$G142,$BN$3=1),0,3-SUMPRODUCT(--(($A$1:$A$3=公区维修!$F142)+($A$1:$A$3=公区维修!$G142)+$BN$1:$BN$3&gt;0)))</f>
        <v>2</v>
      </c>
      <c r="AV142" s="0" t="n">
        <f aca="false">IF(OR($A$4=公区维修!$F142,$A$4=公区维修!$G142,$BN$4=1),0,4-SUMPRODUCT(--(($A$1:$A$4=公区维修!$F142)+($A$1:$A$4=公区维修!$G142)+$BN$1:$BN$4&gt;0)))</f>
        <v>3</v>
      </c>
      <c r="AW142" s="0" t="n">
        <f aca="false">IF(OR($A$5=公区维修!$F142,$A$5=公区维修!$G142,$BN$5=1),0,5-SUMPRODUCT(--(($A$1:$A$5=公区维修!$F142)+($A$1:$A$5=公区维修!$G142)+$BN$1:$BN$5&gt;0)))</f>
        <v>4</v>
      </c>
      <c r="AY142" s="0" t="str">
        <f aca="false">IFERROR(INDEX($A$1:$A$5,MATCH(1,$AS142:$AW142,0)),IF(1=MAX($AS142:$AW142)+1,"取消",""))</f>
        <v>李师傅</v>
      </c>
      <c r="AZ142" s="0" t="str">
        <f aca="false">IFERROR(INDEX($A$1:$A$5,MATCH(2,$AS142:$AW142,0)),IF(2=MAX($AS142:$AW142)+1,"取消",""))</f>
        <v>王师傅</v>
      </c>
      <c r="BA142" s="0" t="str">
        <f aca="false">IFERROR(INDEX($A$1:$A$5,MATCH(3,$AS142:$AW142,0)),IF(3=MAX($AS142:$AW142)+1,"取消",""))</f>
        <v>陈师傅</v>
      </c>
      <c r="BB142" s="0" t="str">
        <f aca="false">IFERROR(INDEX($A$1:$A$5,MATCH(4,$AS142:$AW142,0)),IF(4=MAX($AS142:$AW142)+1,"取消",""))</f>
        <v>刘师傅</v>
      </c>
      <c r="BC142" s="0" t="str">
        <f aca="false">IFERROR(INDEX($A$1:$A$5,MATCH(5,$AS142:$AW142,0)),IF(5=MAX($AS142:$AW142)+1,"取消",""))</f>
        <v>取消</v>
      </c>
      <c r="BD142" s="0" t="str">
        <f aca="false">IFERROR(INDEX($A$1:$A$5,MATCH(6,$AS142:$AW142,0)),IF(6=MAX($AS142:$AW142)+1,"取消",""))</f>
        <v/>
      </c>
      <c r="FW142" s="0" t="str">
        <f aca="false">IF(AND(单元查询!$D$3&lt;&gt;"",IF(单元查询!$B$3="公区维修",公区维修!$E142&lt;&gt;"",入户维修!$E142&lt;&gt;""),IF(单元查询!$B$3="公区维修",公区维修!$C142,入户维修!$C142)=单元查询!$D$3,OR(单元查询!$F$3="",IF(单元查询!$B$3="公区维修",公区维修!$D142,入户维修!$D142)&amp;""=(单元查询!$F$3)&amp;"")),MAX($FW$4:$FW141)+1,"")</f>
        <v/>
      </c>
    </row>
    <row r="143" customFormat="false" ht="15" hidden="false" customHeight="true" outlineLevel="0" collapsed="false">
      <c r="F143" s="0" t="n">
        <f aca="false">IF(OR($A$1=入户维修!$F143,$BN$1=1),0,1-SUMPRODUCT(--(($A$1=入户维修!$F143)+$BN$1&gt;0)))</f>
        <v>0</v>
      </c>
      <c r="G143" s="0" t="n">
        <f aca="false">IF(OR($A$2=入户维修!$F143,$BN$2=1),0,2-SUMPRODUCT(--(($A$1:$A$2=入户维修!$F143)+$BN$1:$BN$2&gt;0)))</f>
        <v>1</v>
      </c>
      <c r="H143" s="0" t="n">
        <f aca="false">IF(OR($A$3=入户维修!$F143,$BN$3=1),0,3-SUMPRODUCT(--(($A$1:$A$3=入户维修!$F143)+$BN$1:$BN$3&gt;0)))</f>
        <v>2</v>
      </c>
      <c r="I143" s="0" t="n">
        <f aca="false">IF(OR($A$4=入户维修!$F143,$BN$4=1),0,4-SUMPRODUCT(--(($A$1:$A$4=入户维修!$F143)+$BN$1:$BN$4&gt;0)))</f>
        <v>3</v>
      </c>
      <c r="J143" s="0" t="n">
        <f aca="false">IF(OR($A$5=入户维修!$F143,$BN$5=1),0,5-SUMPRODUCT(--(($A$1:$A$5=入户维修!$F143)+$BN$1:$BN$5&gt;0)))</f>
        <v>4</v>
      </c>
      <c r="L143" s="0" t="str">
        <f aca="false">IFERROR(INDEX($A$1:$A$5,MATCH(1,$F143:$J143,0)),IF(1=MAX($F143:$J143)+1,"取消",""))</f>
        <v>李师傅</v>
      </c>
      <c r="M143" s="0" t="str">
        <f aca="false">IFERROR(INDEX($A$1:$A$5,MATCH(2,$F143:$J143,0)),IF(2=MAX($F143:$J143)+1,"取消",""))</f>
        <v>王师傅</v>
      </c>
      <c r="N143" s="0" t="str">
        <f aca="false">IFERROR(INDEX($A$1:$A$5,MATCH(3,$F143:$J143,0)),IF(3=MAX($F143:$J143)+1,"取消",""))</f>
        <v>陈师傅</v>
      </c>
      <c r="O143" s="0" t="str">
        <f aca="false">IFERROR(INDEX($A$1:$A$5,MATCH(4,$F143:$J143,0)),IF(4=MAX($F143:$J143)+1,"取消",""))</f>
        <v>刘师傅</v>
      </c>
      <c r="P143" s="0" t="str">
        <f aca="false">IFERROR(INDEX($A$1:$A$5,MATCH(5,$F143:$J143,0)),IF(5=MAX($F143:$J143)+1,"取消",""))</f>
        <v>取消</v>
      </c>
      <c r="Q143" s="0" t="str">
        <f aca="false">IFERROR(INDEX($A$1:$A$5,MATCH(6,$F143:$J143,0)),IF(6=MAX($F143:$J143)+1,"取消",""))</f>
        <v/>
      </c>
      <c r="S143" s="0" t="n">
        <f aca="false">IF(OR($A$1=入户维修!$F143,$A$1=入户维修!$G143,$BN$1=1),0,1-SUMPRODUCT(--(($A$1=入户维修!$F143)+($A$1=入户维修!$G143)+$BN$1&gt;0)))</f>
        <v>0</v>
      </c>
      <c r="T143" s="0" t="n">
        <f aca="false">IF(OR($A$2=入户维修!$F143,$A$2=入户维修!$G143,$BN$2=1),0,2-SUMPRODUCT(--(($A$1:$A$2=入户维修!$F143)+($A$1:$A$2=入户维修!$G143)+$BN$1:$BN$2&gt;0)))</f>
        <v>1</v>
      </c>
      <c r="U143" s="0" t="n">
        <f aca="false">IF(OR($A$3=入户维修!$F143,$A$3=入户维修!$G143,$BN$3=1),0,3-SUMPRODUCT(--(($A$1:$A$3=入户维修!$F143)+($A$1:$A$3=入户维修!$G143)+$BN$1:$BN$3&gt;0)))</f>
        <v>2</v>
      </c>
      <c r="V143" s="0" t="n">
        <f aca="false">IF(OR($A$4=入户维修!$F143,$A$4=入户维修!$G143,$BN$4=1),0,4-SUMPRODUCT(--(($A$1:$A$4=入户维修!$F143)+($A$1:$A$4=入户维修!$G143)+$BN$1:$BN$4&gt;0)))</f>
        <v>3</v>
      </c>
      <c r="W143" s="0" t="n">
        <f aca="false">IF(OR($A$5=入户维修!$F143,$A$5=入户维修!$G143,$BN$5=1),0,5-SUMPRODUCT(--(($A$1:$A$5=入户维修!$F143)+($A$1:$A$5=入户维修!$G143)+$BN$1:$BN$5&gt;0)))</f>
        <v>4</v>
      </c>
      <c r="Y143" s="0" t="str">
        <f aca="false">IFERROR(INDEX($A$1:$A$5,MATCH(1,$S143:$W143,0)),IF(1=MAX($S143:$W143)+1,"取消",""))</f>
        <v>李师傅</v>
      </c>
      <c r="Z143" s="0" t="str">
        <f aca="false">IFERROR(INDEX($A$1:$A$5,MATCH(2,$S143:$W143,0)),IF(2=MAX($S143:$W143)+1,"取消",""))</f>
        <v>王师傅</v>
      </c>
      <c r="AA143" s="0" t="str">
        <f aca="false">IFERROR(INDEX($A$1:$A$5,MATCH(3,$S143:$W143,0)),IF(3=MAX($S143:$W143)+1,"取消",""))</f>
        <v>陈师傅</v>
      </c>
      <c r="AB143" s="0" t="str">
        <f aca="false">IFERROR(INDEX($A$1:$A$5,MATCH(4,$S143:$W143,0)),IF(4=MAX($S143:$W143)+1,"取消",""))</f>
        <v>刘师傅</v>
      </c>
      <c r="AC143" s="0" t="str">
        <f aca="false">IFERROR(INDEX($A$1:$A$5,MATCH(5,$S143:$W143,0)),IF(5=MAX($S143:$W143)+1,"取消",""))</f>
        <v>取消</v>
      </c>
      <c r="AD143" s="0" t="str">
        <f aca="false">IFERROR(INDEX($A$1:$A$5,MATCH(6,$S143:$W143,0)),IF(6=MAX($S143:$W143)+1,"取消",""))</f>
        <v/>
      </c>
      <c r="AF143" s="0" t="n">
        <f aca="false">IF(OR($A$1=公区维修!$F143,$BN$1=1),0,1-SUMPRODUCT(--(($A$1=公区维修!$F143)+$BN$1&gt;0)))</f>
        <v>0</v>
      </c>
      <c r="AG143" s="0" t="n">
        <f aca="false">IF(OR($A$2=公区维修!$F143,$BN$2=1),0,2-SUMPRODUCT(--(($A$1:$A$2=公区维修!$F143)+$BN$1:$BN$2&gt;0)))</f>
        <v>1</v>
      </c>
      <c r="AH143" s="0" t="n">
        <f aca="false">IF(OR($A$3=公区维修!$F143,$BN$3=1),0,3-SUMPRODUCT(--(($A$1:$A$3=公区维修!$F143)+$BN$1:$BN$3&gt;0)))</f>
        <v>2</v>
      </c>
      <c r="AI143" s="0" t="n">
        <f aca="false">IF(OR($A$4=公区维修!$F143,$BN$4=1),0,4-SUMPRODUCT(--(($A$1:$A$4=公区维修!$F143)+$BN$1:$BN$4&gt;0)))</f>
        <v>3</v>
      </c>
      <c r="AJ143" s="0" t="n">
        <f aca="false">IF(OR($A$5=公区维修!$F143,$BN$5=1),0,5-SUMPRODUCT(--(($A$1:$A$5=公区维修!$F143)+$BN$1:$BN$5&gt;0)))</f>
        <v>4</v>
      </c>
      <c r="AL143" s="0" t="str">
        <f aca="false">IFERROR(INDEX($A$1:$A$5,MATCH(1,$AF143:$AJ143,0)),IF(1=MAX($AF143:$AJ143)+1,"取消",""))</f>
        <v>李师傅</v>
      </c>
      <c r="AM143" s="0" t="str">
        <f aca="false">IFERROR(INDEX($A$1:$A$5,MATCH(2,$AF143:$AJ143,0)),IF(2=MAX($AF143:$AJ143)+1,"取消",""))</f>
        <v>王师傅</v>
      </c>
      <c r="AN143" s="0" t="str">
        <f aca="false">IFERROR(INDEX($A$1:$A$5,MATCH(3,$AF143:$AJ143,0)),IF(3=MAX($AF143:$AJ143)+1,"取消",""))</f>
        <v>陈师傅</v>
      </c>
      <c r="AO143" s="0" t="str">
        <f aca="false">IFERROR(INDEX($A$1:$A$5,MATCH(4,$AF143:$AJ143,0)),IF(4=MAX($AF143:$AJ143)+1,"取消",""))</f>
        <v>刘师傅</v>
      </c>
      <c r="AP143" s="0" t="str">
        <f aca="false">IFERROR(INDEX($A$1:$A$5,MATCH(5,$AF143:$AJ143,0)),IF(5=MAX($AF143:$AJ143)+1,"取消",""))</f>
        <v>取消</v>
      </c>
      <c r="AQ143" s="0" t="str">
        <f aca="false">IFERROR(INDEX($A$1:$A$5,MATCH(6,$AF143:$AJ143,0)),IF(6=MAX($AF143:$AJ143)+1,"取消",""))</f>
        <v/>
      </c>
      <c r="AS143" s="0" t="n">
        <f aca="false">IF(OR($A$1=公区维修!$F143,$A$1=公区维修!$G143,$BN$1=1),0,1-SUMPRODUCT(--(($A$1=公区维修!$F143)+($A$1=公区维修!$G143)+$BN$1&gt;0)))</f>
        <v>0</v>
      </c>
      <c r="AT143" s="0" t="n">
        <f aca="false">IF(OR($A$2=公区维修!$F143,$A$2=公区维修!$G143,$BN$2=1),0,2-SUMPRODUCT(--(($A$1:$A$2=公区维修!$F143)+($A$1:$A$2=公区维修!$G143)+$BN$1:$BN$2&gt;0)))</f>
        <v>1</v>
      </c>
      <c r="AU143" s="0" t="n">
        <f aca="false">IF(OR($A$3=公区维修!$F143,$A$3=公区维修!$G143,$BN$3=1),0,3-SUMPRODUCT(--(($A$1:$A$3=公区维修!$F143)+($A$1:$A$3=公区维修!$G143)+$BN$1:$BN$3&gt;0)))</f>
        <v>2</v>
      </c>
      <c r="AV143" s="0" t="n">
        <f aca="false">IF(OR($A$4=公区维修!$F143,$A$4=公区维修!$G143,$BN$4=1),0,4-SUMPRODUCT(--(($A$1:$A$4=公区维修!$F143)+($A$1:$A$4=公区维修!$G143)+$BN$1:$BN$4&gt;0)))</f>
        <v>3</v>
      </c>
      <c r="AW143" s="0" t="n">
        <f aca="false">IF(OR($A$5=公区维修!$F143,$A$5=公区维修!$G143,$BN$5=1),0,5-SUMPRODUCT(--(($A$1:$A$5=公区维修!$F143)+($A$1:$A$5=公区维修!$G143)+$BN$1:$BN$5&gt;0)))</f>
        <v>4</v>
      </c>
      <c r="AY143" s="0" t="str">
        <f aca="false">IFERROR(INDEX($A$1:$A$5,MATCH(1,$AS143:$AW143,0)),IF(1=MAX($AS143:$AW143)+1,"取消",""))</f>
        <v>李师傅</v>
      </c>
      <c r="AZ143" s="0" t="str">
        <f aca="false">IFERROR(INDEX($A$1:$A$5,MATCH(2,$AS143:$AW143,0)),IF(2=MAX($AS143:$AW143)+1,"取消",""))</f>
        <v>王师傅</v>
      </c>
      <c r="BA143" s="0" t="str">
        <f aca="false">IFERROR(INDEX($A$1:$A$5,MATCH(3,$AS143:$AW143,0)),IF(3=MAX($AS143:$AW143)+1,"取消",""))</f>
        <v>陈师傅</v>
      </c>
      <c r="BB143" s="0" t="str">
        <f aca="false">IFERROR(INDEX($A$1:$A$5,MATCH(4,$AS143:$AW143,0)),IF(4=MAX($AS143:$AW143)+1,"取消",""))</f>
        <v>刘师傅</v>
      </c>
      <c r="BC143" s="0" t="str">
        <f aca="false">IFERROR(INDEX($A$1:$A$5,MATCH(5,$AS143:$AW143,0)),IF(5=MAX($AS143:$AW143)+1,"取消",""))</f>
        <v>取消</v>
      </c>
      <c r="BD143" s="0" t="str">
        <f aca="false">IFERROR(INDEX($A$1:$A$5,MATCH(6,$AS143:$AW143,0)),IF(6=MAX($AS143:$AW143)+1,"取消",""))</f>
        <v/>
      </c>
      <c r="FW143" s="0" t="str">
        <f aca="false">IF(AND(单元查询!$D$3&lt;&gt;"",IF(单元查询!$B$3="公区维修",公区维修!$E143&lt;&gt;"",入户维修!$E143&lt;&gt;""),IF(单元查询!$B$3="公区维修",公区维修!$C143,入户维修!$C143)=单元查询!$D$3,OR(单元查询!$F$3="",IF(单元查询!$B$3="公区维修",公区维修!$D143,入户维修!$D143)&amp;""=(单元查询!$F$3)&amp;"")),MAX($FW$4:$FW142)+1,"")</f>
        <v/>
      </c>
    </row>
    <row r="144" customFormat="false" ht="15" hidden="false" customHeight="true" outlineLevel="0" collapsed="false">
      <c r="F144" s="0" t="n">
        <f aca="false">IF(OR($A$1=入户维修!$F144,$BN$1=1),0,1-SUMPRODUCT(--(($A$1=入户维修!$F144)+$BN$1&gt;0)))</f>
        <v>0</v>
      </c>
      <c r="G144" s="0" t="n">
        <f aca="false">IF(OR($A$2=入户维修!$F144,$BN$2=1),0,2-SUMPRODUCT(--(($A$1:$A$2=入户维修!$F144)+$BN$1:$BN$2&gt;0)))</f>
        <v>1</v>
      </c>
      <c r="H144" s="0" t="n">
        <f aca="false">IF(OR($A$3=入户维修!$F144,$BN$3=1),0,3-SUMPRODUCT(--(($A$1:$A$3=入户维修!$F144)+$BN$1:$BN$3&gt;0)))</f>
        <v>2</v>
      </c>
      <c r="I144" s="0" t="n">
        <f aca="false">IF(OR($A$4=入户维修!$F144,$BN$4=1),0,4-SUMPRODUCT(--(($A$1:$A$4=入户维修!$F144)+$BN$1:$BN$4&gt;0)))</f>
        <v>3</v>
      </c>
      <c r="J144" s="0" t="n">
        <f aca="false">IF(OR($A$5=入户维修!$F144,$BN$5=1),0,5-SUMPRODUCT(--(($A$1:$A$5=入户维修!$F144)+$BN$1:$BN$5&gt;0)))</f>
        <v>4</v>
      </c>
      <c r="L144" s="0" t="str">
        <f aca="false">IFERROR(INDEX($A$1:$A$5,MATCH(1,$F144:$J144,0)),IF(1=MAX($F144:$J144)+1,"取消",""))</f>
        <v>李师傅</v>
      </c>
      <c r="M144" s="0" t="str">
        <f aca="false">IFERROR(INDEX($A$1:$A$5,MATCH(2,$F144:$J144,0)),IF(2=MAX($F144:$J144)+1,"取消",""))</f>
        <v>王师傅</v>
      </c>
      <c r="N144" s="0" t="str">
        <f aca="false">IFERROR(INDEX($A$1:$A$5,MATCH(3,$F144:$J144,0)),IF(3=MAX($F144:$J144)+1,"取消",""))</f>
        <v>陈师傅</v>
      </c>
      <c r="O144" s="0" t="str">
        <f aca="false">IFERROR(INDEX($A$1:$A$5,MATCH(4,$F144:$J144,0)),IF(4=MAX($F144:$J144)+1,"取消",""))</f>
        <v>刘师傅</v>
      </c>
      <c r="P144" s="0" t="str">
        <f aca="false">IFERROR(INDEX($A$1:$A$5,MATCH(5,$F144:$J144,0)),IF(5=MAX($F144:$J144)+1,"取消",""))</f>
        <v>取消</v>
      </c>
      <c r="Q144" s="0" t="str">
        <f aca="false">IFERROR(INDEX($A$1:$A$5,MATCH(6,$F144:$J144,0)),IF(6=MAX($F144:$J144)+1,"取消",""))</f>
        <v/>
      </c>
      <c r="S144" s="0" t="n">
        <f aca="false">IF(OR($A$1=入户维修!$F144,$A$1=入户维修!$G144,$BN$1=1),0,1-SUMPRODUCT(--(($A$1=入户维修!$F144)+($A$1=入户维修!$G144)+$BN$1&gt;0)))</f>
        <v>0</v>
      </c>
      <c r="T144" s="0" t="n">
        <f aca="false">IF(OR($A$2=入户维修!$F144,$A$2=入户维修!$G144,$BN$2=1),0,2-SUMPRODUCT(--(($A$1:$A$2=入户维修!$F144)+($A$1:$A$2=入户维修!$G144)+$BN$1:$BN$2&gt;0)))</f>
        <v>1</v>
      </c>
      <c r="U144" s="0" t="n">
        <f aca="false">IF(OR($A$3=入户维修!$F144,$A$3=入户维修!$G144,$BN$3=1),0,3-SUMPRODUCT(--(($A$1:$A$3=入户维修!$F144)+($A$1:$A$3=入户维修!$G144)+$BN$1:$BN$3&gt;0)))</f>
        <v>2</v>
      </c>
      <c r="V144" s="0" t="n">
        <f aca="false">IF(OR($A$4=入户维修!$F144,$A$4=入户维修!$G144,$BN$4=1),0,4-SUMPRODUCT(--(($A$1:$A$4=入户维修!$F144)+($A$1:$A$4=入户维修!$G144)+$BN$1:$BN$4&gt;0)))</f>
        <v>3</v>
      </c>
      <c r="W144" s="0" t="n">
        <f aca="false">IF(OR($A$5=入户维修!$F144,$A$5=入户维修!$G144,$BN$5=1),0,5-SUMPRODUCT(--(($A$1:$A$5=入户维修!$F144)+($A$1:$A$5=入户维修!$G144)+$BN$1:$BN$5&gt;0)))</f>
        <v>4</v>
      </c>
      <c r="Y144" s="0" t="str">
        <f aca="false">IFERROR(INDEX($A$1:$A$5,MATCH(1,$S144:$W144,0)),IF(1=MAX($S144:$W144)+1,"取消",""))</f>
        <v>李师傅</v>
      </c>
      <c r="Z144" s="0" t="str">
        <f aca="false">IFERROR(INDEX($A$1:$A$5,MATCH(2,$S144:$W144,0)),IF(2=MAX($S144:$W144)+1,"取消",""))</f>
        <v>王师傅</v>
      </c>
      <c r="AA144" s="0" t="str">
        <f aca="false">IFERROR(INDEX($A$1:$A$5,MATCH(3,$S144:$W144,0)),IF(3=MAX($S144:$W144)+1,"取消",""))</f>
        <v>陈师傅</v>
      </c>
      <c r="AB144" s="0" t="str">
        <f aca="false">IFERROR(INDEX($A$1:$A$5,MATCH(4,$S144:$W144,0)),IF(4=MAX($S144:$W144)+1,"取消",""))</f>
        <v>刘师傅</v>
      </c>
      <c r="AC144" s="0" t="str">
        <f aca="false">IFERROR(INDEX($A$1:$A$5,MATCH(5,$S144:$W144,0)),IF(5=MAX($S144:$W144)+1,"取消",""))</f>
        <v>取消</v>
      </c>
      <c r="AD144" s="0" t="str">
        <f aca="false">IFERROR(INDEX($A$1:$A$5,MATCH(6,$S144:$W144,0)),IF(6=MAX($S144:$W144)+1,"取消",""))</f>
        <v/>
      </c>
      <c r="AF144" s="0" t="n">
        <f aca="false">IF(OR($A$1=公区维修!$F144,$BN$1=1),0,1-SUMPRODUCT(--(($A$1=公区维修!$F144)+$BN$1&gt;0)))</f>
        <v>0</v>
      </c>
      <c r="AG144" s="0" t="n">
        <f aca="false">IF(OR($A$2=公区维修!$F144,$BN$2=1),0,2-SUMPRODUCT(--(($A$1:$A$2=公区维修!$F144)+$BN$1:$BN$2&gt;0)))</f>
        <v>1</v>
      </c>
      <c r="AH144" s="0" t="n">
        <f aca="false">IF(OR($A$3=公区维修!$F144,$BN$3=1),0,3-SUMPRODUCT(--(($A$1:$A$3=公区维修!$F144)+$BN$1:$BN$3&gt;0)))</f>
        <v>2</v>
      </c>
      <c r="AI144" s="0" t="n">
        <f aca="false">IF(OR($A$4=公区维修!$F144,$BN$4=1),0,4-SUMPRODUCT(--(($A$1:$A$4=公区维修!$F144)+$BN$1:$BN$4&gt;0)))</f>
        <v>3</v>
      </c>
      <c r="AJ144" s="0" t="n">
        <f aca="false">IF(OR($A$5=公区维修!$F144,$BN$5=1),0,5-SUMPRODUCT(--(($A$1:$A$5=公区维修!$F144)+$BN$1:$BN$5&gt;0)))</f>
        <v>4</v>
      </c>
      <c r="AL144" s="0" t="str">
        <f aca="false">IFERROR(INDEX($A$1:$A$5,MATCH(1,$AF144:$AJ144,0)),IF(1=MAX($AF144:$AJ144)+1,"取消",""))</f>
        <v>李师傅</v>
      </c>
      <c r="AM144" s="0" t="str">
        <f aca="false">IFERROR(INDEX($A$1:$A$5,MATCH(2,$AF144:$AJ144,0)),IF(2=MAX($AF144:$AJ144)+1,"取消",""))</f>
        <v>王师傅</v>
      </c>
      <c r="AN144" s="0" t="str">
        <f aca="false">IFERROR(INDEX($A$1:$A$5,MATCH(3,$AF144:$AJ144,0)),IF(3=MAX($AF144:$AJ144)+1,"取消",""))</f>
        <v>陈师傅</v>
      </c>
      <c r="AO144" s="0" t="str">
        <f aca="false">IFERROR(INDEX($A$1:$A$5,MATCH(4,$AF144:$AJ144,0)),IF(4=MAX($AF144:$AJ144)+1,"取消",""))</f>
        <v>刘师傅</v>
      </c>
      <c r="AP144" s="0" t="str">
        <f aca="false">IFERROR(INDEX($A$1:$A$5,MATCH(5,$AF144:$AJ144,0)),IF(5=MAX($AF144:$AJ144)+1,"取消",""))</f>
        <v>取消</v>
      </c>
      <c r="AQ144" s="0" t="str">
        <f aca="false">IFERROR(INDEX($A$1:$A$5,MATCH(6,$AF144:$AJ144,0)),IF(6=MAX($AF144:$AJ144)+1,"取消",""))</f>
        <v/>
      </c>
      <c r="AS144" s="0" t="n">
        <f aca="false">IF(OR($A$1=公区维修!$F144,$A$1=公区维修!$G144,$BN$1=1),0,1-SUMPRODUCT(--(($A$1=公区维修!$F144)+($A$1=公区维修!$G144)+$BN$1&gt;0)))</f>
        <v>0</v>
      </c>
      <c r="AT144" s="0" t="n">
        <f aca="false">IF(OR($A$2=公区维修!$F144,$A$2=公区维修!$G144,$BN$2=1),0,2-SUMPRODUCT(--(($A$1:$A$2=公区维修!$F144)+($A$1:$A$2=公区维修!$G144)+$BN$1:$BN$2&gt;0)))</f>
        <v>1</v>
      </c>
      <c r="AU144" s="0" t="n">
        <f aca="false">IF(OR($A$3=公区维修!$F144,$A$3=公区维修!$G144,$BN$3=1),0,3-SUMPRODUCT(--(($A$1:$A$3=公区维修!$F144)+($A$1:$A$3=公区维修!$G144)+$BN$1:$BN$3&gt;0)))</f>
        <v>2</v>
      </c>
      <c r="AV144" s="0" t="n">
        <f aca="false">IF(OR($A$4=公区维修!$F144,$A$4=公区维修!$G144,$BN$4=1),0,4-SUMPRODUCT(--(($A$1:$A$4=公区维修!$F144)+($A$1:$A$4=公区维修!$G144)+$BN$1:$BN$4&gt;0)))</f>
        <v>3</v>
      </c>
      <c r="AW144" s="0" t="n">
        <f aca="false">IF(OR($A$5=公区维修!$F144,$A$5=公区维修!$G144,$BN$5=1),0,5-SUMPRODUCT(--(($A$1:$A$5=公区维修!$F144)+($A$1:$A$5=公区维修!$G144)+$BN$1:$BN$5&gt;0)))</f>
        <v>4</v>
      </c>
      <c r="AY144" s="0" t="str">
        <f aca="false">IFERROR(INDEX($A$1:$A$5,MATCH(1,$AS144:$AW144,0)),IF(1=MAX($AS144:$AW144)+1,"取消",""))</f>
        <v>李师傅</v>
      </c>
      <c r="AZ144" s="0" t="str">
        <f aca="false">IFERROR(INDEX($A$1:$A$5,MATCH(2,$AS144:$AW144,0)),IF(2=MAX($AS144:$AW144)+1,"取消",""))</f>
        <v>王师傅</v>
      </c>
      <c r="BA144" s="0" t="str">
        <f aca="false">IFERROR(INDEX($A$1:$A$5,MATCH(3,$AS144:$AW144,0)),IF(3=MAX($AS144:$AW144)+1,"取消",""))</f>
        <v>陈师傅</v>
      </c>
      <c r="BB144" s="0" t="str">
        <f aca="false">IFERROR(INDEX($A$1:$A$5,MATCH(4,$AS144:$AW144,0)),IF(4=MAX($AS144:$AW144)+1,"取消",""))</f>
        <v>刘师傅</v>
      </c>
      <c r="BC144" s="0" t="str">
        <f aca="false">IFERROR(INDEX($A$1:$A$5,MATCH(5,$AS144:$AW144,0)),IF(5=MAX($AS144:$AW144)+1,"取消",""))</f>
        <v>取消</v>
      </c>
      <c r="BD144" s="0" t="str">
        <f aca="false">IFERROR(INDEX($A$1:$A$5,MATCH(6,$AS144:$AW144,0)),IF(6=MAX($AS144:$AW144)+1,"取消",""))</f>
        <v/>
      </c>
      <c r="FW144" s="0" t="str">
        <f aca="false">IF(AND(单元查询!$D$3&lt;&gt;"",IF(单元查询!$B$3="公区维修",公区维修!$E144&lt;&gt;"",入户维修!$E144&lt;&gt;""),IF(单元查询!$B$3="公区维修",公区维修!$C144,入户维修!$C144)=单元查询!$D$3,OR(单元查询!$F$3="",IF(单元查询!$B$3="公区维修",公区维修!$D144,入户维修!$D144)&amp;""=(单元查询!$F$3)&amp;"")),MAX($FW$4:$FW143)+1,"")</f>
        <v/>
      </c>
    </row>
    <row r="145" customFormat="false" ht="15" hidden="false" customHeight="true" outlineLevel="0" collapsed="false">
      <c r="F145" s="0" t="n">
        <f aca="false">IF(OR($A$1=入户维修!$F145,$BN$1=1),0,1-SUMPRODUCT(--(($A$1=入户维修!$F145)+$BN$1&gt;0)))</f>
        <v>0</v>
      </c>
      <c r="G145" s="0" t="n">
        <f aca="false">IF(OR($A$2=入户维修!$F145,$BN$2=1),0,2-SUMPRODUCT(--(($A$1:$A$2=入户维修!$F145)+$BN$1:$BN$2&gt;0)))</f>
        <v>1</v>
      </c>
      <c r="H145" s="0" t="n">
        <f aca="false">IF(OR($A$3=入户维修!$F145,$BN$3=1),0,3-SUMPRODUCT(--(($A$1:$A$3=入户维修!$F145)+$BN$1:$BN$3&gt;0)))</f>
        <v>2</v>
      </c>
      <c r="I145" s="0" t="n">
        <f aca="false">IF(OR($A$4=入户维修!$F145,$BN$4=1),0,4-SUMPRODUCT(--(($A$1:$A$4=入户维修!$F145)+$BN$1:$BN$4&gt;0)))</f>
        <v>3</v>
      </c>
      <c r="J145" s="0" t="n">
        <f aca="false">IF(OR($A$5=入户维修!$F145,$BN$5=1),0,5-SUMPRODUCT(--(($A$1:$A$5=入户维修!$F145)+$BN$1:$BN$5&gt;0)))</f>
        <v>4</v>
      </c>
      <c r="L145" s="0" t="str">
        <f aca="false">IFERROR(INDEX($A$1:$A$5,MATCH(1,$F145:$J145,0)),IF(1=MAX($F145:$J145)+1,"取消",""))</f>
        <v>李师傅</v>
      </c>
      <c r="M145" s="0" t="str">
        <f aca="false">IFERROR(INDEX($A$1:$A$5,MATCH(2,$F145:$J145,0)),IF(2=MAX($F145:$J145)+1,"取消",""))</f>
        <v>王师傅</v>
      </c>
      <c r="N145" s="0" t="str">
        <f aca="false">IFERROR(INDEX($A$1:$A$5,MATCH(3,$F145:$J145,0)),IF(3=MAX($F145:$J145)+1,"取消",""))</f>
        <v>陈师傅</v>
      </c>
      <c r="O145" s="0" t="str">
        <f aca="false">IFERROR(INDEX($A$1:$A$5,MATCH(4,$F145:$J145,0)),IF(4=MAX($F145:$J145)+1,"取消",""))</f>
        <v>刘师傅</v>
      </c>
      <c r="P145" s="0" t="str">
        <f aca="false">IFERROR(INDEX($A$1:$A$5,MATCH(5,$F145:$J145,0)),IF(5=MAX($F145:$J145)+1,"取消",""))</f>
        <v>取消</v>
      </c>
      <c r="Q145" s="0" t="str">
        <f aca="false">IFERROR(INDEX($A$1:$A$5,MATCH(6,$F145:$J145,0)),IF(6=MAX($F145:$J145)+1,"取消",""))</f>
        <v/>
      </c>
      <c r="S145" s="0" t="n">
        <f aca="false">IF(OR($A$1=入户维修!$F145,$A$1=入户维修!$G145,$BN$1=1),0,1-SUMPRODUCT(--(($A$1=入户维修!$F145)+($A$1=入户维修!$G145)+$BN$1&gt;0)))</f>
        <v>0</v>
      </c>
      <c r="T145" s="0" t="n">
        <f aca="false">IF(OR($A$2=入户维修!$F145,$A$2=入户维修!$G145,$BN$2=1),0,2-SUMPRODUCT(--(($A$1:$A$2=入户维修!$F145)+($A$1:$A$2=入户维修!$G145)+$BN$1:$BN$2&gt;0)))</f>
        <v>1</v>
      </c>
      <c r="U145" s="0" t="n">
        <f aca="false">IF(OR($A$3=入户维修!$F145,$A$3=入户维修!$G145,$BN$3=1),0,3-SUMPRODUCT(--(($A$1:$A$3=入户维修!$F145)+($A$1:$A$3=入户维修!$G145)+$BN$1:$BN$3&gt;0)))</f>
        <v>2</v>
      </c>
      <c r="V145" s="0" t="n">
        <f aca="false">IF(OR($A$4=入户维修!$F145,$A$4=入户维修!$G145,$BN$4=1),0,4-SUMPRODUCT(--(($A$1:$A$4=入户维修!$F145)+($A$1:$A$4=入户维修!$G145)+$BN$1:$BN$4&gt;0)))</f>
        <v>3</v>
      </c>
      <c r="W145" s="0" t="n">
        <f aca="false">IF(OR($A$5=入户维修!$F145,$A$5=入户维修!$G145,$BN$5=1),0,5-SUMPRODUCT(--(($A$1:$A$5=入户维修!$F145)+($A$1:$A$5=入户维修!$G145)+$BN$1:$BN$5&gt;0)))</f>
        <v>4</v>
      </c>
      <c r="Y145" s="0" t="str">
        <f aca="false">IFERROR(INDEX($A$1:$A$5,MATCH(1,$S145:$W145,0)),IF(1=MAX($S145:$W145)+1,"取消",""))</f>
        <v>李师傅</v>
      </c>
      <c r="Z145" s="0" t="str">
        <f aca="false">IFERROR(INDEX($A$1:$A$5,MATCH(2,$S145:$W145,0)),IF(2=MAX($S145:$W145)+1,"取消",""))</f>
        <v>王师傅</v>
      </c>
      <c r="AA145" s="0" t="str">
        <f aca="false">IFERROR(INDEX($A$1:$A$5,MATCH(3,$S145:$W145,0)),IF(3=MAX($S145:$W145)+1,"取消",""))</f>
        <v>陈师傅</v>
      </c>
      <c r="AB145" s="0" t="str">
        <f aca="false">IFERROR(INDEX($A$1:$A$5,MATCH(4,$S145:$W145,0)),IF(4=MAX($S145:$W145)+1,"取消",""))</f>
        <v>刘师傅</v>
      </c>
      <c r="AC145" s="0" t="str">
        <f aca="false">IFERROR(INDEX($A$1:$A$5,MATCH(5,$S145:$W145,0)),IF(5=MAX($S145:$W145)+1,"取消",""))</f>
        <v>取消</v>
      </c>
      <c r="AD145" s="0" t="str">
        <f aca="false">IFERROR(INDEX($A$1:$A$5,MATCH(6,$S145:$W145,0)),IF(6=MAX($S145:$W145)+1,"取消",""))</f>
        <v/>
      </c>
      <c r="AF145" s="0" t="n">
        <f aca="false">IF(OR($A$1=公区维修!$F145,$BN$1=1),0,1-SUMPRODUCT(--(($A$1=公区维修!$F145)+$BN$1&gt;0)))</f>
        <v>0</v>
      </c>
      <c r="AG145" s="0" t="n">
        <f aca="false">IF(OR($A$2=公区维修!$F145,$BN$2=1),0,2-SUMPRODUCT(--(($A$1:$A$2=公区维修!$F145)+$BN$1:$BN$2&gt;0)))</f>
        <v>1</v>
      </c>
      <c r="AH145" s="0" t="n">
        <f aca="false">IF(OR($A$3=公区维修!$F145,$BN$3=1),0,3-SUMPRODUCT(--(($A$1:$A$3=公区维修!$F145)+$BN$1:$BN$3&gt;0)))</f>
        <v>2</v>
      </c>
      <c r="AI145" s="0" t="n">
        <f aca="false">IF(OR($A$4=公区维修!$F145,$BN$4=1),0,4-SUMPRODUCT(--(($A$1:$A$4=公区维修!$F145)+$BN$1:$BN$4&gt;0)))</f>
        <v>3</v>
      </c>
      <c r="AJ145" s="0" t="n">
        <f aca="false">IF(OR($A$5=公区维修!$F145,$BN$5=1),0,5-SUMPRODUCT(--(($A$1:$A$5=公区维修!$F145)+$BN$1:$BN$5&gt;0)))</f>
        <v>4</v>
      </c>
      <c r="AL145" s="0" t="str">
        <f aca="false">IFERROR(INDEX($A$1:$A$5,MATCH(1,$AF145:$AJ145,0)),IF(1=MAX($AF145:$AJ145)+1,"取消",""))</f>
        <v>李师傅</v>
      </c>
      <c r="AM145" s="0" t="str">
        <f aca="false">IFERROR(INDEX($A$1:$A$5,MATCH(2,$AF145:$AJ145,0)),IF(2=MAX($AF145:$AJ145)+1,"取消",""))</f>
        <v>王师傅</v>
      </c>
      <c r="AN145" s="0" t="str">
        <f aca="false">IFERROR(INDEX($A$1:$A$5,MATCH(3,$AF145:$AJ145,0)),IF(3=MAX($AF145:$AJ145)+1,"取消",""))</f>
        <v>陈师傅</v>
      </c>
      <c r="AO145" s="0" t="str">
        <f aca="false">IFERROR(INDEX($A$1:$A$5,MATCH(4,$AF145:$AJ145,0)),IF(4=MAX($AF145:$AJ145)+1,"取消",""))</f>
        <v>刘师傅</v>
      </c>
      <c r="AP145" s="0" t="str">
        <f aca="false">IFERROR(INDEX($A$1:$A$5,MATCH(5,$AF145:$AJ145,0)),IF(5=MAX($AF145:$AJ145)+1,"取消",""))</f>
        <v>取消</v>
      </c>
      <c r="AQ145" s="0" t="str">
        <f aca="false">IFERROR(INDEX($A$1:$A$5,MATCH(6,$AF145:$AJ145,0)),IF(6=MAX($AF145:$AJ145)+1,"取消",""))</f>
        <v/>
      </c>
      <c r="AS145" s="0" t="n">
        <f aca="false">IF(OR($A$1=公区维修!$F145,$A$1=公区维修!$G145,$BN$1=1),0,1-SUMPRODUCT(--(($A$1=公区维修!$F145)+($A$1=公区维修!$G145)+$BN$1&gt;0)))</f>
        <v>0</v>
      </c>
      <c r="AT145" s="0" t="n">
        <f aca="false">IF(OR($A$2=公区维修!$F145,$A$2=公区维修!$G145,$BN$2=1),0,2-SUMPRODUCT(--(($A$1:$A$2=公区维修!$F145)+($A$1:$A$2=公区维修!$G145)+$BN$1:$BN$2&gt;0)))</f>
        <v>1</v>
      </c>
      <c r="AU145" s="0" t="n">
        <f aca="false">IF(OR($A$3=公区维修!$F145,$A$3=公区维修!$G145,$BN$3=1),0,3-SUMPRODUCT(--(($A$1:$A$3=公区维修!$F145)+($A$1:$A$3=公区维修!$G145)+$BN$1:$BN$3&gt;0)))</f>
        <v>2</v>
      </c>
      <c r="AV145" s="0" t="n">
        <f aca="false">IF(OR($A$4=公区维修!$F145,$A$4=公区维修!$G145,$BN$4=1),0,4-SUMPRODUCT(--(($A$1:$A$4=公区维修!$F145)+($A$1:$A$4=公区维修!$G145)+$BN$1:$BN$4&gt;0)))</f>
        <v>3</v>
      </c>
      <c r="AW145" s="0" t="n">
        <f aca="false">IF(OR($A$5=公区维修!$F145,$A$5=公区维修!$G145,$BN$5=1),0,5-SUMPRODUCT(--(($A$1:$A$5=公区维修!$F145)+($A$1:$A$5=公区维修!$G145)+$BN$1:$BN$5&gt;0)))</f>
        <v>4</v>
      </c>
      <c r="AY145" s="0" t="str">
        <f aca="false">IFERROR(INDEX($A$1:$A$5,MATCH(1,$AS145:$AW145,0)),IF(1=MAX($AS145:$AW145)+1,"取消",""))</f>
        <v>李师傅</v>
      </c>
      <c r="AZ145" s="0" t="str">
        <f aca="false">IFERROR(INDEX($A$1:$A$5,MATCH(2,$AS145:$AW145,0)),IF(2=MAX($AS145:$AW145)+1,"取消",""))</f>
        <v>王师傅</v>
      </c>
      <c r="BA145" s="0" t="str">
        <f aca="false">IFERROR(INDEX($A$1:$A$5,MATCH(3,$AS145:$AW145,0)),IF(3=MAX($AS145:$AW145)+1,"取消",""))</f>
        <v>陈师傅</v>
      </c>
      <c r="BB145" s="0" t="str">
        <f aca="false">IFERROR(INDEX($A$1:$A$5,MATCH(4,$AS145:$AW145,0)),IF(4=MAX($AS145:$AW145)+1,"取消",""))</f>
        <v>刘师傅</v>
      </c>
      <c r="BC145" s="0" t="str">
        <f aca="false">IFERROR(INDEX($A$1:$A$5,MATCH(5,$AS145:$AW145,0)),IF(5=MAX($AS145:$AW145)+1,"取消",""))</f>
        <v>取消</v>
      </c>
      <c r="BD145" s="0" t="str">
        <f aca="false">IFERROR(INDEX($A$1:$A$5,MATCH(6,$AS145:$AW145,0)),IF(6=MAX($AS145:$AW145)+1,"取消",""))</f>
        <v/>
      </c>
      <c r="FW145" s="0" t="str">
        <f aca="false">IF(AND(单元查询!$D$3&lt;&gt;"",IF(单元查询!$B$3="公区维修",公区维修!$E145&lt;&gt;"",入户维修!$E145&lt;&gt;""),IF(单元查询!$B$3="公区维修",公区维修!$C145,入户维修!$C145)=单元查询!$D$3,OR(单元查询!$F$3="",IF(单元查询!$B$3="公区维修",公区维修!$D145,入户维修!$D145)&amp;""=(单元查询!$F$3)&amp;"")),MAX($FW$4:$FW144)+1,"")</f>
        <v/>
      </c>
    </row>
    <row r="146" customFormat="false" ht="15" hidden="false" customHeight="true" outlineLevel="0" collapsed="false">
      <c r="F146" s="0" t="n">
        <f aca="false">IF(OR($A$1=入户维修!$F146,$BN$1=1),0,1-SUMPRODUCT(--(($A$1=入户维修!$F146)+$BN$1&gt;0)))</f>
        <v>0</v>
      </c>
      <c r="G146" s="0" t="n">
        <f aca="false">IF(OR($A$2=入户维修!$F146,$BN$2=1),0,2-SUMPRODUCT(--(($A$1:$A$2=入户维修!$F146)+$BN$1:$BN$2&gt;0)))</f>
        <v>1</v>
      </c>
      <c r="H146" s="0" t="n">
        <f aca="false">IF(OR($A$3=入户维修!$F146,$BN$3=1),0,3-SUMPRODUCT(--(($A$1:$A$3=入户维修!$F146)+$BN$1:$BN$3&gt;0)))</f>
        <v>2</v>
      </c>
      <c r="I146" s="0" t="n">
        <f aca="false">IF(OR($A$4=入户维修!$F146,$BN$4=1),0,4-SUMPRODUCT(--(($A$1:$A$4=入户维修!$F146)+$BN$1:$BN$4&gt;0)))</f>
        <v>3</v>
      </c>
      <c r="J146" s="0" t="n">
        <f aca="false">IF(OR($A$5=入户维修!$F146,$BN$5=1),0,5-SUMPRODUCT(--(($A$1:$A$5=入户维修!$F146)+$BN$1:$BN$5&gt;0)))</f>
        <v>4</v>
      </c>
      <c r="L146" s="0" t="str">
        <f aca="false">IFERROR(INDEX($A$1:$A$5,MATCH(1,$F146:$J146,0)),IF(1=MAX($F146:$J146)+1,"取消",""))</f>
        <v>李师傅</v>
      </c>
      <c r="M146" s="0" t="str">
        <f aca="false">IFERROR(INDEX($A$1:$A$5,MATCH(2,$F146:$J146,0)),IF(2=MAX($F146:$J146)+1,"取消",""))</f>
        <v>王师傅</v>
      </c>
      <c r="N146" s="0" t="str">
        <f aca="false">IFERROR(INDEX($A$1:$A$5,MATCH(3,$F146:$J146,0)),IF(3=MAX($F146:$J146)+1,"取消",""))</f>
        <v>陈师傅</v>
      </c>
      <c r="O146" s="0" t="str">
        <f aca="false">IFERROR(INDEX($A$1:$A$5,MATCH(4,$F146:$J146,0)),IF(4=MAX($F146:$J146)+1,"取消",""))</f>
        <v>刘师傅</v>
      </c>
      <c r="P146" s="0" t="str">
        <f aca="false">IFERROR(INDEX($A$1:$A$5,MATCH(5,$F146:$J146,0)),IF(5=MAX($F146:$J146)+1,"取消",""))</f>
        <v>取消</v>
      </c>
      <c r="Q146" s="0" t="str">
        <f aca="false">IFERROR(INDEX($A$1:$A$5,MATCH(6,$F146:$J146,0)),IF(6=MAX($F146:$J146)+1,"取消",""))</f>
        <v/>
      </c>
      <c r="S146" s="0" t="n">
        <f aca="false">IF(OR($A$1=入户维修!$F146,$A$1=入户维修!$G146,$BN$1=1),0,1-SUMPRODUCT(--(($A$1=入户维修!$F146)+($A$1=入户维修!$G146)+$BN$1&gt;0)))</f>
        <v>0</v>
      </c>
      <c r="T146" s="0" t="n">
        <f aca="false">IF(OR($A$2=入户维修!$F146,$A$2=入户维修!$G146,$BN$2=1),0,2-SUMPRODUCT(--(($A$1:$A$2=入户维修!$F146)+($A$1:$A$2=入户维修!$G146)+$BN$1:$BN$2&gt;0)))</f>
        <v>1</v>
      </c>
      <c r="U146" s="0" t="n">
        <f aca="false">IF(OR($A$3=入户维修!$F146,$A$3=入户维修!$G146,$BN$3=1),0,3-SUMPRODUCT(--(($A$1:$A$3=入户维修!$F146)+($A$1:$A$3=入户维修!$G146)+$BN$1:$BN$3&gt;0)))</f>
        <v>2</v>
      </c>
      <c r="V146" s="0" t="n">
        <f aca="false">IF(OR($A$4=入户维修!$F146,$A$4=入户维修!$G146,$BN$4=1),0,4-SUMPRODUCT(--(($A$1:$A$4=入户维修!$F146)+($A$1:$A$4=入户维修!$G146)+$BN$1:$BN$4&gt;0)))</f>
        <v>3</v>
      </c>
      <c r="W146" s="0" t="n">
        <f aca="false">IF(OR($A$5=入户维修!$F146,$A$5=入户维修!$G146,$BN$5=1),0,5-SUMPRODUCT(--(($A$1:$A$5=入户维修!$F146)+($A$1:$A$5=入户维修!$G146)+$BN$1:$BN$5&gt;0)))</f>
        <v>4</v>
      </c>
      <c r="Y146" s="0" t="str">
        <f aca="false">IFERROR(INDEX($A$1:$A$5,MATCH(1,$S146:$W146,0)),IF(1=MAX($S146:$W146)+1,"取消",""))</f>
        <v>李师傅</v>
      </c>
      <c r="Z146" s="0" t="str">
        <f aca="false">IFERROR(INDEX($A$1:$A$5,MATCH(2,$S146:$W146,0)),IF(2=MAX($S146:$W146)+1,"取消",""))</f>
        <v>王师傅</v>
      </c>
      <c r="AA146" s="0" t="str">
        <f aca="false">IFERROR(INDEX($A$1:$A$5,MATCH(3,$S146:$W146,0)),IF(3=MAX($S146:$W146)+1,"取消",""))</f>
        <v>陈师傅</v>
      </c>
      <c r="AB146" s="0" t="str">
        <f aca="false">IFERROR(INDEX($A$1:$A$5,MATCH(4,$S146:$W146,0)),IF(4=MAX($S146:$W146)+1,"取消",""))</f>
        <v>刘师傅</v>
      </c>
      <c r="AC146" s="0" t="str">
        <f aca="false">IFERROR(INDEX($A$1:$A$5,MATCH(5,$S146:$W146,0)),IF(5=MAX($S146:$W146)+1,"取消",""))</f>
        <v>取消</v>
      </c>
      <c r="AD146" s="0" t="str">
        <f aca="false">IFERROR(INDEX($A$1:$A$5,MATCH(6,$S146:$W146,0)),IF(6=MAX($S146:$W146)+1,"取消",""))</f>
        <v/>
      </c>
      <c r="AF146" s="0" t="n">
        <f aca="false">IF(OR($A$1=公区维修!$F146,$BN$1=1),0,1-SUMPRODUCT(--(($A$1=公区维修!$F146)+$BN$1&gt;0)))</f>
        <v>0</v>
      </c>
      <c r="AG146" s="0" t="n">
        <f aca="false">IF(OR($A$2=公区维修!$F146,$BN$2=1),0,2-SUMPRODUCT(--(($A$1:$A$2=公区维修!$F146)+$BN$1:$BN$2&gt;0)))</f>
        <v>1</v>
      </c>
      <c r="AH146" s="0" t="n">
        <f aca="false">IF(OR($A$3=公区维修!$F146,$BN$3=1),0,3-SUMPRODUCT(--(($A$1:$A$3=公区维修!$F146)+$BN$1:$BN$3&gt;0)))</f>
        <v>2</v>
      </c>
      <c r="AI146" s="0" t="n">
        <f aca="false">IF(OR($A$4=公区维修!$F146,$BN$4=1),0,4-SUMPRODUCT(--(($A$1:$A$4=公区维修!$F146)+$BN$1:$BN$4&gt;0)))</f>
        <v>3</v>
      </c>
      <c r="AJ146" s="0" t="n">
        <f aca="false">IF(OR($A$5=公区维修!$F146,$BN$5=1),0,5-SUMPRODUCT(--(($A$1:$A$5=公区维修!$F146)+$BN$1:$BN$5&gt;0)))</f>
        <v>4</v>
      </c>
      <c r="AL146" s="0" t="str">
        <f aca="false">IFERROR(INDEX($A$1:$A$5,MATCH(1,$AF146:$AJ146,0)),IF(1=MAX($AF146:$AJ146)+1,"取消",""))</f>
        <v>李师傅</v>
      </c>
      <c r="AM146" s="0" t="str">
        <f aca="false">IFERROR(INDEX($A$1:$A$5,MATCH(2,$AF146:$AJ146,0)),IF(2=MAX($AF146:$AJ146)+1,"取消",""))</f>
        <v>王师傅</v>
      </c>
      <c r="AN146" s="0" t="str">
        <f aca="false">IFERROR(INDEX($A$1:$A$5,MATCH(3,$AF146:$AJ146,0)),IF(3=MAX($AF146:$AJ146)+1,"取消",""))</f>
        <v>陈师傅</v>
      </c>
      <c r="AO146" s="0" t="str">
        <f aca="false">IFERROR(INDEX($A$1:$A$5,MATCH(4,$AF146:$AJ146,0)),IF(4=MAX($AF146:$AJ146)+1,"取消",""))</f>
        <v>刘师傅</v>
      </c>
      <c r="AP146" s="0" t="str">
        <f aca="false">IFERROR(INDEX($A$1:$A$5,MATCH(5,$AF146:$AJ146,0)),IF(5=MAX($AF146:$AJ146)+1,"取消",""))</f>
        <v>取消</v>
      </c>
      <c r="AQ146" s="0" t="str">
        <f aca="false">IFERROR(INDEX($A$1:$A$5,MATCH(6,$AF146:$AJ146,0)),IF(6=MAX($AF146:$AJ146)+1,"取消",""))</f>
        <v/>
      </c>
      <c r="AS146" s="0" t="n">
        <f aca="false">IF(OR($A$1=公区维修!$F146,$A$1=公区维修!$G146,$BN$1=1),0,1-SUMPRODUCT(--(($A$1=公区维修!$F146)+($A$1=公区维修!$G146)+$BN$1&gt;0)))</f>
        <v>0</v>
      </c>
      <c r="AT146" s="0" t="n">
        <f aca="false">IF(OR($A$2=公区维修!$F146,$A$2=公区维修!$G146,$BN$2=1),0,2-SUMPRODUCT(--(($A$1:$A$2=公区维修!$F146)+($A$1:$A$2=公区维修!$G146)+$BN$1:$BN$2&gt;0)))</f>
        <v>1</v>
      </c>
      <c r="AU146" s="0" t="n">
        <f aca="false">IF(OR($A$3=公区维修!$F146,$A$3=公区维修!$G146,$BN$3=1),0,3-SUMPRODUCT(--(($A$1:$A$3=公区维修!$F146)+($A$1:$A$3=公区维修!$G146)+$BN$1:$BN$3&gt;0)))</f>
        <v>2</v>
      </c>
      <c r="AV146" s="0" t="n">
        <f aca="false">IF(OR($A$4=公区维修!$F146,$A$4=公区维修!$G146,$BN$4=1),0,4-SUMPRODUCT(--(($A$1:$A$4=公区维修!$F146)+($A$1:$A$4=公区维修!$G146)+$BN$1:$BN$4&gt;0)))</f>
        <v>3</v>
      </c>
      <c r="AW146" s="0" t="n">
        <f aca="false">IF(OR($A$5=公区维修!$F146,$A$5=公区维修!$G146,$BN$5=1),0,5-SUMPRODUCT(--(($A$1:$A$5=公区维修!$F146)+($A$1:$A$5=公区维修!$G146)+$BN$1:$BN$5&gt;0)))</f>
        <v>4</v>
      </c>
      <c r="AY146" s="0" t="str">
        <f aca="false">IFERROR(INDEX($A$1:$A$5,MATCH(1,$AS146:$AW146,0)),IF(1=MAX($AS146:$AW146)+1,"取消",""))</f>
        <v>李师傅</v>
      </c>
      <c r="AZ146" s="0" t="str">
        <f aca="false">IFERROR(INDEX($A$1:$A$5,MATCH(2,$AS146:$AW146,0)),IF(2=MAX($AS146:$AW146)+1,"取消",""))</f>
        <v>王师傅</v>
      </c>
      <c r="BA146" s="0" t="str">
        <f aca="false">IFERROR(INDEX($A$1:$A$5,MATCH(3,$AS146:$AW146,0)),IF(3=MAX($AS146:$AW146)+1,"取消",""))</f>
        <v>陈师傅</v>
      </c>
      <c r="BB146" s="0" t="str">
        <f aca="false">IFERROR(INDEX($A$1:$A$5,MATCH(4,$AS146:$AW146,0)),IF(4=MAX($AS146:$AW146)+1,"取消",""))</f>
        <v>刘师傅</v>
      </c>
      <c r="BC146" s="0" t="str">
        <f aca="false">IFERROR(INDEX($A$1:$A$5,MATCH(5,$AS146:$AW146,0)),IF(5=MAX($AS146:$AW146)+1,"取消",""))</f>
        <v>取消</v>
      </c>
      <c r="BD146" s="0" t="str">
        <f aca="false">IFERROR(INDEX($A$1:$A$5,MATCH(6,$AS146:$AW146,0)),IF(6=MAX($AS146:$AW146)+1,"取消",""))</f>
        <v/>
      </c>
      <c r="FW146" s="0" t="str">
        <f aca="false">IF(AND(单元查询!$D$3&lt;&gt;"",IF(单元查询!$B$3="公区维修",公区维修!$E146&lt;&gt;"",入户维修!$E146&lt;&gt;""),IF(单元查询!$B$3="公区维修",公区维修!$C146,入户维修!$C146)=单元查询!$D$3,OR(单元查询!$F$3="",IF(单元查询!$B$3="公区维修",公区维修!$D146,入户维修!$D146)&amp;""=(单元查询!$F$3)&amp;"")),MAX($FW$4:$FW145)+1,"")</f>
        <v/>
      </c>
    </row>
    <row r="147" customFormat="false" ht="15" hidden="false" customHeight="true" outlineLevel="0" collapsed="false">
      <c r="F147" s="0" t="n">
        <f aca="false">IF(OR($A$1=入户维修!$F147,$BN$1=1),0,1-SUMPRODUCT(--(($A$1=入户维修!$F147)+$BN$1&gt;0)))</f>
        <v>0</v>
      </c>
      <c r="G147" s="0" t="n">
        <f aca="false">IF(OR($A$2=入户维修!$F147,$BN$2=1),0,2-SUMPRODUCT(--(($A$1:$A$2=入户维修!$F147)+$BN$1:$BN$2&gt;0)))</f>
        <v>1</v>
      </c>
      <c r="H147" s="0" t="n">
        <f aca="false">IF(OR($A$3=入户维修!$F147,$BN$3=1),0,3-SUMPRODUCT(--(($A$1:$A$3=入户维修!$F147)+$BN$1:$BN$3&gt;0)))</f>
        <v>2</v>
      </c>
      <c r="I147" s="0" t="n">
        <f aca="false">IF(OR($A$4=入户维修!$F147,$BN$4=1),0,4-SUMPRODUCT(--(($A$1:$A$4=入户维修!$F147)+$BN$1:$BN$4&gt;0)))</f>
        <v>3</v>
      </c>
      <c r="J147" s="0" t="n">
        <f aca="false">IF(OR($A$5=入户维修!$F147,$BN$5=1),0,5-SUMPRODUCT(--(($A$1:$A$5=入户维修!$F147)+$BN$1:$BN$5&gt;0)))</f>
        <v>4</v>
      </c>
      <c r="L147" s="0" t="str">
        <f aca="false">IFERROR(INDEX($A$1:$A$5,MATCH(1,$F147:$J147,0)),IF(1=MAX($F147:$J147)+1,"取消",""))</f>
        <v>李师傅</v>
      </c>
      <c r="M147" s="0" t="str">
        <f aca="false">IFERROR(INDEX($A$1:$A$5,MATCH(2,$F147:$J147,0)),IF(2=MAX($F147:$J147)+1,"取消",""))</f>
        <v>王师傅</v>
      </c>
      <c r="N147" s="0" t="str">
        <f aca="false">IFERROR(INDEX($A$1:$A$5,MATCH(3,$F147:$J147,0)),IF(3=MAX($F147:$J147)+1,"取消",""))</f>
        <v>陈师傅</v>
      </c>
      <c r="O147" s="0" t="str">
        <f aca="false">IFERROR(INDEX($A$1:$A$5,MATCH(4,$F147:$J147,0)),IF(4=MAX($F147:$J147)+1,"取消",""))</f>
        <v>刘师傅</v>
      </c>
      <c r="P147" s="0" t="str">
        <f aca="false">IFERROR(INDEX($A$1:$A$5,MATCH(5,$F147:$J147,0)),IF(5=MAX($F147:$J147)+1,"取消",""))</f>
        <v>取消</v>
      </c>
      <c r="Q147" s="0" t="str">
        <f aca="false">IFERROR(INDEX($A$1:$A$5,MATCH(6,$F147:$J147,0)),IF(6=MAX($F147:$J147)+1,"取消",""))</f>
        <v/>
      </c>
      <c r="S147" s="0" t="n">
        <f aca="false">IF(OR($A$1=入户维修!$F147,$A$1=入户维修!$G147,$BN$1=1),0,1-SUMPRODUCT(--(($A$1=入户维修!$F147)+($A$1=入户维修!$G147)+$BN$1&gt;0)))</f>
        <v>0</v>
      </c>
      <c r="T147" s="0" t="n">
        <f aca="false">IF(OR($A$2=入户维修!$F147,$A$2=入户维修!$G147,$BN$2=1),0,2-SUMPRODUCT(--(($A$1:$A$2=入户维修!$F147)+($A$1:$A$2=入户维修!$G147)+$BN$1:$BN$2&gt;0)))</f>
        <v>1</v>
      </c>
      <c r="U147" s="0" t="n">
        <f aca="false">IF(OR($A$3=入户维修!$F147,$A$3=入户维修!$G147,$BN$3=1),0,3-SUMPRODUCT(--(($A$1:$A$3=入户维修!$F147)+($A$1:$A$3=入户维修!$G147)+$BN$1:$BN$3&gt;0)))</f>
        <v>2</v>
      </c>
      <c r="V147" s="0" t="n">
        <f aca="false">IF(OR($A$4=入户维修!$F147,$A$4=入户维修!$G147,$BN$4=1),0,4-SUMPRODUCT(--(($A$1:$A$4=入户维修!$F147)+($A$1:$A$4=入户维修!$G147)+$BN$1:$BN$4&gt;0)))</f>
        <v>3</v>
      </c>
      <c r="W147" s="0" t="n">
        <f aca="false">IF(OR($A$5=入户维修!$F147,$A$5=入户维修!$G147,$BN$5=1),0,5-SUMPRODUCT(--(($A$1:$A$5=入户维修!$F147)+($A$1:$A$5=入户维修!$G147)+$BN$1:$BN$5&gt;0)))</f>
        <v>4</v>
      </c>
      <c r="Y147" s="0" t="str">
        <f aca="false">IFERROR(INDEX($A$1:$A$5,MATCH(1,$S147:$W147,0)),IF(1=MAX($S147:$W147)+1,"取消",""))</f>
        <v>李师傅</v>
      </c>
      <c r="Z147" s="0" t="str">
        <f aca="false">IFERROR(INDEX($A$1:$A$5,MATCH(2,$S147:$W147,0)),IF(2=MAX($S147:$W147)+1,"取消",""))</f>
        <v>王师傅</v>
      </c>
      <c r="AA147" s="0" t="str">
        <f aca="false">IFERROR(INDEX($A$1:$A$5,MATCH(3,$S147:$W147,0)),IF(3=MAX($S147:$W147)+1,"取消",""))</f>
        <v>陈师傅</v>
      </c>
      <c r="AB147" s="0" t="str">
        <f aca="false">IFERROR(INDEX($A$1:$A$5,MATCH(4,$S147:$W147,0)),IF(4=MAX($S147:$W147)+1,"取消",""))</f>
        <v>刘师傅</v>
      </c>
      <c r="AC147" s="0" t="str">
        <f aca="false">IFERROR(INDEX($A$1:$A$5,MATCH(5,$S147:$W147,0)),IF(5=MAX($S147:$W147)+1,"取消",""))</f>
        <v>取消</v>
      </c>
      <c r="AD147" s="0" t="str">
        <f aca="false">IFERROR(INDEX($A$1:$A$5,MATCH(6,$S147:$W147,0)),IF(6=MAX($S147:$W147)+1,"取消",""))</f>
        <v/>
      </c>
      <c r="AF147" s="0" t="n">
        <f aca="false">IF(OR($A$1=公区维修!$F147,$BN$1=1),0,1-SUMPRODUCT(--(($A$1=公区维修!$F147)+$BN$1&gt;0)))</f>
        <v>0</v>
      </c>
      <c r="AG147" s="0" t="n">
        <f aca="false">IF(OR($A$2=公区维修!$F147,$BN$2=1),0,2-SUMPRODUCT(--(($A$1:$A$2=公区维修!$F147)+$BN$1:$BN$2&gt;0)))</f>
        <v>1</v>
      </c>
      <c r="AH147" s="0" t="n">
        <f aca="false">IF(OR($A$3=公区维修!$F147,$BN$3=1),0,3-SUMPRODUCT(--(($A$1:$A$3=公区维修!$F147)+$BN$1:$BN$3&gt;0)))</f>
        <v>2</v>
      </c>
      <c r="AI147" s="0" t="n">
        <f aca="false">IF(OR($A$4=公区维修!$F147,$BN$4=1),0,4-SUMPRODUCT(--(($A$1:$A$4=公区维修!$F147)+$BN$1:$BN$4&gt;0)))</f>
        <v>3</v>
      </c>
      <c r="AJ147" s="0" t="n">
        <f aca="false">IF(OR($A$5=公区维修!$F147,$BN$5=1),0,5-SUMPRODUCT(--(($A$1:$A$5=公区维修!$F147)+$BN$1:$BN$5&gt;0)))</f>
        <v>4</v>
      </c>
      <c r="AL147" s="0" t="str">
        <f aca="false">IFERROR(INDEX($A$1:$A$5,MATCH(1,$AF147:$AJ147,0)),IF(1=MAX($AF147:$AJ147)+1,"取消",""))</f>
        <v>李师傅</v>
      </c>
      <c r="AM147" s="0" t="str">
        <f aca="false">IFERROR(INDEX($A$1:$A$5,MATCH(2,$AF147:$AJ147,0)),IF(2=MAX($AF147:$AJ147)+1,"取消",""))</f>
        <v>王师傅</v>
      </c>
      <c r="AN147" s="0" t="str">
        <f aca="false">IFERROR(INDEX($A$1:$A$5,MATCH(3,$AF147:$AJ147,0)),IF(3=MAX($AF147:$AJ147)+1,"取消",""))</f>
        <v>陈师傅</v>
      </c>
      <c r="AO147" s="0" t="str">
        <f aca="false">IFERROR(INDEX($A$1:$A$5,MATCH(4,$AF147:$AJ147,0)),IF(4=MAX($AF147:$AJ147)+1,"取消",""))</f>
        <v>刘师傅</v>
      </c>
      <c r="AP147" s="0" t="str">
        <f aca="false">IFERROR(INDEX($A$1:$A$5,MATCH(5,$AF147:$AJ147,0)),IF(5=MAX($AF147:$AJ147)+1,"取消",""))</f>
        <v>取消</v>
      </c>
      <c r="AQ147" s="0" t="str">
        <f aca="false">IFERROR(INDEX($A$1:$A$5,MATCH(6,$AF147:$AJ147,0)),IF(6=MAX($AF147:$AJ147)+1,"取消",""))</f>
        <v/>
      </c>
      <c r="AS147" s="0" t="n">
        <f aca="false">IF(OR($A$1=公区维修!$F147,$A$1=公区维修!$G147,$BN$1=1),0,1-SUMPRODUCT(--(($A$1=公区维修!$F147)+($A$1=公区维修!$G147)+$BN$1&gt;0)))</f>
        <v>0</v>
      </c>
      <c r="AT147" s="0" t="n">
        <f aca="false">IF(OR($A$2=公区维修!$F147,$A$2=公区维修!$G147,$BN$2=1),0,2-SUMPRODUCT(--(($A$1:$A$2=公区维修!$F147)+($A$1:$A$2=公区维修!$G147)+$BN$1:$BN$2&gt;0)))</f>
        <v>1</v>
      </c>
      <c r="AU147" s="0" t="n">
        <f aca="false">IF(OR($A$3=公区维修!$F147,$A$3=公区维修!$G147,$BN$3=1),0,3-SUMPRODUCT(--(($A$1:$A$3=公区维修!$F147)+($A$1:$A$3=公区维修!$G147)+$BN$1:$BN$3&gt;0)))</f>
        <v>2</v>
      </c>
      <c r="AV147" s="0" t="n">
        <f aca="false">IF(OR($A$4=公区维修!$F147,$A$4=公区维修!$G147,$BN$4=1),0,4-SUMPRODUCT(--(($A$1:$A$4=公区维修!$F147)+($A$1:$A$4=公区维修!$G147)+$BN$1:$BN$4&gt;0)))</f>
        <v>3</v>
      </c>
      <c r="AW147" s="0" t="n">
        <f aca="false">IF(OR($A$5=公区维修!$F147,$A$5=公区维修!$G147,$BN$5=1),0,5-SUMPRODUCT(--(($A$1:$A$5=公区维修!$F147)+($A$1:$A$5=公区维修!$G147)+$BN$1:$BN$5&gt;0)))</f>
        <v>4</v>
      </c>
      <c r="AY147" s="0" t="str">
        <f aca="false">IFERROR(INDEX($A$1:$A$5,MATCH(1,$AS147:$AW147,0)),IF(1=MAX($AS147:$AW147)+1,"取消",""))</f>
        <v>李师傅</v>
      </c>
      <c r="AZ147" s="0" t="str">
        <f aca="false">IFERROR(INDEX($A$1:$A$5,MATCH(2,$AS147:$AW147,0)),IF(2=MAX($AS147:$AW147)+1,"取消",""))</f>
        <v>王师傅</v>
      </c>
      <c r="BA147" s="0" t="str">
        <f aca="false">IFERROR(INDEX($A$1:$A$5,MATCH(3,$AS147:$AW147,0)),IF(3=MAX($AS147:$AW147)+1,"取消",""))</f>
        <v>陈师傅</v>
      </c>
      <c r="BB147" s="0" t="str">
        <f aca="false">IFERROR(INDEX($A$1:$A$5,MATCH(4,$AS147:$AW147,0)),IF(4=MAX($AS147:$AW147)+1,"取消",""))</f>
        <v>刘师傅</v>
      </c>
      <c r="BC147" s="0" t="str">
        <f aca="false">IFERROR(INDEX($A$1:$A$5,MATCH(5,$AS147:$AW147,0)),IF(5=MAX($AS147:$AW147)+1,"取消",""))</f>
        <v>取消</v>
      </c>
      <c r="BD147" s="0" t="str">
        <f aca="false">IFERROR(INDEX($A$1:$A$5,MATCH(6,$AS147:$AW147,0)),IF(6=MAX($AS147:$AW147)+1,"取消",""))</f>
        <v/>
      </c>
      <c r="FW147" s="0" t="str">
        <f aca="false">IF(AND(单元查询!$D$3&lt;&gt;"",IF(单元查询!$B$3="公区维修",公区维修!$E147&lt;&gt;"",入户维修!$E147&lt;&gt;""),IF(单元查询!$B$3="公区维修",公区维修!$C147,入户维修!$C147)=单元查询!$D$3,OR(单元查询!$F$3="",IF(单元查询!$B$3="公区维修",公区维修!$D147,入户维修!$D147)&amp;""=(单元查询!$F$3)&amp;"")),MAX($FW$4:$FW146)+1,"")</f>
        <v/>
      </c>
    </row>
    <row r="148" customFormat="false" ht="15" hidden="false" customHeight="true" outlineLevel="0" collapsed="false">
      <c r="F148" s="0" t="n">
        <f aca="false">IF(OR($A$1=入户维修!$F148,$BN$1=1),0,1-SUMPRODUCT(--(($A$1=入户维修!$F148)+$BN$1&gt;0)))</f>
        <v>0</v>
      </c>
      <c r="G148" s="0" t="n">
        <f aca="false">IF(OR($A$2=入户维修!$F148,$BN$2=1),0,2-SUMPRODUCT(--(($A$1:$A$2=入户维修!$F148)+$BN$1:$BN$2&gt;0)))</f>
        <v>1</v>
      </c>
      <c r="H148" s="0" t="n">
        <f aca="false">IF(OR($A$3=入户维修!$F148,$BN$3=1),0,3-SUMPRODUCT(--(($A$1:$A$3=入户维修!$F148)+$BN$1:$BN$3&gt;0)))</f>
        <v>2</v>
      </c>
      <c r="I148" s="0" t="n">
        <f aca="false">IF(OR($A$4=入户维修!$F148,$BN$4=1),0,4-SUMPRODUCT(--(($A$1:$A$4=入户维修!$F148)+$BN$1:$BN$4&gt;0)))</f>
        <v>3</v>
      </c>
      <c r="J148" s="0" t="n">
        <f aca="false">IF(OR($A$5=入户维修!$F148,$BN$5=1),0,5-SUMPRODUCT(--(($A$1:$A$5=入户维修!$F148)+$BN$1:$BN$5&gt;0)))</f>
        <v>4</v>
      </c>
      <c r="L148" s="0" t="str">
        <f aca="false">IFERROR(INDEX($A$1:$A$5,MATCH(1,$F148:$J148,0)),IF(1=MAX($F148:$J148)+1,"取消",""))</f>
        <v>李师傅</v>
      </c>
      <c r="M148" s="0" t="str">
        <f aca="false">IFERROR(INDEX($A$1:$A$5,MATCH(2,$F148:$J148,0)),IF(2=MAX($F148:$J148)+1,"取消",""))</f>
        <v>王师傅</v>
      </c>
      <c r="N148" s="0" t="str">
        <f aca="false">IFERROR(INDEX($A$1:$A$5,MATCH(3,$F148:$J148,0)),IF(3=MAX($F148:$J148)+1,"取消",""))</f>
        <v>陈师傅</v>
      </c>
      <c r="O148" s="0" t="str">
        <f aca="false">IFERROR(INDEX($A$1:$A$5,MATCH(4,$F148:$J148,0)),IF(4=MAX($F148:$J148)+1,"取消",""))</f>
        <v>刘师傅</v>
      </c>
      <c r="P148" s="0" t="str">
        <f aca="false">IFERROR(INDEX($A$1:$A$5,MATCH(5,$F148:$J148,0)),IF(5=MAX($F148:$J148)+1,"取消",""))</f>
        <v>取消</v>
      </c>
      <c r="Q148" s="0" t="str">
        <f aca="false">IFERROR(INDEX($A$1:$A$5,MATCH(6,$F148:$J148,0)),IF(6=MAX($F148:$J148)+1,"取消",""))</f>
        <v/>
      </c>
      <c r="S148" s="0" t="n">
        <f aca="false">IF(OR($A$1=入户维修!$F148,$A$1=入户维修!$G148,$BN$1=1),0,1-SUMPRODUCT(--(($A$1=入户维修!$F148)+($A$1=入户维修!$G148)+$BN$1&gt;0)))</f>
        <v>0</v>
      </c>
      <c r="T148" s="0" t="n">
        <f aca="false">IF(OR($A$2=入户维修!$F148,$A$2=入户维修!$G148,$BN$2=1),0,2-SUMPRODUCT(--(($A$1:$A$2=入户维修!$F148)+($A$1:$A$2=入户维修!$G148)+$BN$1:$BN$2&gt;0)))</f>
        <v>1</v>
      </c>
      <c r="U148" s="0" t="n">
        <f aca="false">IF(OR($A$3=入户维修!$F148,$A$3=入户维修!$G148,$BN$3=1),0,3-SUMPRODUCT(--(($A$1:$A$3=入户维修!$F148)+($A$1:$A$3=入户维修!$G148)+$BN$1:$BN$3&gt;0)))</f>
        <v>2</v>
      </c>
      <c r="V148" s="0" t="n">
        <f aca="false">IF(OR($A$4=入户维修!$F148,$A$4=入户维修!$G148,$BN$4=1),0,4-SUMPRODUCT(--(($A$1:$A$4=入户维修!$F148)+($A$1:$A$4=入户维修!$G148)+$BN$1:$BN$4&gt;0)))</f>
        <v>3</v>
      </c>
      <c r="W148" s="0" t="n">
        <f aca="false">IF(OR($A$5=入户维修!$F148,$A$5=入户维修!$G148,$BN$5=1),0,5-SUMPRODUCT(--(($A$1:$A$5=入户维修!$F148)+($A$1:$A$5=入户维修!$G148)+$BN$1:$BN$5&gt;0)))</f>
        <v>4</v>
      </c>
      <c r="Y148" s="0" t="str">
        <f aca="false">IFERROR(INDEX($A$1:$A$5,MATCH(1,$S148:$W148,0)),IF(1=MAX($S148:$W148)+1,"取消",""))</f>
        <v>李师傅</v>
      </c>
      <c r="Z148" s="0" t="str">
        <f aca="false">IFERROR(INDEX($A$1:$A$5,MATCH(2,$S148:$W148,0)),IF(2=MAX($S148:$W148)+1,"取消",""))</f>
        <v>王师傅</v>
      </c>
      <c r="AA148" s="0" t="str">
        <f aca="false">IFERROR(INDEX($A$1:$A$5,MATCH(3,$S148:$W148,0)),IF(3=MAX($S148:$W148)+1,"取消",""))</f>
        <v>陈师傅</v>
      </c>
      <c r="AB148" s="0" t="str">
        <f aca="false">IFERROR(INDEX($A$1:$A$5,MATCH(4,$S148:$W148,0)),IF(4=MAX($S148:$W148)+1,"取消",""))</f>
        <v>刘师傅</v>
      </c>
      <c r="AC148" s="0" t="str">
        <f aca="false">IFERROR(INDEX($A$1:$A$5,MATCH(5,$S148:$W148,0)),IF(5=MAX($S148:$W148)+1,"取消",""))</f>
        <v>取消</v>
      </c>
      <c r="AD148" s="0" t="str">
        <f aca="false">IFERROR(INDEX($A$1:$A$5,MATCH(6,$S148:$W148,0)),IF(6=MAX($S148:$W148)+1,"取消",""))</f>
        <v/>
      </c>
      <c r="AF148" s="0" t="n">
        <f aca="false">IF(OR($A$1=公区维修!$F148,$BN$1=1),0,1-SUMPRODUCT(--(($A$1=公区维修!$F148)+$BN$1&gt;0)))</f>
        <v>0</v>
      </c>
      <c r="AG148" s="0" t="n">
        <f aca="false">IF(OR($A$2=公区维修!$F148,$BN$2=1),0,2-SUMPRODUCT(--(($A$1:$A$2=公区维修!$F148)+$BN$1:$BN$2&gt;0)))</f>
        <v>1</v>
      </c>
      <c r="AH148" s="0" t="n">
        <f aca="false">IF(OR($A$3=公区维修!$F148,$BN$3=1),0,3-SUMPRODUCT(--(($A$1:$A$3=公区维修!$F148)+$BN$1:$BN$3&gt;0)))</f>
        <v>2</v>
      </c>
      <c r="AI148" s="0" t="n">
        <f aca="false">IF(OR($A$4=公区维修!$F148,$BN$4=1),0,4-SUMPRODUCT(--(($A$1:$A$4=公区维修!$F148)+$BN$1:$BN$4&gt;0)))</f>
        <v>3</v>
      </c>
      <c r="AJ148" s="0" t="n">
        <f aca="false">IF(OR($A$5=公区维修!$F148,$BN$5=1),0,5-SUMPRODUCT(--(($A$1:$A$5=公区维修!$F148)+$BN$1:$BN$5&gt;0)))</f>
        <v>4</v>
      </c>
      <c r="AL148" s="0" t="str">
        <f aca="false">IFERROR(INDEX($A$1:$A$5,MATCH(1,$AF148:$AJ148,0)),IF(1=MAX($AF148:$AJ148)+1,"取消",""))</f>
        <v>李师傅</v>
      </c>
      <c r="AM148" s="0" t="str">
        <f aca="false">IFERROR(INDEX($A$1:$A$5,MATCH(2,$AF148:$AJ148,0)),IF(2=MAX($AF148:$AJ148)+1,"取消",""))</f>
        <v>王师傅</v>
      </c>
      <c r="AN148" s="0" t="str">
        <f aca="false">IFERROR(INDEX($A$1:$A$5,MATCH(3,$AF148:$AJ148,0)),IF(3=MAX($AF148:$AJ148)+1,"取消",""))</f>
        <v>陈师傅</v>
      </c>
      <c r="AO148" s="0" t="str">
        <f aca="false">IFERROR(INDEX($A$1:$A$5,MATCH(4,$AF148:$AJ148,0)),IF(4=MAX($AF148:$AJ148)+1,"取消",""))</f>
        <v>刘师傅</v>
      </c>
      <c r="AP148" s="0" t="str">
        <f aca="false">IFERROR(INDEX($A$1:$A$5,MATCH(5,$AF148:$AJ148,0)),IF(5=MAX($AF148:$AJ148)+1,"取消",""))</f>
        <v>取消</v>
      </c>
      <c r="AQ148" s="0" t="str">
        <f aca="false">IFERROR(INDEX($A$1:$A$5,MATCH(6,$AF148:$AJ148,0)),IF(6=MAX($AF148:$AJ148)+1,"取消",""))</f>
        <v/>
      </c>
      <c r="AS148" s="0" t="n">
        <f aca="false">IF(OR($A$1=公区维修!$F148,$A$1=公区维修!$G148,$BN$1=1),0,1-SUMPRODUCT(--(($A$1=公区维修!$F148)+($A$1=公区维修!$G148)+$BN$1&gt;0)))</f>
        <v>0</v>
      </c>
      <c r="AT148" s="0" t="n">
        <f aca="false">IF(OR($A$2=公区维修!$F148,$A$2=公区维修!$G148,$BN$2=1),0,2-SUMPRODUCT(--(($A$1:$A$2=公区维修!$F148)+($A$1:$A$2=公区维修!$G148)+$BN$1:$BN$2&gt;0)))</f>
        <v>1</v>
      </c>
      <c r="AU148" s="0" t="n">
        <f aca="false">IF(OR($A$3=公区维修!$F148,$A$3=公区维修!$G148,$BN$3=1),0,3-SUMPRODUCT(--(($A$1:$A$3=公区维修!$F148)+($A$1:$A$3=公区维修!$G148)+$BN$1:$BN$3&gt;0)))</f>
        <v>2</v>
      </c>
      <c r="AV148" s="0" t="n">
        <f aca="false">IF(OR($A$4=公区维修!$F148,$A$4=公区维修!$G148,$BN$4=1),0,4-SUMPRODUCT(--(($A$1:$A$4=公区维修!$F148)+($A$1:$A$4=公区维修!$G148)+$BN$1:$BN$4&gt;0)))</f>
        <v>3</v>
      </c>
      <c r="AW148" s="0" t="n">
        <f aca="false">IF(OR($A$5=公区维修!$F148,$A$5=公区维修!$G148,$BN$5=1),0,5-SUMPRODUCT(--(($A$1:$A$5=公区维修!$F148)+($A$1:$A$5=公区维修!$G148)+$BN$1:$BN$5&gt;0)))</f>
        <v>4</v>
      </c>
      <c r="AY148" s="0" t="str">
        <f aca="false">IFERROR(INDEX($A$1:$A$5,MATCH(1,$AS148:$AW148,0)),IF(1=MAX($AS148:$AW148)+1,"取消",""))</f>
        <v>李师傅</v>
      </c>
      <c r="AZ148" s="0" t="str">
        <f aca="false">IFERROR(INDEX($A$1:$A$5,MATCH(2,$AS148:$AW148,0)),IF(2=MAX($AS148:$AW148)+1,"取消",""))</f>
        <v>王师傅</v>
      </c>
      <c r="BA148" s="0" t="str">
        <f aca="false">IFERROR(INDEX($A$1:$A$5,MATCH(3,$AS148:$AW148,0)),IF(3=MAX($AS148:$AW148)+1,"取消",""))</f>
        <v>陈师傅</v>
      </c>
      <c r="BB148" s="0" t="str">
        <f aca="false">IFERROR(INDEX($A$1:$A$5,MATCH(4,$AS148:$AW148,0)),IF(4=MAX($AS148:$AW148)+1,"取消",""))</f>
        <v>刘师傅</v>
      </c>
      <c r="BC148" s="0" t="str">
        <f aca="false">IFERROR(INDEX($A$1:$A$5,MATCH(5,$AS148:$AW148,0)),IF(5=MAX($AS148:$AW148)+1,"取消",""))</f>
        <v>取消</v>
      </c>
      <c r="BD148" s="0" t="str">
        <f aca="false">IFERROR(INDEX($A$1:$A$5,MATCH(6,$AS148:$AW148,0)),IF(6=MAX($AS148:$AW148)+1,"取消",""))</f>
        <v/>
      </c>
      <c r="FW148" s="0" t="str">
        <f aca="false">IF(AND(单元查询!$D$3&lt;&gt;"",IF(单元查询!$B$3="公区维修",公区维修!$E148&lt;&gt;"",入户维修!$E148&lt;&gt;""),IF(单元查询!$B$3="公区维修",公区维修!$C148,入户维修!$C148)=单元查询!$D$3,OR(单元查询!$F$3="",IF(单元查询!$B$3="公区维修",公区维修!$D148,入户维修!$D148)&amp;""=(单元查询!$F$3)&amp;"")),MAX($FW$4:$FW147)+1,"")</f>
        <v/>
      </c>
    </row>
    <row r="149" customFormat="false" ht="15" hidden="false" customHeight="true" outlineLevel="0" collapsed="false">
      <c r="F149" s="0" t="n">
        <f aca="false">IF(OR($A$1=入户维修!$F149,$BN$1=1),0,1-SUMPRODUCT(--(($A$1=入户维修!$F149)+$BN$1&gt;0)))</f>
        <v>0</v>
      </c>
      <c r="G149" s="0" t="n">
        <f aca="false">IF(OR($A$2=入户维修!$F149,$BN$2=1),0,2-SUMPRODUCT(--(($A$1:$A$2=入户维修!$F149)+$BN$1:$BN$2&gt;0)))</f>
        <v>1</v>
      </c>
      <c r="H149" s="0" t="n">
        <f aca="false">IF(OR($A$3=入户维修!$F149,$BN$3=1),0,3-SUMPRODUCT(--(($A$1:$A$3=入户维修!$F149)+$BN$1:$BN$3&gt;0)))</f>
        <v>2</v>
      </c>
      <c r="I149" s="0" t="n">
        <f aca="false">IF(OR($A$4=入户维修!$F149,$BN$4=1),0,4-SUMPRODUCT(--(($A$1:$A$4=入户维修!$F149)+$BN$1:$BN$4&gt;0)))</f>
        <v>3</v>
      </c>
      <c r="J149" s="0" t="n">
        <f aca="false">IF(OR($A$5=入户维修!$F149,$BN$5=1),0,5-SUMPRODUCT(--(($A$1:$A$5=入户维修!$F149)+$BN$1:$BN$5&gt;0)))</f>
        <v>4</v>
      </c>
      <c r="L149" s="0" t="str">
        <f aca="false">IFERROR(INDEX($A$1:$A$5,MATCH(1,$F149:$J149,0)),IF(1=MAX($F149:$J149)+1,"取消",""))</f>
        <v>李师傅</v>
      </c>
      <c r="M149" s="0" t="str">
        <f aca="false">IFERROR(INDEX($A$1:$A$5,MATCH(2,$F149:$J149,0)),IF(2=MAX($F149:$J149)+1,"取消",""))</f>
        <v>王师傅</v>
      </c>
      <c r="N149" s="0" t="str">
        <f aca="false">IFERROR(INDEX($A$1:$A$5,MATCH(3,$F149:$J149,0)),IF(3=MAX($F149:$J149)+1,"取消",""))</f>
        <v>陈师傅</v>
      </c>
      <c r="O149" s="0" t="str">
        <f aca="false">IFERROR(INDEX($A$1:$A$5,MATCH(4,$F149:$J149,0)),IF(4=MAX($F149:$J149)+1,"取消",""))</f>
        <v>刘师傅</v>
      </c>
      <c r="P149" s="0" t="str">
        <f aca="false">IFERROR(INDEX($A$1:$A$5,MATCH(5,$F149:$J149,0)),IF(5=MAX($F149:$J149)+1,"取消",""))</f>
        <v>取消</v>
      </c>
      <c r="Q149" s="0" t="str">
        <f aca="false">IFERROR(INDEX($A$1:$A$5,MATCH(6,$F149:$J149,0)),IF(6=MAX($F149:$J149)+1,"取消",""))</f>
        <v/>
      </c>
      <c r="S149" s="0" t="n">
        <f aca="false">IF(OR($A$1=入户维修!$F149,$A$1=入户维修!$G149,$BN$1=1),0,1-SUMPRODUCT(--(($A$1=入户维修!$F149)+($A$1=入户维修!$G149)+$BN$1&gt;0)))</f>
        <v>0</v>
      </c>
      <c r="T149" s="0" t="n">
        <f aca="false">IF(OR($A$2=入户维修!$F149,$A$2=入户维修!$G149,$BN$2=1),0,2-SUMPRODUCT(--(($A$1:$A$2=入户维修!$F149)+($A$1:$A$2=入户维修!$G149)+$BN$1:$BN$2&gt;0)))</f>
        <v>1</v>
      </c>
      <c r="U149" s="0" t="n">
        <f aca="false">IF(OR($A$3=入户维修!$F149,$A$3=入户维修!$G149,$BN$3=1),0,3-SUMPRODUCT(--(($A$1:$A$3=入户维修!$F149)+($A$1:$A$3=入户维修!$G149)+$BN$1:$BN$3&gt;0)))</f>
        <v>2</v>
      </c>
      <c r="V149" s="0" t="n">
        <f aca="false">IF(OR($A$4=入户维修!$F149,$A$4=入户维修!$G149,$BN$4=1),0,4-SUMPRODUCT(--(($A$1:$A$4=入户维修!$F149)+($A$1:$A$4=入户维修!$G149)+$BN$1:$BN$4&gt;0)))</f>
        <v>3</v>
      </c>
      <c r="W149" s="0" t="n">
        <f aca="false">IF(OR($A$5=入户维修!$F149,$A$5=入户维修!$G149,$BN$5=1),0,5-SUMPRODUCT(--(($A$1:$A$5=入户维修!$F149)+($A$1:$A$5=入户维修!$G149)+$BN$1:$BN$5&gt;0)))</f>
        <v>4</v>
      </c>
      <c r="Y149" s="0" t="str">
        <f aca="false">IFERROR(INDEX($A$1:$A$5,MATCH(1,$S149:$W149,0)),IF(1=MAX($S149:$W149)+1,"取消",""))</f>
        <v>李师傅</v>
      </c>
      <c r="Z149" s="0" t="str">
        <f aca="false">IFERROR(INDEX($A$1:$A$5,MATCH(2,$S149:$W149,0)),IF(2=MAX($S149:$W149)+1,"取消",""))</f>
        <v>王师傅</v>
      </c>
      <c r="AA149" s="0" t="str">
        <f aca="false">IFERROR(INDEX($A$1:$A$5,MATCH(3,$S149:$W149,0)),IF(3=MAX($S149:$W149)+1,"取消",""))</f>
        <v>陈师傅</v>
      </c>
      <c r="AB149" s="0" t="str">
        <f aca="false">IFERROR(INDEX($A$1:$A$5,MATCH(4,$S149:$W149,0)),IF(4=MAX($S149:$W149)+1,"取消",""))</f>
        <v>刘师傅</v>
      </c>
      <c r="AC149" s="0" t="str">
        <f aca="false">IFERROR(INDEX($A$1:$A$5,MATCH(5,$S149:$W149,0)),IF(5=MAX($S149:$W149)+1,"取消",""))</f>
        <v>取消</v>
      </c>
      <c r="AD149" s="0" t="str">
        <f aca="false">IFERROR(INDEX($A$1:$A$5,MATCH(6,$S149:$W149,0)),IF(6=MAX($S149:$W149)+1,"取消",""))</f>
        <v/>
      </c>
      <c r="AF149" s="0" t="n">
        <f aca="false">IF(OR($A$1=公区维修!$F149,$BN$1=1),0,1-SUMPRODUCT(--(($A$1=公区维修!$F149)+$BN$1&gt;0)))</f>
        <v>0</v>
      </c>
      <c r="AG149" s="0" t="n">
        <f aca="false">IF(OR($A$2=公区维修!$F149,$BN$2=1),0,2-SUMPRODUCT(--(($A$1:$A$2=公区维修!$F149)+$BN$1:$BN$2&gt;0)))</f>
        <v>1</v>
      </c>
      <c r="AH149" s="0" t="n">
        <f aca="false">IF(OR($A$3=公区维修!$F149,$BN$3=1),0,3-SUMPRODUCT(--(($A$1:$A$3=公区维修!$F149)+$BN$1:$BN$3&gt;0)))</f>
        <v>2</v>
      </c>
      <c r="AI149" s="0" t="n">
        <f aca="false">IF(OR($A$4=公区维修!$F149,$BN$4=1),0,4-SUMPRODUCT(--(($A$1:$A$4=公区维修!$F149)+$BN$1:$BN$4&gt;0)))</f>
        <v>3</v>
      </c>
      <c r="AJ149" s="0" t="n">
        <f aca="false">IF(OR($A$5=公区维修!$F149,$BN$5=1),0,5-SUMPRODUCT(--(($A$1:$A$5=公区维修!$F149)+$BN$1:$BN$5&gt;0)))</f>
        <v>4</v>
      </c>
      <c r="AL149" s="0" t="str">
        <f aca="false">IFERROR(INDEX($A$1:$A$5,MATCH(1,$AF149:$AJ149,0)),IF(1=MAX($AF149:$AJ149)+1,"取消",""))</f>
        <v>李师傅</v>
      </c>
      <c r="AM149" s="0" t="str">
        <f aca="false">IFERROR(INDEX($A$1:$A$5,MATCH(2,$AF149:$AJ149,0)),IF(2=MAX($AF149:$AJ149)+1,"取消",""))</f>
        <v>王师傅</v>
      </c>
      <c r="AN149" s="0" t="str">
        <f aca="false">IFERROR(INDEX($A$1:$A$5,MATCH(3,$AF149:$AJ149,0)),IF(3=MAX($AF149:$AJ149)+1,"取消",""))</f>
        <v>陈师傅</v>
      </c>
      <c r="AO149" s="0" t="str">
        <f aca="false">IFERROR(INDEX($A$1:$A$5,MATCH(4,$AF149:$AJ149,0)),IF(4=MAX($AF149:$AJ149)+1,"取消",""))</f>
        <v>刘师傅</v>
      </c>
      <c r="AP149" s="0" t="str">
        <f aca="false">IFERROR(INDEX($A$1:$A$5,MATCH(5,$AF149:$AJ149,0)),IF(5=MAX($AF149:$AJ149)+1,"取消",""))</f>
        <v>取消</v>
      </c>
      <c r="AQ149" s="0" t="str">
        <f aca="false">IFERROR(INDEX($A$1:$A$5,MATCH(6,$AF149:$AJ149,0)),IF(6=MAX($AF149:$AJ149)+1,"取消",""))</f>
        <v/>
      </c>
      <c r="AS149" s="0" t="n">
        <f aca="false">IF(OR($A$1=公区维修!$F149,$A$1=公区维修!$G149,$BN$1=1),0,1-SUMPRODUCT(--(($A$1=公区维修!$F149)+($A$1=公区维修!$G149)+$BN$1&gt;0)))</f>
        <v>0</v>
      </c>
      <c r="AT149" s="0" t="n">
        <f aca="false">IF(OR($A$2=公区维修!$F149,$A$2=公区维修!$G149,$BN$2=1),0,2-SUMPRODUCT(--(($A$1:$A$2=公区维修!$F149)+($A$1:$A$2=公区维修!$G149)+$BN$1:$BN$2&gt;0)))</f>
        <v>1</v>
      </c>
      <c r="AU149" s="0" t="n">
        <f aca="false">IF(OR($A$3=公区维修!$F149,$A$3=公区维修!$G149,$BN$3=1),0,3-SUMPRODUCT(--(($A$1:$A$3=公区维修!$F149)+($A$1:$A$3=公区维修!$G149)+$BN$1:$BN$3&gt;0)))</f>
        <v>2</v>
      </c>
      <c r="AV149" s="0" t="n">
        <f aca="false">IF(OR($A$4=公区维修!$F149,$A$4=公区维修!$G149,$BN$4=1),0,4-SUMPRODUCT(--(($A$1:$A$4=公区维修!$F149)+($A$1:$A$4=公区维修!$G149)+$BN$1:$BN$4&gt;0)))</f>
        <v>3</v>
      </c>
      <c r="AW149" s="0" t="n">
        <f aca="false">IF(OR($A$5=公区维修!$F149,$A$5=公区维修!$G149,$BN$5=1),0,5-SUMPRODUCT(--(($A$1:$A$5=公区维修!$F149)+($A$1:$A$5=公区维修!$G149)+$BN$1:$BN$5&gt;0)))</f>
        <v>4</v>
      </c>
      <c r="AY149" s="0" t="str">
        <f aca="false">IFERROR(INDEX($A$1:$A$5,MATCH(1,$AS149:$AW149,0)),IF(1=MAX($AS149:$AW149)+1,"取消",""))</f>
        <v>李师傅</v>
      </c>
      <c r="AZ149" s="0" t="str">
        <f aca="false">IFERROR(INDEX($A$1:$A$5,MATCH(2,$AS149:$AW149,0)),IF(2=MAX($AS149:$AW149)+1,"取消",""))</f>
        <v>王师傅</v>
      </c>
      <c r="BA149" s="0" t="str">
        <f aca="false">IFERROR(INDEX($A$1:$A$5,MATCH(3,$AS149:$AW149,0)),IF(3=MAX($AS149:$AW149)+1,"取消",""))</f>
        <v>陈师傅</v>
      </c>
      <c r="BB149" s="0" t="str">
        <f aca="false">IFERROR(INDEX($A$1:$A$5,MATCH(4,$AS149:$AW149,0)),IF(4=MAX($AS149:$AW149)+1,"取消",""))</f>
        <v>刘师傅</v>
      </c>
      <c r="BC149" s="0" t="str">
        <f aca="false">IFERROR(INDEX($A$1:$A$5,MATCH(5,$AS149:$AW149,0)),IF(5=MAX($AS149:$AW149)+1,"取消",""))</f>
        <v>取消</v>
      </c>
      <c r="BD149" s="0" t="str">
        <f aca="false">IFERROR(INDEX($A$1:$A$5,MATCH(6,$AS149:$AW149,0)),IF(6=MAX($AS149:$AW149)+1,"取消",""))</f>
        <v/>
      </c>
      <c r="FW149" s="0" t="str">
        <f aca="false">IF(AND(单元查询!$D$3&lt;&gt;"",IF(单元查询!$B$3="公区维修",公区维修!$E149&lt;&gt;"",入户维修!$E149&lt;&gt;""),IF(单元查询!$B$3="公区维修",公区维修!$C149,入户维修!$C149)=单元查询!$D$3,OR(单元查询!$F$3="",IF(单元查询!$B$3="公区维修",公区维修!$D149,入户维修!$D149)&amp;""=(单元查询!$F$3)&amp;"")),MAX($FW$4:$FW148)+1,"")</f>
        <v/>
      </c>
    </row>
    <row r="150" customFormat="false" ht="15" hidden="false" customHeight="true" outlineLevel="0" collapsed="false">
      <c r="F150" s="0" t="n">
        <f aca="false">IF(OR($A$1=入户维修!$F150,$BN$1=1),0,1-SUMPRODUCT(--(($A$1=入户维修!$F150)+$BN$1&gt;0)))</f>
        <v>0</v>
      </c>
      <c r="G150" s="0" t="n">
        <f aca="false">IF(OR($A$2=入户维修!$F150,$BN$2=1),0,2-SUMPRODUCT(--(($A$1:$A$2=入户维修!$F150)+$BN$1:$BN$2&gt;0)))</f>
        <v>1</v>
      </c>
      <c r="H150" s="0" t="n">
        <f aca="false">IF(OR($A$3=入户维修!$F150,$BN$3=1),0,3-SUMPRODUCT(--(($A$1:$A$3=入户维修!$F150)+$BN$1:$BN$3&gt;0)))</f>
        <v>2</v>
      </c>
      <c r="I150" s="0" t="n">
        <f aca="false">IF(OR($A$4=入户维修!$F150,$BN$4=1),0,4-SUMPRODUCT(--(($A$1:$A$4=入户维修!$F150)+$BN$1:$BN$4&gt;0)))</f>
        <v>3</v>
      </c>
      <c r="J150" s="0" t="n">
        <f aca="false">IF(OR($A$5=入户维修!$F150,$BN$5=1),0,5-SUMPRODUCT(--(($A$1:$A$5=入户维修!$F150)+$BN$1:$BN$5&gt;0)))</f>
        <v>4</v>
      </c>
      <c r="L150" s="0" t="str">
        <f aca="false">IFERROR(INDEX($A$1:$A$5,MATCH(1,$F150:$J150,0)),IF(1=MAX($F150:$J150)+1,"取消",""))</f>
        <v>李师傅</v>
      </c>
      <c r="M150" s="0" t="str">
        <f aca="false">IFERROR(INDEX($A$1:$A$5,MATCH(2,$F150:$J150,0)),IF(2=MAX($F150:$J150)+1,"取消",""))</f>
        <v>王师傅</v>
      </c>
      <c r="N150" s="0" t="str">
        <f aca="false">IFERROR(INDEX($A$1:$A$5,MATCH(3,$F150:$J150,0)),IF(3=MAX($F150:$J150)+1,"取消",""))</f>
        <v>陈师傅</v>
      </c>
      <c r="O150" s="0" t="str">
        <f aca="false">IFERROR(INDEX($A$1:$A$5,MATCH(4,$F150:$J150,0)),IF(4=MAX($F150:$J150)+1,"取消",""))</f>
        <v>刘师傅</v>
      </c>
      <c r="P150" s="0" t="str">
        <f aca="false">IFERROR(INDEX($A$1:$A$5,MATCH(5,$F150:$J150,0)),IF(5=MAX($F150:$J150)+1,"取消",""))</f>
        <v>取消</v>
      </c>
      <c r="Q150" s="0" t="str">
        <f aca="false">IFERROR(INDEX($A$1:$A$5,MATCH(6,$F150:$J150,0)),IF(6=MAX($F150:$J150)+1,"取消",""))</f>
        <v/>
      </c>
      <c r="S150" s="0" t="n">
        <f aca="false">IF(OR($A$1=入户维修!$F150,$A$1=入户维修!$G150,$BN$1=1),0,1-SUMPRODUCT(--(($A$1=入户维修!$F150)+($A$1=入户维修!$G150)+$BN$1&gt;0)))</f>
        <v>0</v>
      </c>
      <c r="T150" s="0" t="n">
        <f aca="false">IF(OR($A$2=入户维修!$F150,$A$2=入户维修!$G150,$BN$2=1),0,2-SUMPRODUCT(--(($A$1:$A$2=入户维修!$F150)+($A$1:$A$2=入户维修!$G150)+$BN$1:$BN$2&gt;0)))</f>
        <v>1</v>
      </c>
      <c r="U150" s="0" t="n">
        <f aca="false">IF(OR($A$3=入户维修!$F150,$A$3=入户维修!$G150,$BN$3=1),0,3-SUMPRODUCT(--(($A$1:$A$3=入户维修!$F150)+($A$1:$A$3=入户维修!$G150)+$BN$1:$BN$3&gt;0)))</f>
        <v>2</v>
      </c>
      <c r="V150" s="0" t="n">
        <f aca="false">IF(OR($A$4=入户维修!$F150,$A$4=入户维修!$G150,$BN$4=1),0,4-SUMPRODUCT(--(($A$1:$A$4=入户维修!$F150)+($A$1:$A$4=入户维修!$G150)+$BN$1:$BN$4&gt;0)))</f>
        <v>3</v>
      </c>
      <c r="W150" s="0" t="n">
        <f aca="false">IF(OR($A$5=入户维修!$F150,$A$5=入户维修!$G150,$BN$5=1),0,5-SUMPRODUCT(--(($A$1:$A$5=入户维修!$F150)+($A$1:$A$5=入户维修!$G150)+$BN$1:$BN$5&gt;0)))</f>
        <v>4</v>
      </c>
      <c r="Y150" s="0" t="str">
        <f aca="false">IFERROR(INDEX($A$1:$A$5,MATCH(1,$S150:$W150,0)),IF(1=MAX($S150:$W150)+1,"取消",""))</f>
        <v>李师傅</v>
      </c>
      <c r="Z150" s="0" t="str">
        <f aca="false">IFERROR(INDEX($A$1:$A$5,MATCH(2,$S150:$W150,0)),IF(2=MAX($S150:$W150)+1,"取消",""))</f>
        <v>王师傅</v>
      </c>
      <c r="AA150" s="0" t="str">
        <f aca="false">IFERROR(INDEX($A$1:$A$5,MATCH(3,$S150:$W150,0)),IF(3=MAX($S150:$W150)+1,"取消",""))</f>
        <v>陈师傅</v>
      </c>
      <c r="AB150" s="0" t="str">
        <f aca="false">IFERROR(INDEX($A$1:$A$5,MATCH(4,$S150:$W150,0)),IF(4=MAX($S150:$W150)+1,"取消",""))</f>
        <v>刘师傅</v>
      </c>
      <c r="AC150" s="0" t="str">
        <f aca="false">IFERROR(INDEX($A$1:$A$5,MATCH(5,$S150:$W150,0)),IF(5=MAX($S150:$W150)+1,"取消",""))</f>
        <v>取消</v>
      </c>
      <c r="AD150" s="0" t="str">
        <f aca="false">IFERROR(INDEX($A$1:$A$5,MATCH(6,$S150:$W150,0)),IF(6=MAX($S150:$W150)+1,"取消",""))</f>
        <v/>
      </c>
      <c r="AF150" s="0" t="n">
        <f aca="false">IF(OR($A$1=公区维修!$F150,$BN$1=1),0,1-SUMPRODUCT(--(($A$1=公区维修!$F150)+$BN$1&gt;0)))</f>
        <v>0</v>
      </c>
      <c r="AG150" s="0" t="n">
        <f aca="false">IF(OR($A$2=公区维修!$F150,$BN$2=1),0,2-SUMPRODUCT(--(($A$1:$A$2=公区维修!$F150)+$BN$1:$BN$2&gt;0)))</f>
        <v>1</v>
      </c>
      <c r="AH150" s="0" t="n">
        <f aca="false">IF(OR($A$3=公区维修!$F150,$BN$3=1),0,3-SUMPRODUCT(--(($A$1:$A$3=公区维修!$F150)+$BN$1:$BN$3&gt;0)))</f>
        <v>2</v>
      </c>
      <c r="AI150" s="0" t="n">
        <f aca="false">IF(OR($A$4=公区维修!$F150,$BN$4=1),0,4-SUMPRODUCT(--(($A$1:$A$4=公区维修!$F150)+$BN$1:$BN$4&gt;0)))</f>
        <v>3</v>
      </c>
      <c r="AJ150" s="0" t="n">
        <f aca="false">IF(OR($A$5=公区维修!$F150,$BN$5=1),0,5-SUMPRODUCT(--(($A$1:$A$5=公区维修!$F150)+$BN$1:$BN$5&gt;0)))</f>
        <v>4</v>
      </c>
      <c r="AL150" s="0" t="str">
        <f aca="false">IFERROR(INDEX($A$1:$A$5,MATCH(1,$AF150:$AJ150,0)),IF(1=MAX($AF150:$AJ150)+1,"取消",""))</f>
        <v>李师傅</v>
      </c>
      <c r="AM150" s="0" t="str">
        <f aca="false">IFERROR(INDEX($A$1:$A$5,MATCH(2,$AF150:$AJ150,0)),IF(2=MAX($AF150:$AJ150)+1,"取消",""))</f>
        <v>王师傅</v>
      </c>
      <c r="AN150" s="0" t="str">
        <f aca="false">IFERROR(INDEX($A$1:$A$5,MATCH(3,$AF150:$AJ150,0)),IF(3=MAX($AF150:$AJ150)+1,"取消",""))</f>
        <v>陈师傅</v>
      </c>
      <c r="AO150" s="0" t="str">
        <f aca="false">IFERROR(INDEX($A$1:$A$5,MATCH(4,$AF150:$AJ150,0)),IF(4=MAX($AF150:$AJ150)+1,"取消",""))</f>
        <v>刘师傅</v>
      </c>
      <c r="AP150" s="0" t="str">
        <f aca="false">IFERROR(INDEX($A$1:$A$5,MATCH(5,$AF150:$AJ150,0)),IF(5=MAX($AF150:$AJ150)+1,"取消",""))</f>
        <v>取消</v>
      </c>
      <c r="AQ150" s="0" t="str">
        <f aca="false">IFERROR(INDEX($A$1:$A$5,MATCH(6,$AF150:$AJ150,0)),IF(6=MAX($AF150:$AJ150)+1,"取消",""))</f>
        <v/>
      </c>
      <c r="AS150" s="0" t="n">
        <f aca="false">IF(OR($A$1=公区维修!$F150,$A$1=公区维修!$G150,$BN$1=1),0,1-SUMPRODUCT(--(($A$1=公区维修!$F150)+($A$1=公区维修!$G150)+$BN$1&gt;0)))</f>
        <v>0</v>
      </c>
      <c r="AT150" s="0" t="n">
        <f aca="false">IF(OR($A$2=公区维修!$F150,$A$2=公区维修!$G150,$BN$2=1),0,2-SUMPRODUCT(--(($A$1:$A$2=公区维修!$F150)+($A$1:$A$2=公区维修!$G150)+$BN$1:$BN$2&gt;0)))</f>
        <v>1</v>
      </c>
      <c r="AU150" s="0" t="n">
        <f aca="false">IF(OR($A$3=公区维修!$F150,$A$3=公区维修!$G150,$BN$3=1),0,3-SUMPRODUCT(--(($A$1:$A$3=公区维修!$F150)+($A$1:$A$3=公区维修!$G150)+$BN$1:$BN$3&gt;0)))</f>
        <v>2</v>
      </c>
      <c r="AV150" s="0" t="n">
        <f aca="false">IF(OR($A$4=公区维修!$F150,$A$4=公区维修!$G150,$BN$4=1),0,4-SUMPRODUCT(--(($A$1:$A$4=公区维修!$F150)+($A$1:$A$4=公区维修!$G150)+$BN$1:$BN$4&gt;0)))</f>
        <v>3</v>
      </c>
      <c r="AW150" s="0" t="n">
        <f aca="false">IF(OR($A$5=公区维修!$F150,$A$5=公区维修!$G150,$BN$5=1),0,5-SUMPRODUCT(--(($A$1:$A$5=公区维修!$F150)+($A$1:$A$5=公区维修!$G150)+$BN$1:$BN$5&gt;0)))</f>
        <v>4</v>
      </c>
      <c r="AY150" s="0" t="str">
        <f aca="false">IFERROR(INDEX($A$1:$A$5,MATCH(1,$AS150:$AW150,0)),IF(1=MAX($AS150:$AW150)+1,"取消",""))</f>
        <v>李师傅</v>
      </c>
      <c r="AZ150" s="0" t="str">
        <f aca="false">IFERROR(INDEX($A$1:$A$5,MATCH(2,$AS150:$AW150,0)),IF(2=MAX($AS150:$AW150)+1,"取消",""))</f>
        <v>王师傅</v>
      </c>
      <c r="BA150" s="0" t="str">
        <f aca="false">IFERROR(INDEX($A$1:$A$5,MATCH(3,$AS150:$AW150,0)),IF(3=MAX($AS150:$AW150)+1,"取消",""))</f>
        <v>陈师傅</v>
      </c>
      <c r="BB150" s="0" t="str">
        <f aca="false">IFERROR(INDEX($A$1:$A$5,MATCH(4,$AS150:$AW150,0)),IF(4=MAX($AS150:$AW150)+1,"取消",""))</f>
        <v>刘师傅</v>
      </c>
      <c r="BC150" s="0" t="str">
        <f aca="false">IFERROR(INDEX($A$1:$A$5,MATCH(5,$AS150:$AW150,0)),IF(5=MAX($AS150:$AW150)+1,"取消",""))</f>
        <v>取消</v>
      </c>
      <c r="BD150" s="0" t="str">
        <f aca="false">IFERROR(INDEX($A$1:$A$5,MATCH(6,$AS150:$AW150,0)),IF(6=MAX($AS150:$AW150)+1,"取消",""))</f>
        <v/>
      </c>
      <c r="FW150" s="0" t="str">
        <f aca="false">IF(AND(单元查询!$D$3&lt;&gt;"",IF(单元查询!$B$3="公区维修",公区维修!$E150&lt;&gt;"",入户维修!$E150&lt;&gt;""),IF(单元查询!$B$3="公区维修",公区维修!$C150,入户维修!$C150)=单元查询!$D$3,OR(单元查询!$F$3="",IF(单元查询!$B$3="公区维修",公区维修!$D150,入户维修!$D150)&amp;""=(单元查询!$F$3)&amp;"")),MAX($FW$4:$FW149)+1,"")</f>
        <v/>
      </c>
    </row>
    <row r="151" customFormat="false" ht="15" hidden="false" customHeight="true" outlineLevel="0" collapsed="false">
      <c r="F151" s="0" t="n">
        <f aca="false">IF(OR($A$1=入户维修!$F151,$BN$1=1),0,1-SUMPRODUCT(--(($A$1=入户维修!$F151)+$BN$1&gt;0)))</f>
        <v>0</v>
      </c>
      <c r="G151" s="0" t="n">
        <f aca="false">IF(OR($A$2=入户维修!$F151,$BN$2=1),0,2-SUMPRODUCT(--(($A$1:$A$2=入户维修!$F151)+$BN$1:$BN$2&gt;0)))</f>
        <v>1</v>
      </c>
      <c r="H151" s="0" t="n">
        <f aca="false">IF(OR($A$3=入户维修!$F151,$BN$3=1),0,3-SUMPRODUCT(--(($A$1:$A$3=入户维修!$F151)+$BN$1:$BN$3&gt;0)))</f>
        <v>2</v>
      </c>
      <c r="I151" s="0" t="n">
        <f aca="false">IF(OR($A$4=入户维修!$F151,$BN$4=1),0,4-SUMPRODUCT(--(($A$1:$A$4=入户维修!$F151)+$BN$1:$BN$4&gt;0)))</f>
        <v>3</v>
      </c>
      <c r="J151" s="0" t="n">
        <f aca="false">IF(OR($A$5=入户维修!$F151,$BN$5=1),0,5-SUMPRODUCT(--(($A$1:$A$5=入户维修!$F151)+$BN$1:$BN$5&gt;0)))</f>
        <v>4</v>
      </c>
      <c r="L151" s="0" t="str">
        <f aca="false">IFERROR(INDEX($A$1:$A$5,MATCH(1,$F151:$J151,0)),IF(1=MAX($F151:$J151)+1,"取消",""))</f>
        <v>李师傅</v>
      </c>
      <c r="M151" s="0" t="str">
        <f aca="false">IFERROR(INDEX($A$1:$A$5,MATCH(2,$F151:$J151,0)),IF(2=MAX($F151:$J151)+1,"取消",""))</f>
        <v>王师傅</v>
      </c>
      <c r="N151" s="0" t="str">
        <f aca="false">IFERROR(INDEX($A$1:$A$5,MATCH(3,$F151:$J151,0)),IF(3=MAX($F151:$J151)+1,"取消",""))</f>
        <v>陈师傅</v>
      </c>
      <c r="O151" s="0" t="str">
        <f aca="false">IFERROR(INDEX($A$1:$A$5,MATCH(4,$F151:$J151,0)),IF(4=MAX($F151:$J151)+1,"取消",""))</f>
        <v>刘师傅</v>
      </c>
      <c r="P151" s="0" t="str">
        <f aca="false">IFERROR(INDEX($A$1:$A$5,MATCH(5,$F151:$J151,0)),IF(5=MAX($F151:$J151)+1,"取消",""))</f>
        <v>取消</v>
      </c>
      <c r="Q151" s="0" t="str">
        <f aca="false">IFERROR(INDEX($A$1:$A$5,MATCH(6,$F151:$J151,0)),IF(6=MAX($F151:$J151)+1,"取消",""))</f>
        <v/>
      </c>
      <c r="S151" s="0" t="n">
        <f aca="false">IF(OR($A$1=入户维修!$F151,$A$1=入户维修!$G151,$BN$1=1),0,1-SUMPRODUCT(--(($A$1=入户维修!$F151)+($A$1=入户维修!$G151)+$BN$1&gt;0)))</f>
        <v>0</v>
      </c>
      <c r="T151" s="0" t="n">
        <f aca="false">IF(OR($A$2=入户维修!$F151,$A$2=入户维修!$G151,$BN$2=1),0,2-SUMPRODUCT(--(($A$1:$A$2=入户维修!$F151)+($A$1:$A$2=入户维修!$G151)+$BN$1:$BN$2&gt;0)))</f>
        <v>1</v>
      </c>
      <c r="U151" s="0" t="n">
        <f aca="false">IF(OR($A$3=入户维修!$F151,$A$3=入户维修!$G151,$BN$3=1),0,3-SUMPRODUCT(--(($A$1:$A$3=入户维修!$F151)+($A$1:$A$3=入户维修!$G151)+$BN$1:$BN$3&gt;0)))</f>
        <v>2</v>
      </c>
      <c r="V151" s="0" t="n">
        <f aca="false">IF(OR($A$4=入户维修!$F151,$A$4=入户维修!$G151,$BN$4=1),0,4-SUMPRODUCT(--(($A$1:$A$4=入户维修!$F151)+($A$1:$A$4=入户维修!$G151)+$BN$1:$BN$4&gt;0)))</f>
        <v>3</v>
      </c>
      <c r="W151" s="0" t="n">
        <f aca="false">IF(OR($A$5=入户维修!$F151,$A$5=入户维修!$G151,$BN$5=1),0,5-SUMPRODUCT(--(($A$1:$A$5=入户维修!$F151)+($A$1:$A$5=入户维修!$G151)+$BN$1:$BN$5&gt;0)))</f>
        <v>4</v>
      </c>
      <c r="Y151" s="0" t="str">
        <f aca="false">IFERROR(INDEX($A$1:$A$5,MATCH(1,$S151:$W151,0)),IF(1=MAX($S151:$W151)+1,"取消",""))</f>
        <v>李师傅</v>
      </c>
      <c r="Z151" s="0" t="str">
        <f aca="false">IFERROR(INDEX($A$1:$A$5,MATCH(2,$S151:$W151,0)),IF(2=MAX($S151:$W151)+1,"取消",""))</f>
        <v>王师傅</v>
      </c>
      <c r="AA151" s="0" t="str">
        <f aca="false">IFERROR(INDEX($A$1:$A$5,MATCH(3,$S151:$W151,0)),IF(3=MAX($S151:$W151)+1,"取消",""))</f>
        <v>陈师傅</v>
      </c>
      <c r="AB151" s="0" t="str">
        <f aca="false">IFERROR(INDEX($A$1:$A$5,MATCH(4,$S151:$W151,0)),IF(4=MAX($S151:$W151)+1,"取消",""))</f>
        <v>刘师傅</v>
      </c>
      <c r="AC151" s="0" t="str">
        <f aca="false">IFERROR(INDEX($A$1:$A$5,MATCH(5,$S151:$W151,0)),IF(5=MAX($S151:$W151)+1,"取消",""))</f>
        <v>取消</v>
      </c>
      <c r="AD151" s="0" t="str">
        <f aca="false">IFERROR(INDEX($A$1:$A$5,MATCH(6,$S151:$W151,0)),IF(6=MAX($S151:$W151)+1,"取消",""))</f>
        <v/>
      </c>
      <c r="AF151" s="0" t="n">
        <f aca="false">IF(OR($A$1=公区维修!$F151,$BN$1=1),0,1-SUMPRODUCT(--(($A$1=公区维修!$F151)+$BN$1&gt;0)))</f>
        <v>0</v>
      </c>
      <c r="AG151" s="0" t="n">
        <f aca="false">IF(OR($A$2=公区维修!$F151,$BN$2=1),0,2-SUMPRODUCT(--(($A$1:$A$2=公区维修!$F151)+$BN$1:$BN$2&gt;0)))</f>
        <v>1</v>
      </c>
      <c r="AH151" s="0" t="n">
        <f aca="false">IF(OR($A$3=公区维修!$F151,$BN$3=1),0,3-SUMPRODUCT(--(($A$1:$A$3=公区维修!$F151)+$BN$1:$BN$3&gt;0)))</f>
        <v>2</v>
      </c>
      <c r="AI151" s="0" t="n">
        <f aca="false">IF(OR($A$4=公区维修!$F151,$BN$4=1),0,4-SUMPRODUCT(--(($A$1:$A$4=公区维修!$F151)+$BN$1:$BN$4&gt;0)))</f>
        <v>3</v>
      </c>
      <c r="AJ151" s="0" t="n">
        <f aca="false">IF(OR($A$5=公区维修!$F151,$BN$5=1),0,5-SUMPRODUCT(--(($A$1:$A$5=公区维修!$F151)+$BN$1:$BN$5&gt;0)))</f>
        <v>4</v>
      </c>
      <c r="AL151" s="0" t="str">
        <f aca="false">IFERROR(INDEX($A$1:$A$5,MATCH(1,$AF151:$AJ151,0)),IF(1=MAX($AF151:$AJ151)+1,"取消",""))</f>
        <v>李师傅</v>
      </c>
      <c r="AM151" s="0" t="str">
        <f aca="false">IFERROR(INDEX($A$1:$A$5,MATCH(2,$AF151:$AJ151,0)),IF(2=MAX($AF151:$AJ151)+1,"取消",""))</f>
        <v>王师傅</v>
      </c>
      <c r="AN151" s="0" t="str">
        <f aca="false">IFERROR(INDEX($A$1:$A$5,MATCH(3,$AF151:$AJ151,0)),IF(3=MAX($AF151:$AJ151)+1,"取消",""))</f>
        <v>陈师傅</v>
      </c>
      <c r="AO151" s="0" t="str">
        <f aca="false">IFERROR(INDEX($A$1:$A$5,MATCH(4,$AF151:$AJ151,0)),IF(4=MAX($AF151:$AJ151)+1,"取消",""))</f>
        <v>刘师傅</v>
      </c>
      <c r="AP151" s="0" t="str">
        <f aca="false">IFERROR(INDEX($A$1:$A$5,MATCH(5,$AF151:$AJ151,0)),IF(5=MAX($AF151:$AJ151)+1,"取消",""))</f>
        <v>取消</v>
      </c>
      <c r="AQ151" s="0" t="str">
        <f aca="false">IFERROR(INDEX($A$1:$A$5,MATCH(6,$AF151:$AJ151,0)),IF(6=MAX($AF151:$AJ151)+1,"取消",""))</f>
        <v/>
      </c>
      <c r="AS151" s="0" t="n">
        <f aca="false">IF(OR($A$1=公区维修!$F151,$A$1=公区维修!$G151,$BN$1=1),0,1-SUMPRODUCT(--(($A$1=公区维修!$F151)+($A$1=公区维修!$G151)+$BN$1&gt;0)))</f>
        <v>0</v>
      </c>
      <c r="AT151" s="0" t="n">
        <f aca="false">IF(OR($A$2=公区维修!$F151,$A$2=公区维修!$G151,$BN$2=1),0,2-SUMPRODUCT(--(($A$1:$A$2=公区维修!$F151)+($A$1:$A$2=公区维修!$G151)+$BN$1:$BN$2&gt;0)))</f>
        <v>1</v>
      </c>
      <c r="AU151" s="0" t="n">
        <f aca="false">IF(OR($A$3=公区维修!$F151,$A$3=公区维修!$G151,$BN$3=1),0,3-SUMPRODUCT(--(($A$1:$A$3=公区维修!$F151)+($A$1:$A$3=公区维修!$G151)+$BN$1:$BN$3&gt;0)))</f>
        <v>2</v>
      </c>
      <c r="AV151" s="0" t="n">
        <f aca="false">IF(OR($A$4=公区维修!$F151,$A$4=公区维修!$G151,$BN$4=1),0,4-SUMPRODUCT(--(($A$1:$A$4=公区维修!$F151)+($A$1:$A$4=公区维修!$G151)+$BN$1:$BN$4&gt;0)))</f>
        <v>3</v>
      </c>
      <c r="AW151" s="0" t="n">
        <f aca="false">IF(OR($A$5=公区维修!$F151,$A$5=公区维修!$G151,$BN$5=1),0,5-SUMPRODUCT(--(($A$1:$A$5=公区维修!$F151)+($A$1:$A$5=公区维修!$G151)+$BN$1:$BN$5&gt;0)))</f>
        <v>4</v>
      </c>
      <c r="AY151" s="0" t="str">
        <f aca="false">IFERROR(INDEX($A$1:$A$5,MATCH(1,$AS151:$AW151,0)),IF(1=MAX($AS151:$AW151)+1,"取消",""))</f>
        <v>李师傅</v>
      </c>
      <c r="AZ151" s="0" t="str">
        <f aca="false">IFERROR(INDEX($A$1:$A$5,MATCH(2,$AS151:$AW151,0)),IF(2=MAX($AS151:$AW151)+1,"取消",""))</f>
        <v>王师傅</v>
      </c>
      <c r="BA151" s="0" t="str">
        <f aca="false">IFERROR(INDEX($A$1:$A$5,MATCH(3,$AS151:$AW151,0)),IF(3=MAX($AS151:$AW151)+1,"取消",""))</f>
        <v>陈师傅</v>
      </c>
      <c r="BB151" s="0" t="str">
        <f aca="false">IFERROR(INDEX($A$1:$A$5,MATCH(4,$AS151:$AW151,0)),IF(4=MAX($AS151:$AW151)+1,"取消",""))</f>
        <v>刘师傅</v>
      </c>
      <c r="BC151" s="0" t="str">
        <f aca="false">IFERROR(INDEX($A$1:$A$5,MATCH(5,$AS151:$AW151,0)),IF(5=MAX($AS151:$AW151)+1,"取消",""))</f>
        <v>取消</v>
      </c>
      <c r="BD151" s="0" t="str">
        <f aca="false">IFERROR(INDEX($A$1:$A$5,MATCH(6,$AS151:$AW151,0)),IF(6=MAX($AS151:$AW151)+1,"取消",""))</f>
        <v/>
      </c>
      <c r="FW151" s="0" t="str">
        <f aca="false">IF(AND(单元查询!$D$3&lt;&gt;"",IF(单元查询!$B$3="公区维修",公区维修!$E151&lt;&gt;"",入户维修!$E151&lt;&gt;""),IF(单元查询!$B$3="公区维修",公区维修!$C151,入户维修!$C151)=单元查询!$D$3,OR(单元查询!$F$3="",IF(单元查询!$B$3="公区维修",公区维修!$D151,入户维修!$D151)&amp;""=(单元查询!$F$3)&amp;"")),MAX($FW$4:$FW150)+1,"")</f>
        <v/>
      </c>
    </row>
    <row r="152" customFormat="false" ht="15" hidden="false" customHeight="true" outlineLevel="0" collapsed="false">
      <c r="F152" s="0" t="n">
        <f aca="false">IF(OR($A$1=入户维修!$F152,$BN$1=1),0,1-SUMPRODUCT(--(($A$1=入户维修!$F152)+$BN$1&gt;0)))</f>
        <v>0</v>
      </c>
      <c r="G152" s="0" t="n">
        <f aca="false">IF(OR($A$2=入户维修!$F152,$BN$2=1),0,2-SUMPRODUCT(--(($A$1:$A$2=入户维修!$F152)+$BN$1:$BN$2&gt;0)))</f>
        <v>1</v>
      </c>
      <c r="H152" s="0" t="n">
        <f aca="false">IF(OR($A$3=入户维修!$F152,$BN$3=1),0,3-SUMPRODUCT(--(($A$1:$A$3=入户维修!$F152)+$BN$1:$BN$3&gt;0)))</f>
        <v>2</v>
      </c>
      <c r="I152" s="0" t="n">
        <f aca="false">IF(OR($A$4=入户维修!$F152,$BN$4=1),0,4-SUMPRODUCT(--(($A$1:$A$4=入户维修!$F152)+$BN$1:$BN$4&gt;0)))</f>
        <v>3</v>
      </c>
      <c r="J152" s="0" t="n">
        <f aca="false">IF(OR($A$5=入户维修!$F152,$BN$5=1),0,5-SUMPRODUCT(--(($A$1:$A$5=入户维修!$F152)+$BN$1:$BN$5&gt;0)))</f>
        <v>4</v>
      </c>
      <c r="L152" s="0" t="str">
        <f aca="false">IFERROR(INDEX($A$1:$A$5,MATCH(1,$F152:$J152,0)),IF(1=MAX($F152:$J152)+1,"取消",""))</f>
        <v>李师傅</v>
      </c>
      <c r="M152" s="0" t="str">
        <f aca="false">IFERROR(INDEX($A$1:$A$5,MATCH(2,$F152:$J152,0)),IF(2=MAX($F152:$J152)+1,"取消",""))</f>
        <v>王师傅</v>
      </c>
      <c r="N152" s="0" t="str">
        <f aca="false">IFERROR(INDEX($A$1:$A$5,MATCH(3,$F152:$J152,0)),IF(3=MAX($F152:$J152)+1,"取消",""))</f>
        <v>陈师傅</v>
      </c>
      <c r="O152" s="0" t="str">
        <f aca="false">IFERROR(INDEX($A$1:$A$5,MATCH(4,$F152:$J152,0)),IF(4=MAX($F152:$J152)+1,"取消",""))</f>
        <v>刘师傅</v>
      </c>
      <c r="P152" s="0" t="str">
        <f aca="false">IFERROR(INDEX($A$1:$A$5,MATCH(5,$F152:$J152,0)),IF(5=MAX($F152:$J152)+1,"取消",""))</f>
        <v>取消</v>
      </c>
      <c r="Q152" s="0" t="str">
        <f aca="false">IFERROR(INDEX($A$1:$A$5,MATCH(6,$F152:$J152,0)),IF(6=MAX($F152:$J152)+1,"取消",""))</f>
        <v/>
      </c>
      <c r="S152" s="0" t="n">
        <f aca="false">IF(OR($A$1=入户维修!$F152,$A$1=入户维修!$G152,$BN$1=1),0,1-SUMPRODUCT(--(($A$1=入户维修!$F152)+($A$1=入户维修!$G152)+$BN$1&gt;0)))</f>
        <v>0</v>
      </c>
      <c r="T152" s="0" t="n">
        <f aca="false">IF(OR($A$2=入户维修!$F152,$A$2=入户维修!$G152,$BN$2=1),0,2-SUMPRODUCT(--(($A$1:$A$2=入户维修!$F152)+($A$1:$A$2=入户维修!$G152)+$BN$1:$BN$2&gt;0)))</f>
        <v>1</v>
      </c>
      <c r="U152" s="0" t="n">
        <f aca="false">IF(OR($A$3=入户维修!$F152,$A$3=入户维修!$G152,$BN$3=1),0,3-SUMPRODUCT(--(($A$1:$A$3=入户维修!$F152)+($A$1:$A$3=入户维修!$G152)+$BN$1:$BN$3&gt;0)))</f>
        <v>2</v>
      </c>
      <c r="V152" s="0" t="n">
        <f aca="false">IF(OR($A$4=入户维修!$F152,$A$4=入户维修!$G152,$BN$4=1),0,4-SUMPRODUCT(--(($A$1:$A$4=入户维修!$F152)+($A$1:$A$4=入户维修!$G152)+$BN$1:$BN$4&gt;0)))</f>
        <v>3</v>
      </c>
      <c r="W152" s="0" t="n">
        <f aca="false">IF(OR($A$5=入户维修!$F152,$A$5=入户维修!$G152,$BN$5=1),0,5-SUMPRODUCT(--(($A$1:$A$5=入户维修!$F152)+($A$1:$A$5=入户维修!$G152)+$BN$1:$BN$5&gt;0)))</f>
        <v>4</v>
      </c>
      <c r="Y152" s="0" t="str">
        <f aca="false">IFERROR(INDEX($A$1:$A$5,MATCH(1,$S152:$W152,0)),IF(1=MAX($S152:$W152)+1,"取消",""))</f>
        <v>李师傅</v>
      </c>
      <c r="Z152" s="0" t="str">
        <f aca="false">IFERROR(INDEX($A$1:$A$5,MATCH(2,$S152:$W152,0)),IF(2=MAX($S152:$W152)+1,"取消",""))</f>
        <v>王师傅</v>
      </c>
      <c r="AA152" s="0" t="str">
        <f aca="false">IFERROR(INDEX($A$1:$A$5,MATCH(3,$S152:$W152,0)),IF(3=MAX($S152:$W152)+1,"取消",""))</f>
        <v>陈师傅</v>
      </c>
      <c r="AB152" s="0" t="str">
        <f aca="false">IFERROR(INDEX($A$1:$A$5,MATCH(4,$S152:$W152,0)),IF(4=MAX($S152:$W152)+1,"取消",""))</f>
        <v>刘师傅</v>
      </c>
      <c r="AC152" s="0" t="str">
        <f aca="false">IFERROR(INDEX($A$1:$A$5,MATCH(5,$S152:$W152,0)),IF(5=MAX($S152:$W152)+1,"取消",""))</f>
        <v>取消</v>
      </c>
      <c r="AD152" s="0" t="str">
        <f aca="false">IFERROR(INDEX($A$1:$A$5,MATCH(6,$S152:$W152,0)),IF(6=MAX($S152:$W152)+1,"取消",""))</f>
        <v/>
      </c>
      <c r="AF152" s="0" t="n">
        <f aca="false">IF(OR($A$1=公区维修!$F152,$BN$1=1),0,1-SUMPRODUCT(--(($A$1=公区维修!$F152)+$BN$1&gt;0)))</f>
        <v>0</v>
      </c>
      <c r="AG152" s="0" t="n">
        <f aca="false">IF(OR($A$2=公区维修!$F152,$BN$2=1),0,2-SUMPRODUCT(--(($A$1:$A$2=公区维修!$F152)+$BN$1:$BN$2&gt;0)))</f>
        <v>1</v>
      </c>
      <c r="AH152" s="0" t="n">
        <f aca="false">IF(OR($A$3=公区维修!$F152,$BN$3=1),0,3-SUMPRODUCT(--(($A$1:$A$3=公区维修!$F152)+$BN$1:$BN$3&gt;0)))</f>
        <v>2</v>
      </c>
      <c r="AI152" s="0" t="n">
        <f aca="false">IF(OR($A$4=公区维修!$F152,$BN$4=1),0,4-SUMPRODUCT(--(($A$1:$A$4=公区维修!$F152)+$BN$1:$BN$4&gt;0)))</f>
        <v>3</v>
      </c>
      <c r="AJ152" s="0" t="n">
        <f aca="false">IF(OR($A$5=公区维修!$F152,$BN$5=1),0,5-SUMPRODUCT(--(($A$1:$A$5=公区维修!$F152)+$BN$1:$BN$5&gt;0)))</f>
        <v>4</v>
      </c>
      <c r="AL152" s="0" t="str">
        <f aca="false">IFERROR(INDEX($A$1:$A$5,MATCH(1,$AF152:$AJ152,0)),IF(1=MAX($AF152:$AJ152)+1,"取消",""))</f>
        <v>李师傅</v>
      </c>
      <c r="AM152" s="0" t="str">
        <f aca="false">IFERROR(INDEX($A$1:$A$5,MATCH(2,$AF152:$AJ152,0)),IF(2=MAX($AF152:$AJ152)+1,"取消",""))</f>
        <v>王师傅</v>
      </c>
      <c r="AN152" s="0" t="str">
        <f aca="false">IFERROR(INDEX($A$1:$A$5,MATCH(3,$AF152:$AJ152,0)),IF(3=MAX($AF152:$AJ152)+1,"取消",""))</f>
        <v>陈师傅</v>
      </c>
      <c r="AO152" s="0" t="str">
        <f aca="false">IFERROR(INDEX($A$1:$A$5,MATCH(4,$AF152:$AJ152,0)),IF(4=MAX($AF152:$AJ152)+1,"取消",""))</f>
        <v>刘师傅</v>
      </c>
      <c r="AP152" s="0" t="str">
        <f aca="false">IFERROR(INDEX($A$1:$A$5,MATCH(5,$AF152:$AJ152,0)),IF(5=MAX($AF152:$AJ152)+1,"取消",""))</f>
        <v>取消</v>
      </c>
      <c r="AQ152" s="0" t="str">
        <f aca="false">IFERROR(INDEX($A$1:$A$5,MATCH(6,$AF152:$AJ152,0)),IF(6=MAX($AF152:$AJ152)+1,"取消",""))</f>
        <v/>
      </c>
      <c r="AS152" s="0" t="n">
        <f aca="false">IF(OR($A$1=公区维修!$F152,$A$1=公区维修!$G152,$BN$1=1),0,1-SUMPRODUCT(--(($A$1=公区维修!$F152)+($A$1=公区维修!$G152)+$BN$1&gt;0)))</f>
        <v>0</v>
      </c>
      <c r="AT152" s="0" t="n">
        <f aca="false">IF(OR($A$2=公区维修!$F152,$A$2=公区维修!$G152,$BN$2=1),0,2-SUMPRODUCT(--(($A$1:$A$2=公区维修!$F152)+($A$1:$A$2=公区维修!$G152)+$BN$1:$BN$2&gt;0)))</f>
        <v>1</v>
      </c>
      <c r="AU152" s="0" t="n">
        <f aca="false">IF(OR($A$3=公区维修!$F152,$A$3=公区维修!$G152,$BN$3=1),0,3-SUMPRODUCT(--(($A$1:$A$3=公区维修!$F152)+($A$1:$A$3=公区维修!$G152)+$BN$1:$BN$3&gt;0)))</f>
        <v>2</v>
      </c>
      <c r="AV152" s="0" t="n">
        <f aca="false">IF(OR($A$4=公区维修!$F152,$A$4=公区维修!$G152,$BN$4=1),0,4-SUMPRODUCT(--(($A$1:$A$4=公区维修!$F152)+($A$1:$A$4=公区维修!$G152)+$BN$1:$BN$4&gt;0)))</f>
        <v>3</v>
      </c>
      <c r="AW152" s="0" t="n">
        <f aca="false">IF(OR($A$5=公区维修!$F152,$A$5=公区维修!$G152,$BN$5=1),0,5-SUMPRODUCT(--(($A$1:$A$5=公区维修!$F152)+($A$1:$A$5=公区维修!$G152)+$BN$1:$BN$5&gt;0)))</f>
        <v>4</v>
      </c>
      <c r="AY152" s="0" t="str">
        <f aca="false">IFERROR(INDEX($A$1:$A$5,MATCH(1,$AS152:$AW152,0)),IF(1=MAX($AS152:$AW152)+1,"取消",""))</f>
        <v>李师傅</v>
      </c>
      <c r="AZ152" s="0" t="str">
        <f aca="false">IFERROR(INDEX($A$1:$A$5,MATCH(2,$AS152:$AW152,0)),IF(2=MAX($AS152:$AW152)+1,"取消",""))</f>
        <v>王师傅</v>
      </c>
      <c r="BA152" s="0" t="str">
        <f aca="false">IFERROR(INDEX($A$1:$A$5,MATCH(3,$AS152:$AW152,0)),IF(3=MAX($AS152:$AW152)+1,"取消",""))</f>
        <v>陈师傅</v>
      </c>
      <c r="BB152" s="0" t="str">
        <f aca="false">IFERROR(INDEX($A$1:$A$5,MATCH(4,$AS152:$AW152,0)),IF(4=MAX($AS152:$AW152)+1,"取消",""))</f>
        <v>刘师傅</v>
      </c>
      <c r="BC152" s="0" t="str">
        <f aca="false">IFERROR(INDEX($A$1:$A$5,MATCH(5,$AS152:$AW152,0)),IF(5=MAX($AS152:$AW152)+1,"取消",""))</f>
        <v>取消</v>
      </c>
      <c r="BD152" s="0" t="str">
        <f aca="false">IFERROR(INDEX($A$1:$A$5,MATCH(6,$AS152:$AW152,0)),IF(6=MAX($AS152:$AW152)+1,"取消",""))</f>
        <v/>
      </c>
      <c r="FW152" s="0" t="str">
        <f aca="false">IF(AND(单元查询!$D$3&lt;&gt;"",IF(单元查询!$B$3="公区维修",公区维修!$E152&lt;&gt;"",入户维修!$E152&lt;&gt;""),IF(单元查询!$B$3="公区维修",公区维修!$C152,入户维修!$C152)=单元查询!$D$3,OR(单元查询!$F$3="",IF(单元查询!$B$3="公区维修",公区维修!$D152,入户维修!$D152)&amp;""=(单元查询!$F$3)&amp;"")),MAX($FW$4:$FW151)+1,"")</f>
        <v/>
      </c>
    </row>
    <row r="153" customFormat="false" ht="15" hidden="false" customHeight="true" outlineLevel="0" collapsed="false">
      <c r="F153" s="0" t="n">
        <f aca="false">IF(OR($A$1=入户维修!$F153,$BN$1=1),0,1-SUMPRODUCT(--(($A$1=入户维修!$F153)+$BN$1&gt;0)))</f>
        <v>0</v>
      </c>
      <c r="G153" s="0" t="n">
        <f aca="false">IF(OR($A$2=入户维修!$F153,$BN$2=1),0,2-SUMPRODUCT(--(($A$1:$A$2=入户维修!$F153)+$BN$1:$BN$2&gt;0)))</f>
        <v>1</v>
      </c>
      <c r="H153" s="0" t="n">
        <f aca="false">IF(OR($A$3=入户维修!$F153,$BN$3=1),0,3-SUMPRODUCT(--(($A$1:$A$3=入户维修!$F153)+$BN$1:$BN$3&gt;0)))</f>
        <v>2</v>
      </c>
      <c r="I153" s="0" t="n">
        <f aca="false">IF(OR($A$4=入户维修!$F153,$BN$4=1),0,4-SUMPRODUCT(--(($A$1:$A$4=入户维修!$F153)+$BN$1:$BN$4&gt;0)))</f>
        <v>3</v>
      </c>
      <c r="J153" s="0" t="n">
        <f aca="false">IF(OR($A$5=入户维修!$F153,$BN$5=1),0,5-SUMPRODUCT(--(($A$1:$A$5=入户维修!$F153)+$BN$1:$BN$5&gt;0)))</f>
        <v>4</v>
      </c>
      <c r="L153" s="0" t="str">
        <f aca="false">IFERROR(INDEX($A$1:$A$5,MATCH(1,$F153:$J153,0)),IF(1=MAX($F153:$J153)+1,"取消",""))</f>
        <v>李师傅</v>
      </c>
      <c r="M153" s="0" t="str">
        <f aca="false">IFERROR(INDEX($A$1:$A$5,MATCH(2,$F153:$J153,0)),IF(2=MAX($F153:$J153)+1,"取消",""))</f>
        <v>王师傅</v>
      </c>
      <c r="N153" s="0" t="str">
        <f aca="false">IFERROR(INDEX($A$1:$A$5,MATCH(3,$F153:$J153,0)),IF(3=MAX($F153:$J153)+1,"取消",""))</f>
        <v>陈师傅</v>
      </c>
      <c r="O153" s="0" t="str">
        <f aca="false">IFERROR(INDEX($A$1:$A$5,MATCH(4,$F153:$J153,0)),IF(4=MAX($F153:$J153)+1,"取消",""))</f>
        <v>刘师傅</v>
      </c>
      <c r="P153" s="0" t="str">
        <f aca="false">IFERROR(INDEX($A$1:$A$5,MATCH(5,$F153:$J153,0)),IF(5=MAX($F153:$J153)+1,"取消",""))</f>
        <v>取消</v>
      </c>
      <c r="Q153" s="0" t="str">
        <f aca="false">IFERROR(INDEX($A$1:$A$5,MATCH(6,$F153:$J153,0)),IF(6=MAX($F153:$J153)+1,"取消",""))</f>
        <v/>
      </c>
      <c r="S153" s="0" t="n">
        <f aca="false">IF(OR($A$1=入户维修!$F153,$A$1=入户维修!$G153,$BN$1=1),0,1-SUMPRODUCT(--(($A$1=入户维修!$F153)+($A$1=入户维修!$G153)+$BN$1&gt;0)))</f>
        <v>0</v>
      </c>
      <c r="T153" s="0" t="n">
        <f aca="false">IF(OR($A$2=入户维修!$F153,$A$2=入户维修!$G153,$BN$2=1),0,2-SUMPRODUCT(--(($A$1:$A$2=入户维修!$F153)+($A$1:$A$2=入户维修!$G153)+$BN$1:$BN$2&gt;0)))</f>
        <v>1</v>
      </c>
      <c r="U153" s="0" t="n">
        <f aca="false">IF(OR($A$3=入户维修!$F153,$A$3=入户维修!$G153,$BN$3=1),0,3-SUMPRODUCT(--(($A$1:$A$3=入户维修!$F153)+($A$1:$A$3=入户维修!$G153)+$BN$1:$BN$3&gt;0)))</f>
        <v>2</v>
      </c>
      <c r="V153" s="0" t="n">
        <f aca="false">IF(OR($A$4=入户维修!$F153,$A$4=入户维修!$G153,$BN$4=1),0,4-SUMPRODUCT(--(($A$1:$A$4=入户维修!$F153)+($A$1:$A$4=入户维修!$G153)+$BN$1:$BN$4&gt;0)))</f>
        <v>3</v>
      </c>
      <c r="W153" s="0" t="n">
        <f aca="false">IF(OR($A$5=入户维修!$F153,$A$5=入户维修!$G153,$BN$5=1),0,5-SUMPRODUCT(--(($A$1:$A$5=入户维修!$F153)+($A$1:$A$5=入户维修!$G153)+$BN$1:$BN$5&gt;0)))</f>
        <v>4</v>
      </c>
      <c r="Y153" s="0" t="str">
        <f aca="false">IFERROR(INDEX($A$1:$A$5,MATCH(1,$S153:$W153,0)),IF(1=MAX($S153:$W153)+1,"取消",""))</f>
        <v>李师傅</v>
      </c>
      <c r="Z153" s="0" t="str">
        <f aca="false">IFERROR(INDEX($A$1:$A$5,MATCH(2,$S153:$W153,0)),IF(2=MAX($S153:$W153)+1,"取消",""))</f>
        <v>王师傅</v>
      </c>
      <c r="AA153" s="0" t="str">
        <f aca="false">IFERROR(INDEX($A$1:$A$5,MATCH(3,$S153:$W153,0)),IF(3=MAX($S153:$W153)+1,"取消",""))</f>
        <v>陈师傅</v>
      </c>
      <c r="AB153" s="0" t="str">
        <f aca="false">IFERROR(INDEX($A$1:$A$5,MATCH(4,$S153:$W153,0)),IF(4=MAX($S153:$W153)+1,"取消",""))</f>
        <v>刘师傅</v>
      </c>
      <c r="AC153" s="0" t="str">
        <f aca="false">IFERROR(INDEX($A$1:$A$5,MATCH(5,$S153:$W153,0)),IF(5=MAX($S153:$W153)+1,"取消",""))</f>
        <v>取消</v>
      </c>
      <c r="AD153" s="0" t="str">
        <f aca="false">IFERROR(INDEX($A$1:$A$5,MATCH(6,$S153:$W153,0)),IF(6=MAX($S153:$W153)+1,"取消",""))</f>
        <v/>
      </c>
      <c r="AF153" s="0" t="n">
        <f aca="false">IF(OR($A$1=公区维修!$F153,$BN$1=1),0,1-SUMPRODUCT(--(($A$1=公区维修!$F153)+$BN$1&gt;0)))</f>
        <v>0</v>
      </c>
      <c r="AG153" s="0" t="n">
        <f aca="false">IF(OR($A$2=公区维修!$F153,$BN$2=1),0,2-SUMPRODUCT(--(($A$1:$A$2=公区维修!$F153)+$BN$1:$BN$2&gt;0)))</f>
        <v>1</v>
      </c>
      <c r="AH153" s="0" t="n">
        <f aca="false">IF(OR($A$3=公区维修!$F153,$BN$3=1),0,3-SUMPRODUCT(--(($A$1:$A$3=公区维修!$F153)+$BN$1:$BN$3&gt;0)))</f>
        <v>2</v>
      </c>
      <c r="AI153" s="0" t="n">
        <f aca="false">IF(OR($A$4=公区维修!$F153,$BN$4=1),0,4-SUMPRODUCT(--(($A$1:$A$4=公区维修!$F153)+$BN$1:$BN$4&gt;0)))</f>
        <v>3</v>
      </c>
      <c r="AJ153" s="0" t="n">
        <f aca="false">IF(OR($A$5=公区维修!$F153,$BN$5=1),0,5-SUMPRODUCT(--(($A$1:$A$5=公区维修!$F153)+$BN$1:$BN$5&gt;0)))</f>
        <v>4</v>
      </c>
      <c r="AL153" s="0" t="str">
        <f aca="false">IFERROR(INDEX($A$1:$A$5,MATCH(1,$AF153:$AJ153,0)),IF(1=MAX($AF153:$AJ153)+1,"取消",""))</f>
        <v>李师傅</v>
      </c>
      <c r="AM153" s="0" t="str">
        <f aca="false">IFERROR(INDEX($A$1:$A$5,MATCH(2,$AF153:$AJ153,0)),IF(2=MAX($AF153:$AJ153)+1,"取消",""))</f>
        <v>王师傅</v>
      </c>
      <c r="AN153" s="0" t="str">
        <f aca="false">IFERROR(INDEX($A$1:$A$5,MATCH(3,$AF153:$AJ153,0)),IF(3=MAX($AF153:$AJ153)+1,"取消",""))</f>
        <v>陈师傅</v>
      </c>
      <c r="AO153" s="0" t="str">
        <f aca="false">IFERROR(INDEX($A$1:$A$5,MATCH(4,$AF153:$AJ153,0)),IF(4=MAX($AF153:$AJ153)+1,"取消",""))</f>
        <v>刘师傅</v>
      </c>
      <c r="AP153" s="0" t="str">
        <f aca="false">IFERROR(INDEX($A$1:$A$5,MATCH(5,$AF153:$AJ153,0)),IF(5=MAX($AF153:$AJ153)+1,"取消",""))</f>
        <v>取消</v>
      </c>
      <c r="AQ153" s="0" t="str">
        <f aca="false">IFERROR(INDEX($A$1:$A$5,MATCH(6,$AF153:$AJ153,0)),IF(6=MAX($AF153:$AJ153)+1,"取消",""))</f>
        <v/>
      </c>
      <c r="AS153" s="0" t="n">
        <f aca="false">IF(OR($A$1=公区维修!$F153,$A$1=公区维修!$G153,$BN$1=1),0,1-SUMPRODUCT(--(($A$1=公区维修!$F153)+($A$1=公区维修!$G153)+$BN$1&gt;0)))</f>
        <v>0</v>
      </c>
      <c r="AT153" s="0" t="n">
        <f aca="false">IF(OR($A$2=公区维修!$F153,$A$2=公区维修!$G153,$BN$2=1),0,2-SUMPRODUCT(--(($A$1:$A$2=公区维修!$F153)+($A$1:$A$2=公区维修!$G153)+$BN$1:$BN$2&gt;0)))</f>
        <v>1</v>
      </c>
      <c r="AU153" s="0" t="n">
        <f aca="false">IF(OR($A$3=公区维修!$F153,$A$3=公区维修!$G153,$BN$3=1),0,3-SUMPRODUCT(--(($A$1:$A$3=公区维修!$F153)+($A$1:$A$3=公区维修!$G153)+$BN$1:$BN$3&gt;0)))</f>
        <v>2</v>
      </c>
      <c r="AV153" s="0" t="n">
        <f aca="false">IF(OR($A$4=公区维修!$F153,$A$4=公区维修!$G153,$BN$4=1),0,4-SUMPRODUCT(--(($A$1:$A$4=公区维修!$F153)+($A$1:$A$4=公区维修!$G153)+$BN$1:$BN$4&gt;0)))</f>
        <v>3</v>
      </c>
      <c r="AW153" s="0" t="n">
        <f aca="false">IF(OR($A$5=公区维修!$F153,$A$5=公区维修!$G153,$BN$5=1),0,5-SUMPRODUCT(--(($A$1:$A$5=公区维修!$F153)+($A$1:$A$5=公区维修!$G153)+$BN$1:$BN$5&gt;0)))</f>
        <v>4</v>
      </c>
      <c r="AY153" s="0" t="str">
        <f aca="false">IFERROR(INDEX($A$1:$A$5,MATCH(1,$AS153:$AW153,0)),IF(1=MAX($AS153:$AW153)+1,"取消",""))</f>
        <v>李师傅</v>
      </c>
      <c r="AZ153" s="0" t="str">
        <f aca="false">IFERROR(INDEX($A$1:$A$5,MATCH(2,$AS153:$AW153,0)),IF(2=MAX($AS153:$AW153)+1,"取消",""))</f>
        <v>王师傅</v>
      </c>
      <c r="BA153" s="0" t="str">
        <f aca="false">IFERROR(INDEX($A$1:$A$5,MATCH(3,$AS153:$AW153,0)),IF(3=MAX($AS153:$AW153)+1,"取消",""))</f>
        <v>陈师傅</v>
      </c>
      <c r="BB153" s="0" t="str">
        <f aca="false">IFERROR(INDEX($A$1:$A$5,MATCH(4,$AS153:$AW153,0)),IF(4=MAX($AS153:$AW153)+1,"取消",""))</f>
        <v>刘师傅</v>
      </c>
      <c r="BC153" s="0" t="str">
        <f aca="false">IFERROR(INDEX($A$1:$A$5,MATCH(5,$AS153:$AW153,0)),IF(5=MAX($AS153:$AW153)+1,"取消",""))</f>
        <v>取消</v>
      </c>
      <c r="BD153" s="0" t="str">
        <f aca="false">IFERROR(INDEX($A$1:$A$5,MATCH(6,$AS153:$AW153,0)),IF(6=MAX($AS153:$AW153)+1,"取消",""))</f>
        <v/>
      </c>
      <c r="FW153" s="0" t="str">
        <f aca="false">IF(AND(单元查询!$D$3&lt;&gt;"",IF(单元查询!$B$3="公区维修",公区维修!$E153&lt;&gt;"",入户维修!$E153&lt;&gt;""),IF(单元查询!$B$3="公区维修",公区维修!$C153,入户维修!$C153)=单元查询!$D$3,OR(单元查询!$F$3="",IF(单元查询!$B$3="公区维修",公区维修!$D153,入户维修!$D153)&amp;""=(单元查询!$F$3)&amp;"")),MAX($FW$4:$FW152)+1,"")</f>
        <v/>
      </c>
    </row>
    <row r="154" customFormat="false" ht="15" hidden="false" customHeight="true" outlineLevel="0" collapsed="false">
      <c r="F154" s="0" t="n">
        <f aca="false">IF(OR($A$1=入户维修!$F154,$BN$1=1),0,1-SUMPRODUCT(--(($A$1=入户维修!$F154)+$BN$1&gt;0)))</f>
        <v>0</v>
      </c>
      <c r="G154" s="0" t="n">
        <f aca="false">IF(OR($A$2=入户维修!$F154,$BN$2=1),0,2-SUMPRODUCT(--(($A$1:$A$2=入户维修!$F154)+$BN$1:$BN$2&gt;0)))</f>
        <v>1</v>
      </c>
      <c r="H154" s="0" t="n">
        <f aca="false">IF(OR($A$3=入户维修!$F154,$BN$3=1),0,3-SUMPRODUCT(--(($A$1:$A$3=入户维修!$F154)+$BN$1:$BN$3&gt;0)))</f>
        <v>2</v>
      </c>
      <c r="I154" s="0" t="n">
        <f aca="false">IF(OR($A$4=入户维修!$F154,$BN$4=1),0,4-SUMPRODUCT(--(($A$1:$A$4=入户维修!$F154)+$BN$1:$BN$4&gt;0)))</f>
        <v>3</v>
      </c>
      <c r="J154" s="0" t="n">
        <f aca="false">IF(OR($A$5=入户维修!$F154,$BN$5=1),0,5-SUMPRODUCT(--(($A$1:$A$5=入户维修!$F154)+$BN$1:$BN$5&gt;0)))</f>
        <v>4</v>
      </c>
      <c r="L154" s="0" t="str">
        <f aca="false">IFERROR(INDEX($A$1:$A$5,MATCH(1,$F154:$J154,0)),IF(1=MAX($F154:$J154)+1,"取消",""))</f>
        <v>李师傅</v>
      </c>
      <c r="M154" s="0" t="str">
        <f aca="false">IFERROR(INDEX($A$1:$A$5,MATCH(2,$F154:$J154,0)),IF(2=MAX($F154:$J154)+1,"取消",""))</f>
        <v>王师傅</v>
      </c>
      <c r="N154" s="0" t="str">
        <f aca="false">IFERROR(INDEX($A$1:$A$5,MATCH(3,$F154:$J154,0)),IF(3=MAX($F154:$J154)+1,"取消",""))</f>
        <v>陈师傅</v>
      </c>
      <c r="O154" s="0" t="str">
        <f aca="false">IFERROR(INDEX($A$1:$A$5,MATCH(4,$F154:$J154,0)),IF(4=MAX($F154:$J154)+1,"取消",""))</f>
        <v>刘师傅</v>
      </c>
      <c r="P154" s="0" t="str">
        <f aca="false">IFERROR(INDEX($A$1:$A$5,MATCH(5,$F154:$J154,0)),IF(5=MAX($F154:$J154)+1,"取消",""))</f>
        <v>取消</v>
      </c>
      <c r="Q154" s="0" t="str">
        <f aca="false">IFERROR(INDEX($A$1:$A$5,MATCH(6,$F154:$J154,0)),IF(6=MAX($F154:$J154)+1,"取消",""))</f>
        <v/>
      </c>
      <c r="S154" s="0" t="n">
        <f aca="false">IF(OR($A$1=入户维修!$F154,$A$1=入户维修!$G154,$BN$1=1),0,1-SUMPRODUCT(--(($A$1=入户维修!$F154)+($A$1=入户维修!$G154)+$BN$1&gt;0)))</f>
        <v>0</v>
      </c>
      <c r="T154" s="0" t="n">
        <f aca="false">IF(OR($A$2=入户维修!$F154,$A$2=入户维修!$G154,$BN$2=1),0,2-SUMPRODUCT(--(($A$1:$A$2=入户维修!$F154)+($A$1:$A$2=入户维修!$G154)+$BN$1:$BN$2&gt;0)))</f>
        <v>1</v>
      </c>
      <c r="U154" s="0" t="n">
        <f aca="false">IF(OR($A$3=入户维修!$F154,$A$3=入户维修!$G154,$BN$3=1),0,3-SUMPRODUCT(--(($A$1:$A$3=入户维修!$F154)+($A$1:$A$3=入户维修!$G154)+$BN$1:$BN$3&gt;0)))</f>
        <v>2</v>
      </c>
      <c r="V154" s="0" t="n">
        <f aca="false">IF(OR($A$4=入户维修!$F154,$A$4=入户维修!$G154,$BN$4=1),0,4-SUMPRODUCT(--(($A$1:$A$4=入户维修!$F154)+($A$1:$A$4=入户维修!$G154)+$BN$1:$BN$4&gt;0)))</f>
        <v>3</v>
      </c>
      <c r="W154" s="0" t="n">
        <f aca="false">IF(OR($A$5=入户维修!$F154,$A$5=入户维修!$G154,$BN$5=1),0,5-SUMPRODUCT(--(($A$1:$A$5=入户维修!$F154)+($A$1:$A$5=入户维修!$G154)+$BN$1:$BN$5&gt;0)))</f>
        <v>4</v>
      </c>
      <c r="Y154" s="0" t="str">
        <f aca="false">IFERROR(INDEX($A$1:$A$5,MATCH(1,$S154:$W154,0)),IF(1=MAX($S154:$W154)+1,"取消",""))</f>
        <v>李师傅</v>
      </c>
      <c r="Z154" s="0" t="str">
        <f aca="false">IFERROR(INDEX($A$1:$A$5,MATCH(2,$S154:$W154,0)),IF(2=MAX($S154:$W154)+1,"取消",""))</f>
        <v>王师傅</v>
      </c>
      <c r="AA154" s="0" t="str">
        <f aca="false">IFERROR(INDEX($A$1:$A$5,MATCH(3,$S154:$W154,0)),IF(3=MAX($S154:$W154)+1,"取消",""))</f>
        <v>陈师傅</v>
      </c>
      <c r="AB154" s="0" t="str">
        <f aca="false">IFERROR(INDEX($A$1:$A$5,MATCH(4,$S154:$W154,0)),IF(4=MAX($S154:$W154)+1,"取消",""))</f>
        <v>刘师傅</v>
      </c>
      <c r="AC154" s="0" t="str">
        <f aca="false">IFERROR(INDEX($A$1:$A$5,MATCH(5,$S154:$W154,0)),IF(5=MAX($S154:$W154)+1,"取消",""))</f>
        <v>取消</v>
      </c>
      <c r="AD154" s="0" t="str">
        <f aca="false">IFERROR(INDEX($A$1:$A$5,MATCH(6,$S154:$W154,0)),IF(6=MAX($S154:$W154)+1,"取消",""))</f>
        <v/>
      </c>
      <c r="AF154" s="0" t="n">
        <f aca="false">IF(OR($A$1=公区维修!$F154,$BN$1=1),0,1-SUMPRODUCT(--(($A$1=公区维修!$F154)+$BN$1&gt;0)))</f>
        <v>0</v>
      </c>
      <c r="AG154" s="0" t="n">
        <f aca="false">IF(OR($A$2=公区维修!$F154,$BN$2=1),0,2-SUMPRODUCT(--(($A$1:$A$2=公区维修!$F154)+$BN$1:$BN$2&gt;0)))</f>
        <v>1</v>
      </c>
      <c r="AH154" s="0" t="n">
        <f aca="false">IF(OR($A$3=公区维修!$F154,$BN$3=1),0,3-SUMPRODUCT(--(($A$1:$A$3=公区维修!$F154)+$BN$1:$BN$3&gt;0)))</f>
        <v>2</v>
      </c>
      <c r="AI154" s="0" t="n">
        <f aca="false">IF(OR($A$4=公区维修!$F154,$BN$4=1),0,4-SUMPRODUCT(--(($A$1:$A$4=公区维修!$F154)+$BN$1:$BN$4&gt;0)))</f>
        <v>3</v>
      </c>
      <c r="AJ154" s="0" t="n">
        <f aca="false">IF(OR($A$5=公区维修!$F154,$BN$5=1),0,5-SUMPRODUCT(--(($A$1:$A$5=公区维修!$F154)+$BN$1:$BN$5&gt;0)))</f>
        <v>4</v>
      </c>
      <c r="AL154" s="0" t="str">
        <f aca="false">IFERROR(INDEX($A$1:$A$5,MATCH(1,$AF154:$AJ154,0)),IF(1=MAX($AF154:$AJ154)+1,"取消",""))</f>
        <v>李师傅</v>
      </c>
      <c r="AM154" s="0" t="str">
        <f aca="false">IFERROR(INDEX($A$1:$A$5,MATCH(2,$AF154:$AJ154,0)),IF(2=MAX($AF154:$AJ154)+1,"取消",""))</f>
        <v>王师傅</v>
      </c>
      <c r="AN154" s="0" t="str">
        <f aca="false">IFERROR(INDEX($A$1:$A$5,MATCH(3,$AF154:$AJ154,0)),IF(3=MAX($AF154:$AJ154)+1,"取消",""))</f>
        <v>陈师傅</v>
      </c>
      <c r="AO154" s="0" t="str">
        <f aca="false">IFERROR(INDEX($A$1:$A$5,MATCH(4,$AF154:$AJ154,0)),IF(4=MAX($AF154:$AJ154)+1,"取消",""))</f>
        <v>刘师傅</v>
      </c>
      <c r="AP154" s="0" t="str">
        <f aca="false">IFERROR(INDEX($A$1:$A$5,MATCH(5,$AF154:$AJ154,0)),IF(5=MAX($AF154:$AJ154)+1,"取消",""))</f>
        <v>取消</v>
      </c>
      <c r="AQ154" s="0" t="str">
        <f aca="false">IFERROR(INDEX($A$1:$A$5,MATCH(6,$AF154:$AJ154,0)),IF(6=MAX($AF154:$AJ154)+1,"取消",""))</f>
        <v/>
      </c>
      <c r="AS154" s="0" t="n">
        <f aca="false">IF(OR($A$1=公区维修!$F154,$A$1=公区维修!$G154,$BN$1=1),0,1-SUMPRODUCT(--(($A$1=公区维修!$F154)+($A$1=公区维修!$G154)+$BN$1&gt;0)))</f>
        <v>0</v>
      </c>
      <c r="AT154" s="0" t="n">
        <f aca="false">IF(OR($A$2=公区维修!$F154,$A$2=公区维修!$G154,$BN$2=1),0,2-SUMPRODUCT(--(($A$1:$A$2=公区维修!$F154)+($A$1:$A$2=公区维修!$G154)+$BN$1:$BN$2&gt;0)))</f>
        <v>1</v>
      </c>
      <c r="AU154" s="0" t="n">
        <f aca="false">IF(OR($A$3=公区维修!$F154,$A$3=公区维修!$G154,$BN$3=1),0,3-SUMPRODUCT(--(($A$1:$A$3=公区维修!$F154)+($A$1:$A$3=公区维修!$G154)+$BN$1:$BN$3&gt;0)))</f>
        <v>2</v>
      </c>
      <c r="AV154" s="0" t="n">
        <f aca="false">IF(OR($A$4=公区维修!$F154,$A$4=公区维修!$G154,$BN$4=1),0,4-SUMPRODUCT(--(($A$1:$A$4=公区维修!$F154)+($A$1:$A$4=公区维修!$G154)+$BN$1:$BN$4&gt;0)))</f>
        <v>3</v>
      </c>
      <c r="AW154" s="0" t="n">
        <f aca="false">IF(OR($A$5=公区维修!$F154,$A$5=公区维修!$G154,$BN$5=1),0,5-SUMPRODUCT(--(($A$1:$A$5=公区维修!$F154)+($A$1:$A$5=公区维修!$G154)+$BN$1:$BN$5&gt;0)))</f>
        <v>4</v>
      </c>
      <c r="AY154" s="0" t="str">
        <f aca="false">IFERROR(INDEX($A$1:$A$5,MATCH(1,$AS154:$AW154,0)),IF(1=MAX($AS154:$AW154)+1,"取消",""))</f>
        <v>李师傅</v>
      </c>
      <c r="AZ154" s="0" t="str">
        <f aca="false">IFERROR(INDEX($A$1:$A$5,MATCH(2,$AS154:$AW154,0)),IF(2=MAX($AS154:$AW154)+1,"取消",""))</f>
        <v>王师傅</v>
      </c>
      <c r="BA154" s="0" t="str">
        <f aca="false">IFERROR(INDEX($A$1:$A$5,MATCH(3,$AS154:$AW154,0)),IF(3=MAX($AS154:$AW154)+1,"取消",""))</f>
        <v>陈师傅</v>
      </c>
      <c r="BB154" s="0" t="str">
        <f aca="false">IFERROR(INDEX($A$1:$A$5,MATCH(4,$AS154:$AW154,0)),IF(4=MAX($AS154:$AW154)+1,"取消",""))</f>
        <v>刘师傅</v>
      </c>
      <c r="BC154" s="0" t="str">
        <f aca="false">IFERROR(INDEX($A$1:$A$5,MATCH(5,$AS154:$AW154,0)),IF(5=MAX($AS154:$AW154)+1,"取消",""))</f>
        <v>取消</v>
      </c>
      <c r="BD154" s="0" t="str">
        <f aca="false">IFERROR(INDEX($A$1:$A$5,MATCH(6,$AS154:$AW154,0)),IF(6=MAX($AS154:$AW154)+1,"取消",""))</f>
        <v/>
      </c>
      <c r="FW154" s="0" t="str">
        <f aca="false">IF(AND(单元查询!$D$3&lt;&gt;"",IF(单元查询!$B$3="公区维修",公区维修!$E154&lt;&gt;"",入户维修!$E154&lt;&gt;""),IF(单元查询!$B$3="公区维修",公区维修!$C154,入户维修!$C154)=单元查询!$D$3,OR(单元查询!$F$3="",IF(单元查询!$B$3="公区维修",公区维修!$D154,入户维修!$D154)&amp;""=(单元查询!$F$3)&amp;"")),MAX($FW$4:$FW153)+1,"")</f>
        <v/>
      </c>
    </row>
    <row r="155" customFormat="false" ht="15" hidden="false" customHeight="true" outlineLevel="0" collapsed="false">
      <c r="F155" s="0" t="n">
        <f aca="false">IF(OR($A$1=入户维修!$F155,$BN$1=1),0,1-SUMPRODUCT(--(($A$1=入户维修!$F155)+$BN$1&gt;0)))</f>
        <v>0</v>
      </c>
      <c r="G155" s="0" t="n">
        <f aca="false">IF(OR($A$2=入户维修!$F155,$BN$2=1),0,2-SUMPRODUCT(--(($A$1:$A$2=入户维修!$F155)+$BN$1:$BN$2&gt;0)))</f>
        <v>1</v>
      </c>
      <c r="H155" s="0" t="n">
        <f aca="false">IF(OR($A$3=入户维修!$F155,$BN$3=1),0,3-SUMPRODUCT(--(($A$1:$A$3=入户维修!$F155)+$BN$1:$BN$3&gt;0)))</f>
        <v>2</v>
      </c>
      <c r="I155" s="0" t="n">
        <f aca="false">IF(OR($A$4=入户维修!$F155,$BN$4=1),0,4-SUMPRODUCT(--(($A$1:$A$4=入户维修!$F155)+$BN$1:$BN$4&gt;0)))</f>
        <v>3</v>
      </c>
      <c r="J155" s="0" t="n">
        <f aca="false">IF(OR($A$5=入户维修!$F155,$BN$5=1),0,5-SUMPRODUCT(--(($A$1:$A$5=入户维修!$F155)+$BN$1:$BN$5&gt;0)))</f>
        <v>4</v>
      </c>
      <c r="L155" s="0" t="str">
        <f aca="false">IFERROR(INDEX($A$1:$A$5,MATCH(1,$F155:$J155,0)),IF(1=MAX($F155:$J155)+1,"取消",""))</f>
        <v>李师傅</v>
      </c>
      <c r="M155" s="0" t="str">
        <f aca="false">IFERROR(INDEX($A$1:$A$5,MATCH(2,$F155:$J155,0)),IF(2=MAX($F155:$J155)+1,"取消",""))</f>
        <v>王师傅</v>
      </c>
      <c r="N155" s="0" t="str">
        <f aca="false">IFERROR(INDEX($A$1:$A$5,MATCH(3,$F155:$J155,0)),IF(3=MAX($F155:$J155)+1,"取消",""))</f>
        <v>陈师傅</v>
      </c>
      <c r="O155" s="0" t="str">
        <f aca="false">IFERROR(INDEX($A$1:$A$5,MATCH(4,$F155:$J155,0)),IF(4=MAX($F155:$J155)+1,"取消",""))</f>
        <v>刘师傅</v>
      </c>
      <c r="P155" s="0" t="str">
        <f aca="false">IFERROR(INDEX($A$1:$A$5,MATCH(5,$F155:$J155,0)),IF(5=MAX($F155:$J155)+1,"取消",""))</f>
        <v>取消</v>
      </c>
      <c r="Q155" s="0" t="str">
        <f aca="false">IFERROR(INDEX($A$1:$A$5,MATCH(6,$F155:$J155,0)),IF(6=MAX($F155:$J155)+1,"取消",""))</f>
        <v/>
      </c>
      <c r="S155" s="0" t="n">
        <f aca="false">IF(OR($A$1=入户维修!$F155,$A$1=入户维修!$G155,$BN$1=1),0,1-SUMPRODUCT(--(($A$1=入户维修!$F155)+($A$1=入户维修!$G155)+$BN$1&gt;0)))</f>
        <v>0</v>
      </c>
      <c r="T155" s="0" t="n">
        <f aca="false">IF(OR($A$2=入户维修!$F155,$A$2=入户维修!$G155,$BN$2=1),0,2-SUMPRODUCT(--(($A$1:$A$2=入户维修!$F155)+($A$1:$A$2=入户维修!$G155)+$BN$1:$BN$2&gt;0)))</f>
        <v>1</v>
      </c>
      <c r="U155" s="0" t="n">
        <f aca="false">IF(OR($A$3=入户维修!$F155,$A$3=入户维修!$G155,$BN$3=1),0,3-SUMPRODUCT(--(($A$1:$A$3=入户维修!$F155)+($A$1:$A$3=入户维修!$G155)+$BN$1:$BN$3&gt;0)))</f>
        <v>2</v>
      </c>
      <c r="V155" s="0" t="n">
        <f aca="false">IF(OR($A$4=入户维修!$F155,$A$4=入户维修!$G155,$BN$4=1),0,4-SUMPRODUCT(--(($A$1:$A$4=入户维修!$F155)+($A$1:$A$4=入户维修!$G155)+$BN$1:$BN$4&gt;0)))</f>
        <v>3</v>
      </c>
      <c r="W155" s="0" t="n">
        <f aca="false">IF(OR($A$5=入户维修!$F155,$A$5=入户维修!$G155,$BN$5=1),0,5-SUMPRODUCT(--(($A$1:$A$5=入户维修!$F155)+($A$1:$A$5=入户维修!$G155)+$BN$1:$BN$5&gt;0)))</f>
        <v>4</v>
      </c>
      <c r="Y155" s="0" t="str">
        <f aca="false">IFERROR(INDEX($A$1:$A$5,MATCH(1,$S155:$W155,0)),IF(1=MAX($S155:$W155)+1,"取消",""))</f>
        <v>李师傅</v>
      </c>
      <c r="Z155" s="0" t="str">
        <f aca="false">IFERROR(INDEX($A$1:$A$5,MATCH(2,$S155:$W155,0)),IF(2=MAX($S155:$W155)+1,"取消",""))</f>
        <v>王师傅</v>
      </c>
      <c r="AA155" s="0" t="str">
        <f aca="false">IFERROR(INDEX($A$1:$A$5,MATCH(3,$S155:$W155,0)),IF(3=MAX($S155:$W155)+1,"取消",""))</f>
        <v>陈师傅</v>
      </c>
      <c r="AB155" s="0" t="str">
        <f aca="false">IFERROR(INDEX($A$1:$A$5,MATCH(4,$S155:$W155,0)),IF(4=MAX($S155:$W155)+1,"取消",""))</f>
        <v>刘师傅</v>
      </c>
      <c r="AC155" s="0" t="str">
        <f aca="false">IFERROR(INDEX($A$1:$A$5,MATCH(5,$S155:$W155,0)),IF(5=MAX($S155:$W155)+1,"取消",""))</f>
        <v>取消</v>
      </c>
      <c r="AD155" s="0" t="str">
        <f aca="false">IFERROR(INDEX($A$1:$A$5,MATCH(6,$S155:$W155,0)),IF(6=MAX($S155:$W155)+1,"取消",""))</f>
        <v/>
      </c>
      <c r="AF155" s="0" t="n">
        <f aca="false">IF(OR($A$1=公区维修!$F155,$BN$1=1),0,1-SUMPRODUCT(--(($A$1=公区维修!$F155)+$BN$1&gt;0)))</f>
        <v>0</v>
      </c>
      <c r="AG155" s="0" t="n">
        <f aca="false">IF(OR($A$2=公区维修!$F155,$BN$2=1),0,2-SUMPRODUCT(--(($A$1:$A$2=公区维修!$F155)+$BN$1:$BN$2&gt;0)))</f>
        <v>1</v>
      </c>
      <c r="AH155" s="0" t="n">
        <f aca="false">IF(OR($A$3=公区维修!$F155,$BN$3=1),0,3-SUMPRODUCT(--(($A$1:$A$3=公区维修!$F155)+$BN$1:$BN$3&gt;0)))</f>
        <v>2</v>
      </c>
      <c r="AI155" s="0" t="n">
        <f aca="false">IF(OR($A$4=公区维修!$F155,$BN$4=1),0,4-SUMPRODUCT(--(($A$1:$A$4=公区维修!$F155)+$BN$1:$BN$4&gt;0)))</f>
        <v>3</v>
      </c>
      <c r="AJ155" s="0" t="n">
        <f aca="false">IF(OR($A$5=公区维修!$F155,$BN$5=1),0,5-SUMPRODUCT(--(($A$1:$A$5=公区维修!$F155)+$BN$1:$BN$5&gt;0)))</f>
        <v>4</v>
      </c>
      <c r="AL155" s="0" t="str">
        <f aca="false">IFERROR(INDEX($A$1:$A$5,MATCH(1,$AF155:$AJ155,0)),IF(1=MAX($AF155:$AJ155)+1,"取消",""))</f>
        <v>李师傅</v>
      </c>
      <c r="AM155" s="0" t="str">
        <f aca="false">IFERROR(INDEX($A$1:$A$5,MATCH(2,$AF155:$AJ155,0)),IF(2=MAX($AF155:$AJ155)+1,"取消",""))</f>
        <v>王师傅</v>
      </c>
      <c r="AN155" s="0" t="str">
        <f aca="false">IFERROR(INDEX($A$1:$A$5,MATCH(3,$AF155:$AJ155,0)),IF(3=MAX($AF155:$AJ155)+1,"取消",""))</f>
        <v>陈师傅</v>
      </c>
      <c r="AO155" s="0" t="str">
        <f aca="false">IFERROR(INDEX($A$1:$A$5,MATCH(4,$AF155:$AJ155,0)),IF(4=MAX($AF155:$AJ155)+1,"取消",""))</f>
        <v>刘师傅</v>
      </c>
      <c r="AP155" s="0" t="str">
        <f aca="false">IFERROR(INDEX($A$1:$A$5,MATCH(5,$AF155:$AJ155,0)),IF(5=MAX($AF155:$AJ155)+1,"取消",""))</f>
        <v>取消</v>
      </c>
      <c r="AQ155" s="0" t="str">
        <f aca="false">IFERROR(INDEX($A$1:$A$5,MATCH(6,$AF155:$AJ155,0)),IF(6=MAX($AF155:$AJ155)+1,"取消",""))</f>
        <v/>
      </c>
      <c r="AS155" s="0" t="n">
        <f aca="false">IF(OR($A$1=公区维修!$F155,$A$1=公区维修!$G155,$BN$1=1),0,1-SUMPRODUCT(--(($A$1=公区维修!$F155)+($A$1=公区维修!$G155)+$BN$1&gt;0)))</f>
        <v>0</v>
      </c>
      <c r="AT155" s="0" t="n">
        <f aca="false">IF(OR($A$2=公区维修!$F155,$A$2=公区维修!$G155,$BN$2=1),0,2-SUMPRODUCT(--(($A$1:$A$2=公区维修!$F155)+($A$1:$A$2=公区维修!$G155)+$BN$1:$BN$2&gt;0)))</f>
        <v>1</v>
      </c>
      <c r="AU155" s="0" t="n">
        <f aca="false">IF(OR($A$3=公区维修!$F155,$A$3=公区维修!$G155,$BN$3=1),0,3-SUMPRODUCT(--(($A$1:$A$3=公区维修!$F155)+($A$1:$A$3=公区维修!$G155)+$BN$1:$BN$3&gt;0)))</f>
        <v>2</v>
      </c>
      <c r="AV155" s="0" t="n">
        <f aca="false">IF(OR($A$4=公区维修!$F155,$A$4=公区维修!$G155,$BN$4=1),0,4-SUMPRODUCT(--(($A$1:$A$4=公区维修!$F155)+($A$1:$A$4=公区维修!$G155)+$BN$1:$BN$4&gt;0)))</f>
        <v>3</v>
      </c>
      <c r="AW155" s="0" t="n">
        <f aca="false">IF(OR($A$5=公区维修!$F155,$A$5=公区维修!$G155,$BN$5=1),0,5-SUMPRODUCT(--(($A$1:$A$5=公区维修!$F155)+($A$1:$A$5=公区维修!$G155)+$BN$1:$BN$5&gt;0)))</f>
        <v>4</v>
      </c>
      <c r="AY155" s="0" t="str">
        <f aca="false">IFERROR(INDEX($A$1:$A$5,MATCH(1,$AS155:$AW155,0)),IF(1=MAX($AS155:$AW155)+1,"取消",""))</f>
        <v>李师傅</v>
      </c>
      <c r="AZ155" s="0" t="str">
        <f aca="false">IFERROR(INDEX($A$1:$A$5,MATCH(2,$AS155:$AW155,0)),IF(2=MAX($AS155:$AW155)+1,"取消",""))</f>
        <v>王师傅</v>
      </c>
      <c r="BA155" s="0" t="str">
        <f aca="false">IFERROR(INDEX($A$1:$A$5,MATCH(3,$AS155:$AW155,0)),IF(3=MAX($AS155:$AW155)+1,"取消",""))</f>
        <v>陈师傅</v>
      </c>
      <c r="BB155" s="0" t="str">
        <f aca="false">IFERROR(INDEX($A$1:$A$5,MATCH(4,$AS155:$AW155,0)),IF(4=MAX($AS155:$AW155)+1,"取消",""))</f>
        <v>刘师傅</v>
      </c>
      <c r="BC155" s="0" t="str">
        <f aca="false">IFERROR(INDEX($A$1:$A$5,MATCH(5,$AS155:$AW155,0)),IF(5=MAX($AS155:$AW155)+1,"取消",""))</f>
        <v>取消</v>
      </c>
      <c r="BD155" s="0" t="str">
        <f aca="false">IFERROR(INDEX($A$1:$A$5,MATCH(6,$AS155:$AW155,0)),IF(6=MAX($AS155:$AW155)+1,"取消",""))</f>
        <v/>
      </c>
      <c r="FW155" s="0" t="str">
        <f aca="false">IF(AND(单元查询!$D$3&lt;&gt;"",IF(单元查询!$B$3="公区维修",公区维修!$E155&lt;&gt;"",入户维修!$E155&lt;&gt;""),IF(单元查询!$B$3="公区维修",公区维修!$C155,入户维修!$C155)=单元查询!$D$3,OR(单元查询!$F$3="",IF(单元查询!$B$3="公区维修",公区维修!$D155,入户维修!$D155)&amp;""=(单元查询!$F$3)&amp;"")),MAX($FW$4:$FW154)+1,"")</f>
        <v/>
      </c>
    </row>
    <row r="156" customFormat="false" ht="15" hidden="false" customHeight="true" outlineLevel="0" collapsed="false">
      <c r="F156" s="0" t="n">
        <f aca="false">IF(OR($A$1=入户维修!$F156,$BN$1=1),0,1-SUMPRODUCT(--(($A$1=入户维修!$F156)+$BN$1&gt;0)))</f>
        <v>0</v>
      </c>
      <c r="G156" s="0" t="n">
        <f aca="false">IF(OR($A$2=入户维修!$F156,$BN$2=1),0,2-SUMPRODUCT(--(($A$1:$A$2=入户维修!$F156)+$BN$1:$BN$2&gt;0)))</f>
        <v>1</v>
      </c>
      <c r="H156" s="0" t="n">
        <f aca="false">IF(OR($A$3=入户维修!$F156,$BN$3=1),0,3-SUMPRODUCT(--(($A$1:$A$3=入户维修!$F156)+$BN$1:$BN$3&gt;0)))</f>
        <v>2</v>
      </c>
      <c r="I156" s="0" t="n">
        <f aca="false">IF(OR($A$4=入户维修!$F156,$BN$4=1),0,4-SUMPRODUCT(--(($A$1:$A$4=入户维修!$F156)+$BN$1:$BN$4&gt;0)))</f>
        <v>3</v>
      </c>
      <c r="J156" s="0" t="n">
        <f aca="false">IF(OR($A$5=入户维修!$F156,$BN$5=1),0,5-SUMPRODUCT(--(($A$1:$A$5=入户维修!$F156)+$BN$1:$BN$5&gt;0)))</f>
        <v>4</v>
      </c>
      <c r="L156" s="0" t="str">
        <f aca="false">IFERROR(INDEX($A$1:$A$5,MATCH(1,$F156:$J156,0)),IF(1=MAX($F156:$J156)+1,"取消",""))</f>
        <v>李师傅</v>
      </c>
      <c r="M156" s="0" t="str">
        <f aca="false">IFERROR(INDEX($A$1:$A$5,MATCH(2,$F156:$J156,0)),IF(2=MAX($F156:$J156)+1,"取消",""))</f>
        <v>王师傅</v>
      </c>
      <c r="N156" s="0" t="str">
        <f aca="false">IFERROR(INDEX($A$1:$A$5,MATCH(3,$F156:$J156,0)),IF(3=MAX($F156:$J156)+1,"取消",""))</f>
        <v>陈师傅</v>
      </c>
      <c r="O156" s="0" t="str">
        <f aca="false">IFERROR(INDEX($A$1:$A$5,MATCH(4,$F156:$J156,0)),IF(4=MAX($F156:$J156)+1,"取消",""))</f>
        <v>刘师傅</v>
      </c>
      <c r="P156" s="0" t="str">
        <f aca="false">IFERROR(INDEX($A$1:$A$5,MATCH(5,$F156:$J156,0)),IF(5=MAX($F156:$J156)+1,"取消",""))</f>
        <v>取消</v>
      </c>
      <c r="Q156" s="0" t="str">
        <f aca="false">IFERROR(INDEX($A$1:$A$5,MATCH(6,$F156:$J156,0)),IF(6=MAX($F156:$J156)+1,"取消",""))</f>
        <v/>
      </c>
      <c r="S156" s="0" t="n">
        <f aca="false">IF(OR($A$1=入户维修!$F156,$A$1=入户维修!$G156,$BN$1=1),0,1-SUMPRODUCT(--(($A$1=入户维修!$F156)+($A$1=入户维修!$G156)+$BN$1&gt;0)))</f>
        <v>0</v>
      </c>
      <c r="T156" s="0" t="n">
        <f aca="false">IF(OR($A$2=入户维修!$F156,$A$2=入户维修!$G156,$BN$2=1),0,2-SUMPRODUCT(--(($A$1:$A$2=入户维修!$F156)+($A$1:$A$2=入户维修!$G156)+$BN$1:$BN$2&gt;0)))</f>
        <v>1</v>
      </c>
      <c r="U156" s="0" t="n">
        <f aca="false">IF(OR($A$3=入户维修!$F156,$A$3=入户维修!$G156,$BN$3=1),0,3-SUMPRODUCT(--(($A$1:$A$3=入户维修!$F156)+($A$1:$A$3=入户维修!$G156)+$BN$1:$BN$3&gt;0)))</f>
        <v>2</v>
      </c>
      <c r="V156" s="0" t="n">
        <f aca="false">IF(OR($A$4=入户维修!$F156,$A$4=入户维修!$G156,$BN$4=1),0,4-SUMPRODUCT(--(($A$1:$A$4=入户维修!$F156)+($A$1:$A$4=入户维修!$G156)+$BN$1:$BN$4&gt;0)))</f>
        <v>3</v>
      </c>
      <c r="W156" s="0" t="n">
        <f aca="false">IF(OR($A$5=入户维修!$F156,$A$5=入户维修!$G156,$BN$5=1),0,5-SUMPRODUCT(--(($A$1:$A$5=入户维修!$F156)+($A$1:$A$5=入户维修!$G156)+$BN$1:$BN$5&gt;0)))</f>
        <v>4</v>
      </c>
      <c r="Y156" s="0" t="str">
        <f aca="false">IFERROR(INDEX($A$1:$A$5,MATCH(1,$S156:$W156,0)),IF(1=MAX($S156:$W156)+1,"取消",""))</f>
        <v>李师傅</v>
      </c>
      <c r="Z156" s="0" t="str">
        <f aca="false">IFERROR(INDEX($A$1:$A$5,MATCH(2,$S156:$W156,0)),IF(2=MAX($S156:$W156)+1,"取消",""))</f>
        <v>王师傅</v>
      </c>
      <c r="AA156" s="0" t="str">
        <f aca="false">IFERROR(INDEX($A$1:$A$5,MATCH(3,$S156:$W156,0)),IF(3=MAX($S156:$W156)+1,"取消",""))</f>
        <v>陈师傅</v>
      </c>
      <c r="AB156" s="0" t="str">
        <f aca="false">IFERROR(INDEX($A$1:$A$5,MATCH(4,$S156:$W156,0)),IF(4=MAX($S156:$W156)+1,"取消",""))</f>
        <v>刘师傅</v>
      </c>
      <c r="AC156" s="0" t="str">
        <f aca="false">IFERROR(INDEX($A$1:$A$5,MATCH(5,$S156:$W156,0)),IF(5=MAX($S156:$W156)+1,"取消",""))</f>
        <v>取消</v>
      </c>
      <c r="AD156" s="0" t="str">
        <f aca="false">IFERROR(INDEX($A$1:$A$5,MATCH(6,$S156:$W156,0)),IF(6=MAX($S156:$W156)+1,"取消",""))</f>
        <v/>
      </c>
      <c r="AF156" s="0" t="n">
        <f aca="false">IF(OR($A$1=公区维修!$F156,$BN$1=1),0,1-SUMPRODUCT(--(($A$1=公区维修!$F156)+$BN$1&gt;0)))</f>
        <v>0</v>
      </c>
      <c r="AG156" s="0" t="n">
        <f aca="false">IF(OR($A$2=公区维修!$F156,$BN$2=1),0,2-SUMPRODUCT(--(($A$1:$A$2=公区维修!$F156)+$BN$1:$BN$2&gt;0)))</f>
        <v>1</v>
      </c>
      <c r="AH156" s="0" t="n">
        <f aca="false">IF(OR($A$3=公区维修!$F156,$BN$3=1),0,3-SUMPRODUCT(--(($A$1:$A$3=公区维修!$F156)+$BN$1:$BN$3&gt;0)))</f>
        <v>2</v>
      </c>
      <c r="AI156" s="0" t="n">
        <f aca="false">IF(OR($A$4=公区维修!$F156,$BN$4=1),0,4-SUMPRODUCT(--(($A$1:$A$4=公区维修!$F156)+$BN$1:$BN$4&gt;0)))</f>
        <v>3</v>
      </c>
      <c r="AJ156" s="0" t="n">
        <f aca="false">IF(OR($A$5=公区维修!$F156,$BN$5=1),0,5-SUMPRODUCT(--(($A$1:$A$5=公区维修!$F156)+$BN$1:$BN$5&gt;0)))</f>
        <v>4</v>
      </c>
      <c r="AL156" s="0" t="str">
        <f aca="false">IFERROR(INDEX($A$1:$A$5,MATCH(1,$AF156:$AJ156,0)),IF(1=MAX($AF156:$AJ156)+1,"取消",""))</f>
        <v>李师傅</v>
      </c>
      <c r="AM156" s="0" t="str">
        <f aca="false">IFERROR(INDEX($A$1:$A$5,MATCH(2,$AF156:$AJ156,0)),IF(2=MAX($AF156:$AJ156)+1,"取消",""))</f>
        <v>王师傅</v>
      </c>
      <c r="AN156" s="0" t="str">
        <f aca="false">IFERROR(INDEX($A$1:$A$5,MATCH(3,$AF156:$AJ156,0)),IF(3=MAX($AF156:$AJ156)+1,"取消",""))</f>
        <v>陈师傅</v>
      </c>
      <c r="AO156" s="0" t="str">
        <f aca="false">IFERROR(INDEX($A$1:$A$5,MATCH(4,$AF156:$AJ156,0)),IF(4=MAX($AF156:$AJ156)+1,"取消",""))</f>
        <v>刘师傅</v>
      </c>
      <c r="AP156" s="0" t="str">
        <f aca="false">IFERROR(INDEX($A$1:$A$5,MATCH(5,$AF156:$AJ156,0)),IF(5=MAX($AF156:$AJ156)+1,"取消",""))</f>
        <v>取消</v>
      </c>
      <c r="AQ156" s="0" t="str">
        <f aca="false">IFERROR(INDEX($A$1:$A$5,MATCH(6,$AF156:$AJ156,0)),IF(6=MAX($AF156:$AJ156)+1,"取消",""))</f>
        <v/>
      </c>
      <c r="AS156" s="0" t="n">
        <f aca="false">IF(OR($A$1=公区维修!$F156,$A$1=公区维修!$G156,$BN$1=1),0,1-SUMPRODUCT(--(($A$1=公区维修!$F156)+($A$1=公区维修!$G156)+$BN$1&gt;0)))</f>
        <v>0</v>
      </c>
      <c r="AT156" s="0" t="n">
        <f aca="false">IF(OR($A$2=公区维修!$F156,$A$2=公区维修!$G156,$BN$2=1),0,2-SUMPRODUCT(--(($A$1:$A$2=公区维修!$F156)+($A$1:$A$2=公区维修!$G156)+$BN$1:$BN$2&gt;0)))</f>
        <v>1</v>
      </c>
      <c r="AU156" s="0" t="n">
        <f aca="false">IF(OR($A$3=公区维修!$F156,$A$3=公区维修!$G156,$BN$3=1),0,3-SUMPRODUCT(--(($A$1:$A$3=公区维修!$F156)+($A$1:$A$3=公区维修!$G156)+$BN$1:$BN$3&gt;0)))</f>
        <v>2</v>
      </c>
      <c r="AV156" s="0" t="n">
        <f aca="false">IF(OR($A$4=公区维修!$F156,$A$4=公区维修!$G156,$BN$4=1),0,4-SUMPRODUCT(--(($A$1:$A$4=公区维修!$F156)+($A$1:$A$4=公区维修!$G156)+$BN$1:$BN$4&gt;0)))</f>
        <v>3</v>
      </c>
      <c r="AW156" s="0" t="n">
        <f aca="false">IF(OR($A$5=公区维修!$F156,$A$5=公区维修!$G156,$BN$5=1),0,5-SUMPRODUCT(--(($A$1:$A$5=公区维修!$F156)+($A$1:$A$5=公区维修!$G156)+$BN$1:$BN$5&gt;0)))</f>
        <v>4</v>
      </c>
      <c r="AY156" s="0" t="str">
        <f aca="false">IFERROR(INDEX($A$1:$A$5,MATCH(1,$AS156:$AW156,0)),IF(1=MAX($AS156:$AW156)+1,"取消",""))</f>
        <v>李师傅</v>
      </c>
      <c r="AZ156" s="0" t="str">
        <f aca="false">IFERROR(INDEX($A$1:$A$5,MATCH(2,$AS156:$AW156,0)),IF(2=MAX($AS156:$AW156)+1,"取消",""))</f>
        <v>王师傅</v>
      </c>
      <c r="BA156" s="0" t="str">
        <f aca="false">IFERROR(INDEX($A$1:$A$5,MATCH(3,$AS156:$AW156,0)),IF(3=MAX($AS156:$AW156)+1,"取消",""))</f>
        <v>陈师傅</v>
      </c>
      <c r="BB156" s="0" t="str">
        <f aca="false">IFERROR(INDEX($A$1:$A$5,MATCH(4,$AS156:$AW156,0)),IF(4=MAX($AS156:$AW156)+1,"取消",""))</f>
        <v>刘师傅</v>
      </c>
      <c r="BC156" s="0" t="str">
        <f aca="false">IFERROR(INDEX($A$1:$A$5,MATCH(5,$AS156:$AW156,0)),IF(5=MAX($AS156:$AW156)+1,"取消",""))</f>
        <v>取消</v>
      </c>
      <c r="BD156" s="0" t="str">
        <f aca="false">IFERROR(INDEX($A$1:$A$5,MATCH(6,$AS156:$AW156,0)),IF(6=MAX($AS156:$AW156)+1,"取消",""))</f>
        <v/>
      </c>
      <c r="FW156" s="0" t="str">
        <f aca="false">IF(AND(单元查询!$D$3&lt;&gt;"",IF(单元查询!$B$3="公区维修",公区维修!$E156&lt;&gt;"",入户维修!$E156&lt;&gt;""),IF(单元查询!$B$3="公区维修",公区维修!$C156,入户维修!$C156)=单元查询!$D$3,OR(单元查询!$F$3="",IF(单元查询!$B$3="公区维修",公区维修!$D156,入户维修!$D156)&amp;""=(单元查询!$F$3)&amp;"")),MAX($FW$4:$FW155)+1,"")</f>
        <v/>
      </c>
    </row>
    <row r="157" customFormat="false" ht="15" hidden="false" customHeight="true" outlineLevel="0" collapsed="false">
      <c r="F157" s="0" t="n">
        <f aca="false">IF(OR($A$1=入户维修!$F157,$BN$1=1),0,1-SUMPRODUCT(--(($A$1=入户维修!$F157)+$BN$1&gt;0)))</f>
        <v>0</v>
      </c>
      <c r="G157" s="0" t="n">
        <f aca="false">IF(OR($A$2=入户维修!$F157,$BN$2=1),0,2-SUMPRODUCT(--(($A$1:$A$2=入户维修!$F157)+$BN$1:$BN$2&gt;0)))</f>
        <v>1</v>
      </c>
      <c r="H157" s="0" t="n">
        <f aca="false">IF(OR($A$3=入户维修!$F157,$BN$3=1),0,3-SUMPRODUCT(--(($A$1:$A$3=入户维修!$F157)+$BN$1:$BN$3&gt;0)))</f>
        <v>2</v>
      </c>
      <c r="I157" s="0" t="n">
        <f aca="false">IF(OR($A$4=入户维修!$F157,$BN$4=1),0,4-SUMPRODUCT(--(($A$1:$A$4=入户维修!$F157)+$BN$1:$BN$4&gt;0)))</f>
        <v>3</v>
      </c>
      <c r="J157" s="0" t="n">
        <f aca="false">IF(OR($A$5=入户维修!$F157,$BN$5=1),0,5-SUMPRODUCT(--(($A$1:$A$5=入户维修!$F157)+$BN$1:$BN$5&gt;0)))</f>
        <v>4</v>
      </c>
      <c r="L157" s="0" t="str">
        <f aca="false">IFERROR(INDEX($A$1:$A$5,MATCH(1,$F157:$J157,0)),IF(1=MAX($F157:$J157)+1,"取消",""))</f>
        <v>李师傅</v>
      </c>
      <c r="M157" s="0" t="str">
        <f aca="false">IFERROR(INDEX($A$1:$A$5,MATCH(2,$F157:$J157,0)),IF(2=MAX($F157:$J157)+1,"取消",""))</f>
        <v>王师傅</v>
      </c>
      <c r="N157" s="0" t="str">
        <f aca="false">IFERROR(INDEX($A$1:$A$5,MATCH(3,$F157:$J157,0)),IF(3=MAX($F157:$J157)+1,"取消",""))</f>
        <v>陈师傅</v>
      </c>
      <c r="O157" s="0" t="str">
        <f aca="false">IFERROR(INDEX($A$1:$A$5,MATCH(4,$F157:$J157,0)),IF(4=MAX($F157:$J157)+1,"取消",""))</f>
        <v>刘师傅</v>
      </c>
      <c r="P157" s="0" t="str">
        <f aca="false">IFERROR(INDEX($A$1:$A$5,MATCH(5,$F157:$J157,0)),IF(5=MAX($F157:$J157)+1,"取消",""))</f>
        <v>取消</v>
      </c>
      <c r="Q157" s="0" t="str">
        <f aca="false">IFERROR(INDEX($A$1:$A$5,MATCH(6,$F157:$J157,0)),IF(6=MAX($F157:$J157)+1,"取消",""))</f>
        <v/>
      </c>
      <c r="S157" s="0" t="n">
        <f aca="false">IF(OR($A$1=入户维修!$F157,$A$1=入户维修!$G157,$BN$1=1),0,1-SUMPRODUCT(--(($A$1=入户维修!$F157)+($A$1=入户维修!$G157)+$BN$1&gt;0)))</f>
        <v>0</v>
      </c>
      <c r="T157" s="0" t="n">
        <f aca="false">IF(OR($A$2=入户维修!$F157,$A$2=入户维修!$G157,$BN$2=1),0,2-SUMPRODUCT(--(($A$1:$A$2=入户维修!$F157)+($A$1:$A$2=入户维修!$G157)+$BN$1:$BN$2&gt;0)))</f>
        <v>1</v>
      </c>
      <c r="U157" s="0" t="n">
        <f aca="false">IF(OR($A$3=入户维修!$F157,$A$3=入户维修!$G157,$BN$3=1),0,3-SUMPRODUCT(--(($A$1:$A$3=入户维修!$F157)+($A$1:$A$3=入户维修!$G157)+$BN$1:$BN$3&gt;0)))</f>
        <v>2</v>
      </c>
      <c r="V157" s="0" t="n">
        <f aca="false">IF(OR($A$4=入户维修!$F157,$A$4=入户维修!$G157,$BN$4=1),0,4-SUMPRODUCT(--(($A$1:$A$4=入户维修!$F157)+($A$1:$A$4=入户维修!$G157)+$BN$1:$BN$4&gt;0)))</f>
        <v>3</v>
      </c>
      <c r="W157" s="0" t="n">
        <f aca="false">IF(OR($A$5=入户维修!$F157,$A$5=入户维修!$G157,$BN$5=1),0,5-SUMPRODUCT(--(($A$1:$A$5=入户维修!$F157)+($A$1:$A$5=入户维修!$G157)+$BN$1:$BN$5&gt;0)))</f>
        <v>4</v>
      </c>
      <c r="Y157" s="0" t="str">
        <f aca="false">IFERROR(INDEX($A$1:$A$5,MATCH(1,$S157:$W157,0)),IF(1=MAX($S157:$W157)+1,"取消",""))</f>
        <v>李师傅</v>
      </c>
      <c r="Z157" s="0" t="str">
        <f aca="false">IFERROR(INDEX($A$1:$A$5,MATCH(2,$S157:$W157,0)),IF(2=MAX($S157:$W157)+1,"取消",""))</f>
        <v>王师傅</v>
      </c>
      <c r="AA157" s="0" t="str">
        <f aca="false">IFERROR(INDEX($A$1:$A$5,MATCH(3,$S157:$W157,0)),IF(3=MAX($S157:$W157)+1,"取消",""))</f>
        <v>陈师傅</v>
      </c>
      <c r="AB157" s="0" t="str">
        <f aca="false">IFERROR(INDEX($A$1:$A$5,MATCH(4,$S157:$W157,0)),IF(4=MAX($S157:$W157)+1,"取消",""))</f>
        <v>刘师傅</v>
      </c>
      <c r="AC157" s="0" t="str">
        <f aca="false">IFERROR(INDEX($A$1:$A$5,MATCH(5,$S157:$W157,0)),IF(5=MAX($S157:$W157)+1,"取消",""))</f>
        <v>取消</v>
      </c>
      <c r="AD157" s="0" t="str">
        <f aca="false">IFERROR(INDEX($A$1:$A$5,MATCH(6,$S157:$W157,0)),IF(6=MAX($S157:$W157)+1,"取消",""))</f>
        <v/>
      </c>
      <c r="AF157" s="0" t="n">
        <f aca="false">IF(OR($A$1=公区维修!$F157,$BN$1=1),0,1-SUMPRODUCT(--(($A$1=公区维修!$F157)+$BN$1&gt;0)))</f>
        <v>0</v>
      </c>
      <c r="AG157" s="0" t="n">
        <f aca="false">IF(OR($A$2=公区维修!$F157,$BN$2=1),0,2-SUMPRODUCT(--(($A$1:$A$2=公区维修!$F157)+$BN$1:$BN$2&gt;0)))</f>
        <v>1</v>
      </c>
      <c r="AH157" s="0" t="n">
        <f aca="false">IF(OR($A$3=公区维修!$F157,$BN$3=1),0,3-SUMPRODUCT(--(($A$1:$A$3=公区维修!$F157)+$BN$1:$BN$3&gt;0)))</f>
        <v>2</v>
      </c>
      <c r="AI157" s="0" t="n">
        <f aca="false">IF(OR($A$4=公区维修!$F157,$BN$4=1),0,4-SUMPRODUCT(--(($A$1:$A$4=公区维修!$F157)+$BN$1:$BN$4&gt;0)))</f>
        <v>3</v>
      </c>
      <c r="AJ157" s="0" t="n">
        <f aca="false">IF(OR($A$5=公区维修!$F157,$BN$5=1),0,5-SUMPRODUCT(--(($A$1:$A$5=公区维修!$F157)+$BN$1:$BN$5&gt;0)))</f>
        <v>4</v>
      </c>
      <c r="AL157" s="0" t="str">
        <f aca="false">IFERROR(INDEX($A$1:$A$5,MATCH(1,$AF157:$AJ157,0)),IF(1=MAX($AF157:$AJ157)+1,"取消",""))</f>
        <v>李师傅</v>
      </c>
      <c r="AM157" s="0" t="str">
        <f aca="false">IFERROR(INDEX($A$1:$A$5,MATCH(2,$AF157:$AJ157,0)),IF(2=MAX($AF157:$AJ157)+1,"取消",""))</f>
        <v>王师傅</v>
      </c>
      <c r="AN157" s="0" t="str">
        <f aca="false">IFERROR(INDEX($A$1:$A$5,MATCH(3,$AF157:$AJ157,0)),IF(3=MAX($AF157:$AJ157)+1,"取消",""))</f>
        <v>陈师傅</v>
      </c>
      <c r="AO157" s="0" t="str">
        <f aca="false">IFERROR(INDEX($A$1:$A$5,MATCH(4,$AF157:$AJ157,0)),IF(4=MAX($AF157:$AJ157)+1,"取消",""))</f>
        <v>刘师傅</v>
      </c>
      <c r="AP157" s="0" t="str">
        <f aca="false">IFERROR(INDEX($A$1:$A$5,MATCH(5,$AF157:$AJ157,0)),IF(5=MAX($AF157:$AJ157)+1,"取消",""))</f>
        <v>取消</v>
      </c>
      <c r="AQ157" s="0" t="str">
        <f aca="false">IFERROR(INDEX($A$1:$A$5,MATCH(6,$AF157:$AJ157,0)),IF(6=MAX($AF157:$AJ157)+1,"取消",""))</f>
        <v/>
      </c>
      <c r="AS157" s="0" t="n">
        <f aca="false">IF(OR($A$1=公区维修!$F157,$A$1=公区维修!$G157,$BN$1=1),0,1-SUMPRODUCT(--(($A$1=公区维修!$F157)+($A$1=公区维修!$G157)+$BN$1&gt;0)))</f>
        <v>0</v>
      </c>
      <c r="AT157" s="0" t="n">
        <f aca="false">IF(OR($A$2=公区维修!$F157,$A$2=公区维修!$G157,$BN$2=1),0,2-SUMPRODUCT(--(($A$1:$A$2=公区维修!$F157)+($A$1:$A$2=公区维修!$G157)+$BN$1:$BN$2&gt;0)))</f>
        <v>1</v>
      </c>
      <c r="AU157" s="0" t="n">
        <f aca="false">IF(OR($A$3=公区维修!$F157,$A$3=公区维修!$G157,$BN$3=1),0,3-SUMPRODUCT(--(($A$1:$A$3=公区维修!$F157)+($A$1:$A$3=公区维修!$G157)+$BN$1:$BN$3&gt;0)))</f>
        <v>2</v>
      </c>
      <c r="AV157" s="0" t="n">
        <f aca="false">IF(OR($A$4=公区维修!$F157,$A$4=公区维修!$G157,$BN$4=1),0,4-SUMPRODUCT(--(($A$1:$A$4=公区维修!$F157)+($A$1:$A$4=公区维修!$G157)+$BN$1:$BN$4&gt;0)))</f>
        <v>3</v>
      </c>
      <c r="AW157" s="0" t="n">
        <f aca="false">IF(OR($A$5=公区维修!$F157,$A$5=公区维修!$G157,$BN$5=1),0,5-SUMPRODUCT(--(($A$1:$A$5=公区维修!$F157)+($A$1:$A$5=公区维修!$G157)+$BN$1:$BN$5&gt;0)))</f>
        <v>4</v>
      </c>
      <c r="AY157" s="0" t="str">
        <f aca="false">IFERROR(INDEX($A$1:$A$5,MATCH(1,$AS157:$AW157,0)),IF(1=MAX($AS157:$AW157)+1,"取消",""))</f>
        <v>李师傅</v>
      </c>
      <c r="AZ157" s="0" t="str">
        <f aca="false">IFERROR(INDEX($A$1:$A$5,MATCH(2,$AS157:$AW157,0)),IF(2=MAX($AS157:$AW157)+1,"取消",""))</f>
        <v>王师傅</v>
      </c>
      <c r="BA157" s="0" t="str">
        <f aca="false">IFERROR(INDEX($A$1:$A$5,MATCH(3,$AS157:$AW157,0)),IF(3=MAX($AS157:$AW157)+1,"取消",""))</f>
        <v>陈师傅</v>
      </c>
      <c r="BB157" s="0" t="str">
        <f aca="false">IFERROR(INDEX($A$1:$A$5,MATCH(4,$AS157:$AW157,0)),IF(4=MAX($AS157:$AW157)+1,"取消",""))</f>
        <v>刘师傅</v>
      </c>
      <c r="BC157" s="0" t="str">
        <f aca="false">IFERROR(INDEX($A$1:$A$5,MATCH(5,$AS157:$AW157,0)),IF(5=MAX($AS157:$AW157)+1,"取消",""))</f>
        <v>取消</v>
      </c>
      <c r="BD157" s="0" t="str">
        <f aca="false">IFERROR(INDEX($A$1:$A$5,MATCH(6,$AS157:$AW157,0)),IF(6=MAX($AS157:$AW157)+1,"取消",""))</f>
        <v/>
      </c>
      <c r="FW157" s="0" t="str">
        <f aca="false">IF(AND(单元查询!$D$3&lt;&gt;"",IF(单元查询!$B$3="公区维修",公区维修!$E157&lt;&gt;"",入户维修!$E157&lt;&gt;""),IF(单元查询!$B$3="公区维修",公区维修!$C157,入户维修!$C157)=单元查询!$D$3,OR(单元查询!$F$3="",IF(单元查询!$B$3="公区维修",公区维修!$D157,入户维修!$D157)&amp;""=(单元查询!$F$3)&amp;"")),MAX($FW$4:$FW156)+1,"")</f>
        <v/>
      </c>
    </row>
    <row r="158" customFormat="false" ht="15" hidden="false" customHeight="true" outlineLevel="0" collapsed="false">
      <c r="F158" s="0" t="n">
        <f aca="false">IF(OR($A$1=入户维修!$F158,$BN$1=1),0,1-SUMPRODUCT(--(($A$1=入户维修!$F158)+$BN$1&gt;0)))</f>
        <v>0</v>
      </c>
      <c r="G158" s="0" t="n">
        <f aca="false">IF(OR($A$2=入户维修!$F158,$BN$2=1),0,2-SUMPRODUCT(--(($A$1:$A$2=入户维修!$F158)+$BN$1:$BN$2&gt;0)))</f>
        <v>1</v>
      </c>
      <c r="H158" s="0" t="n">
        <f aca="false">IF(OR($A$3=入户维修!$F158,$BN$3=1),0,3-SUMPRODUCT(--(($A$1:$A$3=入户维修!$F158)+$BN$1:$BN$3&gt;0)))</f>
        <v>2</v>
      </c>
      <c r="I158" s="0" t="n">
        <f aca="false">IF(OR($A$4=入户维修!$F158,$BN$4=1),0,4-SUMPRODUCT(--(($A$1:$A$4=入户维修!$F158)+$BN$1:$BN$4&gt;0)))</f>
        <v>3</v>
      </c>
      <c r="J158" s="0" t="n">
        <f aca="false">IF(OR($A$5=入户维修!$F158,$BN$5=1),0,5-SUMPRODUCT(--(($A$1:$A$5=入户维修!$F158)+$BN$1:$BN$5&gt;0)))</f>
        <v>4</v>
      </c>
      <c r="L158" s="0" t="str">
        <f aca="false">IFERROR(INDEX($A$1:$A$5,MATCH(1,$F158:$J158,0)),IF(1=MAX($F158:$J158)+1,"取消",""))</f>
        <v>李师傅</v>
      </c>
      <c r="M158" s="0" t="str">
        <f aca="false">IFERROR(INDEX($A$1:$A$5,MATCH(2,$F158:$J158,0)),IF(2=MAX($F158:$J158)+1,"取消",""))</f>
        <v>王师傅</v>
      </c>
      <c r="N158" s="0" t="str">
        <f aca="false">IFERROR(INDEX($A$1:$A$5,MATCH(3,$F158:$J158,0)),IF(3=MAX($F158:$J158)+1,"取消",""))</f>
        <v>陈师傅</v>
      </c>
      <c r="O158" s="0" t="str">
        <f aca="false">IFERROR(INDEX($A$1:$A$5,MATCH(4,$F158:$J158,0)),IF(4=MAX($F158:$J158)+1,"取消",""))</f>
        <v>刘师傅</v>
      </c>
      <c r="P158" s="0" t="str">
        <f aca="false">IFERROR(INDEX($A$1:$A$5,MATCH(5,$F158:$J158,0)),IF(5=MAX($F158:$J158)+1,"取消",""))</f>
        <v>取消</v>
      </c>
      <c r="Q158" s="0" t="str">
        <f aca="false">IFERROR(INDEX($A$1:$A$5,MATCH(6,$F158:$J158,0)),IF(6=MAX($F158:$J158)+1,"取消",""))</f>
        <v/>
      </c>
      <c r="S158" s="0" t="n">
        <f aca="false">IF(OR($A$1=入户维修!$F158,$A$1=入户维修!$G158,$BN$1=1),0,1-SUMPRODUCT(--(($A$1=入户维修!$F158)+($A$1=入户维修!$G158)+$BN$1&gt;0)))</f>
        <v>0</v>
      </c>
      <c r="T158" s="0" t="n">
        <f aca="false">IF(OR($A$2=入户维修!$F158,$A$2=入户维修!$G158,$BN$2=1),0,2-SUMPRODUCT(--(($A$1:$A$2=入户维修!$F158)+($A$1:$A$2=入户维修!$G158)+$BN$1:$BN$2&gt;0)))</f>
        <v>1</v>
      </c>
      <c r="U158" s="0" t="n">
        <f aca="false">IF(OR($A$3=入户维修!$F158,$A$3=入户维修!$G158,$BN$3=1),0,3-SUMPRODUCT(--(($A$1:$A$3=入户维修!$F158)+($A$1:$A$3=入户维修!$G158)+$BN$1:$BN$3&gt;0)))</f>
        <v>2</v>
      </c>
      <c r="V158" s="0" t="n">
        <f aca="false">IF(OR($A$4=入户维修!$F158,$A$4=入户维修!$G158,$BN$4=1),0,4-SUMPRODUCT(--(($A$1:$A$4=入户维修!$F158)+($A$1:$A$4=入户维修!$G158)+$BN$1:$BN$4&gt;0)))</f>
        <v>3</v>
      </c>
      <c r="W158" s="0" t="n">
        <f aca="false">IF(OR($A$5=入户维修!$F158,$A$5=入户维修!$G158,$BN$5=1),0,5-SUMPRODUCT(--(($A$1:$A$5=入户维修!$F158)+($A$1:$A$5=入户维修!$G158)+$BN$1:$BN$5&gt;0)))</f>
        <v>4</v>
      </c>
      <c r="Y158" s="0" t="str">
        <f aca="false">IFERROR(INDEX($A$1:$A$5,MATCH(1,$S158:$W158,0)),IF(1=MAX($S158:$W158)+1,"取消",""))</f>
        <v>李师傅</v>
      </c>
      <c r="Z158" s="0" t="str">
        <f aca="false">IFERROR(INDEX($A$1:$A$5,MATCH(2,$S158:$W158,0)),IF(2=MAX($S158:$W158)+1,"取消",""))</f>
        <v>王师傅</v>
      </c>
      <c r="AA158" s="0" t="str">
        <f aca="false">IFERROR(INDEX($A$1:$A$5,MATCH(3,$S158:$W158,0)),IF(3=MAX($S158:$W158)+1,"取消",""))</f>
        <v>陈师傅</v>
      </c>
      <c r="AB158" s="0" t="str">
        <f aca="false">IFERROR(INDEX($A$1:$A$5,MATCH(4,$S158:$W158,0)),IF(4=MAX($S158:$W158)+1,"取消",""))</f>
        <v>刘师傅</v>
      </c>
      <c r="AC158" s="0" t="str">
        <f aca="false">IFERROR(INDEX($A$1:$A$5,MATCH(5,$S158:$W158,0)),IF(5=MAX($S158:$W158)+1,"取消",""))</f>
        <v>取消</v>
      </c>
      <c r="AD158" s="0" t="str">
        <f aca="false">IFERROR(INDEX($A$1:$A$5,MATCH(6,$S158:$W158,0)),IF(6=MAX($S158:$W158)+1,"取消",""))</f>
        <v/>
      </c>
      <c r="AF158" s="0" t="n">
        <f aca="false">IF(OR($A$1=公区维修!$F158,$BN$1=1),0,1-SUMPRODUCT(--(($A$1=公区维修!$F158)+$BN$1&gt;0)))</f>
        <v>0</v>
      </c>
      <c r="AG158" s="0" t="n">
        <f aca="false">IF(OR($A$2=公区维修!$F158,$BN$2=1),0,2-SUMPRODUCT(--(($A$1:$A$2=公区维修!$F158)+$BN$1:$BN$2&gt;0)))</f>
        <v>1</v>
      </c>
      <c r="AH158" s="0" t="n">
        <f aca="false">IF(OR($A$3=公区维修!$F158,$BN$3=1),0,3-SUMPRODUCT(--(($A$1:$A$3=公区维修!$F158)+$BN$1:$BN$3&gt;0)))</f>
        <v>2</v>
      </c>
      <c r="AI158" s="0" t="n">
        <f aca="false">IF(OR($A$4=公区维修!$F158,$BN$4=1),0,4-SUMPRODUCT(--(($A$1:$A$4=公区维修!$F158)+$BN$1:$BN$4&gt;0)))</f>
        <v>3</v>
      </c>
      <c r="AJ158" s="0" t="n">
        <f aca="false">IF(OR($A$5=公区维修!$F158,$BN$5=1),0,5-SUMPRODUCT(--(($A$1:$A$5=公区维修!$F158)+$BN$1:$BN$5&gt;0)))</f>
        <v>4</v>
      </c>
      <c r="AL158" s="0" t="str">
        <f aca="false">IFERROR(INDEX($A$1:$A$5,MATCH(1,$AF158:$AJ158,0)),IF(1=MAX($AF158:$AJ158)+1,"取消",""))</f>
        <v>李师傅</v>
      </c>
      <c r="AM158" s="0" t="str">
        <f aca="false">IFERROR(INDEX($A$1:$A$5,MATCH(2,$AF158:$AJ158,0)),IF(2=MAX($AF158:$AJ158)+1,"取消",""))</f>
        <v>王师傅</v>
      </c>
      <c r="AN158" s="0" t="str">
        <f aca="false">IFERROR(INDEX($A$1:$A$5,MATCH(3,$AF158:$AJ158,0)),IF(3=MAX($AF158:$AJ158)+1,"取消",""))</f>
        <v>陈师傅</v>
      </c>
      <c r="AO158" s="0" t="str">
        <f aca="false">IFERROR(INDEX($A$1:$A$5,MATCH(4,$AF158:$AJ158,0)),IF(4=MAX($AF158:$AJ158)+1,"取消",""))</f>
        <v>刘师傅</v>
      </c>
      <c r="AP158" s="0" t="str">
        <f aca="false">IFERROR(INDEX($A$1:$A$5,MATCH(5,$AF158:$AJ158,0)),IF(5=MAX($AF158:$AJ158)+1,"取消",""))</f>
        <v>取消</v>
      </c>
      <c r="AQ158" s="0" t="str">
        <f aca="false">IFERROR(INDEX($A$1:$A$5,MATCH(6,$AF158:$AJ158,0)),IF(6=MAX($AF158:$AJ158)+1,"取消",""))</f>
        <v/>
      </c>
      <c r="AS158" s="0" t="n">
        <f aca="false">IF(OR($A$1=公区维修!$F158,$A$1=公区维修!$G158,$BN$1=1),0,1-SUMPRODUCT(--(($A$1=公区维修!$F158)+($A$1=公区维修!$G158)+$BN$1&gt;0)))</f>
        <v>0</v>
      </c>
      <c r="AT158" s="0" t="n">
        <f aca="false">IF(OR($A$2=公区维修!$F158,$A$2=公区维修!$G158,$BN$2=1),0,2-SUMPRODUCT(--(($A$1:$A$2=公区维修!$F158)+($A$1:$A$2=公区维修!$G158)+$BN$1:$BN$2&gt;0)))</f>
        <v>1</v>
      </c>
      <c r="AU158" s="0" t="n">
        <f aca="false">IF(OR($A$3=公区维修!$F158,$A$3=公区维修!$G158,$BN$3=1),0,3-SUMPRODUCT(--(($A$1:$A$3=公区维修!$F158)+($A$1:$A$3=公区维修!$G158)+$BN$1:$BN$3&gt;0)))</f>
        <v>2</v>
      </c>
      <c r="AV158" s="0" t="n">
        <f aca="false">IF(OR($A$4=公区维修!$F158,$A$4=公区维修!$G158,$BN$4=1),0,4-SUMPRODUCT(--(($A$1:$A$4=公区维修!$F158)+($A$1:$A$4=公区维修!$G158)+$BN$1:$BN$4&gt;0)))</f>
        <v>3</v>
      </c>
      <c r="AW158" s="0" t="n">
        <f aca="false">IF(OR($A$5=公区维修!$F158,$A$5=公区维修!$G158,$BN$5=1),0,5-SUMPRODUCT(--(($A$1:$A$5=公区维修!$F158)+($A$1:$A$5=公区维修!$G158)+$BN$1:$BN$5&gt;0)))</f>
        <v>4</v>
      </c>
      <c r="AY158" s="0" t="str">
        <f aca="false">IFERROR(INDEX($A$1:$A$5,MATCH(1,$AS158:$AW158,0)),IF(1=MAX($AS158:$AW158)+1,"取消",""))</f>
        <v>李师傅</v>
      </c>
      <c r="AZ158" s="0" t="str">
        <f aca="false">IFERROR(INDEX($A$1:$A$5,MATCH(2,$AS158:$AW158,0)),IF(2=MAX($AS158:$AW158)+1,"取消",""))</f>
        <v>王师傅</v>
      </c>
      <c r="BA158" s="0" t="str">
        <f aca="false">IFERROR(INDEX($A$1:$A$5,MATCH(3,$AS158:$AW158,0)),IF(3=MAX($AS158:$AW158)+1,"取消",""))</f>
        <v>陈师傅</v>
      </c>
      <c r="BB158" s="0" t="str">
        <f aca="false">IFERROR(INDEX($A$1:$A$5,MATCH(4,$AS158:$AW158,0)),IF(4=MAX($AS158:$AW158)+1,"取消",""))</f>
        <v>刘师傅</v>
      </c>
      <c r="BC158" s="0" t="str">
        <f aca="false">IFERROR(INDEX($A$1:$A$5,MATCH(5,$AS158:$AW158,0)),IF(5=MAX($AS158:$AW158)+1,"取消",""))</f>
        <v>取消</v>
      </c>
      <c r="BD158" s="0" t="str">
        <f aca="false">IFERROR(INDEX($A$1:$A$5,MATCH(6,$AS158:$AW158,0)),IF(6=MAX($AS158:$AW158)+1,"取消",""))</f>
        <v/>
      </c>
      <c r="FW158" s="0" t="str">
        <f aca="false">IF(AND(单元查询!$D$3&lt;&gt;"",IF(单元查询!$B$3="公区维修",公区维修!$E158&lt;&gt;"",入户维修!$E158&lt;&gt;""),IF(单元查询!$B$3="公区维修",公区维修!$C158,入户维修!$C158)=单元查询!$D$3,OR(单元查询!$F$3="",IF(单元查询!$B$3="公区维修",公区维修!$D158,入户维修!$D158)&amp;""=(单元查询!$F$3)&amp;"")),MAX($FW$4:$FW157)+1,"")</f>
        <v/>
      </c>
    </row>
    <row r="159" customFormat="false" ht="15" hidden="false" customHeight="true" outlineLevel="0" collapsed="false">
      <c r="F159" s="0" t="n">
        <f aca="false">IF(OR($A$1=入户维修!$F159,$BN$1=1),0,1-SUMPRODUCT(--(($A$1=入户维修!$F159)+$BN$1&gt;0)))</f>
        <v>0</v>
      </c>
      <c r="G159" s="0" t="n">
        <f aca="false">IF(OR($A$2=入户维修!$F159,$BN$2=1),0,2-SUMPRODUCT(--(($A$1:$A$2=入户维修!$F159)+$BN$1:$BN$2&gt;0)))</f>
        <v>1</v>
      </c>
      <c r="H159" s="0" t="n">
        <f aca="false">IF(OR($A$3=入户维修!$F159,$BN$3=1),0,3-SUMPRODUCT(--(($A$1:$A$3=入户维修!$F159)+$BN$1:$BN$3&gt;0)))</f>
        <v>2</v>
      </c>
      <c r="I159" s="0" t="n">
        <f aca="false">IF(OR($A$4=入户维修!$F159,$BN$4=1),0,4-SUMPRODUCT(--(($A$1:$A$4=入户维修!$F159)+$BN$1:$BN$4&gt;0)))</f>
        <v>3</v>
      </c>
      <c r="J159" s="0" t="n">
        <f aca="false">IF(OR($A$5=入户维修!$F159,$BN$5=1),0,5-SUMPRODUCT(--(($A$1:$A$5=入户维修!$F159)+$BN$1:$BN$5&gt;0)))</f>
        <v>4</v>
      </c>
      <c r="L159" s="0" t="str">
        <f aca="false">IFERROR(INDEX($A$1:$A$5,MATCH(1,$F159:$J159,0)),IF(1=MAX($F159:$J159)+1,"取消",""))</f>
        <v>李师傅</v>
      </c>
      <c r="M159" s="0" t="str">
        <f aca="false">IFERROR(INDEX($A$1:$A$5,MATCH(2,$F159:$J159,0)),IF(2=MAX($F159:$J159)+1,"取消",""))</f>
        <v>王师傅</v>
      </c>
      <c r="N159" s="0" t="str">
        <f aca="false">IFERROR(INDEX($A$1:$A$5,MATCH(3,$F159:$J159,0)),IF(3=MAX($F159:$J159)+1,"取消",""))</f>
        <v>陈师傅</v>
      </c>
      <c r="O159" s="0" t="str">
        <f aca="false">IFERROR(INDEX($A$1:$A$5,MATCH(4,$F159:$J159,0)),IF(4=MAX($F159:$J159)+1,"取消",""))</f>
        <v>刘师傅</v>
      </c>
      <c r="P159" s="0" t="str">
        <f aca="false">IFERROR(INDEX($A$1:$A$5,MATCH(5,$F159:$J159,0)),IF(5=MAX($F159:$J159)+1,"取消",""))</f>
        <v>取消</v>
      </c>
      <c r="Q159" s="0" t="str">
        <f aca="false">IFERROR(INDEX($A$1:$A$5,MATCH(6,$F159:$J159,0)),IF(6=MAX($F159:$J159)+1,"取消",""))</f>
        <v/>
      </c>
      <c r="S159" s="0" t="n">
        <f aca="false">IF(OR($A$1=入户维修!$F159,$A$1=入户维修!$G159,$BN$1=1),0,1-SUMPRODUCT(--(($A$1=入户维修!$F159)+($A$1=入户维修!$G159)+$BN$1&gt;0)))</f>
        <v>0</v>
      </c>
      <c r="T159" s="0" t="n">
        <f aca="false">IF(OR($A$2=入户维修!$F159,$A$2=入户维修!$G159,$BN$2=1),0,2-SUMPRODUCT(--(($A$1:$A$2=入户维修!$F159)+($A$1:$A$2=入户维修!$G159)+$BN$1:$BN$2&gt;0)))</f>
        <v>1</v>
      </c>
      <c r="U159" s="0" t="n">
        <f aca="false">IF(OR($A$3=入户维修!$F159,$A$3=入户维修!$G159,$BN$3=1),0,3-SUMPRODUCT(--(($A$1:$A$3=入户维修!$F159)+($A$1:$A$3=入户维修!$G159)+$BN$1:$BN$3&gt;0)))</f>
        <v>2</v>
      </c>
      <c r="V159" s="0" t="n">
        <f aca="false">IF(OR($A$4=入户维修!$F159,$A$4=入户维修!$G159,$BN$4=1),0,4-SUMPRODUCT(--(($A$1:$A$4=入户维修!$F159)+($A$1:$A$4=入户维修!$G159)+$BN$1:$BN$4&gt;0)))</f>
        <v>3</v>
      </c>
      <c r="W159" s="0" t="n">
        <f aca="false">IF(OR($A$5=入户维修!$F159,$A$5=入户维修!$G159,$BN$5=1),0,5-SUMPRODUCT(--(($A$1:$A$5=入户维修!$F159)+($A$1:$A$5=入户维修!$G159)+$BN$1:$BN$5&gt;0)))</f>
        <v>4</v>
      </c>
      <c r="Y159" s="0" t="str">
        <f aca="false">IFERROR(INDEX($A$1:$A$5,MATCH(1,$S159:$W159,0)),IF(1=MAX($S159:$W159)+1,"取消",""))</f>
        <v>李师傅</v>
      </c>
      <c r="Z159" s="0" t="str">
        <f aca="false">IFERROR(INDEX($A$1:$A$5,MATCH(2,$S159:$W159,0)),IF(2=MAX($S159:$W159)+1,"取消",""))</f>
        <v>王师傅</v>
      </c>
      <c r="AA159" s="0" t="str">
        <f aca="false">IFERROR(INDEX($A$1:$A$5,MATCH(3,$S159:$W159,0)),IF(3=MAX($S159:$W159)+1,"取消",""))</f>
        <v>陈师傅</v>
      </c>
      <c r="AB159" s="0" t="str">
        <f aca="false">IFERROR(INDEX($A$1:$A$5,MATCH(4,$S159:$W159,0)),IF(4=MAX($S159:$W159)+1,"取消",""))</f>
        <v>刘师傅</v>
      </c>
      <c r="AC159" s="0" t="str">
        <f aca="false">IFERROR(INDEX($A$1:$A$5,MATCH(5,$S159:$W159,0)),IF(5=MAX($S159:$W159)+1,"取消",""))</f>
        <v>取消</v>
      </c>
      <c r="AD159" s="0" t="str">
        <f aca="false">IFERROR(INDEX($A$1:$A$5,MATCH(6,$S159:$W159,0)),IF(6=MAX($S159:$W159)+1,"取消",""))</f>
        <v/>
      </c>
      <c r="AF159" s="0" t="n">
        <f aca="false">IF(OR($A$1=公区维修!$F159,$BN$1=1),0,1-SUMPRODUCT(--(($A$1=公区维修!$F159)+$BN$1&gt;0)))</f>
        <v>0</v>
      </c>
      <c r="AG159" s="0" t="n">
        <f aca="false">IF(OR($A$2=公区维修!$F159,$BN$2=1),0,2-SUMPRODUCT(--(($A$1:$A$2=公区维修!$F159)+$BN$1:$BN$2&gt;0)))</f>
        <v>1</v>
      </c>
      <c r="AH159" s="0" t="n">
        <f aca="false">IF(OR($A$3=公区维修!$F159,$BN$3=1),0,3-SUMPRODUCT(--(($A$1:$A$3=公区维修!$F159)+$BN$1:$BN$3&gt;0)))</f>
        <v>2</v>
      </c>
      <c r="AI159" s="0" t="n">
        <f aca="false">IF(OR($A$4=公区维修!$F159,$BN$4=1),0,4-SUMPRODUCT(--(($A$1:$A$4=公区维修!$F159)+$BN$1:$BN$4&gt;0)))</f>
        <v>3</v>
      </c>
      <c r="AJ159" s="0" t="n">
        <f aca="false">IF(OR($A$5=公区维修!$F159,$BN$5=1),0,5-SUMPRODUCT(--(($A$1:$A$5=公区维修!$F159)+$BN$1:$BN$5&gt;0)))</f>
        <v>4</v>
      </c>
      <c r="AL159" s="0" t="str">
        <f aca="false">IFERROR(INDEX($A$1:$A$5,MATCH(1,$AF159:$AJ159,0)),IF(1=MAX($AF159:$AJ159)+1,"取消",""))</f>
        <v>李师傅</v>
      </c>
      <c r="AM159" s="0" t="str">
        <f aca="false">IFERROR(INDEX($A$1:$A$5,MATCH(2,$AF159:$AJ159,0)),IF(2=MAX($AF159:$AJ159)+1,"取消",""))</f>
        <v>王师傅</v>
      </c>
      <c r="AN159" s="0" t="str">
        <f aca="false">IFERROR(INDEX($A$1:$A$5,MATCH(3,$AF159:$AJ159,0)),IF(3=MAX($AF159:$AJ159)+1,"取消",""))</f>
        <v>陈师傅</v>
      </c>
      <c r="AO159" s="0" t="str">
        <f aca="false">IFERROR(INDEX($A$1:$A$5,MATCH(4,$AF159:$AJ159,0)),IF(4=MAX($AF159:$AJ159)+1,"取消",""))</f>
        <v>刘师傅</v>
      </c>
      <c r="AP159" s="0" t="str">
        <f aca="false">IFERROR(INDEX($A$1:$A$5,MATCH(5,$AF159:$AJ159,0)),IF(5=MAX($AF159:$AJ159)+1,"取消",""))</f>
        <v>取消</v>
      </c>
      <c r="AQ159" s="0" t="str">
        <f aca="false">IFERROR(INDEX($A$1:$A$5,MATCH(6,$AF159:$AJ159,0)),IF(6=MAX($AF159:$AJ159)+1,"取消",""))</f>
        <v/>
      </c>
      <c r="AS159" s="0" t="n">
        <f aca="false">IF(OR($A$1=公区维修!$F159,$A$1=公区维修!$G159,$BN$1=1),0,1-SUMPRODUCT(--(($A$1=公区维修!$F159)+($A$1=公区维修!$G159)+$BN$1&gt;0)))</f>
        <v>0</v>
      </c>
      <c r="AT159" s="0" t="n">
        <f aca="false">IF(OR($A$2=公区维修!$F159,$A$2=公区维修!$G159,$BN$2=1),0,2-SUMPRODUCT(--(($A$1:$A$2=公区维修!$F159)+($A$1:$A$2=公区维修!$G159)+$BN$1:$BN$2&gt;0)))</f>
        <v>1</v>
      </c>
      <c r="AU159" s="0" t="n">
        <f aca="false">IF(OR($A$3=公区维修!$F159,$A$3=公区维修!$G159,$BN$3=1),0,3-SUMPRODUCT(--(($A$1:$A$3=公区维修!$F159)+($A$1:$A$3=公区维修!$G159)+$BN$1:$BN$3&gt;0)))</f>
        <v>2</v>
      </c>
      <c r="AV159" s="0" t="n">
        <f aca="false">IF(OR($A$4=公区维修!$F159,$A$4=公区维修!$G159,$BN$4=1),0,4-SUMPRODUCT(--(($A$1:$A$4=公区维修!$F159)+($A$1:$A$4=公区维修!$G159)+$BN$1:$BN$4&gt;0)))</f>
        <v>3</v>
      </c>
      <c r="AW159" s="0" t="n">
        <f aca="false">IF(OR($A$5=公区维修!$F159,$A$5=公区维修!$G159,$BN$5=1),0,5-SUMPRODUCT(--(($A$1:$A$5=公区维修!$F159)+($A$1:$A$5=公区维修!$G159)+$BN$1:$BN$5&gt;0)))</f>
        <v>4</v>
      </c>
      <c r="AY159" s="0" t="str">
        <f aca="false">IFERROR(INDEX($A$1:$A$5,MATCH(1,$AS159:$AW159,0)),IF(1=MAX($AS159:$AW159)+1,"取消",""))</f>
        <v>李师傅</v>
      </c>
      <c r="AZ159" s="0" t="str">
        <f aca="false">IFERROR(INDEX($A$1:$A$5,MATCH(2,$AS159:$AW159,0)),IF(2=MAX($AS159:$AW159)+1,"取消",""))</f>
        <v>王师傅</v>
      </c>
      <c r="BA159" s="0" t="str">
        <f aca="false">IFERROR(INDEX($A$1:$A$5,MATCH(3,$AS159:$AW159,0)),IF(3=MAX($AS159:$AW159)+1,"取消",""))</f>
        <v>陈师傅</v>
      </c>
      <c r="BB159" s="0" t="str">
        <f aca="false">IFERROR(INDEX($A$1:$A$5,MATCH(4,$AS159:$AW159,0)),IF(4=MAX($AS159:$AW159)+1,"取消",""))</f>
        <v>刘师傅</v>
      </c>
      <c r="BC159" s="0" t="str">
        <f aca="false">IFERROR(INDEX($A$1:$A$5,MATCH(5,$AS159:$AW159,0)),IF(5=MAX($AS159:$AW159)+1,"取消",""))</f>
        <v>取消</v>
      </c>
      <c r="BD159" s="0" t="str">
        <f aca="false">IFERROR(INDEX($A$1:$A$5,MATCH(6,$AS159:$AW159,0)),IF(6=MAX($AS159:$AW159)+1,"取消",""))</f>
        <v/>
      </c>
      <c r="FW159" s="0" t="str">
        <f aca="false">IF(AND(单元查询!$D$3&lt;&gt;"",IF(单元查询!$B$3="公区维修",公区维修!$E159&lt;&gt;"",入户维修!$E159&lt;&gt;""),IF(单元查询!$B$3="公区维修",公区维修!$C159,入户维修!$C159)=单元查询!$D$3,OR(单元查询!$F$3="",IF(单元查询!$B$3="公区维修",公区维修!$D159,入户维修!$D159)&amp;""=(单元查询!$F$3)&amp;"")),MAX($FW$4:$FW158)+1,"")</f>
        <v/>
      </c>
    </row>
    <row r="160" customFormat="false" ht="15" hidden="false" customHeight="true" outlineLevel="0" collapsed="false">
      <c r="F160" s="0" t="n">
        <f aca="false">IF(OR($A$1=入户维修!$F160,$BN$1=1),0,1-SUMPRODUCT(--(($A$1=入户维修!$F160)+$BN$1&gt;0)))</f>
        <v>0</v>
      </c>
      <c r="G160" s="0" t="n">
        <f aca="false">IF(OR($A$2=入户维修!$F160,$BN$2=1),0,2-SUMPRODUCT(--(($A$1:$A$2=入户维修!$F160)+$BN$1:$BN$2&gt;0)))</f>
        <v>1</v>
      </c>
      <c r="H160" s="0" t="n">
        <f aca="false">IF(OR($A$3=入户维修!$F160,$BN$3=1),0,3-SUMPRODUCT(--(($A$1:$A$3=入户维修!$F160)+$BN$1:$BN$3&gt;0)))</f>
        <v>2</v>
      </c>
      <c r="I160" s="0" t="n">
        <f aca="false">IF(OR($A$4=入户维修!$F160,$BN$4=1),0,4-SUMPRODUCT(--(($A$1:$A$4=入户维修!$F160)+$BN$1:$BN$4&gt;0)))</f>
        <v>3</v>
      </c>
      <c r="J160" s="0" t="n">
        <f aca="false">IF(OR($A$5=入户维修!$F160,$BN$5=1),0,5-SUMPRODUCT(--(($A$1:$A$5=入户维修!$F160)+$BN$1:$BN$5&gt;0)))</f>
        <v>4</v>
      </c>
      <c r="L160" s="0" t="str">
        <f aca="false">IFERROR(INDEX($A$1:$A$5,MATCH(1,$F160:$J160,0)),IF(1=MAX($F160:$J160)+1,"取消",""))</f>
        <v>李师傅</v>
      </c>
      <c r="M160" s="0" t="str">
        <f aca="false">IFERROR(INDEX($A$1:$A$5,MATCH(2,$F160:$J160,0)),IF(2=MAX($F160:$J160)+1,"取消",""))</f>
        <v>王师傅</v>
      </c>
      <c r="N160" s="0" t="str">
        <f aca="false">IFERROR(INDEX($A$1:$A$5,MATCH(3,$F160:$J160,0)),IF(3=MAX($F160:$J160)+1,"取消",""))</f>
        <v>陈师傅</v>
      </c>
      <c r="O160" s="0" t="str">
        <f aca="false">IFERROR(INDEX($A$1:$A$5,MATCH(4,$F160:$J160,0)),IF(4=MAX($F160:$J160)+1,"取消",""))</f>
        <v>刘师傅</v>
      </c>
      <c r="P160" s="0" t="str">
        <f aca="false">IFERROR(INDEX($A$1:$A$5,MATCH(5,$F160:$J160,0)),IF(5=MAX($F160:$J160)+1,"取消",""))</f>
        <v>取消</v>
      </c>
      <c r="Q160" s="0" t="str">
        <f aca="false">IFERROR(INDEX($A$1:$A$5,MATCH(6,$F160:$J160,0)),IF(6=MAX($F160:$J160)+1,"取消",""))</f>
        <v/>
      </c>
      <c r="S160" s="0" t="n">
        <f aca="false">IF(OR($A$1=入户维修!$F160,$A$1=入户维修!$G160,$BN$1=1),0,1-SUMPRODUCT(--(($A$1=入户维修!$F160)+($A$1=入户维修!$G160)+$BN$1&gt;0)))</f>
        <v>0</v>
      </c>
      <c r="T160" s="0" t="n">
        <f aca="false">IF(OR($A$2=入户维修!$F160,$A$2=入户维修!$G160,$BN$2=1),0,2-SUMPRODUCT(--(($A$1:$A$2=入户维修!$F160)+($A$1:$A$2=入户维修!$G160)+$BN$1:$BN$2&gt;0)))</f>
        <v>1</v>
      </c>
      <c r="U160" s="0" t="n">
        <f aca="false">IF(OR($A$3=入户维修!$F160,$A$3=入户维修!$G160,$BN$3=1),0,3-SUMPRODUCT(--(($A$1:$A$3=入户维修!$F160)+($A$1:$A$3=入户维修!$G160)+$BN$1:$BN$3&gt;0)))</f>
        <v>2</v>
      </c>
      <c r="V160" s="0" t="n">
        <f aca="false">IF(OR($A$4=入户维修!$F160,$A$4=入户维修!$G160,$BN$4=1),0,4-SUMPRODUCT(--(($A$1:$A$4=入户维修!$F160)+($A$1:$A$4=入户维修!$G160)+$BN$1:$BN$4&gt;0)))</f>
        <v>3</v>
      </c>
      <c r="W160" s="0" t="n">
        <f aca="false">IF(OR($A$5=入户维修!$F160,$A$5=入户维修!$G160,$BN$5=1),0,5-SUMPRODUCT(--(($A$1:$A$5=入户维修!$F160)+($A$1:$A$5=入户维修!$G160)+$BN$1:$BN$5&gt;0)))</f>
        <v>4</v>
      </c>
      <c r="Y160" s="0" t="str">
        <f aca="false">IFERROR(INDEX($A$1:$A$5,MATCH(1,$S160:$W160,0)),IF(1=MAX($S160:$W160)+1,"取消",""))</f>
        <v>李师傅</v>
      </c>
      <c r="Z160" s="0" t="str">
        <f aca="false">IFERROR(INDEX($A$1:$A$5,MATCH(2,$S160:$W160,0)),IF(2=MAX($S160:$W160)+1,"取消",""))</f>
        <v>王师傅</v>
      </c>
      <c r="AA160" s="0" t="str">
        <f aca="false">IFERROR(INDEX($A$1:$A$5,MATCH(3,$S160:$W160,0)),IF(3=MAX($S160:$W160)+1,"取消",""))</f>
        <v>陈师傅</v>
      </c>
      <c r="AB160" s="0" t="str">
        <f aca="false">IFERROR(INDEX($A$1:$A$5,MATCH(4,$S160:$W160,0)),IF(4=MAX($S160:$W160)+1,"取消",""))</f>
        <v>刘师傅</v>
      </c>
      <c r="AC160" s="0" t="str">
        <f aca="false">IFERROR(INDEX($A$1:$A$5,MATCH(5,$S160:$W160,0)),IF(5=MAX($S160:$W160)+1,"取消",""))</f>
        <v>取消</v>
      </c>
      <c r="AD160" s="0" t="str">
        <f aca="false">IFERROR(INDEX($A$1:$A$5,MATCH(6,$S160:$W160,0)),IF(6=MAX($S160:$W160)+1,"取消",""))</f>
        <v/>
      </c>
      <c r="AF160" s="0" t="n">
        <f aca="false">IF(OR($A$1=公区维修!$F160,$BN$1=1),0,1-SUMPRODUCT(--(($A$1=公区维修!$F160)+$BN$1&gt;0)))</f>
        <v>0</v>
      </c>
      <c r="AG160" s="0" t="n">
        <f aca="false">IF(OR($A$2=公区维修!$F160,$BN$2=1),0,2-SUMPRODUCT(--(($A$1:$A$2=公区维修!$F160)+$BN$1:$BN$2&gt;0)))</f>
        <v>1</v>
      </c>
      <c r="AH160" s="0" t="n">
        <f aca="false">IF(OR($A$3=公区维修!$F160,$BN$3=1),0,3-SUMPRODUCT(--(($A$1:$A$3=公区维修!$F160)+$BN$1:$BN$3&gt;0)))</f>
        <v>2</v>
      </c>
      <c r="AI160" s="0" t="n">
        <f aca="false">IF(OR($A$4=公区维修!$F160,$BN$4=1),0,4-SUMPRODUCT(--(($A$1:$A$4=公区维修!$F160)+$BN$1:$BN$4&gt;0)))</f>
        <v>3</v>
      </c>
      <c r="AJ160" s="0" t="n">
        <f aca="false">IF(OR($A$5=公区维修!$F160,$BN$5=1),0,5-SUMPRODUCT(--(($A$1:$A$5=公区维修!$F160)+$BN$1:$BN$5&gt;0)))</f>
        <v>4</v>
      </c>
      <c r="AL160" s="0" t="str">
        <f aca="false">IFERROR(INDEX($A$1:$A$5,MATCH(1,$AF160:$AJ160,0)),IF(1=MAX($AF160:$AJ160)+1,"取消",""))</f>
        <v>李师傅</v>
      </c>
      <c r="AM160" s="0" t="str">
        <f aca="false">IFERROR(INDEX($A$1:$A$5,MATCH(2,$AF160:$AJ160,0)),IF(2=MAX($AF160:$AJ160)+1,"取消",""))</f>
        <v>王师傅</v>
      </c>
      <c r="AN160" s="0" t="str">
        <f aca="false">IFERROR(INDEX($A$1:$A$5,MATCH(3,$AF160:$AJ160,0)),IF(3=MAX($AF160:$AJ160)+1,"取消",""))</f>
        <v>陈师傅</v>
      </c>
      <c r="AO160" s="0" t="str">
        <f aca="false">IFERROR(INDEX($A$1:$A$5,MATCH(4,$AF160:$AJ160,0)),IF(4=MAX($AF160:$AJ160)+1,"取消",""))</f>
        <v>刘师傅</v>
      </c>
      <c r="AP160" s="0" t="str">
        <f aca="false">IFERROR(INDEX($A$1:$A$5,MATCH(5,$AF160:$AJ160,0)),IF(5=MAX($AF160:$AJ160)+1,"取消",""))</f>
        <v>取消</v>
      </c>
      <c r="AQ160" s="0" t="str">
        <f aca="false">IFERROR(INDEX($A$1:$A$5,MATCH(6,$AF160:$AJ160,0)),IF(6=MAX($AF160:$AJ160)+1,"取消",""))</f>
        <v/>
      </c>
      <c r="AS160" s="0" t="n">
        <f aca="false">IF(OR($A$1=公区维修!$F160,$A$1=公区维修!$G160,$BN$1=1),0,1-SUMPRODUCT(--(($A$1=公区维修!$F160)+($A$1=公区维修!$G160)+$BN$1&gt;0)))</f>
        <v>0</v>
      </c>
      <c r="AT160" s="0" t="n">
        <f aca="false">IF(OR($A$2=公区维修!$F160,$A$2=公区维修!$G160,$BN$2=1),0,2-SUMPRODUCT(--(($A$1:$A$2=公区维修!$F160)+($A$1:$A$2=公区维修!$G160)+$BN$1:$BN$2&gt;0)))</f>
        <v>1</v>
      </c>
      <c r="AU160" s="0" t="n">
        <f aca="false">IF(OR($A$3=公区维修!$F160,$A$3=公区维修!$G160,$BN$3=1),0,3-SUMPRODUCT(--(($A$1:$A$3=公区维修!$F160)+($A$1:$A$3=公区维修!$G160)+$BN$1:$BN$3&gt;0)))</f>
        <v>2</v>
      </c>
      <c r="AV160" s="0" t="n">
        <f aca="false">IF(OR($A$4=公区维修!$F160,$A$4=公区维修!$G160,$BN$4=1),0,4-SUMPRODUCT(--(($A$1:$A$4=公区维修!$F160)+($A$1:$A$4=公区维修!$G160)+$BN$1:$BN$4&gt;0)))</f>
        <v>3</v>
      </c>
      <c r="AW160" s="0" t="n">
        <f aca="false">IF(OR($A$5=公区维修!$F160,$A$5=公区维修!$G160,$BN$5=1),0,5-SUMPRODUCT(--(($A$1:$A$5=公区维修!$F160)+($A$1:$A$5=公区维修!$G160)+$BN$1:$BN$5&gt;0)))</f>
        <v>4</v>
      </c>
      <c r="AY160" s="0" t="str">
        <f aca="false">IFERROR(INDEX($A$1:$A$5,MATCH(1,$AS160:$AW160,0)),IF(1=MAX($AS160:$AW160)+1,"取消",""))</f>
        <v>李师傅</v>
      </c>
      <c r="AZ160" s="0" t="str">
        <f aca="false">IFERROR(INDEX($A$1:$A$5,MATCH(2,$AS160:$AW160,0)),IF(2=MAX($AS160:$AW160)+1,"取消",""))</f>
        <v>王师傅</v>
      </c>
      <c r="BA160" s="0" t="str">
        <f aca="false">IFERROR(INDEX($A$1:$A$5,MATCH(3,$AS160:$AW160,0)),IF(3=MAX($AS160:$AW160)+1,"取消",""))</f>
        <v>陈师傅</v>
      </c>
      <c r="BB160" s="0" t="str">
        <f aca="false">IFERROR(INDEX($A$1:$A$5,MATCH(4,$AS160:$AW160,0)),IF(4=MAX($AS160:$AW160)+1,"取消",""))</f>
        <v>刘师傅</v>
      </c>
      <c r="BC160" s="0" t="str">
        <f aca="false">IFERROR(INDEX($A$1:$A$5,MATCH(5,$AS160:$AW160,0)),IF(5=MAX($AS160:$AW160)+1,"取消",""))</f>
        <v>取消</v>
      </c>
      <c r="BD160" s="0" t="str">
        <f aca="false">IFERROR(INDEX($A$1:$A$5,MATCH(6,$AS160:$AW160,0)),IF(6=MAX($AS160:$AW160)+1,"取消",""))</f>
        <v/>
      </c>
      <c r="FW160" s="0" t="str">
        <f aca="false">IF(AND(单元查询!$D$3&lt;&gt;"",IF(单元查询!$B$3="公区维修",公区维修!$E160&lt;&gt;"",入户维修!$E160&lt;&gt;""),IF(单元查询!$B$3="公区维修",公区维修!$C160,入户维修!$C160)=单元查询!$D$3,OR(单元查询!$F$3="",IF(单元查询!$B$3="公区维修",公区维修!$D160,入户维修!$D160)&amp;""=(单元查询!$F$3)&amp;"")),MAX($FW$4:$FW159)+1,"")</f>
        <v/>
      </c>
    </row>
    <row r="161" customFormat="false" ht="15" hidden="false" customHeight="true" outlineLevel="0" collapsed="false">
      <c r="F161" s="0" t="n">
        <f aca="false">IF(OR($A$1=入户维修!$F161,$BN$1=1),0,1-SUMPRODUCT(--(($A$1=入户维修!$F161)+$BN$1&gt;0)))</f>
        <v>0</v>
      </c>
      <c r="G161" s="0" t="n">
        <f aca="false">IF(OR($A$2=入户维修!$F161,$BN$2=1),0,2-SUMPRODUCT(--(($A$1:$A$2=入户维修!$F161)+$BN$1:$BN$2&gt;0)))</f>
        <v>1</v>
      </c>
      <c r="H161" s="0" t="n">
        <f aca="false">IF(OR($A$3=入户维修!$F161,$BN$3=1),0,3-SUMPRODUCT(--(($A$1:$A$3=入户维修!$F161)+$BN$1:$BN$3&gt;0)))</f>
        <v>2</v>
      </c>
      <c r="I161" s="0" t="n">
        <f aca="false">IF(OR($A$4=入户维修!$F161,$BN$4=1),0,4-SUMPRODUCT(--(($A$1:$A$4=入户维修!$F161)+$BN$1:$BN$4&gt;0)))</f>
        <v>3</v>
      </c>
      <c r="J161" s="0" t="n">
        <f aca="false">IF(OR($A$5=入户维修!$F161,$BN$5=1),0,5-SUMPRODUCT(--(($A$1:$A$5=入户维修!$F161)+$BN$1:$BN$5&gt;0)))</f>
        <v>4</v>
      </c>
      <c r="L161" s="0" t="str">
        <f aca="false">IFERROR(INDEX($A$1:$A$5,MATCH(1,$F161:$J161,0)),IF(1=MAX($F161:$J161)+1,"取消",""))</f>
        <v>李师傅</v>
      </c>
      <c r="M161" s="0" t="str">
        <f aca="false">IFERROR(INDEX($A$1:$A$5,MATCH(2,$F161:$J161,0)),IF(2=MAX($F161:$J161)+1,"取消",""))</f>
        <v>王师傅</v>
      </c>
      <c r="N161" s="0" t="str">
        <f aca="false">IFERROR(INDEX($A$1:$A$5,MATCH(3,$F161:$J161,0)),IF(3=MAX($F161:$J161)+1,"取消",""))</f>
        <v>陈师傅</v>
      </c>
      <c r="O161" s="0" t="str">
        <f aca="false">IFERROR(INDEX($A$1:$A$5,MATCH(4,$F161:$J161,0)),IF(4=MAX($F161:$J161)+1,"取消",""))</f>
        <v>刘师傅</v>
      </c>
      <c r="P161" s="0" t="str">
        <f aca="false">IFERROR(INDEX($A$1:$A$5,MATCH(5,$F161:$J161,0)),IF(5=MAX($F161:$J161)+1,"取消",""))</f>
        <v>取消</v>
      </c>
      <c r="Q161" s="0" t="str">
        <f aca="false">IFERROR(INDEX($A$1:$A$5,MATCH(6,$F161:$J161,0)),IF(6=MAX($F161:$J161)+1,"取消",""))</f>
        <v/>
      </c>
      <c r="S161" s="0" t="n">
        <f aca="false">IF(OR($A$1=入户维修!$F161,$A$1=入户维修!$G161,$BN$1=1),0,1-SUMPRODUCT(--(($A$1=入户维修!$F161)+($A$1=入户维修!$G161)+$BN$1&gt;0)))</f>
        <v>0</v>
      </c>
      <c r="T161" s="0" t="n">
        <f aca="false">IF(OR($A$2=入户维修!$F161,$A$2=入户维修!$G161,$BN$2=1),0,2-SUMPRODUCT(--(($A$1:$A$2=入户维修!$F161)+($A$1:$A$2=入户维修!$G161)+$BN$1:$BN$2&gt;0)))</f>
        <v>1</v>
      </c>
      <c r="U161" s="0" t="n">
        <f aca="false">IF(OR($A$3=入户维修!$F161,$A$3=入户维修!$G161,$BN$3=1),0,3-SUMPRODUCT(--(($A$1:$A$3=入户维修!$F161)+($A$1:$A$3=入户维修!$G161)+$BN$1:$BN$3&gt;0)))</f>
        <v>2</v>
      </c>
      <c r="V161" s="0" t="n">
        <f aca="false">IF(OR($A$4=入户维修!$F161,$A$4=入户维修!$G161,$BN$4=1),0,4-SUMPRODUCT(--(($A$1:$A$4=入户维修!$F161)+($A$1:$A$4=入户维修!$G161)+$BN$1:$BN$4&gt;0)))</f>
        <v>3</v>
      </c>
      <c r="W161" s="0" t="n">
        <f aca="false">IF(OR($A$5=入户维修!$F161,$A$5=入户维修!$G161,$BN$5=1),0,5-SUMPRODUCT(--(($A$1:$A$5=入户维修!$F161)+($A$1:$A$5=入户维修!$G161)+$BN$1:$BN$5&gt;0)))</f>
        <v>4</v>
      </c>
      <c r="Y161" s="0" t="str">
        <f aca="false">IFERROR(INDEX($A$1:$A$5,MATCH(1,$S161:$W161,0)),IF(1=MAX($S161:$W161)+1,"取消",""))</f>
        <v>李师傅</v>
      </c>
      <c r="Z161" s="0" t="str">
        <f aca="false">IFERROR(INDEX($A$1:$A$5,MATCH(2,$S161:$W161,0)),IF(2=MAX($S161:$W161)+1,"取消",""))</f>
        <v>王师傅</v>
      </c>
      <c r="AA161" s="0" t="str">
        <f aca="false">IFERROR(INDEX($A$1:$A$5,MATCH(3,$S161:$W161,0)),IF(3=MAX($S161:$W161)+1,"取消",""))</f>
        <v>陈师傅</v>
      </c>
      <c r="AB161" s="0" t="str">
        <f aca="false">IFERROR(INDEX($A$1:$A$5,MATCH(4,$S161:$W161,0)),IF(4=MAX($S161:$W161)+1,"取消",""))</f>
        <v>刘师傅</v>
      </c>
      <c r="AC161" s="0" t="str">
        <f aca="false">IFERROR(INDEX($A$1:$A$5,MATCH(5,$S161:$W161,0)),IF(5=MAX($S161:$W161)+1,"取消",""))</f>
        <v>取消</v>
      </c>
      <c r="AD161" s="0" t="str">
        <f aca="false">IFERROR(INDEX($A$1:$A$5,MATCH(6,$S161:$W161,0)),IF(6=MAX($S161:$W161)+1,"取消",""))</f>
        <v/>
      </c>
      <c r="AF161" s="0" t="n">
        <f aca="false">IF(OR($A$1=公区维修!$F161,$BN$1=1),0,1-SUMPRODUCT(--(($A$1=公区维修!$F161)+$BN$1&gt;0)))</f>
        <v>0</v>
      </c>
      <c r="AG161" s="0" t="n">
        <f aca="false">IF(OR($A$2=公区维修!$F161,$BN$2=1),0,2-SUMPRODUCT(--(($A$1:$A$2=公区维修!$F161)+$BN$1:$BN$2&gt;0)))</f>
        <v>1</v>
      </c>
      <c r="AH161" s="0" t="n">
        <f aca="false">IF(OR($A$3=公区维修!$F161,$BN$3=1),0,3-SUMPRODUCT(--(($A$1:$A$3=公区维修!$F161)+$BN$1:$BN$3&gt;0)))</f>
        <v>2</v>
      </c>
      <c r="AI161" s="0" t="n">
        <f aca="false">IF(OR($A$4=公区维修!$F161,$BN$4=1),0,4-SUMPRODUCT(--(($A$1:$A$4=公区维修!$F161)+$BN$1:$BN$4&gt;0)))</f>
        <v>3</v>
      </c>
      <c r="AJ161" s="0" t="n">
        <f aca="false">IF(OR($A$5=公区维修!$F161,$BN$5=1),0,5-SUMPRODUCT(--(($A$1:$A$5=公区维修!$F161)+$BN$1:$BN$5&gt;0)))</f>
        <v>4</v>
      </c>
      <c r="AL161" s="0" t="str">
        <f aca="false">IFERROR(INDEX($A$1:$A$5,MATCH(1,$AF161:$AJ161,0)),IF(1=MAX($AF161:$AJ161)+1,"取消",""))</f>
        <v>李师傅</v>
      </c>
      <c r="AM161" s="0" t="str">
        <f aca="false">IFERROR(INDEX($A$1:$A$5,MATCH(2,$AF161:$AJ161,0)),IF(2=MAX($AF161:$AJ161)+1,"取消",""))</f>
        <v>王师傅</v>
      </c>
      <c r="AN161" s="0" t="str">
        <f aca="false">IFERROR(INDEX($A$1:$A$5,MATCH(3,$AF161:$AJ161,0)),IF(3=MAX($AF161:$AJ161)+1,"取消",""))</f>
        <v>陈师傅</v>
      </c>
      <c r="AO161" s="0" t="str">
        <f aca="false">IFERROR(INDEX($A$1:$A$5,MATCH(4,$AF161:$AJ161,0)),IF(4=MAX($AF161:$AJ161)+1,"取消",""))</f>
        <v>刘师傅</v>
      </c>
      <c r="AP161" s="0" t="str">
        <f aca="false">IFERROR(INDEX($A$1:$A$5,MATCH(5,$AF161:$AJ161,0)),IF(5=MAX($AF161:$AJ161)+1,"取消",""))</f>
        <v>取消</v>
      </c>
      <c r="AQ161" s="0" t="str">
        <f aca="false">IFERROR(INDEX($A$1:$A$5,MATCH(6,$AF161:$AJ161,0)),IF(6=MAX($AF161:$AJ161)+1,"取消",""))</f>
        <v/>
      </c>
      <c r="AS161" s="0" t="n">
        <f aca="false">IF(OR($A$1=公区维修!$F161,$A$1=公区维修!$G161,$BN$1=1),0,1-SUMPRODUCT(--(($A$1=公区维修!$F161)+($A$1=公区维修!$G161)+$BN$1&gt;0)))</f>
        <v>0</v>
      </c>
      <c r="AT161" s="0" t="n">
        <f aca="false">IF(OR($A$2=公区维修!$F161,$A$2=公区维修!$G161,$BN$2=1),0,2-SUMPRODUCT(--(($A$1:$A$2=公区维修!$F161)+($A$1:$A$2=公区维修!$G161)+$BN$1:$BN$2&gt;0)))</f>
        <v>1</v>
      </c>
      <c r="AU161" s="0" t="n">
        <f aca="false">IF(OR($A$3=公区维修!$F161,$A$3=公区维修!$G161,$BN$3=1),0,3-SUMPRODUCT(--(($A$1:$A$3=公区维修!$F161)+($A$1:$A$3=公区维修!$G161)+$BN$1:$BN$3&gt;0)))</f>
        <v>2</v>
      </c>
      <c r="AV161" s="0" t="n">
        <f aca="false">IF(OR($A$4=公区维修!$F161,$A$4=公区维修!$G161,$BN$4=1),0,4-SUMPRODUCT(--(($A$1:$A$4=公区维修!$F161)+($A$1:$A$4=公区维修!$G161)+$BN$1:$BN$4&gt;0)))</f>
        <v>3</v>
      </c>
      <c r="AW161" s="0" t="n">
        <f aca="false">IF(OR($A$5=公区维修!$F161,$A$5=公区维修!$G161,$BN$5=1),0,5-SUMPRODUCT(--(($A$1:$A$5=公区维修!$F161)+($A$1:$A$5=公区维修!$G161)+$BN$1:$BN$5&gt;0)))</f>
        <v>4</v>
      </c>
      <c r="AY161" s="0" t="str">
        <f aca="false">IFERROR(INDEX($A$1:$A$5,MATCH(1,$AS161:$AW161,0)),IF(1=MAX($AS161:$AW161)+1,"取消",""))</f>
        <v>李师傅</v>
      </c>
      <c r="AZ161" s="0" t="str">
        <f aca="false">IFERROR(INDEX($A$1:$A$5,MATCH(2,$AS161:$AW161,0)),IF(2=MAX($AS161:$AW161)+1,"取消",""))</f>
        <v>王师傅</v>
      </c>
      <c r="BA161" s="0" t="str">
        <f aca="false">IFERROR(INDEX($A$1:$A$5,MATCH(3,$AS161:$AW161,0)),IF(3=MAX($AS161:$AW161)+1,"取消",""))</f>
        <v>陈师傅</v>
      </c>
      <c r="BB161" s="0" t="str">
        <f aca="false">IFERROR(INDEX($A$1:$A$5,MATCH(4,$AS161:$AW161,0)),IF(4=MAX($AS161:$AW161)+1,"取消",""))</f>
        <v>刘师傅</v>
      </c>
      <c r="BC161" s="0" t="str">
        <f aca="false">IFERROR(INDEX($A$1:$A$5,MATCH(5,$AS161:$AW161,0)),IF(5=MAX($AS161:$AW161)+1,"取消",""))</f>
        <v>取消</v>
      </c>
      <c r="BD161" s="0" t="str">
        <f aca="false">IFERROR(INDEX($A$1:$A$5,MATCH(6,$AS161:$AW161,0)),IF(6=MAX($AS161:$AW161)+1,"取消",""))</f>
        <v/>
      </c>
      <c r="FW161" s="0" t="str">
        <f aca="false">IF(AND(单元查询!$D$3&lt;&gt;"",IF(单元查询!$B$3="公区维修",公区维修!$E161&lt;&gt;"",入户维修!$E161&lt;&gt;""),IF(单元查询!$B$3="公区维修",公区维修!$C161,入户维修!$C161)=单元查询!$D$3,OR(单元查询!$F$3="",IF(单元查询!$B$3="公区维修",公区维修!$D161,入户维修!$D161)&amp;""=(单元查询!$F$3)&amp;"")),MAX($FW$4:$FW160)+1,"")</f>
        <v/>
      </c>
    </row>
    <row r="162" customFormat="false" ht="15" hidden="false" customHeight="true" outlineLevel="0" collapsed="false">
      <c r="F162" s="0" t="n">
        <f aca="false">IF(OR($A$1=入户维修!$F162,$BN$1=1),0,1-SUMPRODUCT(--(($A$1=入户维修!$F162)+$BN$1&gt;0)))</f>
        <v>0</v>
      </c>
      <c r="G162" s="0" t="n">
        <f aca="false">IF(OR($A$2=入户维修!$F162,$BN$2=1),0,2-SUMPRODUCT(--(($A$1:$A$2=入户维修!$F162)+$BN$1:$BN$2&gt;0)))</f>
        <v>1</v>
      </c>
      <c r="H162" s="0" t="n">
        <f aca="false">IF(OR($A$3=入户维修!$F162,$BN$3=1),0,3-SUMPRODUCT(--(($A$1:$A$3=入户维修!$F162)+$BN$1:$BN$3&gt;0)))</f>
        <v>2</v>
      </c>
      <c r="I162" s="0" t="n">
        <f aca="false">IF(OR($A$4=入户维修!$F162,$BN$4=1),0,4-SUMPRODUCT(--(($A$1:$A$4=入户维修!$F162)+$BN$1:$BN$4&gt;0)))</f>
        <v>3</v>
      </c>
      <c r="J162" s="0" t="n">
        <f aca="false">IF(OR($A$5=入户维修!$F162,$BN$5=1),0,5-SUMPRODUCT(--(($A$1:$A$5=入户维修!$F162)+$BN$1:$BN$5&gt;0)))</f>
        <v>4</v>
      </c>
      <c r="L162" s="0" t="str">
        <f aca="false">IFERROR(INDEX($A$1:$A$5,MATCH(1,$F162:$J162,0)),IF(1=MAX($F162:$J162)+1,"取消",""))</f>
        <v>李师傅</v>
      </c>
      <c r="M162" s="0" t="str">
        <f aca="false">IFERROR(INDEX($A$1:$A$5,MATCH(2,$F162:$J162,0)),IF(2=MAX($F162:$J162)+1,"取消",""))</f>
        <v>王师傅</v>
      </c>
      <c r="N162" s="0" t="str">
        <f aca="false">IFERROR(INDEX($A$1:$A$5,MATCH(3,$F162:$J162,0)),IF(3=MAX($F162:$J162)+1,"取消",""))</f>
        <v>陈师傅</v>
      </c>
      <c r="O162" s="0" t="str">
        <f aca="false">IFERROR(INDEX($A$1:$A$5,MATCH(4,$F162:$J162,0)),IF(4=MAX($F162:$J162)+1,"取消",""))</f>
        <v>刘师傅</v>
      </c>
      <c r="P162" s="0" t="str">
        <f aca="false">IFERROR(INDEX($A$1:$A$5,MATCH(5,$F162:$J162,0)),IF(5=MAX($F162:$J162)+1,"取消",""))</f>
        <v>取消</v>
      </c>
      <c r="Q162" s="0" t="str">
        <f aca="false">IFERROR(INDEX($A$1:$A$5,MATCH(6,$F162:$J162,0)),IF(6=MAX($F162:$J162)+1,"取消",""))</f>
        <v/>
      </c>
      <c r="S162" s="0" t="n">
        <f aca="false">IF(OR($A$1=入户维修!$F162,$A$1=入户维修!$G162,$BN$1=1),0,1-SUMPRODUCT(--(($A$1=入户维修!$F162)+($A$1=入户维修!$G162)+$BN$1&gt;0)))</f>
        <v>0</v>
      </c>
      <c r="T162" s="0" t="n">
        <f aca="false">IF(OR($A$2=入户维修!$F162,$A$2=入户维修!$G162,$BN$2=1),0,2-SUMPRODUCT(--(($A$1:$A$2=入户维修!$F162)+($A$1:$A$2=入户维修!$G162)+$BN$1:$BN$2&gt;0)))</f>
        <v>1</v>
      </c>
      <c r="U162" s="0" t="n">
        <f aca="false">IF(OR($A$3=入户维修!$F162,$A$3=入户维修!$G162,$BN$3=1),0,3-SUMPRODUCT(--(($A$1:$A$3=入户维修!$F162)+($A$1:$A$3=入户维修!$G162)+$BN$1:$BN$3&gt;0)))</f>
        <v>2</v>
      </c>
      <c r="V162" s="0" t="n">
        <f aca="false">IF(OR($A$4=入户维修!$F162,$A$4=入户维修!$G162,$BN$4=1),0,4-SUMPRODUCT(--(($A$1:$A$4=入户维修!$F162)+($A$1:$A$4=入户维修!$G162)+$BN$1:$BN$4&gt;0)))</f>
        <v>3</v>
      </c>
      <c r="W162" s="0" t="n">
        <f aca="false">IF(OR($A$5=入户维修!$F162,$A$5=入户维修!$G162,$BN$5=1),0,5-SUMPRODUCT(--(($A$1:$A$5=入户维修!$F162)+($A$1:$A$5=入户维修!$G162)+$BN$1:$BN$5&gt;0)))</f>
        <v>4</v>
      </c>
      <c r="Y162" s="0" t="str">
        <f aca="false">IFERROR(INDEX($A$1:$A$5,MATCH(1,$S162:$W162,0)),IF(1=MAX($S162:$W162)+1,"取消",""))</f>
        <v>李师傅</v>
      </c>
      <c r="Z162" s="0" t="str">
        <f aca="false">IFERROR(INDEX($A$1:$A$5,MATCH(2,$S162:$W162,0)),IF(2=MAX($S162:$W162)+1,"取消",""))</f>
        <v>王师傅</v>
      </c>
      <c r="AA162" s="0" t="str">
        <f aca="false">IFERROR(INDEX($A$1:$A$5,MATCH(3,$S162:$W162,0)),IF(3=MAX($S162:$W162)+1,"取消",""))</f>
        <v>陈师傅</v>
      </c>
      <c r="AB162" s="0" t="str">
        <f aca="false">IFERROR(INDEX($A$1:$A$5,MATCH(4,$S162:$W162,0)),IF(4=MAX($S162:$W162)+1,"取消",""))</f>
        <v>刘师傅</v>
      </c>
      <c r="AC162" s="0" t="str">
        <f aca="false">IFERROR(INDEX($A$1:$A$5,MATCH(5,$S162:$W162,0)),IF(5=MAX($S162:$W162)+1,"取消",""))</f>
        <v>取消</v>
      </c>
      <c r="AD162" s="0" t="str">
        <f aca="false">IFERROR(INDEX($A$1:$A$5,MATCH(6,$S162:$W162,0)),IF(6=MAX($S162:$W162)+1,"取消",""))</f>
        <v/>
      </c>
      <c r="AF162" s="0" t="n">
        <f aca="false">IF(OR($A$1=公区维修!$F162,$BN$1=1),0,1-SUMPRODUCT(--(($A$1=公区维修!$F162)+$BN$1&gt;0)))</f>
        <v>0</v>
      </c>
      <c r="AG162" s="0" t="n">
        <f aca="false">IF(OR($A$2=公区维修!$F162,$BN$2=1),0,2-SUMPRODUCT(--(($A$1:$A$2=公区维修!$F162)+$BN$1:$BN$2&gt;0)))</f>
        <v>1</v>
      </c>
      <c r="AH162" s="0" t="n">
        <f aca="false">IF(OR($A$3=公区维修!$F162,$BN$3=1),0,3-SUMPRODUCT(--(($A$1:$A$3=公区维修!$F162)+$BN$1:$BN$3&gt;0)))</f>
        <v>2</v>
      </c>
      <c r="AI162" s="0" t="n">
        <f aca="false">IF(OR($A$4=公区维修!$F162,$BN$4=1),0,4-SUMPRODUCT(--(($A$1:$A$4=公区维修!$F162)+$BN$1:$BN$4&gt;0)))</f>
        <v>3</v>
      </c>
      <c r="AJ162" s="0" t="n">
        <f aca="false">IF(OR($A$5=公区维修!$F162,$BN$5=1),0,5-SUMPRODUCT(--(($A$1:$A$5=公区维修!$F162)+$BN$1:$BN$5&gt;0)))</f>
        <v>4</v>
      </c>
      <c r="AL162" s="0" t="str">
        <f aca="false">IFERROR(INDEX($A$1:$A$5,MATCH(1,$AF162:$AJ162,0)),IF(1=MAX($AF162:$AJ162)+1,"取消",""))</f>
        <v>李师傅</v>
      </c>
      <c r="AM162" s="0" t="str">
        <f aca="false">IFERROR(INDEX($A$1:$A$5,MATCH(2,$AF162:$AJ162,0)),IF(2=MAX($AF162:$AJ162)+1,"取消",""))</f>
        <v>王师傅</v>
      </c>
      <c r="AN162" s="0" t="str">
        <f aca="false">IFERROR(INDEX($A$1:$A$5,MATCH(3,$AF162:$AJ162,0)),IF(3=MAX($AF162:$AJ162)+1,"取消",""))</f>
        <v>陈师傅</v>
      </c>
      <c r="AO162" s="0" t="str">
        <f aca="false">IFERROR(INDEX($A$1:$A$5,MATCH(4,$AF162:$AJ162,0)),IF(4=MAX($AF162:$AJ162)+1,"取消",""))</f>
        <v>刘师傅</v>
      </c>
      <c r="AP162" s="0" t="str">
        <f aca="false">IFERROR(INDEX($A$1:$A$5,MATCH(5,$AF162:$AJ162,0)),IF(5=MAX($AF162:$AJ162)+1,"取消",""))</f>
        <v>取消</v>
      </c>
      <c r="AQ162" s="0" t="str">
        <f aca="false">IFERROR(INDEX($A$1:$A$5,MATCH(6,$AF162:$AJ162,0)),IF(6=MAX($AF162:$AJ162)+1,"取消",""))</f>
        <v/>
      </c>
      <c r="AS162" s="0" t="n">
        <f aca="false">IF(OR($A$1=公区维修!$F162,$A$1=公区维修!$G162,$BN$1=1),0,1-SUMPRODUCT(--(($A$1=公区维修!$F162)+($A$1=公区维修!$G162)+$BN$1&gt;0)))</f>
        <v>0</v>
      </c>
      <c r="AT162" s="0" t="n">
        <f aca="false">IF(OR($A$2=公区维修!$F162,$A$2=公区维修!$G162,$BN$2=1),0,2-SUMPRODUCT(--(($A$1:$A$2=公区维修!$F162)+($A$1:$A$2=公区维修!$G162)+$BN$1:$BN$2&gt;0)))</f>
        <v>1</v>
      </c>
      <c r="AU162" s="0" t="n">
        <f aca="false">IF(OR($A$3=公区维修!$F162,$A$3=公区维修!$G162,$BN$3=1),0,3-SUMPRODUCT(--(($A$1:$A$3=公区维修!$F162)+($A$1:$A$3=公区维修!$G162)+$BN$1:$BN$3&gt;0)))</f>
        <v>2</v>
      </c>
      <c r="AV162" s="0" t="n">
        <f aca="false">IF(OR($A$4=公区维修!$F162,$A$4=公区维修!$G162,$BN$4=1),0,4-SUMPRODUCT(--(($A$1:$A$4=公区维修!$F162)+($A$1:$A$4=公区维修!$G162)+$BN$1:$BN$4&gt;0)))</f>
        <v>3</v>
      </c>
      <c r="AW162" s="0" t="n">
        <f aca="false">IF(OR($A$5=公区维修!$F162,$A$5=公区维修!$G162,$BN$5=1),0,5-SUMPRODUCT(--(($A$1:$A$5=公区维修!$F162)+($A$1:$A$5=公区维修!$G162)+$BN$1:$BN$5&gt;0)))</f>
        <v>4</v>
      </c>
      <c r="AY162" s="0" t="str">
        <f aca="false">IFERROR(INDEX($A$1:$A$5,MATCH(1,$AS162:$AW162,0)),IF(1=MAX($AS162:$AW162)+1,"取消",""))</f>
        <v>李师傅</v>
      </c>
      <c r="AZ162" s="0" t="str">
        <f aca="false">IFERROR(INDEX($A$1:$A$5,MATCH(2,$AS162:$AW162,0)),IF(2=MAX($AS162:$AW162)+1,"取消",""))</f>
        <v>王师傅</v>
      </c>
      <c r="BA162" s="0" t="str">
        <f aca="false">IFERROR(INDEX($A$1:$A$5,MATCH(3,$AS162:$AW162,0)),IF(3=MAX($AS162:$AW162)+1,"取消",""))</f>
        <v>陈师傅</v>
      </c>
      <c r="BB162" s="0" t="str">
        <f aca="false">IFERROR(INDEX($A$1:$A$5,MATCH(4,$AS162:$AW162,0)),IF(4=MAX($AS162:$AW162)+1,"取消",""))</f>
        <v>刘师傅</v>
      </c>
      <c r="BC162" s="0" t="str">
        <f aca="false">IFERROR(INDEX($A$1:$A$5,MATCH(5,$AS162:$AW162,0)),IF(5=MAX($AS162:$AW162)+1,"取消",""))</f>
        <v>取消</v>
      </c>
      <c r="BD162" s="0" t="str">
        <f aca="false">IFERROR(INDEX($A$1:$A$5,MATCH(6,$AS162:$AW162,0)),IF(6=MAX($AS162:$AW162)+1,"取消",""))</f>
        <v/>
      </c>
      <c r="FW162" s="0" t="str">
        <f aca="false">IF(AND(单元查询!$D$3&lt;&gt;"",IF(单元查询!$B$3="公区维修",公区维修!$E162&lt;&gt;"",入户维修!$E162&lt;&gt;""),IF(单元查询!$B$3="公区维修",公区维修!$C162,入户维修!$C162)=单元查询!$D$3,OR(单元查询!$F$3="",IF(单元查询!$B$3="公区维修",公区维修!$D162,入户维修!$D162)&amp;""=(单元查询!$F$3)&amp;"")),MAX($FW$4:$FW161)+1,"")</f>
        <v/>
      </c>
    </row>
    <row r="163" customFormat="false" ht="15" hidden="false" customHeight="true" outlineLevel="0" collapsed="false">
      <c r="F163" s="0" t="n">
        <f aca="false">IF(OR($A$1=入户维修!$F163,$BN$1=1),0,1-SUMPRODUCT(--(($A$1=入户维修!$F163)+$BN$1&gt;0)))</f>
        <v>0</v>
      </c>
      <c r="G163" s="0" t="n">
        <f aca="false">IF(OR($A$2=入户维修!$F163,$BN$2=1),0,2-SUMPRODUCT(--(($A$1:$A$2=入户维修!$F163)+$BN$1:$BN$2&gt;0)))</f>
        <v>1</v>
      </c>
      <c r="H163" s="0" t="n">
        <f aca="false">IF(OR($A$3=入户维修!$F163,$BN$3=1),0,3-SUMPRODUCT(--(($A$1:$A$3=入户维修!$F163)+$BN$1:$BN$3&gt;0)))</f>
        <v>2</v>
      </c>
      <c r="I163" s="0" t="n">
        <f aca="false">IF(OR($A$4=入户维修!$F163,$BN$4=1),0,4-SUMPRODUCT(--(($A$1:$A$4=入户维修!$F163)+$BN$1:$BN$4&gt;0)))</f>
        <v>3</v>
      </c>
      <c r="J163" s="0" t="n">
        <f aca="false">IF(OR($A$5=入户维修!$F163,$BN$5=1),0,5-SUMPRODUCT(--(($A$1:$A$5=入户维修!$F163)+$BN$1:$BN$5&gt;0)))</f>
        <v>4</v>
      </c>
      <c r="L163" s="0" t="str">
        <f aca="false">IFERROR(INDEX($A$1:$A$5,MATCH(1,$F163:$J163,0)),IF(1=MAX($F163:$J163)+1,"取消",""))</f>
        <v>李师傅</v>
      </c>
      <c r="M163" s="0" t="str">
        <f aca="false">IFERROR(INDEX($A$1:$A$5,MATCH(2,$F163:$J163,0)),IF(2=MAX($F163:$J163)+1,"取消",""))</f>
        <v>王师傅</v>
      </c>
      <c r="N163" s="0" t="str">
        <f aca="false">IFERROR(INDEX($A$1:$A$5,MATCH(3,$F163:$J163,0)),IF(3=MAX($F163:$J163)+1,"取消",""))</f>
        <v>陈师傅</v>
      </c>
      <c r="O163" s="0" t="str">
        <f aca="false">IFERROR(INDEX($A$1:$A$5,MATCH(4,$F163:$J163,0)),IF(4=MAX($F163:$J163)+1,"取消",""))</f>
        <v>刘师傅</v>
      </c>
      <c r="P163" s="0" t="str">
        <f aca="false">IFERROR(INDEX($A$1:$A$5,MATCH(5,$F163:$J163,0)),IF(5=MAX($F163:$J163)+1,"取消",""))</f>
        <v>取消</v>
      </c>
      <c r="Q163" s="0" t="str">
        <f aca="false">IFERROR(INDEX($A$1:$A$5,MATCH(6,$F163:$J163,0)),IF(6=MAX($F163:$J163)+1,"取消",""))</f>
        <v/>
      </c>
      <c r="S163" s="0" t="n">
        <f aca="false">IF(OR($A$1=入户维修!$F163,$A$1=入户维修!$G163,$BN$1=1),0,1-SUMPRODUCT(--(($A$1=入户维修!$F163)+($A$1=入户维修!$G163)+$BN$1&gt;0)))</f>
        <v>0</v>
      </c>
      <c r="T163" s="0" t="n">
        <f aca="false">IF(OR($A$2=入户维修!$F163,$A$2=入户维修!$G163,$BN$2=1),0,2-SUMPRODUCT(--(($A$1:$A$2=入户维修!$F163)+($A$1:$A$2=入户维修!$G163)+$BN$1:$BN$2&gt;0)))</f>
        <v>1</v>
      </c>
      <c r="U163" s="0" t="n">
        <f aca="false">IF(OR($A$3=入户维修!$F163,$A$3=入户维修!$G163,$BN$3=1),0,3-SUMPRODUCT(--(($A$1:$A$3=入户维修!$F163)+($A$1:$A$3=入户维修!$G163)+$BN$1:$BN$3&gt;0)))</f>
        <v>2</v>
      </c>
      <c r="V163" s="0" t="n">
        <f aca="false">IF(OR($A$4=入户维修!$F163,$A$4=入户维修!$G163,$BN$4=1),0,4-SUMPRODUCT(--(($A$1:$A$4=入户维修!$F163)+($A$1:$A$4=入户维修!$G163)+$BN$1:$BN$4&gt;0)))</f>
        <v>3</v>
      </c>
      <c r="W163" s="0" t="n">
        <f aca="false">IF(OR($A$5=入户维修!$F163,$A$5=入户维修!$G163,$BN$5=1),0,5-SUMPRODUCT(--(($A$1:$A$5=入户维修!$F163)+($A$1:$A$5=入户维修!$G163)+$BN$1:$BN$5&gt;0)))</f>
        <v>4</v>
      </c>
      <c r="Y163" s="0" t="str">
        <f aca="false">IFERROR(INDEX($A$1:$A$5,MATCH(1,$S163:$W163,0)),IF(1=MAX($S163:$W163)+1,"取消",""))</f>
        <v>李师傅</v>
      </c>
      <c r="Z163" s="0" t="str">
        <f aca="false">IFERROR(INDEX($A$1:$A$5,MATCH(2,$S163:$W163,0)),IF(2=MAX($S163:$W163)+1,"取消",""))</f>
        <v>王师傅</v>
      </c>
      <c r="AA163" s="0" t="str">
        <f aca="false">IFERROR(INDEX($A$1:$A$5,MATCH(3,$S163:$W163,0)),IF(3=MAX($S163:$W163)+1,"取消",""))</f>
        <v>陈师傅</v>
      </c>
      <c r="AB163" s="0" t="str">
        <f aca="false">IFERROR(INDEX($A$1:$A$5,MATCH(4,$S163:$W163,0)),IF(4=MAX($S163:$W163)+1,"取消",""))</f>
        <v>刘师傅</v>
      </c>
      <c r="AC163" s="0" t="str">
        <f aca="false">IFERROR(INDEX($A$1:$A$5,MATCH(5,$S163:$W163,0)),IF(5=MAX($S163:$W163)+1,"取消",""))</f>
        <v>取消</v>
      </c>
      <c r="AD163" s="0" t="str">
        <f aca="false">IFERROR(INDEX($A$1:$A$5,MATCH(6,$S163:$W163,0)),IF(6=MAX($S163:$W163)+1,"取消",""))</f>
        <v/>
      </c>
      <c r="AF163" s="0" t="n">
        <f aca="false">IF(OR($A$1=公区维修!$F163,$BN$1=1),0,1-SUMPRODUCT(--(($A$1=公区维修!$F163)+$BN$1&gt;0)))</f>
        <v>0</v>
      </c>
      <c r="AG163" s="0" t="n">
        <f aca="false">IF(OR($A$2=公区维修!$F163,$BN$2=1),0,2-SUMPRODUCT(--(($A$1:$A$2=公区维修!$F163)+$BN$1:$BN$2&gt;0)))</f>
        <v>1</v>
      </c>
      <c r="AH163" s="0" t="n">
        <f aca="false">IF(OR($A$3=公区维修!$F163,$BN$3=1),0,3-SUMPRODUCT(--(($A$1:$A$3=公区维修!$F163)+$BN$1:$BN$3&gt;0)))</f>
        <v>2</v>
      </c>
      <c r="AI163" s="0" t="n">
        <f aca="false">IF(OR($A$4=公区维修!$F163,$BN$4=1),0,4-SUMPRODUCT(--(($A$1:$A$4=公区维修!$F163)+$BN$1:$BN$4&gt;0)))</f>
        <v>3</v>
      </c>
      <c r="AJ163" s="0" t="n">
        <f aca="false">IF(OR($A$5=公区维修!$F163,$BN$5=1),0,5-SUMPRODUCT(--(($A$1:$A$5=公区维修!$F163)+$BN$1:$BN$5&gt;0)))</f>
        <v>4</v>
      </c>
      <c r="AL163" s="0" t="str">
        <f aca="false">IFERROR(INDEX($A$1:$A$5,MATCH(1,$AF163:$AJ163,0)),IF(1=MAX($AF163:$AJ163)+1,"取消",""))</f>
        <v>李师傅</v>
      </c>
      <c r="AM163" s="0" t="str">
        <f aca="false">IFERROR(INDEX($A$1:$A$5,MATCH(2,$AF163:$AJ163,0)),IF(2=MAX($AF163:$AJ163)+1,"取消",""))</f>
        <v>王师傅</v>
      </c>
      <c r="AN163" s="0" t="str">
        <f aca="false">IFERROR(INDEX($A$1:$A$5,MATCH(3,$AF163:$AJ163,0)),IF(3=MAX($AF163:$AJ163)+1,"取消",""))</f>
        <v>陈师傅</v>
      </c>
      <c r="AO163" s="0" t="str">
        <f aca="false">IFERROR(INDEX($A$1:$A$5,MATCH(4,$AF163:$AJ163,0)),IF(4=MAX($AF163:$AJ163)+1,"取消",""))</f>
        <v>刘师傅</v>
      </c>
      <c r="AP163" s="0" t="str">
        <f aca="false">IFERROR(INDEX($A$1:$A$5,MATCH(5,$AF163:$AJ163,0)),IF(5=MAX($AF163:$AJ163)+1,"取消",""))</f>
        <v>取消</v>
      </c>
      <c r="AQ163" s="0" t="str">
        <f aca="false">IFERROR(INDEX($A$1:$A$5,MATCH(6,$AF163:$AJ163,0)),IF(6=MAX($AF163:$AJ163)+1,"取消",""))</f>
        <v/>
      </c>
      <c r="AS163" s="0" t="n">
        <f aca="false">IF(OR($A$1=公区维修!$F163,$A$1=公区维修!$G163,$BN$1=1),0,1-SUMPRODUCT(--(($A$1=公区维修!$F163)+($A$1=公区维修!$G163)+$BN$1&gt;0)))</f>
        <v>0</v>
      </c>
      <c r="AT163" s="0" t="n">
        <f aca="false">IF(OR($A$2=公区维修!$F163,$A$2=公区维修!$G163,$BN$2=1),0,2-SUMPRODUCT(--(($A$1:$A$2=公区维修!$F163)+($A$1:$A$2=公区维修!$G163)+$BN$1:$BN$2&gt;0)))</f>
        <v>1</v>
      </c>
      <c r="AU163" s="0" t="n">
        <f aca="false">IF(OR($A$3=公区维修!$F163,$A$3=公区维修!$G163,$BN$3=1),0,3-SUMPRODUCT(--(($A$1:$A$3=公区维修!$F163)+($A$1:$A$3=公区维修!$G163)+$BN$1:$BN$3&gt;0)))</f>
        <v>2</v>
      </c>
      <c r="AV163" s="0" t="n">
        <f aca="false">IF(OR($A$4=公区维修!$F163,$A$4=公区维修!$G163,$BN$4=1),0,4-SUMPRODUCT(--(($A$1:$A$4=公区维修!$F163)+($A$1:$A$4=公区维修!$G163)+$BN$1:$BN$4&gt;0)))</f>
        <v>3</v>
      </c>
      <c r="AW163" s="0" t="n">
        <f aca="false">IF(OR($A$5=公区维修!$F163,$A$5=公区维修!$G163,$BN$5=1),0,5-SUMPRODUCT(--(($A$1:$A$5=公区维修!$F163)+($A$1:$A$5=公区维修!$G163)+$BN$1:$BN$5&gt;0)))</f>
        <v>4</v>
      </c>
      <c r="AY163" s="0" t="str">
        <f aca="false">IFERROR(INDEX($A$1:$A$5,MATCH(1,$AS163:$AW163,0)),IF(1=MAX($AS163:$AW163)+1,"取消",""))</f>
        <v>李师傅</v>
      </c>
      <c r="AZ163" s="0" t="str">
        <f aca="false">IFERROR(INDEX($A$1:$A$5,MATCH(2,$AS163:$AW163,0)),IF(2=MAX($AS163:$AW163)+1,"取消",""))</f>
        <v>王师傅</v>
      </c>
      <c r="BA163" s="0" t="str">
        <f aca="false">IFERROR(INDEX($A$1:$A$5,MATCH(3,$AS163:$AW163,0)),IF(3=MAX($AS163:$AW163)+1,"取消",""))</f>
        <v>陈师傅</v>
      </c>
      <c r="BB163" s="0" t="str">
        <f aca="false">IFERROR(INDEX($A$1:$A$5,MATCH(4,$AS163:$AW163,0)),IF(4=MAX($AS163:$AW163)+1,"取消",""))</f>
        <v>刘师傅</v>
      </c>
      <c r="BC163" s="0" t="str">
        <f aca="false">IFERROR(INDEX($A$1:$A$5,MATCH(5,$AS163:$AW163,0)),IF(5=MAX($AS163:$AW163)+1,"取消",""))</f>
        <v>取消</v>
      </c>
      <c r="BD163" s="0" t="str">
        <f aca="false">IFERROR(INDEX($A$1:$A$5,MATCH(6,$AS163:$AW163,0)),IF(6=MAX($AS163:$AW163)+1,"取消",""))</f>
        <v/>
      </c>
      <c r="FW163" s="0" t="str">
        <f aca="false">IF(AND(单元查询!$D$3&lt;&gt;"",IF(单元查询!$B$3="公区维修",公区维修!$E163&lt;&gt;"",入户维修!$E163&lt;&gt;""),IF(单元查询!$B$3="公区维修",公区维修!$C163,入户维修!$C163)=单元查询!$D$3,OR(单元查询!$F$3="",IF(单元查询!$B$3="公区维修",公区维修!$D163,入户维修!$D163)&amp;""=(单元查询!$F$3)&amp;"")),MAX($FW$4:$FW162)+1,"")</f>
        <v/>
      </c>
    </row>
    <row r="164" customFormat="false" ht="15" hidden="false" customHeight="true" outlineLevel="0" collapsed="false">
      <c r="F164" s="0" t="n">
        <f aca="false">IF(OR($A$1=入户维修!$F164,$BN$1=1),0,1-SUMPRODUCT(--(($A$1=入户维修!$F164)+$BN$1&gt;0)))</f>
        <v>0</v>
      </c>
      <c r="G164" s="0" t="n">
        <f aca="false">IF(OR($A$2=入户维修!$F164,$BN$2=1),0,2-SUMPRODUCT(--(($A$1:$A$2=入户维修!$F164)+$BN$1:$BN$2&gt;0)))</f>
        <v>1</v>
      </c>
      <c r="H164" s="0" t="n">
        <f aca="false">IF(OR($A$3=入户维修!$F164,$BN$3=1),0,3-SUMPRODUCT(--(($A$1:$A$3=入户维修!$F164)+$BN$1:$BN$3&gt;0)))</f>
        <v>2</v>
      </c>
      <c r="I164" s="0" t="n">
        <f aca="false">IF(OR($A$4=入户维修!$F164,$BN$4=1),0,4-SUMPRODUCT(--(($A$1:$A$4=入户维修!$F164)+$BN$1:$BN$4&gt;0)))</f>
        <v>3</v>
      </c>
      <c r="J164" s="0" t="n">
        <f aca="false">IF(OR($A$5=入户维修!$F164,$BN$5=1),0,5-SUMPRODUCT(--(($A$1:$A$5=入户维修!$F164)+$BN$1:$BN$5&gt;0)))</f>
        <v>4</v>
      </c>
      <c r="L164" s="0" t="str">
        <f aca="false">IFERROR(INDEX($A$1:$A$5,MATCH(1,$F164:$J164,0)),IF(1=MAX($F164:$J164)+1,"取消",""))</f>
        <v>李师傅</v>
      </c>
      <c r="M164" s="0" t="str">
        <f aca="false">IFERROR(INDEX($A$1:$A$5,MATCH(2,$F164:$J164,0)),IF(2=MAX($F164:$J164)+1,"取消",""))</f>
        <v>王师傅</v>
      </c>
      <c r="N164" s="0" t="str">
        <f aca="false">IFERROR(INDEX($A$1:$A$5,MATCH(3,$F164:$J164,0)),IF(3=MAX($F164:$J164)+1,"取消",""))</f>
        <v>陈师傅</v>
      </c>
      <c r="O164" s="0" t="str">
        <f aca="false">IFERROR(INDEX($A$1:$A$5,MATCH(4,$F164:$J164,0)),IF(4=MAX($F164:$J164)+1,"取消",""))</f>
        <v>刘师傅</v>
      </c>
      <c r="P164" s="0" t="str">
        <f aca="false">IFERROR(INDEX($A$1:$A$5,MATCH(5,$F164:$J164,0)),IF(5=MAX($F164:$J164)+1,"取消",""))</f>
        <v>取消</v>
      </c>
      <c r="Q164" s="0" t="str">
        <f aca="false">IFERROR(INDEX($A$1:$A$5,MATCH(6,$F164:$J164,0)),IF(6=MAX($F164:$J164)+1,"取消",""))</f>
        <v/>
      </c>
      <c r="S164" s="0" t="n">
        <f aca="false">IF(OR($A$1=入户维修!$F164,$A$1=入户维修!$G164,$BN$1=1),0,1-SUMPRODUCT(--(($A$1=入户维修!$F164)+($A$1=入户维修!$G164)+$BN$1&gt;0)))</f>
        <v>0</v>
      </c>
      <c r="T164" s="0" t="n">
        <f aca="false">IF(OR($A$2=入户维修!$F164,$A$2=入户维修!$G164,$BN$2=1),0,2-SUMPRODUCT(--(($A$1:$A$2=入户维修!$F164)+($A$1:$A$2=入户维修!$G164)+$BN$1:$BN$2&gt;0)))</f>
        <v>1</v>
      </c>
      <c r="U164" s="0" t="n">
        <f aca="false">IF(OR($A$3=入户维修!$F164,$A$3=入户维修!$G164,$BN$3=1),0,3-SUMPRODUCT(--(($A$1:$A$3=入户维修!$F164)+($A$1:$A$3=入户维修!$G164)+$BN$1:$BN$3&gt;0)))</f>
        <v>2</v>
      </c>
      <c r="V164" s="0" t="n">
        <f aca="false">IF(OR($A$4=入户维修!$F164,$A$4=入户维修!$G164,$BN$4=1),0,4-SUMPRODUCT(--(($A$1:$A$4=入户维修!$F164)+($A$1:$A$4=入户维修!$G164)+$BN$1:$BN$4&gt;0)))</f>
        <v>3</v>
      </c>
      <c r="W164" s="0" t="n">
        <f aca="false">IF(OR($A$5=入户维修!$F164,$A$5=入户维修!$G164,$BN$5=1),0,5-SUMPRODUCT(--(($A$1:$A$5=入户维修!$F164)+($A$1:$A$5=入户维修!$G164)+$BN$1:$BN$5&gt;0)))</f>
        <v>4</v>
      </c>
      <c r="Y164" s="0" t="str">
        <f aca="false">IFERROR(INDEX($A$1:$A$5,MATCH(1,$S164:$W164,0)),IF(1=MAX($S164:$W164)+1,"取消",""))</f>
        <v>李师傅</v>
      </c>
      <c r="Z164" s="0" t="str">
        <f aca="false">IFERROR(INDEX($A$1:$A$5,MATCH(2,$S164:$W164,0)),IF(2=MAX($S164:$W164)+1,"取消",""))</f>
        <v>王师傅</v>
      </c>
      <c r="AA164" s="0" t="str">
        <f aca="false">IFERROR(INDEX($A$1:$A$5,MATCH(3,$S164:$W164,0)),IF(3=MAX($S164:$W164)+1,"取消",""))</f>
        <v>陈师傅</v>
      </c>
      <c r="AB164" s="0" t="str">
        <f aca="false">IFERROR(INDEX($A$1:$A$5,MATCH(4,$S164:$W164,0)),IF(4=MAX($S164:$W164)+1,"取消",""))</f>
        <v>刘师傅</v>
      </c>
      <c r="AC164" s="0" t="str">
        <f aca="false">IFERROR(INDEX($A$1:$A$5,MATCH(5,$S164:$W164,0)),IF(5=MAX($S164:$W164)+1,"取消",""))</f>
        <v>取消</v>
      </c>
      <c r="AD164" s="0" t="str">
        <f aca="false">IFERROR(INDEX($A$1:$A$5,MATCH(6,$S164:$W164,0)),IF(6=MAX($S164:$W164)+1,"取消",""))</f>
        <v/>
      </c>
      <c r="AF164" s="0" t="n">
        <f aca="false">IF(OR($A$1=公区维修!$F164,$BN$1=1),0,1-SUMPRODUCT(--(($A$1=公区维修!$F164)+$BN$1&gt;0)))</f>
        <v>0</v>
      </c>
      <c r="AG164" s="0" t="n">
        <f aca="false">IF(OR($A$2=公区维修!$F164,$BN$2=1),0,2-SUMPRODUCT(--(($A$1:$A$2=公区维修!$F164)+$BN$1:$BN$2&gt;0)))</f>
        <v>1</v>
      </c>
      <c r="AH164" s="0" t="n">
        <f aca="false">IF(OR($A$3=公区维修!$F164,$BN$3=1),0,3-SUMPRODUCT(--(($A$1:$A$3=公区维修!$F164)+$BN$1:$BN$3&gt;0)))</f>
        <v>2</v>
      </c>
      <c r="AI164" s="0" t="n">
        <f aca="false">IF(OR($A$4=公区维修!$F164,$BN$4=1),0,4-SUMPRODUCT(--(($A$1:$A$4=公区维修!$F164)+$BN$1:$BN$4&gt;0)))</f>
        <v>3</v>
      </c>
      <c r="AJ164" s="0" t="n">
        <f aca="false">IF(OR($A$5=公区维修!$F164,$BN$5=1),0,5-SUMPRODUCT(--(($A$1:$A$5=公区维修!$F164)+$BN$1:$BN$5&gt;0)))</f>
        <v>4</v>
      </c>
      <c r="AL164" s="0" t="str">
        <f aca="false">IFERROR(INDEX($A$1:$A$5,MATCH(1,$AF164:$AJ164,0)),IF(1=MAX($AF164:$AJ164)+1,"取消",""))</f>
        <v>李师傅</v>
      </c>
      <c r="AM164" s="0" t="str">
        <f aca="false">IFERROR(INDEX($A$1:$A$5,MATCH(2,$AF164:$AJ164,0)),IF(2=MAX($AF164:$AJ164)+1,"取消",""))</f>
        <v>王师傅</v>
      </c>
      <c r="AN164" s="0" t="str">
        <f aca="false">IFERROR(INDEX($A$1:$A$5,MATCH(3,$AF164:$AJ164,0)),IF(3=MAX($AF164:$AJ164)+1,"取消",""))</f>
        <v>陈师傅</v>
      </c>
      <c r="AO164" s="0" t="str">
        <f aca="false">IFERROR(INDEX($A$1:$A$5,MATCH(4,$AF164:$AJ164,0)),IF(4=MAX($AF164:$AJ164)+1,"取消",""))</f>
        <v>刘师傅</v>
      </c>
      <c r="AP164" s="0" t="str">
        <f aca="false">IFERROR(INDEX($A$1:$A$5,MATCH(5,$AF164:$AJ164,0)),IF(5=MAX($AF164:$AJ164)+1,"取消",""))</f>
        <v>取消</v>
      </c>
      <c r="AQ164" s="0" t="str">
        <f aca="false">IFERROR(INDEX($A$1:$A$5,MATCH(6,$AF164:$AJ164,0)),IF(6=MAX($AF164:$AJ164)+1,"取消",""))</f>
        <v/>
      </c>
      <c r="AS164" s="0" t="n">
        <f aca="false">IF(OR($A$1=公区维修!$F164,$A$1=公区维修!$G164,$BN$1=1),0,1-SUMPRODUCT(--(($A$1=公区维修!$F164)+($A$1=公区维修!$G164)+$BN$1&gt;0)))</f>
        <v>0</v>
      </c>
      <c r="AT164" s="0" t="n">
        <f aca="false">IF(OR($A$2=公区维修!$F164,$A$2=公区维修!$G164,$BN$2=1),0,2-SUMPRODUCT(--(($A$1:$A$2=公区维修!$F164)+($A$1:$A$2=公区维修!$G164)+$BN$1:$BN$2&gt;0)))</f>
        <v>1</v>
      </c>
      <c r="AU164" s="0" t="n">
        <f aca="false">IF(OR($A$3=公区维修!$F164,$A$3=公区维修!$G164,$BN$3=1),0,3-SUMPRODUCT(--(($A$1:$A$3=公区维修!$F164)+($A$1:$A$3=公区维修!$G164)+$BN$1:$BN$3&gt;0)))</f>
        <v>2</v>
      </c>
      <c r="AV164" s="0" t="n">
        <f aca="false">IF(OR($A$4=公区维修!$F164,$A$4=公区维修!$G164,$BN$4=1),0,4-SUMPRODUCT(--(($A$1:$A$4=公区维修!$F164)+($A$1:$A$4=公区维修!$G164)+$BN$1:$BN$4&gt;0)))</f>
        <v>3</v>
      </c>
      <c r="AW164" s="0" t="n">
        <f aca="false">IF(OR($A$5=公区维修!$F164,$A$5=公区维修!$G164,$BN$5=1),0,5-SUMPRODUCT(--(($A$1:$A$5=公区维修!$F164)+($A$1:$A$5=公区维修!$G164)+$BN$1:$BN$5&gt;0)))</f>
        <v>4</v>
      </c>
      <c r="AY164" s="0" t="str">
        <f aca="false">IFERROR(INDEX($A$1:$A$5,MATCH(1,$AS164:$AW164,0)),IF(1=MAX($AS164:$AW164)+1,"取消",""))</f>
        <v>李师傅</v>
      </c>
      <c r="AZ164" s="0" t="str">
        <f aca="false">IFERROR(INDEX($A$1:$A$5,MATCH(2,$AS164:$AW164,0)),IF(2=MAX($AS164:$AW164)+1,"取消",""))</f>
        <v>王师傅</v>
      </c>
      <c r="BA164" s="0" t="str">
        <f aca="false">IFERROR(INDEX($A$1:$A$5,MATCH(3,$AS164:$AW164,0)),IF(3=MAX($AS164:$AW164)+1,"取消",""))</f>
        <v>陈师傅</v>
      </c>
      <c r="BB164" s="0" t="str">
        <f aca="false">IFERROR(INDEX($A$1:$A$5,MATCH(4,$AS164:$AW164,0)),IF(4=MAX($AS164:$AW164)+1,"取消",""))</f>
        <v>刘师傅</v>
      </c>
      <c r="BC164" s="0" t="str">
        <f aca="false">IFERROR(INDEX($A$1:$A$5,MATCH(5,$AS164:$AW164,0)),IF(5=MAX($AS164:$AW164)+1,"取消",""))</f>
        <v>取消</v>
      </c>
      <c r="BD164" s="0" t="str">
        <f aca="false">IFERROR(INDEX($A$1:$A$5,MATCH(6,$AS164:$AW164,0)),IF(6=MAX($AS164:$AW164)+1,"取消",""))</f>
        <v/>
      </c>
      <c r="FW164" s="0" t="str">
        <f aca="false">IF(AND(单元查询!$D$3&lt;&gt;"",IF(单元查询!$B$3="公区维修",公区维修!$E164&lt;&gt;"",入户维修!$E164&lt;&gt;""),IF(单元查询!$B$3="公区维修",公区维修!$C164,入户维修!$C164)=单元查询!$D$3,OR(单元查询!$F$3="",IF(单元查询!$B$3="公区维修",公区维修!$D164,入户维修!$D164)&amp;""=(单元查询!$F$3)&amp;"")),MAX($FW$4:$FW163)+1,"")</f>
        <v/>
      </c>
    </row>
    <row r="165" customFormat="false" ht="15" hidden="false" customHeight="true" outlineLevel="0" collapsed="false">
      <c r="F165" s="0" t="n">
        <f aca="false">IF(OR($A$1=入户维修!$F165,$BN$1=1),0,1-SUMPRODUCT(--(($A$1=入户维修!$F165)+$BN$1&gt;0)))</f>
        <v>0</v>
      </c>
      <c r="G165" s="0" t="n">
        <f aca="false">IF(OR($A$2=入户维修!$F165,$BN$2=1),0,2-SUMPRODUCT(--(($A$1:$A$2=入户维修!$F165)+$BN$1:$BN$2&gt;0)))</f>
        <v>1</v>
      </c>
      <c r="H165" s="0" t="n">
        <f aca="false">IF(OR($A$3=入户维修!$F165,$BN$3=1),0,3-SUMPRODUCT(--(($A$1:$A$3=入户维修!$F165)+$BN$1:$BN$3&gt;0)))</f>
        <v>2</v>
      </c>
      <c r="I165" s="0" t="n">
        <f aca="false">IF(OR($A$4=入户维修!$F165,$BN$4=1),0,4-SUMPRODUCT(--(($A$1:$A$4=入户维修!$F165)+$BN$1:$BN$4&gt;0)))</f>
        <v>3</v>
      </c>
      <c r="J165" s="0" t="n">
        <f aca="false">IF(OR($A$5=入户维修!$F165,$BN$5=1),0,5-SUMPRODUCT(--(($A$1:$A$5=入户维修!$F165)+$BN$1:$BN$5&gt;0)))</f>
        <v>4</v>
      </c>
      <c r="L165" s="0" t="str">
        <f aca="false">IFERROR(INDEX($A$1:$A$5,MATCH(1,$F165:$J165,0)),IF(1=MAX($F165:$J165)+1,"取消",""))</f>
        <v>李师傅</v>
      </c>
      <c r="M165" s="0" t="str">
        <f aca="false">IFERROR(INDEX($A$1:$A$5,MATCH(2,$F165:$J165,0)),IF(2=MAX($F165:$J165)+1,"取消",""))</f>
        <v>王师傅</v>
      </c>
      <c r="N165" s="0" t="str">
        <f aca="false">IFERROR(INDEX($A$1:$A$5,MATCH(3,$F165:$J165,0)),IF(3=MAX($F165:$J165)+1,"取消",""))</f>
        <v>陈师傅</v>
      </c>
      <c r="O165" s="0" t="str">
        <f aca="false">IFERROR(INDEX($A$1:$A$5,MATCH(4,$F165:$J165,0)),IF(4=MAX($F165:$J165)+1,"取消",""))</f>
        <v>刘师傅</v>
      </c>
      <c r="P165" s="0" t="str">
        <f aca="false">IFERROR(INDEX($A$1:$A$5,MATCH(5,$F165:$J165,0)),IF(5=MAX($F165:$J165)+1,"取消",""))</f>
        <v>取消</v>
      </c>
      <c r="Q165" s="0" t="str">
        <f aca="false">IFERROR(INDEX($A$1:$A$5,MATCH(6,$F165:$J165,0)),IF(6=MAX($F165:$J165)+1,"取消",""))</f>
        <v/>
      </c>
      <c r="S165" s="0" t="n">
        <f aca="false">IF(OR($A$1=入户维修!$F165,$A$1=入户维修!$G165,$BN$1=1),0,1-SUMPRODUCT(--(($A$1=入户维修!$F165)+($A$1=入户维修!$G165)+$BN$1&gt;0)))</f>
        <v>0</v>
      </c>
      <c r="T165" s="0" t="n">
        <f aca="false">IF(OR($A$2=入户维修!$F165,$A$2=入户维修!$G165,$BN$2=1),0,2-SUMPRODUCT(--(($A$1:$A$2=入户维修!$F165)+($A$1:$A$2=入户维修!$G165)+$BN$1:$BN$2&gt;0)))</f>
        <v>1</v>
      </c>
      <c r="U165" s="0" t="n">
        <f aca="false">IF(OR($A$3=入户维修!$F165,$A$3=入户维修!$G165,$BN$3=1),0,3-SUMPRODUCT(--(($A$1:$A$3=入户维修!$F165)+($A$1:$A$3=入户维修!$G165)+$BN$1:$BN$3&gt;0)))</f>
        <v>2</v>
      </c>
      <c r="V165" s="0" t="n">
        <f aca="false">IF(OR($A$4=入户维修!$F165,$A$4=入户维修!$G165,$BN$4=1),0,4-SUMPRODUCT(--(($A$1:$A$4=入户维修!$F165)+($A$1:$A$4=入户维修!$G165)+$BN$1:$BN$4&gt;0)))</f>
        <v>3</v>
      </c>
      <c r="W165" s="0" t="n">
        <f aca="false">IF(OR($A$5=入户维修!$F165,$A$5=入户维修!$G165,$BN$5=1),0,5-SUMPRODUCT(--(($A$1:$A$5=入户维修!$F165)+($A$1:$A$5=入户维修!$G165)+$BN$1:$BN$5&gt;0)))</f>
        <v>4</v>
      </c>
      <c r="Y165" s="0" t="str">
        <f aca="false">IFERROR(INDEX($A$1:$A$5,MATCH(1,$S165:$W165,0)),IF(1=MAX($S165:$W165)+1,"取消",""))</f>
        <v>李师傅</v>
      </c>
      <c r="Z165" s="0" t="str">
        <f aca="false">IFERROR(INDEX($A$1:$A$5,MATCH(2,$S165:$W165,0)),IF(2=MAX($S165:$W165)+1,"取消",""))</f>
        <v>王师傅</v>
      </c>
      <c r="AA165" s="0" t="str">
        <f aca="false">IFERROR(INDEX($A$1:$A$5,MATCH(3,$S165:$W165,0)),IF(3=MAX($S165:$W165)+1,"取消",""))</f>
        <v>陈师傅</v>
      </c>
      <c r="AB165" s="0" t="str">
        <f aca="false">IFERROR(INDEX($A$1:$A$5,MATCH(4,$S165:$W165,0)),IF(4=MAX($S165:$W165)+1,"取消",""))</f>
        <v>刘师傅</v>
      </c>
      <c r="AC165" s="0" t="str">
        <f aca="false">IFERROR(INDEX($A$1:$A$5,MATCH(5,$S165:$W165,0)),IF(5=MAX($S165:$W165)+1,"取消",""))</f>
        <v>取消</v>
      </c>
      <c r="AD165" s="0" t="str">
        <f aca="false">IFERROR(INDEX($A$1:$A$5,MATCH(6,$S165:$W165,0)),IF(6=MAX($S165:$W165)+1,"取消",""))</f>
        <v/>
      </c>
      <c r="AF165" s="0" t="n">
        <f aca="false">IF(OR($A$1=公区维修!$F165,$BN$1=1),0,1-SUMPRODUCT(--(($A$1=公区维修!$F165)+$BN$1&gt;0)))</f>
        <v>0</v>
      </c>
      <c r="AG165" s="0" t="n">
        <f aca="false">IF(OR($A$2=公区维修!$F165,$BN$2=1),0,2-SUMPRODUCT(--(($A$1:$A$2=公区维修!$F165)+$BN$1:$BN$2&gt;0)))</f>
        <v>1</v>
      </c>
      <c r="AH165" s="0" t="n">
        <f aca="false">IF(OR($A$3=公区维修!$F165,$BN$3=1),0,3-SUMPRODUCT(--(($A$1:$A$3=公区维修!$F165)+$BN$1:$BN$3&gt;0)))</f>
        <v>2</v>
      </c>
      <c r="AI165" s="0" t="n">
        <f aca="false">IF(OR($A$4=公区维修!$F165,$BN$4=1),0,4-SUMPRODUCT(--(($A$1:$A$4=公区维修!$F165)+$BN$1:$BN$4&gt;0)))</f>
        <v>3</v>
      </c>
      <c r="AJ165" s="0" t="n">
        <f aca="false">IF(OR($A$5=公区维修!$F165,$BN$5=1),0,5-SUMPRODUCT(--(($A$1:$A$5=公区维修!$F165)+$BN$1:$BN$5&gt;0)))</f>
        <v>4</v>
      </c>
      <c r="AL165" s="0" t="str">
        <f aca="false">IFERROR(INDEX($A$1:$A$5,MATCH(1,$AF165:$AJ165,0)),IF(1=MAX($AF165:$AJ165)+1,"取消",""))</f>
        <v>李师傅</v>
      </c>
      <c r="AM165" s="0" t="str">
        <f aca="false">IFERROR(INDEX($A$1:$A$5,MATCH(2,$AF165:$AJ165,0)),IF(2=MAX($AF165:$AJ165)+1,"取消",""))</f>
        <v>王师傅</v>
      </c>
      <c r="AN165" s="0" t="str">
        <f aca="false">IFERROR(INDEX($A$1:$A$5,MATCH(3,$AF165:$AJ165,0)),IF(3=MAX($AF165:$AJ165)+1,"取消",""))</f>
        <v>陈师傅</v>
      </c>
      <c r="AO165" s="0" t="str">
        <f aca="false">IFERROR(INDEX($A$1:$A$5,MATCH(4,$AF165:$AJ165,0)),IF(4=MAX($AF165:$AJ165)+1,"取消",""))</f>
        <v>刘师傅</v>
      </c>
      <c r="AP165" s="0" t="str">
        <f aca="false">IFERROR(INDEX($A$1:$A$5,MATCH(5,$AF165:$AJ165,0)),IF(5=MAX($AF165:$AJ165)+1,"取消",""))</f>
        <v>取消</v>
      </c>
      <c r="AQ165" s="0" t="str">
        <f aca="false">IFERROR(INDEX($A$1:$A$5,MATCH(6,$AF165:$AJ165,0)),IF(6=MAX($AF165:$AJ165)+1,"取消",""))</f>
        <v/>
      </c>
      <c r="AS165" s="0" t="n">
        <f aca="false">IF(OR($A$1=公区维修!$F165,$A$1=公区维修!$G165,$BN$1=1),0,1-SUMPRODUCT(--(($A$1=公区维修!$F165)+($A$1=公区维修!$G165)+$BN$1&gt;0)))</f>
        <v>0</v>
      </c>
      <c r="AT165" s="0" t="n">
        <f aca="false">IF(OR($A$2=公区维修!$F165,$A$2=公区维修!$G165,$BN$2=1),0,2-SUMPRODUCT(--(($A$1:$A$2=公区维修!$F165)+($A$1:$A$2=公区维修!$G165)+$BN$1:$BN$2&gt;0)))</f>
        <v>1</v>
      </c>
      <c r="AU165" s="0" t="n">
        <f aca="false">IF(OR($A$3=公区维修!$F165,$A$3=公区维修!$G165,$BN$3=1),0,3-SUMPRODUCT(--(($A$1:$A$3=公区维修!$F165)+($A$1:$A$3=公区维修!$G165)+$BN$1:$BN$3&gt;0)))</f>
        <v>2</v>
      </c>
      <c r="AV165" s="0" t="n">
        <f aca="false">IF(OR($A$4=公区维修!$F165,$A$4=公区维修!$G165,$BN$4=1),0,4-SUMPRODUCT(--(($A$1:$A$4=公区维修!$F165)+($A$1:$A$4=公区维修!$G165)+$BN$1:$BN$4&gt;0)))</f>
        <v>3</v>
      </c>
      <c r="AW165" s="0" t="n">
        <f aca="false">IF(OR($A$5=公区维修!$F165,$A$5=公区维修!$G165,$BN$5=1),0,5-SUMPRODUCT(--(($A$1:$A$5=公区维修!$F165)+($A$1:$A$5=公区维修!$G165)+$BN$1:$BN$5&gt;0)))</f>
        <v>4</v>
      </c>
      <c r="AY165" s="0" t="str">
        <f aca="false">IFERROR(INDEX($A$1:$A$5,MATCH(1,$AS165:$AW165,0)),IF(1=MAX($AS165:$AW165)+1,"取消",""))</f>
        <v>李师傅</v>
      </c>
      <c r="AZ165" s="0" t="str">
        <f aca="false">IFERROR(INDEX($A$1:$A$5,MATCH(2,$AS165:$AW165,0)),IF(2=MAX($AS165:$AW165)+1,"取消",""))</f>
        <v>王师傅</v>
      </c>
      <c r="BA165" s="0" t="str">
        <f aca="false">IFERROR(INDEX($A$1:$A$5,MATCH(3,$AS165:$AW165,0)),IF(3=MAX($AS165:$AW165)+1,"取消",""))</f>
        <v>陈师傅</v>
      </c>
      <c r="BB165" s="0" t="str">
        <f aca="false">IFERROR(INDEX($A$1:$A$5,MATCH(4,$AS165:$AW165,0)),IF(4=MAX($AS165:$AW165)+1,"取消",""))</f>
        <v>刘师傅</v>
      </c>
      <c r="BC165" s="0" t="str">
        <f aca="false">IFERROR(INDEX($A$1:$A$5,MATCH(5,$AS165:$AW165,0)),IF(5=MAX($AS165:$AW165)+1,"取消",""))</f>
        <v>取消</v>
      </c>
      <c r="BD165" s="0" t="str">
        <f aca="false">IFERROR(INDEX($A$1:$A$5,MATCH(6,$AS165:$AW165,0)),IF(6=MAX($AS165:$AW165)+1,"取消",""))</f>
        <v/>
      </c>
      <c r="FW165" s="0" t="str">
        <f aca="false">IF(AND(单元查询!$D$3&lt;&gt;"",IF(单元查询!$B$3="公区维修",公区维修!$E165&lt;&gt;"",入户维修!$E165&lt;&gt;""),IF(单元查询!$B$3="公区维修",公区维修!$C165,入户维修!$C165)=单元查询!$D$3,OR(单元查询!$F$3="",IF(单元查询!$B$3="公区维修",公区维修!$D165,入户维修!$D165)&amp;""=(单元查询!$F$3)&amp;"")),MAX($FW$4:$FW164)+1,"")</f>
        <v/>
      </c>
    </row>
    <row r="166" customFormat="false" ht="15" hidden="false" customHeight="true" outlineLevel="0" collapsed="false">
      <c r="F166" s="0" t="n">
        <f aca="false">IF(OR($A$1=入户维修!$F166,$BN$1=1),0,1-SUMPRODUCT(--(($A$1=入户维修!$F166)+$BN$1&gt;0)))</f>
        <v>0</v>
      </c>
      <c r="G166" s="0" t="n">
        <f aca="false">IF(OR($A$2=入户维修!$F166,$BN$2=1),0,2-SUMPRODUCT(--(($A$1:$A$2=入户维修!$F166)+$BN$1:$BN$2&gt;0)))</f>
        <v>1</v>
      </c>
      <c r="H166" s="0" t="n">
        <f aca="false">IF(OR($A$3=入户维修!$F166,$BN$3=1),0,3-SUMPRODUCT(--(($A$1:$A$3=入户维修!$F166)+$BN$1:$BN$3&gt;0)))</f>
        <v>2</v>
      </c>
      <c r="I166" s="0" t="n">
        <f aca="false">IF(OR($A$4=入户维修!$F166,$BN$4=1),0,4-SUMPRODUCT(--(($A$1:$A$4=入户维修!$F166)+$BN$1:$BN$4&gt;0)))</f>
        <v>3</v>
      </c>
      <c r="J166" s="0" t="n">
        <f aca="false">IF(OR($A$5=入户维修!$F166,$BN$5=1),0,5-SUMPRODUCT(--(($A$1:$A$5=入户维修!$F166)+$BN$1:$BN$5&gt;0)))</f>
        <v>4</v>
      </c>
      <c r="L166" s="0" t="str">
        <f aca="false">IFERROR(INDEX($A$1:$A$5,MATCH(1,$F166:$J166,0)),IF(1=MAX($F166:$J166)+1,"取消",""))</f>
        <v>李师傅</v>
      </c>
      <c r="M166" s="0" t="str">
        <f aca="false">IFERROR(INDEX($A$1:$A$5,MATCH(2,$F166:$J166,0)),IF(2=MAX($F166:$J166)+1,"取消",""))</f>
        <v>王师傅</v>
      </c>
      <c r="N166" s="0" t="str">
        <f aca="false">IFERROR(INDEX($A$1:$A$5,MATCH(3,$F166:$J166,0)),IF(3=MAX($F166:$J166)+1,"取消",""))</f>
        <v>陈师傅</v>
      </c>
      <c r="O166" s="0" t="str">
        <f aca="false">IFERROR(INDEX($A$1:$A$5,MATCH(4,$F166:$J166,0)),IF(4=MAX($F166:$J166)+1,"取消",""))</f>
        <v>刘师傅</v>
      </c>
      <c r="P166" s="0" t="str">
        <f aca="false">IFERROR(INDEX($A$1:$A$5,MATCH(5,$F166:$J166,0)),IF(5=MAX($F166:$J166)+1,"取消",""))</f>
        <v>取消</v>
      </c>
      <c r="Q166" s="0" t="str">
        <f aca="false">IFERROR(INDEX($A$1:$A$5,MATCH(6,$F166:$J166,0)),IF(6=MAX($F166:$J166)+1,"取消",""))</f>
        <v/>
      </c>
      <c r="S166" s="0" t="n">
        <f aca="false">IF(OR($A$1=入户维修!$F166,$A$1=入户维修!$G166,$BN$1=1),0,1-SUMPRODUCT(--(($A$1=入户维修!$F166)+($A$1=入户维修!$G166)+$BN$1&gt;0)))</f>
        <v>0</v>
      </c>
      <c r="T166" s="0" t="n">
        <f aca="false">IF(OR($A$2=入户维修!$F166,$A$2=入户维修!$G166,$BN$2=1),0,2-SUMPRODUCT(--(($A$1:$A$2=入户维修!$F166)+($A$1:$A$2=入户维修!$G166)+$BN$1:$BN$2&gt;0)))</f>
        <v>1</v>
      </c>
      <c r="U166" s="0" t="n">
        <f aca="false">IF(OR($A$3=入户维修!$F166,$A$3=入户维修!$G166,$BN$3=1),0,3-SUMPRODUCT(--(($A$1:$A$3=入户维修!$F166)+($A$1:$A$3=入户维修!$G166)+$BN$1:$BN$3&gt;0)))</f>
        <v>2</v>
      </c>
      <c r="V166" s="0" t="n">
        <f aca="false">IF(OR($A$4=入户维修!$F166,$A$4=入户维修!$G166,$BN$4=1),0,4-SUMPRODUCT(--(($A$1:$A$4=入户维修!$F166)+($A$1:$A$4=入户维修!$G166)+$BN$1:$BN$4&gt;0)))</f>
        <v>3</v>
      </c>
      <c r="W166" s="0" t="n">
        <f aca="false">IF(OR($A$5=入户维修!$F166,$A$5=入户维修!$G166,$BN$5=1),0,5-SUMPRODUCT(--(($A$1:$A$5=入户维修!$F166)+($A$1:$A$5=入户维修!$G166)+$BN$1:$BN$5&gt;0)))</f>
        <v>4</v>
      </c>
      <c r="Y166" s="0" t="str">
        <f aca="false">IFERROR(INDEX($A$1:$A$5,MATCH(1,$S166:$W166,0)),IF(1=MAX($S166:$W166)+1,"取消",""))</f>
        <v>李师傅</v>
      </c>
      <c r="Z166" s="0" t="str">
        <f aca="false">IFERROR(INDEX($A$1:$A$5,MATCH(2,$S166:$W166,0)),IF(2=MAX($S166:$W166)+1,"取消",""))</f>
        <v>王师傅</v>
      </c>
      <c r="AA166" s="0" t="str">
        <f aca="false">IFERROR(INDEX($A$1:$A$5,MATCH(3,$S166:$W166,0)),IF(3=MAX($S166:$W166)+1,"取消",""))</f>
        <v>陈师傅</v>
      </c>
      <c r="AB166" s="0" t="str">
        <f aca="false">IFERROR(INDEX($A$1:$A$5,MATCH(4,$S166:$W166,0)),IF(4=MAX($S166:$W166)+1,"取消",""))</f>
        <v>刘师傅</v>
      </c>
      <c r="AC166" s="0" t="str">
        <f aca="false">IFERROR(INDEX($A$1:$A$5,MATCH(5,$S166:$W166,0)),IF(5=MAX($S166:$W166)+1,"取消",""))</f>
        <v>取消</v>
      </c>
      <c r="AD166" s="0" t="str">
        <f aca="false">IFERROR(INDEX($A$1:$A$5,MATCH(6,$S166:$W166,0)),IF(6=MAX($S166:$W166)+1,"取消",""))</f>
        <v/>
      </c>
      <c r="AF166" s="0" t="n">
        <f aca="false">IF(OR($A$1=公区维修!$F166,$BN$1=1),0,1-SUMPRODUCT(--(($A$1=公区维修!$F166)+$BN$1&gt;0)))</f>
        <v>0</v>
      </c>
      <c r="AG166" s="0" t="n">
        <f aca="false">IF(OR($A$2=公区维修!$F166,$BN$2=1),0,2-SUMPRODUCT(--(($A$1:$A$2=公区维修!$F166)+$BN$1:$BN$2&gt;0)))</f>
        <v>1</v>
      </c>
      <c r="AH166" s="0" t="n">
        <f aca="false">IF(OR($A$3=公区维修!$F166,$BN$3=1),0,3-SUMPRODUCT(--(($A$1:$A$3=公区维修!$F166)+$BN$1:$BN$3&gt;0)))</f>
        <v>2</v>
      </c>
      <c r="AI166" s="0" t="n">
        <f aca="false">IF(OR($A$4=公区维修!$F166,$BN$4=1),0,4-SUMPRODUCT(--(($A$1:$A$4=公区维修!$F166)+$BN$1:$BN$4&gt;0)))</f>
        <v>3</v>
      </c>
      <c r="AJ166" s="0" t="n">
        <f aca="false">IF(OR($A$5=公区维修!$F166,$BN$5=1),0,5-SUMPRODUCT(--(($A$1:$A$5=公区维修!$F166)+$BN$1:$BN$5&gt;0)))</f>
        <v>4</v>
      </c>
      <c r="AL166" s="0" t="str">
        <f aca="false">IFERROR(INDEX($A$1:$A$5,MATCH(1,$AF166:$AJ166,0)),IF(1=MAX($AF166:$AJ166)+1,"取消",""))</f>
        <v>李师傅</v>
      </c>
      <c r="AM166" s="0" t="str">
        <f aca="false">IFERROR(INDEX($A$1:$A$5,MATCH(2,$AF166:$AJ166,0)),IF(2=MAX($AF166:$AJ166)+1,"取消",""))</f>
        <v>王师傅</v>
      </c>
      <c r="AN166" s="0" t="str">
        <f aca="false">IFERROR(INDEX($A$1:$A$5,MATCH(3,$AF166:$AJ166,0)),IF(3=MAX($AF166:$AJ166)+1,"取消",""))</f>
        <v>陈师傅</v>
      </c>
      <c r="AO166" s="0" t="str">
        <f aca="false">IFERROR(INDEX($A$1:$A$5,MATCH(4,$AF166:$AJ166,0)),IF(4=MAX($AF166:$AJ166)+1,"取消",""))</f>
        <v>刘师傅</v>
      </c>
      <c r="AP166" s="0" t="str">
        <f aca="false">IFERROR(INDEX($A$1:$A$5,MATCH(5,$AF166:$AJ166,0)),IF(5=MAX($AF166:$AJ166)+1,"取消",""))</f>
        <v>取消</v>
      </c>
      <c r="AQ166" s="0" t="str">
        <f aca="false">IFERROR(INDEX($A$1:$A$5,MATCH(6,$AF166:$AJ166,0)),IF(6=MAX($AF166:$AJ166)+1,"取消",""))</f>
        <v/>
      </c>
      <c r="AS166" s="0" t="n">
        <f aca="false">IF(OR($A$1=公区维修!$F166,$A$1=公区维修!$G166,$BN$1=1),0,1-SUMPRODUCT(--(($A$1=公区维修!$F166)+($A$1=公区维修!$G166)+$BN$1&gt;0)))</f>
        <v>0</v>
      </c>
      <c r="AT166" s="0" t="n">
        <f aca="false">IF(OR($A$2=公区维修!$F166,$A$2=公区维修!$G166,$BN$2=1),0,2-SUMPRODUCT(--(($A$1:$A$2=公区维修!$F166)+($A$1:$A$2=公区维修!$G166)+$BN$1:$BN$2&gt;0)))</f>
        <v>1</v>
      </c>
      <c r="AU166" s="0" t="n">
        <f aca="false">IF(OR($A$3=公区维修!$F166,$A$3=公区维修!$G166,$BN$3=1),0,3-SUMPRODUCT(--(($A$1:$A$3=公区维修!$F166)+($A$1:$A$3=公区维修!$G166)+$BN$1:$BN$3&gt;0)))</f>
        <v>2</v>
      </c>
      <c r="AV166" s="0" t="n">
        <f aca="false">IF(OR($A$4=公区维修!$F166,$A$4=公区维修!$G166,$BN$4=1),0,4-SUMPRODUCT(--(($A$1:$A$4=公区维修!$F166)+($A$1:$A$4=公区维修!$G166)+$BN$1:$BN$4&gt;0)))</f>
        <v>3</v>
      </c>
      <c r="AW166" s="0" t="n">
        <f aca="false">IF(OR($A$5=公区维修!$F166,$A$5=公区维修!$G166,$BN$5=1),0,5-SUMPRODUCT(--(($A$1:$A$5=公区维修!$F166)+($A$1:$A$5=公区维修!$G166)+$BN$1:$BN$5&gt;0)))</f>
        <v>4</v>
      </c>
      <c r="AY166" s="0" t="str">
        <f aca="false">IFERROR(INDEX($A$1:$A$5,MATCH(1,$AS166:$AW166,0)),IF(1=MAX($AS166:$AW166)+1,"取消",""))</f>
        <v>李师傅</v>
      </c>
      <c r="AZ166" s="0" t="str">
        <f aca="false">IFERROR(INDEX($A$1:$A$5,MATCH(2,$AS166:$AW166,0)),IF(2=MAX($AS166:$AW166)+1,"取消",""))</f>
        <v>王师傅</v>
      </c>
      <c r="BA166" s="0" t="str">
        <f aca="false">IFERROR(INDEX($A$1:$A$5,MATCH(3,$AS166:$AW166,0)),IF(3=MAX($AS166:$AW166)+1,"取消",""))</f>
        <v>陈师傅</v>
      </c>
      <c r="BB166" s="0" t="str">
        <f aca="false">IFERROR(INDEX($A$1:$A$5,MATCH(4,$AS166:$AW166,0)),IF(4=MAX($AS166:$AW166)+1,"取消",""))</f>
        <v>刘师傅</v>
      </c>
      <c r="BC166" s="0" t="str">
        <f aca="false">IFERROR(INDEX($A$1:$A$5,MATCH(5,$AS166:$AW166,0)),IF(5=MAX($AS166:$AW166)+1,"取消",""))</f>
        <v>取消</v>
      </c>
      <c r="BD166" s="0" t="str">
        <f aca="false">IFERROR(INDEX($A$1:$A$5,MATCH(6,$AS166:$AW166,0)),IF(6=MAX($AS166:$AW166)+1,"取消",""))</f>
        <v/>
      </c>
      <c r="FW166" s="0" t="str">
        <f aca="false">IF(AND(单元查询!$D$3&lt;&gt;"",IF(单元查询!$B$3="公区维修",公区维修!$E166&lt;&gt;"",入户维修!$E166&lt;&gt;""),IF(单元查询!$B$3="公区维修",公区维修!$C166,入户维修!$C166)=单元查询!$D$3,OR(单元查询!$F$3="",IF(单元查询!$B$3="公区维修",公区维修!$D166,入户维修!$D166)&amp;""=(单元查询!$F$3)&amp;"")),MAX($FW$4:$FW165)+1,"")</f>
        <v/>
      </c>
    </row>
    <row r="167" customFormat="false" ht="15" hidden="false" customHeight="true" outlineLevel="0" collapsed="false">
      <c r="F167" s="0" t="n">
        <f aca="false">IF(OR($A$1=入户维修!$F167,$BN$1=1),0,1-SUMPRODUCT(--(($A$1=入户维修!$F167)+$BN$1&gt;0)))</f>
        <v>0</v>
      </c>
      <c r="G167" s="0" t="n">
        <f aca="false">IF(OR($A$2=入户维修!$F167,$BN$2=1),0,2-SUMPRODUCT(--(($A$1:$A$2=入户维修!$F167)+$BN$1:$BN$2&gt;0)))</f>
        <v>1</v>
      </c>
      <c r="H167" s="0" t="n">
        <f aca="false">IF(OR($A$3=入户维修!$F167,$BN$3=1),0,3-SUMPRODUCT(--(($A$1:$A$3=入户维修!$F167)+$BN$1:$BN$3&gt;0)))</f>
        <v>2</v>
      </c>
      <c r="I167" s="0" t="n">
        <f aca="false">IF(OR($A$4=入户维修!$F167,$BN$4=1),0,4-SUMPRODUCT(--(($A$1:$A$4=入户维修!$F167)+$BN$1:$BN$4&gt;0)))</f>
        <v>3</v>
      </c>
      <c r="J167" s="0" t="n">
        <f aca="false">IF(OR($A$5=入户维修!$F167,$BN$5=1),0,5-SUMPRODUCT(--(($A$1:$A$5=入户维修!$F167)+$BN$1:$BN$5&gt;0)))</f>
        <v>4</v>
      </c>
      <c r="L167" s="0" t="str">
        <f aca="false">IFERROR(INDEX($A$1:$A$5,MATCH(1,$F167:$J167,0)),IF(1=MAX($F167:$J167)+1,"取消",""))</f>
        <v>李师傅</v>
      </c>
      <c r="M167" s="0" t="str">
        <f aca="false">IFERROR(INDEX($A$1:$A$5,MATCH(2,$F167:$J167,0)),IF(2=MAX($F167:$J167)+1,"取消",""))</f>
        <v>王师傅</v>
      </c>
      <c r="N167" s="0" t="str">
        <f aca="false">IFERROR(INDEX($A$1:$A$5,MATCH(3,$F167:$J167,0)),IF(3=MAX($F167:$J167)+1,"取消",""))</f>
        <v>陈师傅</v>
      </c>
      <c r="O167" s="0" t="str">
        <f aca="false">IFERROR(INDEX($A$1:$A$5,MATCH(4,$F167:$J167,0)),IF(4=MAX($F167:$J167)+1,"取消",""))</f>
        <v>刘师傅</v>
      </c>
      <c r="P167" s="0" t="str">
        <f aca="false">IFERROR(INDEX($A$1:$A$5,MATCH(5,$F167:$J167,0)),IF(5=MAX($F167:$J167)+1,"取消",""))</f>
        <v>取消</v>
      </c>
      <c r="Q167" s="0" t="str">
        <f aca="false">IFERROR(INDEX($A$1:$A$5,MATCH(6,$F167:$J167,0)),IF(6=MAX($F167:$J167)+1,"取消",""))</f>
        <v/>
      </c>
      <c r="S167" s="0" t="n">
        <f aca="false">IF(OR($A$1=入户维修!$F167,$A$1=入户维修!$G167,$BN$1=1),0,1-SUMPRODUCT(--(($A$1=入户维修!$F167)+($A$1=入户维修!$G167)+$BN$1&gt;0)))</f>
        <v>0</v>
      </c>
      <c r="T167" s="0" t="n">
        <f aca="false">IF(OR($A$2=入户维修!$F167,$A$2=入户维修!$G167,$BN$2=1),0,2-SUMPRODUCT(--(($A$1:$A$2=入户维修!$F167)+($A$1:$A$2=入户维修!$G167)+$BN$1:$BN$2&gt;0)))</f>
        <v>1</v>
      </c>
      <c r="U167" s="0" t="n">
        <f aca="false">IF(OR($A$3=入户维修!$F167,$A$3=入户维修!$G167,$BN$3=1),0,3-SUMPRODUCT(--(($A$1:$A$3=入户维修!$F167)+($A$1:$A$3=入户维修!$G167)+$BN$1:$BN$3&gt;0)))</f>
        <v>2</v>
      </c>
      <c r="V167" s="0" t="n">
        <f aca="false">IF(OR($A$4=入户维修!$F167,$A$4=入户维修!$G167,$BN$4=1),0,4-SUMPRODUCT(--(($A$1:$A$4=入户维修!$F167)+($A$1:$A$4=入户维修!$G167)+$BN$1:$BN$4&gt;0)))</f>
        <v>3</v>
      </c>
      <c r="W167" s="0" t="n">
        <f aca="false">IF(OR($A$5=入户维修!$F167,$A$5=入户维修!$G167,$BN$5=1),0,5-SUMPRODUCT(--(($A$1:$A$5=入户维修!$F167)+($A$1:$A$5=入户维修!$G167)+$BN$1:$BN$5&gt;0)))</f>
        <v>4</v>
      </c>
      <c r="Y167" s="0" t="str">
        <f aca="false">IFERROR(INDEX($A$1:$A$5,MATCH(1,$S167:$W167,0)),IF(1=MAX($S167:$W167)+1,"取消",""))</f>
        <v>李师傅</v>
      </c>
      <c r="Z167" s="0" t="str">
        <f aca="false">IFERROR(INDEX($A$1:$A$5,MATCH(2,$S167:$W167,0)),IF(2=MAX($S167:$W167)+1,"取消",""))</f>
        <v>王师傅</v>
      </c>
      <c r="AA167" s="0" t="str">
        <f aca="false">IFERROR(INDEX($A$1:$A$5,MATCH(3,$S167:$W167,0)),IF(3=MAX($S167:$W167)+1,"取消",""))</f>
        <v>陈师傅</v>
      </c>
      <c r="AB167" s="0" t="str">
        <f aca="false">IFERROR(INDEX($A$1:$A$5,MATCH(4,$S167:$W167,0)),IF(4=MAX($S167:$W167)+1,"取消",""))</f>
        <v>刘师傅</v>
      </c>
      <c r="AC167" s="0" t="str">
        <f aca="false">IFERROR(INDEX($A$1:$A$5,MATCH(5,$S167:$W167,0)),IF(5=MAX($S167:$W167)+1,"取消",""))</f>
        <v>取消</v>
      </c>
      <c r="AD167" s="0" t="str">
        <f aca="false">IFERROR(INDEX($A$1:$A$5,MATCH(6,$S167:$W167,0)),IF(6=MAX($S167:$W167)+1,"取消",""))</f>
        <v/>
      </c>
      <c r="AF167" s="0" t="n">
        <f aca="false">IF(OR($A$1=公区维修!$F167,$BN$1=1),0,1-SUMPRODUCT(--(($A$1=公区维修!$F167)+$BN$1&gt;0)))</f>
        <v>0</v>
      </c>
      <c r="AG167" s="0" t="n">
        <f aca="false">IF(OR($A$2=公区维修!$F167,$BN$2=1),0,2-SUMPRODUCT(--(($A$1:$A$2=公区维修!$F167)+$BN$1:$BN$2&gt;0)))</f>
        <v>1</v>
      </c>
      <c r="AH167" s="0" t="n">
        <f aca="false">IF(OR($A$3=公区维修!$F167,$BN$3=1),0,3-SUMPRODUCT(--(($A$1:$A$3=公区维修!$F167)+$BN$1:$BN$3&gt;0)))</f>
        <v>2</v>
      </c>
      <c r="AI167" s="0" t="n">
        <f aca="false">IF(OR($A$4=公区维修!$F167,$BN$4=1),0,4-SUMPRODUCT(--(($A$1:$A$4=公区维修!$F167)+$BN$1:$BN$4&gt;0)))</f>
        <v>3</v>
      </c>
      <c r="AJ167" s="0" t="n">
        <f aca="false">IF(OR($A$5=公区维修!$F167,$BN$5=1),0,5-SUMPRODUCT(--(($A$1:$A$5=公区维修!$F167)+$BN$1:$BN$5&gt;0)))</f>
        <v>4</v>
      </c>
      <c r="AL167" s="0" t="str">
        <f aca="false">IFERROR(INDEX($A$1:$A$5,MATCH(1,$AF167:$AJ167,0)),IF(1=MAX($AF167:$AJ167)+1,"取消",""))</f>
        <v>李师傅</v>
      </c>
      <c r="AM167" s="0" t="str">
        <f aca="false">IFERROR(INDEX($A$1:$A$5,MATCH(2,$AF167:$AJ167,0)),IF(2=MAX($AF167:$AJ167)+1,"取消",""))</f>
        <v>王师傅</v>
      </c>
      <c r="AN167" s="0" t="str">
        <f aca="false">IFERROR(INDEX($A$1:$A$5,MATCH(3,$AF167:$AJ167,0)),IF(3=MAX($AF167:$AJ167)+1,"取消",""))</f>
        <v>陈师傅</v>
      </c>
      <c r="AO167" s="0" t="str">
        <f aca="false">IFERROR(INDEX($A$1:$A$5,MATCH(4,$AF167:$AJ167,0)),IF(4=MAX($AF167:$AJ167)+1,"取消",""))</f>
        <v>刘师傅</v>
      </c>
      <c r="AP167" s="0" t="str">
        <f aca="false">IFERROR(INDEX($A$1:$A$5,MATCH(5,$AF167:$AJ167,0)),IF(5=MAX($AF167:$AJ167)+1,"取消",""))</f>
        <v>取消</v>
      </c>
      <c r="AQ167" s="0" t="str">
        <f aca="false">IFERROR(INDEX($A$1:$A$5,MATCH(6,$AF167:$AJ167,0)),IF(6=MAX($AF167:$AJ167)+1,"取消",""))</f>
        <v/>
      </c>
      <c r="AS167" s="0" t="n">
        <f aca="false">IF(OR($A$1=公区维修!$F167,$A$1=公区维修!$G167,$BN$1=1),0,1-SUMPRODUCT(--(($A$1=公区维修!$F167)+($A$1=公区维修!$G167)+$BN$1&gt;0)))</f>
        <v>0</v>
      </c>
      <c r="AT167" s="0" t="n">
        <f aca="false">IF(OR($A$2=公区维修!$F167,$A$2=公区维修!$G167,$BN$2=1),0,2-SUMPRODUCT(--(($A$1:$A$2=公区维修!$F167)+($A$1:$A$2=公区维修!$G167)+$BN$1:$BN$2&gt;0)))</f>
        <v>1</v>
      </c>
      <c r="AU167" s="0" t="n">
        <f aca="false">IF(OR($A$3=公区维修!$F167,$A$3=公区维修!$G167,$BN$3=1),0,3-SUMPRODUCT(--(($A$1:$A$3=公区维修!$F167)+($A$1:$A$3=公区维修!$G167)+$BN$1:$BN$3&gt;0)))</f>
        <v>2</v>
      </c>
      <c r="AV167" s="0" t="n">
        <f aca="false">IF(OR($A$4=公区维修!$F167,$A$4=公区维修!$G167,$BN$4=1),0,4-SUMPRODUCT(--(($A$1:$A$4=公区维修!$F167)+($A$1:$A$4=公区维修!$G167)+$BN$1:$BN$4&gt;0)))</f>
        <v>3</v>
      </c>
      <c r="AW167" s="0" t="n">
        <f aca="false">IF(OR($A$5=公区维修!$F167,$A$5=公区维修!$G167,$BN$5=1),0,5-SUMPRODUCT(--(($A$1:$A$5=公区维修!$F167)+($A$1:$A$5=公区维修!$G167)+$BN$1:$BN$5&gt;0)))</f>
        <v>4</v>
      </c>
      <c r="AY167" s="0" t="str">
        <f aca="false">IFERROR(INDEX($A$1:$A$5,MATCH(1,$AS167:$AW167,0)),IF(1=MAX($AS167:$AW167)+1,"取消",""))</f>
        <v>李师傅</v>
      </c>
      <c r="AZ167" s="0" t="str">
        <f aca="false">IFERROR(INDEX($A$1:$A$5,MATCH(2,$AS167:$AW167,0)),IF(2=MAX($AS167:$AW167)+1,"取消",""))</f>
        <v>王师傅</v>
      </c>
      <c r="BA167" s="0" t="str">
        <f aca="false">IFERROR(INDEX($A$1:$A$5,MATCH(3,$AS167:$AW167,0)),IF(3=MAX($AS167:$AW167)+1,"取消",""))</f>
        <v>陈师傅</v>
      </c>
      <c r="BB167" s="0" t="str">
        <f aca="false">IFERROR(INDEX($A$1:$A$5,MATCH(4,$AS167:$AW167,0)),IF(4=MAX($AS167:$AW167)+1,"取消",""))</f>
        <v>刘师傅</v>
      </c>
      <c r="BC167" s="0" t="str">
        <f aca="false">IFERROR(INDEX($A$1:$A$5,MATCH(5,$AS167:$AW167,0)),IF(5=MAX($AS167:$AW167)+1,"取消",""))</f>
        <v>取消</v>
      </c>
      <c r="BD167" s="0" t="str">
        <f aca="false">IFERROR(INDEX($A$1:$A$5,MATCH(6,$AS167:$AW167,0)),IF(6=MAX($AS167:$AW167)+1,"取消",""))</f>
        <v/>
      </c>
      <c r="FW167" s="0" t="str">
        <f aca="false">IF(AND(单元查询!$D$3&lt;&gt;"",IF(单元查询!$B$3="公区维修",公区维修!$E167&lt;&gt;"",入户维修!$E167&lt;&gt;""),IF(单元查询!$B$3="公区维修",公区维修!$C167,入户维修!$C167)=单元查询!$D$3,OR(单元查询!$F$3="",IF(单元查询!$B$3="公区维修",公区维修!$D167,入户维修!$D167)&amp;""=(单元查询!$F$3)&amp;"")),MAX($FW$4:$FW166)+1,"")</f>
        <v/>
      </c>
    </row>
    <row r="168" customFormat="false" ht="15" hidden="false" customHeight="true" outlineLevel="0" collapsed="false">
      <c r="F168" s="0" t="n">
        <f aca="false">IF(OR($A$1=入户维修!$F168,$BN$1=1),0,1-SUMPRODUCT(--(($A$1=入户维修!$F168)+$BN$1&gt;0)))</f>
        <v>0</v>
      </c>
      <c r="G168" s="0" t="n">
        <f aca="false">IF(OR($A$2=入户维修!$F168,$BN$2=1),0,2-SUMPRODUCT(--(($A$1:$A$2=入户维修!$F168)+$BN$1:$BN$2&gt;0)))</f>
        <v>1</v>
      </c>
      <c r="H168" s="0" t="n">
        <f aca="false">IF(OR($A$3=入户维修!$F168,$BN$3=1),0,3-SUMPRODUCT(--(($A$1:$A$3=入户维修!$F168)+$BN$1:$BN$3&gt;0)))</f>
        <v>2</v>
      </c>
      <c r="I168" s="0" t="n">
        <f aca="false">IF(OR($A$4=入户维修!$F168,$BN$4=1),0,4-SUMPRODUCT(--(($A$1:$A$4=入户维修!$F168)+$BN$1:$BN$4&gt;0)))</f>
        <v>3</v>
      </c>
      <c r="J168" s="0" t="n">
        <f aca="false">IF(OR($A$5=入户维修!$F168,$BN$5=1),0,5-SUMPRODUCT(--(($A$1:$A$5=入户维修!$F168)+$BN$1:$BN$5&gt;0)))</f>
        <v>4</v>
      </c>
      <c r="L168" s="0" t="str">
        <f aca="false">IFERROR(INDEX($A$1:$A$5,MATCH(1,$F168:$J168,0)),IF(1=MAX($F168:$J168)+1,"取消",""))</f>
        <v>李师傅</v>
      </c>
      <c r="M168" s="0" t="str">
        <f aca="false">IFERROR(INDEX($A$1:$A$5,MATCH(2,$F168:$J168,0)),IF(2=MAX($F168:$J168)+1,"取消",""))</f>
        <v>王师傅</v>
      </c>
      <c r="N168" s="0" t="str">
        <f aca="false">IFERROR(INDEX($A$1:$A$5,MATCH(3,$F168:$J168,0)),IF(3=MAX($F168:$J168)+1,"取消",""))</f>
        <v>陈师傅</v>
      </c>
      <c r="O168" s="0" t="str">
        <f aca="false">IFERROR(INDEX($A$1:$A$5,MATCH(4,$F168:$J168,0)),IF(4=MAX($F168:$J168)+1,"取消",""))</f>
        <v>刘师傅</v>
      </c>
      <c r="P168" s="0" t="str">
        <f aca="false">IFERROR(INDEX($A$1:$A$5,MATCH(5,$F168:$J168,0)),IF(5=MAX($F168:$J168)+1,"取消",""))</f>
        <v>取消</v>
      </c>
      <c r="Q168" s="0" t="str">
        <f aca="false">IFERROR(INDEX($A$1:$A$5,MATCH(6,$F168:$J168,0)),IF(6=MAX($F168:$J168)+1,"取消",""))</f>
        <v/>
      </c>
      <c r="S168" s="0" t="n">
        <f aca="false">IF(OR($A$1=入户维修!$F168,$A$1=入户维修!$G168,$BN$1=1),0,1-SUMPRODUCT(--(($A$1=入户维修!$F168)+($A$1=入户维修!$G168)+$BN$1&gt;0)))</f>
        <v>0</v>
      </c>
      <c r="T168" s="0" t="n">
        <f aca="false">IF(OR($A$2=入户维修!$F168,$A$2=入户维修!$G168,$BN$2=1),0,2-SUMPRODUCT(--(($A$1:$A$2=入户维修!$F168)+($A$1:$A$2=入户维修!$G168)+$BN$1:$BN$2&gt;0)))</f>
        <v>1</v>
      </c>
      <c r="U168" s="0" t="n">
        <f aca="false">IF(OR($A$3=入户维修!$F168,$A$3=入户维修!$G168,$BN$3=1),0,3-SUMPRODUCT(--(($A$1:$A$3=入户维修!$F168)+($A$1:$A$3=入户维修!$G168)+$BN$1:$BN$3&gt;0)))</f>
        <v>2</v>
      </c>
      <c r="V168" s="0" t="n">
        <f aca="false">IF(OR($A$4=入户维修!$F168,$A$4=入户维修!$G168,$BN$4=1),0,4-SUMPRODUCT(--(($A$1:$A$4=入户维修!$F168)+($A$1:$A$4=入户维修!$G168)+$BN$1:$BN$4&gt;0)))</f>
        <v>3</v>
      </c>
      <c r="W168" s="0" t="n">
        <f aca="false">IF(OR($A$5=入户维修!$F168,$A$5=入户维修!$G168,$BN$5=1),0,5-SUMPRODUCT(--(($A$1:$A$5=入户维修!$F168)+($A$1:$A$5=入户维修!$G168)+$BN$1:$BN$5&gt;0)))</f>
        <v>4</v>
      </c>
      <c r="Y168" s="0" t="str">
        <f aca="false">IFERROR(INDEX($A$1:$A$5,MATCH(1,$S168:$W168,0)),IF(1=MAX($S168:$W168)+1,"取消",""))</f>
        <v>李师傅</v>
      </c>
      <c r="Z168" s="0" t="str">
        <f aca="false">IFERROR(INDEX($A$1:$A$5,MATCH(2,$S168:$W168,0)),IF(2=MAX($S168:$W168)+1,"取消",""))</f>
        <v>王师傅</v>
      </c>
      <c r="AA168" s="0" t="str">
        <f aca="false">IFERROR(INDEX($A$1:$A$5,MATCH(3,$S168:$W168,0)),IF(3=MAX($S168:$W168)+1,"取消",""))</f>
        <v>陈师傅</v>
      </c>
      <c r="AB168" s="0" t="str">
        <f aca="false">IFERROR(INDEX($A$1:$A$5,MATCH(4,$S168:$W168,0)),IF(4=MAX($S168:$W168)+1,"取消",""))</f>
        <v>刘师傅</v>
      </c>
      <c r="AC168" s="0" t="str">
        <f aca="false">IFERROR(INDEX($A$1:$A$5,MATCH(5,$S168:$W168,0)),IF(5=MAX($S168:$W168)+1,"取消",""))</f>
        <v>取消</v>
      </c>
      <c r="AD168" s="0" t="str">
        <f aca="false">IFERROR(INDEX($A$1:$A$5,MATCH(6,$S168:$W168,0)),IF(6=MAX($S168:$W168)+1,"取消",""))</f>
        <v/>
      </c>
      <c r="AF168" s="0" t="n">
        <f aca="false">IF(OR($A$1=公区维修!$F168,$BN$1=1),0,1-SUMPRODUCT(--(($A$1=公区维修!$F168)+$BN$1&gt;0)))</f>
        <v>0</v>
      </c>
      <c r="AG168" s="0" t="n">
        <f aca="false">IF(OR($A$2=公区维修!$F168,$BN$2=1),0,2-SUMPRODUCT(--(($A$1:$A$2=公区维修!$F168)+$BN$1:$BN$2&gt;0)))</f>
        <v>1</v>
      </c>
      <c r="AH168" s="0" t="n">
        <f aca="false">IF(OR($A$3=公区维修!$F168,$BN$3=1),0,3-SUMPRODUCT(--(($A$1:$A$3=公区维修!$F168)+$BN$1:$BN$3&gt;0)))</f>
        <v>2</v>
      </c>
      <c r="AI168" s="0" t="n">
        <f aca="false">IF(OR($A$4=公区维修!$F168,$BN$4=1),0,4-SUMPRODUCT(--(($A$1:$A$4=公区维修!$F168)+$BN$1:$BN$4&gt;0)))</f>
        <v>3</v>
      </c>
      <c r="AJ168" s="0" t="n">
        <f aca="false">IF(OR($A$5=公区维修!$F168,$BN$5=1),0,5-SUMPRODUCT(--(($A$1:$A$5=公区维修!$F168)+$BN$1:$BN$5&gt;0)))</f>
        <v>4</v>
      </c>
      <c r="AL168" s="0" t="str">
        <f aca="false">IFERROR(INDEX($A$1:$A$5,MATCH(1,$AF168:$AJ168,0)),IF(1=MAX($AF168:$AJ168)+1,"取消",""))</f>
        <v>李师傅</v>
      </c>
      <c r="AM168" s="0" t="str">
        <f aca="false">IFERROR(INDEX($A$1:$A$5,MATCH(2,$AF168:$AJ168,0)),IF(2=MAX($AF168:$AJ168)+1,"取消",""))</f>
        <v>王师傅</v>
      </c>
      <c r="AN168" s="0" t="str">
        <f aca="false">IFERROR(INDEX($A$1:$A$5,MATCH(3,$AF168:$AJ168,0)),IF(3=MAX($AF168:$AJ168)+1,"取消",""))</f>
        <v>陈师傅</v>
      </c>
      <c r="AO168" s="0" t="str">
        <f aca="false">IFERROR(INDEX($A$1:$A$5,MATCH(4,$AF168:$AJ168,0)),IF(4=MAX($AF168:$AJ168)+1,"取消",""))</f>
        <v>刘师傅</v>
      </c>
      <c r="AP168" s="0" t="str">
        <f aca="false">IFERROR(INDEX($A$1:$A$5,MATCH(5,$AF168:$AJ168,0)),IF(5=MAX($AF168:$AJ168)+1,"取消",""))</f>
        <v>取消</v>
      </c>
      <c r="AQ168" s="0" t="str">
        <f aca="false">IFERROR(INDEX($A$1:$A$5,MATCH(6,$AF168:$AJ168,0)),IF(6=MAX($AF168:$AJ168)+1,"取消",""))</f>
        <v/>
      </c>
      <c r="AS168" s="0" t="n">
        <f aca="false">IF(OR($A$1=公区维修!$F168,$A$1=公区维修!$G168,$BN$1=1),0,1-SUMPRODUCT(--(($A$1=公区维修!$F168)+($A$1=公区维修!$G168)+$BN$1&gt;0)))</f>
        <v>0</v>
      </c>
      <c r="AT168" s="0" t="n">
        <f aca="false">IF(OR($A$2=公区维修!$F168,$A$2=公区维修!$G168,$BN$2=1),0,2-SUMPRODUCT(--(($A$1:$A$2=公区维修!$F168)+($A$1:$A$2=公区维修!$G168)+$BN$1:$BN$2&gt;0)))</f>
        <v>1</v>
      </c>
      <c r="AU168" s="0" t="n">
        <f aca="false">IF(OR($A$3=公区维修!$F168,$A$3=公区维修!$G168,$BN$3=1),0,3-SUMPRODUCT(--(($A$1:$A$3=公区维修!$F168)+($A$1:$A$3=公区维修!$G168)+$BN$1:$BN$3&gt;0)))</f>
        <v>2</v>
      </c>
      <c r="AV168" s="0" t="n">
        <f aca="false">IF(OR($A$4=公区维修!$F168,$A$4=公区维修!$G168,$BN$4=1),0,4-SUMPRODUCT(--(($A$1:$A$4=公区维修!$F168)+($A$1:$A$4=公区维修!$G168)+$BN$1:$BN$4&gt;0)))</f>
        <v>3</v>
      </c>
      <c r="AW168" s="0" t="n">
        <f aca="false">IF(OR($A$5=公区维修!$F168,$A$5=公区维修!$G168,$BN$5=1),0,5-SUMPRODUCT(--(($A$1:$A$5=公区维修!$F168)+($A$1:$A$5=公区维修!$G168)+$BN$1:$BN$5&gt;0)))</f>
        <v>4</v>
      </c>
      <c r="AY168" s="0" t="str">
        <f aca="false">IFERROR(INDEX($A$1:$A$5,MATCH(1,$AS168:$AW168,0)),IF(1=MAX($AS168:$AW168)+1,"取消",""))</f>
        <v>李师傅</v>
      </c>
      <c r="AZ168" s="0" t="str">
        <f aca="false">IFERROR(INDEX($A$1:$A$5,MATCH(2,$AS168:$AW168,0)),IF(2=MAX($AS168:$AW168)+1,"取消",""))</f>
        <v>王师傅</v>
      </c>
      <c r="BA168" s="0" t="str">
        <f aca="false">IFERROR(INDEX($A$1:$A$5,MATCH(3,$AS168:$AW168,0)),IF(3=MAX($AS168:$AW168)+1,"取消",""))</f>
        <v>陈师傅</v>
      </c>
      <c r="BB168" s="0" t="str">
        <f aca="false">IFERROR(INDEX($A$1:$A$5,MATCH(4,$AS168:$AW168,0)),IF(4=MAX($AS168:$AW168)+1,"取消",""))</f>
        <v>刘师傅</v>
      </c>
      <c r="BC168" s="0" t="str">
        <f aca="false">IFERROR(INDEX($A$1:$A$5,MATCH(5,$AS168:$AW168,0)),IF(5=MAX($AS168:$AW168)+1,"取消",""))</f>
        <v>取消</v>
      </c>
      <c r="BD168" s="0" t="str">
        <f aca="false">IFERROR(INDEX($A$1:$A$5,MATCH(6,$AS168:$AW168,0)),IF(6=MAX($AS168:$AW168)+1,"取消",""))</f>
        <v/>
      </c>
      <c r="FW168" s="0" t="str">
        <f aca="false">IF(AND(单元查询!$D$3&lt;&gt;"",IF(单元查询!$B$3="公区维修",公区维修!$E168&lt;&gt;"",入户维修!$E168&lt;&gt;""),IF(单元查询!$B$3="公区维修",公区维修!$C168,入户维修!$C168)=单元查询!$D$3,OR(单元查询!$F$3="",IF(单元查询!$B$3="公区维修",公区维修!$D168,入户维修!$D168)&amp;""=(单元查询!$F$3)&amp;"")),MAX($FW$4:$FW167)+1,"")</f>
        <v/>
      </c>
    </row>
    <row r="169" customFormat="false" ht="15" hidden="false" customHeight="true" outlineLevel="0" collapsed="false">
      <c r="F169" s="0" t="n">
        <f aca="false">IF(OR($A$1=入户维修!$F169,$BN$1=1),0,1-SUMPRODUCT(--(($A$1=入户维修!$F169)+$BN$1&gt;0)))</f>
        <v>0</v>
      </c>
      <c r="G169" s="0" t="n">
        <f aca="false">IF(OR($A$2=入户维修!$F169,$BN$2=1),0,2-SUMPRODUCT(--(($A$1:$A$2=入户维修!$F169)+$BN$1:$BN$2&gt;0)))</f>
        <v>1</v>
      </c>
      <c r="H169" s="0" t="n">
        <f aca="false">IF(OR($A$3=入户维修!$F169,$BN$3=1),0,3-SUMPRODUCT(--(($A$1:$A$3=入户维修!$F169)+$BN$1:$BN$3&gt;0)))</f>
        <v>2</v>
      </c>
      <c r="I169" s="0" t="n">
        <f aca="false">IF(OR($A$4=入户维修!$F169,$BN$4=1),0,4-SUMPRODUCT(--(($A$1:$A$4=入户维修!$F169)+$BN$1:$BN$4&gt;0)))</f>
        <v>3</v>
      </c>
      <c r="J169" s="0" t="n">
        <f aca="false">IF(OR($A$5=入户维修!$F169,$BN$5=1),0,5-SUMPRODUCT(--(($A$1:$A$5=入户维修!$F169)+$BN$1:$BN$5&gt;0)))</f>
        <v>4</v>
      </c>
      <c r="L169" s="0" t="str">
        <f aca="false">IFERROR(INDEX($A$1:$A$5,MATCH(1,$F169:$J169,0)),IF(1=MAX($F169:$J169)+1,"取消",""))</f>
        <v>李师傅</v>
      </c>
      <c r="M169" s="0" t="str">
        <f aca="false">IFERROR(INDEX($A$1:$A$5,MATCH(2,$F169:$J169,0)),IF(2=MAX($F169:$J169)+1,"取消",""))</f>
        <v>王师傅</v>
      </c>
      <c r="N169" s="0" t="str">
        <f aca="false">IFERROR(INDEX($A$1:$A$5,MATCH(3,$F169:$J169,0)),IF(3=MAX($F169:$J169)+1,"取消",""))</f>
        <v>陈师傅</v>
      </c>
      <c r="O169" s="0" t="str">
        <f aca="false">IFERROR(INDEX($A$1:$A$5,MATCH(4,$F169:$J169,0)),IF(4=MAX($F169:$J169)+1,"取消",""))</f>
        <v>刘师傅</v>
      </c>
      <c r="P169" s="0" t="str">
        <f aca="false">IFERROR(INDEX($A$1:$A$5,MATCH(5,$F169:$J169,0)),IF(5=MAX($F169:$J169)+1,"取消",""))</f>
        <v>取消</v>
      </c>
      <c r="Q169" s="0" t="str">
        <f aca="false">IFERROR(INDEX($A$1:$A$5,MATCH(6,$F169:$J169,0)),IF(6=MAX($F169:$J169)+1,"取消",""))</f>
        <v/>
      </c>
      <c r="S169" s="0" t="n">
        <f aca="false">IF(OR($A$1=入户维修!$F169,$A$1=入户维修!$G169,$BN$1=1),0,1-SUMPRODUCT(--(($A$1=入户维修!$F169)+($A$1=入户维修!$G169)+$BN$1&gt;0)))</f>
        <v>0</v>
      </c>
      <c r="T169" s="0" t="n">
        <f aca="false">IF(OR($A$2=入户维修!$F169,$A$2=入户维修!$G169,$BN$2=1),0,2-SUMPRODUCT(--(($A$1:$A$2=入户维修!$F169)+($A$1:$A$2=入户维修!$G169)+$BN$1:$BN$2&gt;0)))</f>
        <v>1</v>
      </c>
      <c r="U169" s="0" t="n">
        <f aca="false">IF(OR($A$3=入户维修!$F169,$A$3=入户维修!$G169,$BN$3=1),0,3-SUMPRODUCT(--(($A$1:$A$3=入户维修!$F169)+($A$1:$A$3=入户维修!$G169)+$BN$1:$BN$3&gt;0)))</f>
        <v>2</v>
      </c>
      <c r="V169" s="0" t="n">
        <f aca="false">IF(OR($A$4=入户维修!$F169,$A$4=入户维修!$G169,$BN$4=1),0,4-SUMPRODUCT(--(($A$1:$A$4=入户维修!$F169)+($A$1:$A$4=入户维修!$G169)+$BN$1:$BN$4&gt;0)))</f>
        <v>3</v>
      </c>
      <c r="W169" s="0" t="n">
        <f aca="false">IF(OR($A$5=入户维修!$F169,$A$5=入户维修!$G169,$BN$5=1),0,5-SUMPRODUCT(--(($A$1:$A$5=入户维修!$F169)+($A$1:$A$5=入户维修!$G169)+$BN$1:$BN$5&gt;0)))</f>
        <v>4</v>
      </c>
      <c r="Y169" s="0" t="str">
        <f aca="false">IFERROR(INDEX($A$1:$A$5,MATCH(1,$S169:$W169,0)),IF(1=MAX($S169:$W169)+1,"取消",""))</f>
        <v>李师傅</v>
      </c>
      <c r="Z169" s="0" t="str">
        <f aca="false">IFERROR(INDEX($A$1:$A$5,MATCH(2,$S169:$W169,0)),IF(2=MAX($S169:$W169)+1,"取消",""))</f>
        <v>王师傅</v>
      </c>
      <c r="AA169" s="0" t="str">
        <f aca="false">IFERROR(INDEX($A$1:$A$5,MATCH(3,$S169:$W169,0)),IF(3=MAX($S169:$W169)+1,"取消",""))</f>
        <v>陈师傅</v>
      </c>
      <c r="AB169" s="0" t="str">
        <f aca="false">IFERROR(INDEX($A$1:$A$5,MATCH(4,$S169:$W169,0)),IF(4=MAX($S169:$W169)+1,"取消",""))</f>
        <v>刘师傅</v>
      </c>
      <c r="AC169" s="0" t="str">
        <f aca="false">IFERROR(INDEX($A$1:$A$5,MATCH(5,$S169:$W169,0)),IF(5=MAX($S169:$W169)+1,"取消",""))</f>
        <v>取消</v>
      </c>
      <c r="AD169" s="0" t="str">
        <f aca="false">IFERROR(INDEX($A$1:$A$5,MATCH(6,$S169:$W169,0)),IF(6=MAX($S169:$W169)+1,"取消",""))</f>
        <v/>
      </c>
      <c r="AF169" s="0" t="n">
        <f aca="false">IF(OR($A$1=公区维修!$F169,$BN$1=1),0,1-SUMPRODUCT(--(($A$1=公区维修!$F169)+$BN$1&gt;0)))</f>
        <v>0</v>
      </c>
      <c r="AG169" s="0" t="n">
        <f aca="false">IF(OR($A$2=公区维修!$F169,$BN$2=1),0,2-SUMPRODUCT(--(($A$1:$A$2=公区维修!$F169)+$BN$1:$BN$2&gt;0)))</f>
        <v>1</v>
      </c>
      <c r="AH169" s="0" t="n">
        <f aca="false">IF(OR($A$3=公区维修!$F169,$BN$3=1),0,3-SUMPRODUCT(--(($A$1:$A$3=公区维修!$F169)+$BN$1:$BN$3&gt;0)))</f>
        <v>2</v>
      </c>
      <c r="AI169" s="0" t="n">
        <f aca="false">IF(OR($A$4=公区维修!$F169,$BN$4=1),0,4-SUMPRODUCT(--(($A$1:$A$4=公区维修!$F169)+$BN$1:$BN$4&gt;0)))</f>
        <v>3</v>
      </c>
      <c r="AJ169" s="0" t="n">
        <f aca="false">IF(OR($A$5=公区维修!$F169,$BN$5=1),0,5-SUMPRODUCT(--(($A$1:$A$5=公区维修!$F169)+$BN$1:$BN$5&gt;0)))</f>
        <v>4</v>
      </c>
      <c r="AL169" s="0" t="str">
        <f aca="false">IFERROR(INDEX($A$1:$A$5,MATCH(1,$AF169:$AJ169,0)),IF(1=MAX($AF169:$AJ169)+1,"取消",""))</f>
        <v>李师傅</v>
      </c>
      <c r="AM169" s="0" t="str">
        <f aca="false">IFERROR(INDEX($A$1:$A$5,MATCH(2,$AF169:$AJ169,0)),IF(2=MAX($AF169:$AJ169)+1,"取消",""))</f>
        <v>王师傅</v>
      </c>
      <c r="AN169" s="0" t="str">
        <f aca="false">IFERROR(INDEX($A$1:$A$5,MATCH(3,$AF169:$AJ169,0)),IF(3=MAX($AF169:$AJ169)+1,"取消",""))</f>
        <v>陈师傅</v>
      </c>
      <c r="AO169" s="0" t="str">
        <f aca="false">IFERROR(INDEX($A$1:$A$5,MATCH(4,$AF169:$AJ169,0)),IF(4=MAX($AF169:$AJ169)+1,"取消",""))</f>
        <v>刘师傅</v>
      </c>
      <c r="AP169" s="0" t="str">
        <f aca="false">IFERROR(INDEX($A$1:$A$5,MATCH(5,$AF169:$AJ169,0)),IF(5=MAX($AF169:$AJ169)+1,"取消",""))</f>
        <v>取消</v>
      </c>
      <c r="AQ169" s="0" t="str">
        <f aca="false">IFERROR(INDEX($A$1:$A$5,MATCH(6,$AF169:$AJ169,0)),IF(6=MAX($AF169:$AJ169)+1,"取消",""))</f>
        <v/>
      </c>
      <c r="AS169" s="0" t="n">
        <f aca="false">IF(OR($A$1=公区维修!$F169,$A$1=公区维修!$G169,$BN$1=1),0,1-SUMPRODUCT(--(($A$1=公区维修!$F169)+($A$1=公区维修!$G169)+$BN$1&gt;0)))</f>
        <v>0</v>
      </c>
      <c r="AT169" s="0" t="n">
        <f aca="false">IF(OR($A$2=公区维修!$F169,$A$2=公区维修!$G169,$BN$2=1),0,2-SUMPRODUCT(--(($A$1:$A$2=公区维修!$F169)+($A$1:$A$2=公区维修!$G169)+$BN$1:$BN$2&gt;0)))</f>
        <v>1</v>
      </c>
      <c r="AU169" s="0" t="n">
        <f aca="false">IF(OR($A$3=公区维修!$F169,$A$3=公区维修!$G169,$BN$3=1),0,3-SUMPRODUCT(--(($A$1:$A$3=公区维修!$F169)+($A$1:$A$3=公区维修!$G169)+$BN$1:$BN$3&gt;0)))</f>
        <v>2</v>
      </c>
      <c r="AV169" s="0" t="n">
        <f aca="false">IF(OR($A$4=公区维修!$F169,$A$4=公区维修!$G169,$BN$4=1),0,4-SUMPRODUCT(--(($A$1:$A$4=公区维修!$F169)+($A$1:$A$4=公区维修!$G169)+$BN$1:$BN$4&gt;0)))</f>
        <v>3</v>
      </c>
      <c r="AW169" s="0" t="n">
        <f aca="false">IF(OR($A$5=公区维修!$F169,$A$5=公区维修!$G169,$BN$5=1),0,5-SUMPRODUCT(--(($A$1:$A$5=公区维修!$F169)+($A$1:$A$5=公区维修!$G169)+$BN$1:$BN$5&gt;0)))</f>
        <v>4</v>
      </c>
      <c r="AY169" s="0" t="str">
        <f aca="false">IFERROR(INDEX($A$1:$A$5,MATCH(1,$AS169:$AW169,0)),IF(1=MAX($AS169:$AW169)+1,"取消",""))</f>
        <v>李师傅</v>
      </c>
      <c r="AZ169" s="0" t="str">
        <f aca="false">IFERROR(INDEX($A$1:$A$5,MATCH(2,$AS169:$AW169,0)),IF(2=MAX($AS169:$AW169)+1,"取消",""))</f>
        <v>王师傅</v>
      </c>
      <c r="BA169" s="0" t="str">
        <f aca="false">IFERROR(INDEX($A$1:$A$5,MATCH(3,$AS169:$AW169,0)),IF(3=MAX($AS169:$AW169)+1,"取消",""))</f>
        <v>陈师傅</v>
      </c>
      <c r="BB169" s="0" t="str">
        <f aca="false">IFERROR(INDEX($A$1:$A$5,MATCH(4,$AS169:$AW169,0)),IF(4=MAX($AS169:$AW169)+1,"取消",""))</f>
        <v>刘师傅</v>
      </c>
      <c r="BC169" s="0" t="str">
        <f aca="false">IFERROR(INDEX($A$1:$A$5,MATCH(5,$AS169:$AW169,0)),IF(5=MAX($AS169:$AW169)+1,"取消",""))</f>
        <v>取消</v>
      </c>
      <c r="BD169" s="0" t="str">
        <f aca="false">IFERROR(INDEX($A$1:$A$5,MATCH(6,$AS169:$AW169,0)),IF(6=MAX($AS169:$AW169)+1,"取消",""))</f>
        <v/>
      </c>
      <c r="FW169" s="0" t="str">
        <f aca="false">IF(AND(单元查询!$D$3&lt;&gt;"",IF(单元查询!$B$3="公区维修",公区维修!$E169&lt;&gt;"",入户维修!$E169&lt;&gt;""),IF(单元查询!$B$3="公区维修",公区维修!$C169,入户维修!$C169)=单元查询!$D$3,OR(单元查询!$F$3="",IF(单元查询!$B$3="公区维修",公区维修!$D169,入户维修!$D169)&amp;""=(单元查询!$F$3)&amp;"")),MAX($FW$4:$FW168)+1,"")</f>
        <v/>
      </c>
    </row>
    <row r="170" customFormat="false" ht="15" hidden="false" customHeight="true" outlineLevel="0" collapsed="false">
      <c r="F170" s="0" t="n">
        <f aca="false">IF(OR($A$1=入户维修!$F170,$BN$1=1),0,1-SUMPRODUCT(--(($A$1=入户维修!$F170)+$BN$1&gt;0)))</f>
        <v>0</v>
      </c>
      <c r="G170" s="0" t="n">
        <f aca="false">IF(OR($A$2=入户维修!$F170,$BN$2=1),0,2-SUMPRODUCT(--(($A$1:$A$2=入户维修!$F170)+$BN$1:$BN$2&gt;0)))</f>
        <v>1</v>
      </c>
      <c r="H170" s="0" t="n">
        <f aca="false">IF(OR($A$3=入户维修!$F170,$BN$3=1),0,3-SUMPRODUCT(--(($A$1:$A$3=入户维修!$F170)+$BN$1:$BN$3&gt;0)))</f>
        <v>2</v>
      </c>
      <c r="I170" s="0" t="n">
        <f aca="false">IF(OR($A$4=入户维修!$F170,$BN$4=1),0,4-SUMPRODUCT(--(($A$1:$A$4=入户维修!$F170)+$BN$1:$BN$4&gt;0)))</f>
        <v>3</v>
      </c>
      <c r="J170" s="0" t="n">
        <f aca="false">IF(OR($A$5=入户维修!$F170,$BN$5=1),0,5-SUMPRODUCT(--(($A$1:$A$5=入户维修!$F170)+$BN$1:$BN$5&gt;0)))</f>
        <v>4</v>
      </c>
      <c r="L170" s="0" t="str">
        <f aca="false">IFERROR(INDEX($A$1:$A$5,MATCH(1,$F170:$J170,0)),IF(1=MAX($F170:$J170)+1,"取消",""))</f>
        <v>李师傅</v>
      </c>
      <c r="M170" s="0" t="str">
        <f aca="false">IFERROR(INDEX($A$1:$A$5,MATCH(2,$F170:$J170,0)),IF(2=MAX($F170:$J170)+1,"取消",""))</f>
        <v>王师傅</v>
      </c>
      <c r="N170" s="0" t="str">
        <f aca="false">IFERROR(INDEX($A$1:$A$5,MATCH(3,$F170:$J170,0)),IF(3=MAX($F170:$J170)+1,"取消",""))</f>
        <v>陈师傅</v>
      </c>
      <c r="O170" s="0" t="str">
        <f aca="false">IFERROR(INDEX($A$1:$A$5,MATCH(4,$F170:$J170,0)),IF(4=MAX($F170:$J170)+1,"取消",""))</f>
        <v>刘师傅</v>
      </c>
      <c r="P170" s="0" t="str">
        <f aca="false">IFERROR(INDEX($A$1:$A$5,MATCH(5,$F170:$J170,0)),IF(5=MAX($F170:$J170)+1,"取消",""))</f>
        <v>取消</v>
      </c>
      <c r="Q170" s="0" t="str">
        <f aca="false">IFERROR(INDEX($A$1:$A$5,MATCH(6,$F170:$J170,0)),IF(6=MAX($F170:$J170)+1,"取消",""))</f>
        <v/>
      </c>
      <c r="S170" s="0" t="n">
        <f aca="false">IF(OR($A$1=入户维修!$F170,$A$1=入户维修!$G170,$BN$1=1),0,1-SUMPRODUCT(--(($A$1=入户维修!$F170)+($A$1=入户维修!$G170)+$BN$1&gt;0)))</f>
        <v>0</v>
      </c>
      <c r="T170" s="0" t="n">
        <f aca="false">IF(OR($A$2=入户维修!$F170,$A$2=入户维修!$G170,$BN$2=1),0,2-SUMPRODUCT(--(($A$1:$A$2=入户维修!$F170)+($A$1:$A$2=入户维修!$G170)+$BN$1:$BN$2&gt;0)))</f>
        <v>1</v>
      </c>
      <c r="U170" s="0" t="n">
        <f aca="false">IF(OR($A$3=入户维修!$F170,$A$3=入户维修!$G170,$BN$3=1),0,3-SUMPRODUCT(--(($A$1:$A$3=入户维修!$F170)+($A$1:$A$3=入户维修!$G170)+$BN$1:$BN$3&gt;0)))</f>
        <v>2</v>
      </c>
      <c r="V170" s="0" t="n">
        <f aca="false">IF(OR($A$4=入户维修!$F170,$A$4=入户维修!$G170,$BN$4=1),0,4-SUMPRODUCT(--(($A$1:$A$4=入户维修!$F170)+($A$1:$A$4=入户维修!$G170)+$BN$1:$BN$4&gt;0)))</f>
        <v>3</v>
      </c>
      <c r="W170" s="0" t="n">
        <f aca="false">IF(OR($A$5=入户维修!$F170,$A$5=入户维修!$G170,$BN$5=1),0,5-SUMPRODUCT(--(($A$1:$A$5=入户维修!$F170)+($A$1:$A$5=入户维修!$G170)+$BN$1:$BN$5&gt;0)))</f>
        <v>4</v>
      </c>
      <c r="Y170" s="0" t="str">
        <f aca="false">IFERROR(INDEX($A$1:$A$5,MATCH(1,$S170:$W170,0)),IF(1=MAX($S170:$W170)+1,"取消",""))</f>
        <v>李师傅</v>
      </c>
      <c r="Z170" s="0" t="str">
        <f aca="false">IFERROR(INDEX($A$1:$A$5,MATCH(2,$S170:$W170,0)),IF(2=MAX($S170:$W170)+1,"取消",""))</f>
        <v>王师傅</v>
      </c>
      <c r="AA170" s="0" t="str">
        <f aca="false">IFERROR(INDEX($A$1:$A$5,MATCH(3,$S170:$W170,0)),IF(3=MAX($S170:$W170)+1,"取消",""))</f>
        <v>陈师傅</v>
      </c>
      <c r="AB170" s="0" t="str">
        <f aca="false">IFERROR(INDEX($A$1:$A$5,MATCH(4,$S170:$W170,0)),IF(4=MAX($S170:$W170)+1,"取消",""))</f>
        <v>刘师傅</v>
      </c>
      <c r="AC170" s="0" t="str">
        <f aca="false">IFERROR(INDEX($A$1:$A$5,MATCH(5,$S170:$W170,0)),IF(5=MAX($S170:$W170)+1,"取消",""))</f>
        <v>取消</v>
      </c>
      <c r="AD170" s="0" t="str">
        <f aca="false">IFERROR(INDEX($A$1:$A$5,MATCH(6,$S170:$W170,0)),IF(6=MAX($S170:$W170)+1,"取消",""))</f>
        <v/>
      </c>
      <c r="AF170" s="0" t="n">
        <f aca="false">IF(OR($A$1=公区维修!$F170,$BN$1=1),0,1-SUMPRODUCT(--(($A$1=公区维修!$F170)+$BN$1&gt;0)))</f>
        <v>0</v>
      </c>
      <c r="AG170" s="0" t="n">
        <f aca="false">IF(OR($A$2=公区维修!$F170,$BN$2=1),0,2-SUMPRODUCT(--(($A$1:$A$2=公区维修!$F170)+$BN$1:$BN$2&gt;0)))</f>
        <v>1</v>
      </c>
      <c r="AH170" s="0" t="n">
        <f aca="false">IF(OR($A$3=公区维修!$F170,$BN$3=1),0,3-SUMPRODUCT(--(($A$1:$A$3=公区维修!$F170)+$BN$1:$BN$3&gt;0)))</f>
        <v>2</v>
      </c>
      <c r="AI170" s="0" t="n">
        <f aca="false">IF(OR($A$4=公区维修!$F170,$BN$4=1),0,4-SUMPRODUCT(--(($A$1:$A$4=公区维修!$F170)+$BN$1:$BN$4&gt;0)))</f>
        <v>3</v>
      </c>
      <c r="AJ170" s="0" t="n">
        <f aca="false">IF(OR($A$5=公区维修!$F170,$BN$5=1),0,5-SUMPRODUCT(--(($A$1:$A$5=公区维修!$F170)+$BN$1:$BN$5&gt;0)))</f>
        <v>4</v>
      </c>
      <c r="AL170" s="0" t="str">
        <f aca="false">IFERROR(INDEX($A$1:$A$5,MATCH(1,$AF170:$AJ170,0)),IF(1=MAX($AF170:$AJ170)+1,"取消",""))</f>
        <v>李师傅</v>
      </c>
      <c r="AM170" s="0" t="str">
        <f aca="false">IFERROR(INDEX($A$1:$A$5,MATCH(2,$AF170:$AJ170,0)),IF(2=MAX($AF170:$AJ170)+1,"取消",""))</f>
        <v>王师傅</v>
      </c>
      <c r="AN170" s="0" t="str">
        <f aca="false">IFERROR(INDEX($A$1:$A$5,MATCH(3,$AF170:$AJ170,0)),IF(3=MAX($AF170:$AJ170)+1,"取消",""))</f>
        <v>陈师傅</v>
      </c>
      <c r="AO170" s="0" t="str">
        <f aca="false">IFERROR(INDEX($A$1:$A$5,MATCH(4,$AF170:$AJ170,0)),IF(4=MAX($AF170:$AJ170)+1,"取消",""))</f>
        <v>刘师傅</v>
      </c>
      <c r="AP170" s="0" t="str">
        <f aca="false">IFERROR(INDEX($A$1:$A$5,MATCH(5,$AF170:$AJ170,0)),IF(5=MAX($AF170:$AJ170)+1,"取消",""))</f>
        <v>取消</v>
      </c>
      <c r="AQ170" s="0" t="str">
        <f aca="false">IFERROR(INDEX($A$1:$A$5,MATCH(6,$AF170:$AJ170,0)),IF(6=MAX($AF170:$AJ170)+1,"取消",""))</f>
        <v/>
      </c>
      <c r="AS170" s="0" t="n">
        <f aca="false">IF(OR($A$1=公区维修!$F170,$A$1=公区维修!$G170,$BN$1=1),0,1-SUMPRODUCT(--(($A$1=公区维修!$F170)+($A$1=公区维修!$G170)+$BN$1&gt;0)))</f>
        <v>0</v>
      </c>
      <c r="AT170" s="0" t="n">
        <f aca="false">IF(OR($A$2=公区维修!$F170,$A$2=公区维修!$G170,$BN$2=1),0,2-SUMPRODUCT(--(($A$1:$A$2=公区维修!$F170)+($A$1:$A$2=公区维修!$G170)+$BN$1:$BN$2&gt;0)))</f>
        <v>1</v>
      </c>
      <c r="AU170" s="0" t="n">
        <f aca="false">IF(OR($A$3=公区维修!$F170,$A$3=公区维修!$G170,$BN$3=1),0,3-SUMPRODUCT(--(($A$1:$A$3=公区维修!$F170)+($A$1:$A$3=公区维修!$G170)+$BN$1:$BN$3&gt;0)))</f>
        <v>2</v>
      </c>
      <c r="AV170" s="0" t="n">
        <f aca="false">IF(OR($A$4=公区维修!$F170,$A$4=公区维修!$G170,$BN$4=1),0,4-SUMPRODUCT(--(($A$1:$A$4=公区维修!$F170)+($A$1:$A$4=公区维修!$G170)+$BN$1:$BN$4&gt;0)))</f>
        <v>3</v>
      </c>
      <c r="AW170" s="0" t="n">
        <f aca="false">IF(OR($A$5=公区维修!$F170,$A$5=公区维修!$G170,$BN$5=1),0,5-SUMPRODUCT(--(($A$1:$A$5=公区维修!$F170)+($A$1:$A$5=公区维修!$G170)+$BN$1:$BN$5&gt;0)))</f>
        <v>4</v>
      </c>
      <c r="AY170" s="0" t="str">
        <f aca="false">IFERROR(INDEX($A$1:$A$5,MATCH(1,$AS170:$AW170,0)),IF(1=MAX($AS170:$AW170)+1,"取消",""))</f>
        <v>李师傅</v>
      </c>
      <c r="AZ170" s="0" t="str">
        <f aca="false">IFERROR(INDEX($A$1:$A$5,MATCH(2,$AS170:$AW170,0)),IF(2=MAX($AS170:$AW170)+1,"取消",""))</f>
        <v>王师傅</v>
      </c>
      <c r="BA170" s="0" t="str">
        <f aca="false">IFERROR(INDEX($A$1:$A$5,MATCH(3,$AS170:$AW170,0)),IF(3=MAX($AS170:$AW170)+1,"取消",""))</f>
        <v>陈师傅</v>
      </c>
      <c r="BB170" s="0" t="str">
        <f aca="false">IFERROR(INDEX($A$1:$A$5,MATCH(4,$AS170:$AW170,0)),IF(4=MAX($AS170:$AW170)+1,"取消",""))</f>
        <v>刘师傅</v>
      </c>
      <c r="BC170" s="0" t="str">
        <f aca="false">IFERROR(INDEX($A$1:$A$5,MATCH(5,$AS170:$AW170,0)),IF(5=MAX($AS170:$AW170)+1,"取消",""))</f>
        <v>取消</v>
      </c>
      <c r="BD170" s="0" t="str">
        <f aca="false">IFERROR(INDEX($A$1:$A$5,MATCH(6,$AS170:$AW170,0)),IF(6=MAX($AS170:$AW170)+1,"取消",""))</f>
        <v/>
      </c>
      <c r="FW170" s="0" t="str">
        <f aca="false">IF(AND(单元查询!$D$3&lt;&gt;"",IF(单元查询!$B$3="公区维修",公区维修!$E170&lt;&gt;"",入户维修!$E170&lt;&gt;""),IF(单元查询!$B$3="公区维修",公区维修!$C170,入户维修!$C170)=单元查询!$D$3,OR(单元查询!$F$3="",IF(单元查询!$B$3="公区维修",公区维修!$D170,入户维修!$D170)&amp;""=(单元查询!$F$3)&amp;"")),MAX($FW$4:$FW169)+1,"")</f>
        <v/>
      </c>
    </row>
    <row r="171" customFormat="false" ht="15" hidden="false" customHeight="true" outlineLevel="0" collapsed="false">
      <c r="F171" s="0" t="n">
        <f aca="false">IF(OR($A$1=入户维修!$F171,$BN$1=1),0,1-SUMPRODUCT(--(($A$1=入户维修!$F171)+$BN$1&gt;0)))</f>
        <v>0</v>
      </c>
      <c r="G171" s="0" t="n">
        <f aca="false">IF(OR($A$2=入户维修!$F171,$BN$2=1),0,2-SUMPRODUCT(--(($A$1:$A$2=入户维修!$F171)+$BN$1:$BN$2&gt;0)))</f>
        <v>1</v>
      </c>
      <c r="H171" s="0" t="n">
        <f aca="false">IF(OR($A$3=入户维修!$F171,$BN$3=1),0,3-SUMPRODUCT(--(($A$1:$A$3=入户维修!$F171)+$BN$1:$BN$3&gt;0)))</f>
        <v>2</v>
      </c>
      <c r="I171" s="0" t="n">
        <f aca="false">IF(OR($A$4=入户维修!$F171,$BN$4=1),0,4-SUMPRODUCT(--(($A$1:$A$4=入户维修!$F171)+$BN$1:$BN$4&gt;0)))</f>
        <v>3</v>
      </c>
      <c r="J171" s="0" t="n">
        <f aca="false">IF(OR($A$5=入户维修!$F171,$BN$5=1),0,5-SUMPRODUCT(--(($A$1:$A$5=入户维修!$F171)+$BN$1:$BN$5&gt;0)))</f>
        <v>4</v>
      </c>
      <c r="L171" s="0" t="str">
        <f aca="false">IFERROR(INDEX($A$1:$A$5,MATCH(1,$F171:$J171,0)),IF(1=MAX($F171:$J171)+1,"取消",""))</f>
        <v>李师傅</v>
      </c>
      <c r="M171" s="0" t="str">
        <f aca="false">IFERROR(INDEX($A$1:$A$5,MATCH(2,$F171:$J171,0)),IF(2=MAX($F171:$J171)+1,"取消",""))</f>
        <v>王师傅</v>
      </c>
      <c r="N171" s="0" t="str">
        <f aca="false">IFERROR(INDEX($A$1:$A$5,MATCH(3,$F171:$J171,0)),IF(3=MAX($F171:$J171)+1,"取消",""))</f>
        <v>陈师傅</v>
      </c>
      <c r="O171" s="0" t="str">
        <f aca="false">IFERROR(INDEX($A$1:$A$5,MATCH(4,$F171:$J171,0)),IF(4=MAX($F171:$J171)+1,"取消",""))</f>
        <v>刘师傅</v>
      </c>
      <c r="P171" s="0" t="str">
        <f aca="false">IFERROR(INDEX($A$1:$A$5,MATCH(5,$F171:$J171,0)),IF(5=MAX($F171:$J171)+1,"取消",""))</f>
        <v>取消</v>
      </c>
      <c r="Q171" s="0" t="str">
        <f aca="false">IFERROR(INDEX($A$1:$A$5,MATCH(6,$F171:$J171,0)),IF(6=MAX($F171:$J171)+1,"取消",""))</f>
        <v/>
      </c>
      <c r="S171" s="0" t="n">
        <f aca="false">IF(OR($A$1=入户维修!$F171,$A$1=入户维修!$G171,$BN$1=1),0,1-SUMPRODUCT(--(($A$1=入户维修!$F171)+($A$1=入户维修!$G171)+$BN$1&gt;0)))</f>
        <v>0</v>
      </c>
      <c r="T171" s="0" t="n">
        <f aca="false">IF(OR($A$2=入户维修!$F171,$A$2=入户维修!$G171,$BN$2=1),0,2-SUMPRODUCT(--(($A$1:$A$2=入户维修!$F171)+($A$1:$A$2=入户维修!$G171)+$BN$1:$BN$2&gt;0)))</f>
        <v>1</v>
      </c>
      <c r="U171" s="0" t="n">
        <f aca="false">IF(OR($A$3=入户维修!$F171,$A$3=入户维修!$G171,$BN$3=1),0,3-SUMPRODUCT(--(($A$1:$A$3=入户维修!$F171)+($A$1:$A$3=入户维修!$G171)+$BN$1:$BN$3&gt;0)))</f>
        <v>2</v>
      </c>
      <c r="V171" s="0" t="n">
        <f aca="false">IF(OR($A$4=入户维修!$F171,$A$4=入户维修!$G171,$BN$4=1),0,4-SUMPRODUCT(--(($A$1:$A$4=入户维修!$F171)+($A$1:$A$4=入户维修!$G171)+$BN$1:$BN$4&gt;0)))</f>
        <v>3</v>
      </c>
      <c r="W171" s="0" t="n">
        <f aca="false">IF(OR($A$5=入户维修!$F171,$A$5=入户维修!$G171,$BN$5=1),0,5-SUMPRODUCT(--(($A$1:$A$5=入户维修!$F171)+($A$1:$A$5=入户维修!$G171)+$BN$1:$BN$5&gt;0)))</f>
        <v>4</v>
      </c>
      <c r="Y171" s="0" t="str">
        <f aca="false">IFERROR(INDEX($A$1:$A$5,MATCH(1,$S171:$W171,0)),IF(1=MAX($S171:$W171)+1,"取消",""))</f>
        <v>李师傅</v>
      </c>
      <c r="Z171" s="0" t="str">
        <f aca="false">IFERROR(INDEX($A$1:$A$5,MATCH(2,$S171:$W171,0)),IF(2=MAX($S171:$W171)+1,"取消",""))</f>
        <v>王师傅</v>
      </c>
      <c r="AA171" s="0" t="str">
        <f aca="false">IFERROR(INDEX($A$1:$A$5,MATCH(3,$S171:$W171,0)),IF(3=MAX($S171:$W171)+1,"取消",""))</f>
        <v>陈师傅</v>
      </c>
      <c r="AB171" s="0" t="str">
        <f aca="false">IFERROR(INDEX($A$1:$A$5,MATCH(4,$S171:$W171,0)),IF(4=MAX($S171:$W171)+1,"取消",""))</f>
        <v>刘师傅</v>
      </c>
      <c r="AC171" s="0" t="str">
        <f aca="false">IFERROR(INDEX($A$1:$A$5,MATCH(5,$S171:$W171,0)),IF(5=MAX($S171:$W171)+1,"取消",""))</f>
        <v>取消</v>
      </c>
      <c r="AD171" s="0" t="str">
        <f aca="false">IFERROR(INDEX($A$1:$A$5,MATCH(6,$S171:$W171,0)),IF(6=MAX($S171:$W171)+1,"取消",""))</f>
        <v/>
      </c>
      <c r="AF171" s="0" t="n">
        <f aca="false">IF(OR($A$1=公区维修!$F171,$BN$1=1),0,1-SUMPRODUCT(--(($A$1=公区维修!$F171)+$BN$1&gt;0)))</f>
        <v>0</v>
      </c>
      <c r="AG171" s="0" t="n">
        <f aca="false">IF(OR($A$2=公区维修!$F171,$BN$2=1),0,2-SUMPRODUCT(--(($A$1:$A$2=公区维修!$F171)+$BN$1:$BN$2&gt;0)))</f>
        <v>1</v>
      </c>
      <c r="AH171" s="0" t="n">
        <f aca="false">IF(OR($A$3=公区维修!$F171,$BN$3=1),0,3-SUMPRODUCT(--(($A$1:$A$3=公区维修!$F171)+$BN$1:$BN$3&gt;0)))</f>
        <v>2</v>
      </c>
      <c r="AI171" s="0" t="n">
        <f aca="false">IF(OR($A$4=公区维修!$F171,$BN$4=1),0,4-SUMPRODUCT(--(($A$1:$A$4=公区维修!$F171)+$BN$1:$BN$4&gt;0)))</f>
        <v>3</v>
      </c>
      <c r="AJ171" s="0" t="n">
        <f aca="false">IF(OR($A$5=公区维修!$F171,$BN$5=1),0,5-SUMPRODUCT(--(($A$1:$A$5=公区维修!$F171)+$BN$1:$BN$5&gt;0)))</f>
        <v>4</v>
      </c>
      <c r="AL171" s="0" t="str">
        <f aca="false">IFERROR(INDEX($A$1:$A$5,MATCH(1,$AF171:$AJ171,0)),IF(1=MAX($AF171:$AJ171)+1,"取消",""))</f>
        <v>李师傅</v>
      </c>
      <c r="AM171" s="0" t="str">
        <f aca="false">IFERROR(INDEX($A$1:$A$5,MATCH(2,$AF171:$AJ171,0)),IF(2=MAX($AF171:$AJ171)+1,"取消",""))</f>
        <v>王师傅</v>
      </c>
      <c r="AN171" s="0" t="str">
        <f aca="false">IFERROR(INDEX($A$1:$A$5,MATCH(3,$AF171:$AJ171,0)),IF(3=MAX($AF171:$AJ171)+1,"取消",""))</f>
        <v>陈师傅</v>
      </c>
      <c r="AO171" s="0" t="str">
        <f aca="false">IFERROR(INDEX($A$1:$A$5,MATCH(4,$AF171:$AJ171,0)),IF(4=MAX($AF171:$AJ171)+1,"取消",""))</f>
        <v>刘师傅</v>
      </c>
      <c r="AP171" s="0" t="str">
        <f aca="false">IFERROR(INDEX($A$1:$A$5,MATCH(5,$AF171:$AJ171,0)),IF(5=MAX($AF171:$AJ171)+1,"取消",""))</f>
        <v>取消</v>
      </c>
      <c r="AQ171" s="0" t="str">
        <f aca="false">IFERROR(INDEX($A$1:$A$5,MATCH(6,$AF171:$AJ171,0)),IF(6=MAX($AF171:$AJ171)+1,"取消",""))</f>
        <v/>
      </c>
      <c r="AS171" s="0" t="n">
        <f aca="false">IF(OR($A$1=公区维修!$F171,$A$1=公区维修!$G171,$BN$1=1),0,1-SUMPRODUCT(--(($A$1=公区维修!$F171)+($A$1=公区维修!$G171)+$BN$1&gt;0)))</f>
        <v>0</v>
      </c>
      <c r="AT171" s="0" t="n">
        <f aca="false">IF(OR($A$2=公区维修!$F171,$A$2=公区维修!$G171,$BN$2=1),0,2-SUMPRODUCT(--(($A$1:$A$2=公区维修!$F171)+($A$1:$A$2=公区维修!$G171)+$BN$1:$BN$2&gt;0)))</f>
        <v>1</v>
      </c>
      <c r="AU171" s="0" t="n">
        <f aca="false">IF(OR($A$3=公区维修!$F171,$A$3=公区维修!$G171,$BN$3=1),0,3-SUMPRODUCT(--(($A$1:$A$3=公区维修!$F171)+($A$1:$A$3=公区维修!$G171)+$BN$1:$BN$3&gt;0)))</f>
        <v>2</v>
      </c>
      <c r="AV171" s="0" t="n">
        <f aca="false">IF(OR($A$4=公区维修!$F171,$A$4=公区维修!$G171,$BN$4=1),0,4-SUMPRODUCT(--(($A$1:$A$4=公区维修!$F171)+($A$1:$A$4=公区维修!$G171)+$BN$1:$BN$4&gt;0)))</f>
        <v>3</v>
      </c>
      <c r="AW171" s="0" t="n">
        <f aca="false">IF(OR($A$5=公区维修!$F171,$A$5=公区维修!$G171,$BN$5=1),0,5-SUMPRODUCT(--(($A$1:$A$5=公区维修!$F171)+($A$1:$A$5=公区维修!$G171)+$BN$1:$BN$5&gt;0)))</f>
        <v>4</v>
      </c>
      <c r="AY171" s="0" t="str">
        <f aca="false">IFERROR(INDEX($A$1:$A$5,MATCH(1,$AS171:$AW171,0)),IF(1=MAX($AS171:$AW171)+1,"取消",""))</f>
        <v>李师傅</v>
      </c>
      <c r="AZ171" s="0" t="str">
        <f aca="false">IFERROR(INDEX($A$1:$A$5,MATCH(2,$AS171:$AW171,0)),IF(2=MAX($AS171:$AW171)+1,"取消",""))</f>
        <v>王师傅</v>
      </c>
      <c r="BA171" s="0" t="str">
        <f aca="false">IFERROR(INDEX($A$1:$A$5,MATCH(3,$AS171:$AW171,0)),IF(3=MAX($AS171:$AW171)+1,"取消",""))</f>
        <v>陈师傅</v>
      </c>
      <c r="BB171" s="0" t="str">
        <f aca="false">IFERROR(INDEX($A$1:$A$5,MATCH(4,$AS171:$AW171,0)),IF(4=MAX($AS171:$AW171)+1,"取消",""))</f>
        <v>刘师傅</v>
      </c>
      <c r="BC171" s="0" t="str">
        <f aca="false">IFERROR(INDEX($A$1:$A$5,MATCH(5,$AS171:$AW171,0)),IF(5=MAX($AS171:$AW171)+1,"取消",""))</f>
        <v>取消</v>
      </c>
      <c r="BD171" s="0" t="str">
        <f aca="false">IFERROR(INDEX($A$1:$A$5,MATCH(6,$AS171:$AW171,0)),IF(6=MAX($AS171:$AW171)+1,"取消",""))</f>
        <v/>
      </c>
      <c r="FW171" s="0" t="str">
        <f aca="false">IF(AND(单元查询!$D$3&lt;&gt;"",IF(单元查询!$B$3="公区维修",公区维修!$E171&lt;&gt;"",入户维修!$E171&lt;&gt;""),IF(单元查询!$B$3="公区维修",公区维修!$C171,入户维修!$C171)=单元查询!$D$3,OR(单元查询!$F$3="",IF(单元查询!$B$3="公区维修",公区维修!$D171,入户维修!$D171)&amp;""=(单元查询!$F$3)&amp;"")),MAX($FW$4:$FW170)+1,"")</f>
        <v/>
      </c>
    </row>
    <row r="172" customFormat="false" ht="15" hidden="false" customHeight="true" outlineLevel="0" collapsed="false">
      <c r="F172" s="0" t="n">
        <f aca="false">IF(OR($A$1=入户维修!$F172,$BN$1=1),0,1-SUMPRODUCT(--(($A$1=入户维修!$F172)+$BN$1&gt;0)))</f>
        <v>0</v>
      </c>
      <c r="G172" s="0" t="n">
        <f aca="false">IF(OR($A$2=入户维修!$F172,$BN$2=1),0,2-SUMPRODUCT(--(($A$1:$A$2=入户维修!$F172)+$BN$1:$BN$2&gt;0)))</f>
        <v>1</v>
      </c>
      <c r="H172" s="0" t="n">
        <f aca="false">IF(OR($A$3=入户维修!$F172,$BN$3=1),0,3-SUMPRODUCT(--(($A$1:$A$3=入户维修!$F172)+$BN$1:$BN$3&gt;0)))</f>
        <v>2</v>
      </c>
      <c r="I172" s="0" t="n">
        <f aca="false">IF(OR($A$4=入户维修!$F172,$BN$4=1),0,4-SUMPRODUCT(--(($A$1:$A$4=入户维修!$F172)+$BN$1:$BN$4&gt;0)))</f>
        <v>3</v>
      </c>
      <c r="J172" s="0" t="n">
        <f aca="false">IF(OR($A$5=入户维修!$F172,$BN$5=1),0,5-SUMPRODUCT(--(($A$1:$A$5=入户维修!$F172)+$BN$1:$BN$5&gt;0)))</f>
        <v>4</v>
      </c>
      <c r="L172" s="0" t="str">
        <f aca="false">IFERROR(INDEX($A$1:$A$5,MATCH(1,$F172:$J172,0)),IF(1=MAX($F172:$J172)+1,"取消",""))</f>
        <v>李师傅</v>
      </c>
      <c r="M172" s="0" t="str">
        <f aca="false">IFERROR(INDEX($A$1:$A$5,MATCH(2,$F172:$J172,0)),IF(2=MAX($F172:$J172)+1,"取消",""))</f>
        <v>王师傅</v>
      </c>
      <c r="N172" s="0" t="str">
        <f aca="false">IFERROR(INDEX($A$1:$A$5,MATCH(3,$F172:$J172,0)),IF(3=MAX($F172:$J172)+1,"取消",""))</f>
        <v>陈师傅</v>
      </c>
      <c r="O172" s="0" t="str">
        <f aca="false">IFERROR(INDEX($A$1:$A$5,MATCH(4,$F172:$J172,0)),IF(4=MAX($F172:$J172)+1,"取消",""))</f>
        <v>刘师傅</v>
      </c>
      <c r="P172" s="0" t="str">
        <f aca="false">IFERROR(INDEX($A$1:$A$5,MATCH(5,$F172:$J172,0)),IF(5=MAX($F172:$J172)+1,"取消",""))</f>
        <v>取消</v>
      </c>
      <c r="Q172" s="0" t="str">
        <f aca="false">IFERROR(INDEX($A$1:$A$5,MATCH(6,$F172:$J172,0)),IF(6=MAX($F172:$J172)+1,"取消",""))</f>
        <v/>
      </c>
      <c r="S172" s="0" t="n">
        <f aca="false">IF(OR($A$1=入户维修!$F172,$A$1=入户维修!$G172,$BN$1=1),0,1-SUMPRODUCT(--(($A$1=入户维修!$F172)+($A$1=入户维修!$G172)+$BN$1&gt;0)))</f>
        <v>0</v>
      </c>
      <c r="T172" s="0" t="n">
        <f aca="false">IF(OR($A$2=入户维修!$F172,$A$2=入户维修!$G172,$BN$2=1),0,2-SUMPRODUCT(--(($A$1:$A$2=入户维修!$F172)+($A$1:$A$2=入户维修!$G172)+$BN$1:$BN$2&gt;0)))</f>
        <v>1</v>
      </c>
      <c r="U172" s="0" t="n">
        <f aca="false">IF(OR($A$3=入户维修!$F172,$A$3=入户维修!$G172,$BN$3=1),0,3-SUMPRODUCT(--(($A$1:$A$3=入户维修!$F172)+($A$1:$A$3=入户维修!$G172)+$BN$1:$BN$3&gt;0)))</f>
        <v>2</v>
      </c>
      <c r="V172" s="0" t="n">
        <f aca="false">IF(OR($A$4=入户维修!$F172,$A$4=入户维修!$G172,$BN$4=1),0,4-SUMPRODUCT(--(($A$1:$A$4=入户维修!$F172)+($A$1:$A$4=入户维修!$G172)+$BN$1:$BN$4&gt;0)))</f>
        <v>3</v>
      </c>
      <c r="W172" s="0" t="n">
        <f aca="false">IF(OR($A$5=入户维修!$F172,$A$5=入户维修!$G172,$BN$5=1),0,5-SUMPRODUCT(--(($A$1:$A$5=入户维修!$F172)+($A$1:$A$5=入户维修!$G172)+$BN$1:$BN$5&gt;0)))</f>
        <v>4</v>
      </c>
      <c r="Y172" s="0" t="str">
        <f aca="false">IFERROR(INDEX($A$1:$A$5,MATCH(1,$S172:$W172,0)),IF(1=MAX($S172:$W172)+1,"取消",""))</f>
        <v>李师傅</v>
      </c>
      <c r="Z172" s="0" t="str">
        <f aca="false">IFERROR(INDEX($A$1:$A$5,MATCH(2,$S172:$W172,0)),IF(2=MAX($S172:$W172)+1,"取消",""))</f>
        <v>王师傅</v>
      </c>
      <c r="AA172" s="0" t="str">
        <f aca="false">IFERROR(INDEX($A$1:$A$5,MATCH(3,$S172:$W172,0)),IF(3=MAX($S172:$W172)+1,"取消",""))</f>
        <v>陈师傅</v>
      </c>
      <c r="AB172" s="0" t="str">
        <f aca="false">IFERROR(INDEX($A$1:$A$5,MATCH(4,$S172:$W172,0)),IF(4=MAX($S172:$W172)+1,"取消",""))</f>
        <v>刘师傅</v>
      </c>
      <c r="AC172" s="0" t="str">
        <f aca="false">IFERROR(INDEX($A$1:$A$5,MATCH(5,$S172:$W172,0)),IF(5=MAX($S172:$W172)+1,"取消",""))</f>
        <v>取消</v>
      </c>
      <c r="AD172" s="0" t="str">
        <f aca="false">IFERROR(INDEX($A$1:$A$5,MATCH(6,$S172:$W172,0)),IF(6=MAX($S172:$W172)+1,"取消",""))</f>
        <v/>
      </c>
      <c r="AF172" s="0" t="n">
        <f aca="false">IF(OR($A$1=公区维修!$F172,$BN$1=1),0,1-SUMPRODUCT(--(($A$1=公区维修!$F172)+$BN$1&gt;0)))</f>
        <v>0</v>
      </c>
      <c r="AG172" s="0" t="n">
        <f aca="false">IF(OR($A$2=公区维修!$F172,$BN$2=1),0,2-SUMPRODUCT(--(($A$1:$A$2=公区维修!$F172)+$BN$1:$BN$2&gt;0)))</f>
        <v>1</v>
      </c>
      <c r="AH172" s="0" t="n">
        <f aca="false">IF(OR($A$3=公区维修!$F172,$BN$3=1),0,3-SUMPRODUCT(--(($A$1:$A$3=公区维修!$F172)+$BN$1:$BN$3&gt;0)))</f>
        <v>2</v>
      </c>
      <c r="AI172" s="0" t="n">
        <f aca="false">IF(OR($A$4=公区维修!$F172,$BN$4=1),0,4-SUMPRODUCT(--(($A$1:$A$4=公区维修!$F172)+$BN$1:$BN$4&gt;0)))</f>
        <v>3</v>
      </c>
      <c r="AJ172" s="0" t="n">
        <f aca="false">IF(OR($A$5=公区维修!$F172,$BN$5=1),0,5-SUMPRODUCT(--(($A$1:$A$5=公区维修!$F172)+$BN$1:$BN$5&gt;0)))</f>
        <v>4</v>
      </c>
      <c r="AL172" s="0" t="str">
        <f aca="false">IFERROR(INDEX($A$1:$A$5,MATCH(1,$AF172:$AJ172,0)),IF(1=MAX($AF172:$AJ172)+1,"取消",""))</f>
        <v>李师傅</v>
      </c>
      <c r="AM172" s="0" t="str">
        <f aca="false">IFERROR(INDEX($A$1:$A$5,MATCH(2,$AF172:$AJ172,0)),IF(2=MAX($AF172:$AJ172)+1,"取消",""))</f>
        <v>王师傅</v>
      </c>
      <c r="AN172" s="0" t="str">
        <f aca="false">IFERROR(INDEX($A$1:$A$5,MATCH(3,$AF172:$AJ172,0)),IF(3=MAX($AF172:$AJ172)+1,"取消",""))</f>
        <v>陈师傅</v>
      </c>
      <c r="AO172" s="0" t="str">
        <f aca="false">IFERROR(INDEX($A$1:$A$5,MATCH(4,$AF172:$AJ172,0)),IF(4=MAX($AF172:$AJ172)+1,"取消",""))</f>
        <v>刘师傅</v>
      </c>
      <c r="AP172" s="0" t="str">
        <f aca="false">IFERROR(INDEX($A$1:$A$5,MATCH(5,$AF172:$AJ172,0)),IF(5=MAX($AF172:$AJ172)+1,"取消",""))</f>
        <v>取消</v>
      </c>
      <c r="AQ172" s="0" t="str">
        <f aca="false">IFERROR(INDEX($A$1:$A$5,MATCH(6,$AF172:$AJ172,0)),IF(6=MAX($AF172:$AJ172)+1,"取消",""))</f>
        <v/>
      </c>
      <c r="AS172" s="0" t="n">
        <f aca="false">IF(OR($A$1=公区维修!$F172,$A$1=公区维修!$G172,$BN$1=1),0,1-SUMPRODUCT(--(($A$1=公区维修!$F172)+($A$1=公区维修!$G172)+$BN$1&gt;0)))</f>
        <v>0</v>
      </c>
      <c r="AT172" s="0" t="n">
        <f aca="false">IF(OR($A$2=公区维修!$F172,$A$2=公区维修!$G172,$BN$2=1),0,2-SUMPRODUCT(--(($A$1:$A$2=公区维修!$F172)+($A$1:$A$2=公区维修!$G172)+$BN$1:$BN$2&gt;0)))</f>
        <v>1</v>
      </c>
      <c r="AU172" s="0" t="n">
        <f aca="false">IF(OR($A$3=公区维修!$F172,$A$3=公区维修!$G172,$BN$3=1),0,3-SUMPRODUCT(--(($A$1:$A$3=公区维修!$F172)+($A$1:$A$3=公区维修!$G172)+$BN$1:$BN$3&gt;0)))</f>
        <v>2</v>
      </c>
      <c r="AV172" s="0" t="n">
        <f aca="false">IF(OR($A$4=公区维修!$F172,$A$4=公区维修!$G172,$BN$4=1),0,4-SUMPRODUCT(--(($A$1:$A$4=公区维修!$F172)+($A$1:$A$4=公区维修!$G172)+$BN$1:$BN$4&gt;0)))</f>
        <v>3</v>
      </c>
      <c r="AW172" s="0" t="n">
        <f aca="false">IF(OR($A$5=公区维修!$F172,$A$5=公区维修!$G172,$BN$5=1),0,5-SUMPRODUCT(--(($A$1:$A$5=公区维修!$F172)+($A$1:$A$5=公区维修!$G172)+$BN$1:$BN$5&gt;0)))</f>
        <v>4</v>
      </c>
      <c r="AY172" s="0" t="str">
        <f aca="false">IFERROR(INDEX($A$1:$A$5,MATCH(1,$AS172:$AW172,0)),IF(1=MAX($AS172:$AW172)+1,"取消",""))</f>
        <v>李师傅</v>
      </c>
      <c r="AZ172" s="0" t="str">
        <f aca="false">IFERROR(INDEX($A$1:$A$5,MATCH(2,$AS172:$AW172,0)),IF(2=MAX($AS172:$AW172)+1,"取消",""))</f>
        <v>王师傅</v>
      </c>
      <c r="BA172" s="0" t="str">
        <f aca="false">IFERROR(INDEX($A$1:$A$5,MATCH(3,$AS172:$AW172,0)),IF(3=MAX($AS172:$AW172)+1,"取消",""))</f>
        <v>陈师傅</v>
      </c>
      <c r="BB172" s="0" t="str">
        <f aca="false">IFERROR(INDEX($A$1:$A$5,MATCH(4,$AS172:$AW172,0)),IF(4=MAX($AS172:$AW172)+1,"取消",""))</f>
        <v>刘师傅</v>
      </c>
      <c r="BC172" s="0" t="str">
        <f aca="false">IFERROR(INDEX($A$1:$A$5,MATCH(5,$AS172:$AW172,0)),IF(5=MAX($AS172:$AW172)+1,"取消",""))</f>
        <v>取消</v>
      </c>
      <c r="BD172" s="0" t="str">
        <f aca="false">IFERROR(INDEX($A$1:$A$5,MATCH(6,$AS172:$AW172,0)),IF(6=MAX($AS172:$AW172)+1,"取消",""))</f>
        <v/>
      </c>
      <c r="FW172" s="0" t="str">
        <f aca="false">IF(AND(单元查询!$D$3&lt;&gt;"",IF(单元查询!$B$3="公区维修",公区维修!$E172&lt;&gt;"",入户维修!$E172&lt;&gt;""),IF(单元查询!$B$3="公区维修",公区维修!$C172,入户维修!$C172)=单元查询!$D$3,OR(单元查询!$F$3="",IF(单元查询!$B$3="公区维修",公区维修!$D172,入户维修!$D172)&amp;""=(单元查询!$F$3)&amp;"")),MAX($FW$4:$FW171)+1,"")</f>
        <v/>
      </c>
    </row>
    <row r="173" customFormat="false" ht="15" hidden="false" customHeight="true" outlineLevel="0" collapsed="false">
      <c r="F173" s="0" t="n">
        <f aca="false">IF(OR($A$1=入户维修!$F173,$BN$1=1),0,1-SUMPRODUCT(--(($A$1=入户维修!$F173)+$BN$1&gt;0)))</f>
        <v>0</v>
      </c>
      <c r="G173" s="0" t="n">
        <f aca="false">IF(OR($A$2=入户维修!$F173,$BN$2=1),0,2-SUMPRODUCT(--(($A$1:$A$2=入户维修!$F173)+$BN$1:$BN$2&gt;0)))</f>
        <v>1</v>
      </c>
      <c r="H173" s="0" t="n">
        <f aca="false">IF(OR($A$3=入户维修!$F173,$BN$3=1),0,3-SUMPRODUCT(--(($A$1:$A$3=入户维修!$F173)+$BN$1:$BN$3&gt;0)))</f>
        <v>2</v>
      </c>
      <c r="I173" s="0" t="n">
        <f aca="false">IF(OR($A$4=入户维修!$F173,$BN$4=1),0,4-SUMPRODUCT(--(($A$1:$A$4=入户维修!$F173)+$BN$1:$BN$4&gt;0)))</f>
        <v>3</v>
      </c>
      <c r="J173" s="0" t="n">
        <f aca="false">IF(OR($A$5=入户维修!$F173,$BN$5=1),0,5-SUMPRODUCT(--(($A$1:$A$5=入户维修!$F173)+$BN$1:$BN$5&gt;0)))</f>
        <v>4</v>
      </c>
      <c r="L173" s="0" t="str">
        <f aca="false">IFERROR(INDEX($A$1:$A$5,MATCH(1,$F173:$J173,0)),IF(1=MAX($F173:$J173)+1,"取消",""))</f>
        <v>李师傅</v>
      </c>
      <c r="M173" s="0" t="str">
        <f aca="false">IFERROR(INDEX($A$1:$A$5,MATCH(2,$F173:$J173,0)),IF(2=MAX($F173:$J173)+1,"取消",""))</f>
        <v>王师傅</v>
      </c>
      <c r="N173" s="0" t="str">
        <f aca="false">IFERROR(INDEX($A$1:$A$5,MATCH(3,$F173:$J173,0)),IF(3=MAX($F173:$J173)+1,"取消",""))</f>
        <v>陈师傅</v>
      </c>
      <c r="O173" s="0" t="str">
        <f aca="false">IFERROR(INDEX($A$1:$A$5,MATCH(4,$F173:$J173,0)),IF(4=MAX($F173:$J173)+1,"取消",""))</f>
        <v>刘师傅</v>
      </c>
      <c r="P173" s="0" t="str">
        <f aca="false">IFERROR(INDEX($A$1:$A$5,MATCH(5,$F173:$J173,0)),IF(5=MAX($F173:$J173)+1,"取消",""))</f>
        <v>取消</v>
      </c>
      <c r="Q173" s="0" t="str">
        <f aca="false">IFERROR(INDEX($A$1:$A$5,MATCH(6,$F173:$J173,0)),IF(6=MAX($F173:$J173)+1,"取消",""))</f>
        <v/>
      </c>
      <c r="S173" s="0" t="n">
        <f aca="false">IF(OR($A$1=入户维修!$F173,$A$1=入户维修!$G173,$BN$1=1),0,1-SUMPRODUCT(--(($A$1=入户维修!$F173)+($A$1=入户维修!$G173)+$BN$1&gt;0)))</f>
        <v>0</v>
      </c>
      <c r="T173" s="0" t="n">
        <f aca="false">IF(OR($A$2=入户维修!$F173,$A$2=入户维修!$G173,$BN$2=1),0,2-SUMPRODUCT(--(($A$1:$A$2=入户维修!$F173)+($A$1:$A$2=入户维修!$G173)+$BN$1:$BN$2&gt;0)))</f>
        <v>1</v>
      </c>
      <c r="U173" s="0" t="n">
        <f aca="false">IF(OR($A$3=入户维修!$F173,$A$3=入户维修!$G173,$BN$3=1),0,3-SUMPRODUCT(--(($A$1:$A$3=入户维修!$F173)+($A$1:$A$3=入户维修!$G173)+$BN$1:$BN$3&gt;0)))</f>
        <v>2</v>
      </c>
      <c r="V173" s="0" t="n">
        <f aca="false">IF(OR($A$4=入户维修!$F173,$A$4=入户维修!$G173,$BN$4=1),0,4-SUMPRODUCT(--(($A$1:$A$4=入户维修!$F173)+($A$1:$A$4=入户维修!$G173)+$BN$1:$BN$4&gt;0)))</f>
        <v>3</v>
      </c>
      <c r="W173" s="0" t="n">
        <f aca="false">IF(OR($A$5=入户维修!$F173,$A$5=入户维修!$G173,$BN$5=1),0,5-SUMPRODUCT(--(($A$1:$A$5=入户维修!$F173)+($A$1:$A$5=入户维修!$G173)+$BN$1:$BN$5&gt;0)))</f>
        <v>4</v>
      </c>
      <c r="Y173" s="0" t="str">
        <f aca="false">IFERROR(INDEX($A$1:$A$5,MATCH(1,$S173:$W173,0)),IF(1=MAX($S173:$W173)+1,"取消",""))</f>
        <v>李师傅</v>
      </c>
      <c r="Z173" s="0" t="str">
        <f aca="false">IFERROR(INDEX($A$1:$A$5,MATCH(2,$S173:$W173,0)),IF(2=MAX($S173:$W173)+1,"取消",""))</f>
        <v>王师傅</v>
      </c>
      <c r="AA173" s="0" t="str">
        <f aca="false">IFERROR(INDEX($A$1:$A$5,MATCH(3,$S173:$W173,0)),IF(3=MAX($S173:$W173)+1,"取消",""))</f>
        <v>陈师傅</v>
      </c>
      <c r="AB173" s="0" t="str">
        <f aca="false">IFERROR(INDEX($A$1:$A$5,MATCH(4,$S173:$W173,0)),IF(4=MAX($S173:$W173)+1,"取消",""))</f>
        <v>刘师傅</v>
      </c>
      <c r="AC173" s="0" t="str">
        <f aca="false">IFERROR(INDEX($A$1:$A$5,MATCH(5,$S173:$W173,0)),IF(5=MAX($S173:$W173)+1,"取消",""))</f>
        <v>取消</v>
      </c>
      <c r="AD173" s="0" t="str">
        <f aca="false">IFERROR(INDEX($A$1:$A$5,MATCH(6,$S173:$W173,0)),IF(6=MAX($S173:$W173)+1,"取消",""))</f>
        <v/>
      </c>
      <c r="AF173" s="0" t="n">
        <f aca="false">IF(OR($A$1=公区维修!$F173,$BN$1=1),0,1-SUMPRODUCT(--(($A$1=公区维修!$F173)+$BN$1&gt;0)))</f>
        <v>0</v>
      </c>
      <c r="AG173" s="0" t="n">
        <f aca="false">IF(OR($A$2=公区维修!$F173,$BN$2=1),0,2-SUMPRODUCT(--(($A$1:$A$2=公区维修!$F173)+$BN$1:$BN$2&gt;0)))</f>
        <v>1</v>
      </c>
      <c r="AH173" s="0" t="n">
        <f aca="false">IF(OR($A$3=公区维修!$F173,$BN$3=1),0,3-SUMPRODUCT(--(($A$1:$A$3=公区维修!$F173)+$BN$1:$BN$3&gt;0)))</f>
        <v>2</v>
      </c>
      <c r="AI173" s="0" t="n">
        <f aca="false">IF(OR($A$4=公区维修!$F173,$BN$4=1),0,4-SUMPRODUCT(--(($A$1:$A$4=公区维修!$F173)+$BN$1:$BN$4&gt;0)))</f>
        <v>3</v>
      </c>
      <c r="AJ173" s="0" t="n">
        <f aca="false">IF(OR($A$5=公区维修!$F173,$BN$5=1),0,5-SUMPRODUCT(--(($A$1:$A$5=公区维修!$F173)+$BN$1:$BN$5&gt;0)))</f>
        <v>4</v>
      </c>
      <c r="AL173" s="0" t="str">
        <f aca="false">IFERROR(INDEX($A$1:$A$5,MATCH(1,$AF173:$AJ173,0)),IF(1=MAX($AF173:$AJ173)+1,"取消",""))</f>
        <v>李师傅</v>
      </c>
      <c r="AM173" s="0" t="str">
        <f aca="false">IFERROR(INDEX($A$1:$A$5,MATCH(2,$AF173:$AJ173,0)),IF(2=MAX($AF173:$AJ173)+1,"取消",""))</f>
        <v>王师傅</v>
      </c>
      <c r="AN173" s="0" t="str">
        <f aca="false">IFERROR(INDEX($A$1:$A$5,MATCH(3,$AF173:$AJ173,0)),IF(3=MAX($AF173:$AJ173)+1,"取消",""))</f>
        <v>陈师傅</v>
      </c>
      <c r="AO173" s="0" t="str">
        <f aca="false">IFERROR(INDEX($A$1:$A$5,MATCH(4,$AF173:$AJ173,0)),IF(4=MAX($AF173:$AJ173)+1,"取消",""))</f>
        <v>刘师傅</v>
      </c>
      <c r="AP173" s="0" t="str">
        <f aca="false">IFERROR(INDEX($A$1:$A$5,MATCH(5,$AF173:$AJ173,0)),IF(5=MAX($AF173:$AJ173)+1,"取消",""))</f>
        <v>取消</v>
      </c>
      <c r="AQ173" s="0" t="str">
        <f aca="false">IFERROR(INDEX($A$1:$A$5,MATCH(6,$AF173:$AJ173,0)),IF(6=MAX($AF173:$AJ173)+1,"取消",""))</f>
        <v/>
      </c>
      <c r="AS173" s="0" t="n">
        <f aca="false">IF(OR($A$1=公区维修!$F173,$A$1=公区维修!$G173,$BN$1=1),0,1-SUMPRODUCT(--(($A$1=公区维修!$F173)+($A$1=公区维修!$G173)+$BN$1&gt;0)))</f>
        <v>0</v>
      </c>
      <c r="AT173" s="0" t="n">
        <f aca="false">IF(OR($A$2=公区维修!$F173,$A$2=公区维修!$G173,$BN$2=1),0,2-SUMPRODUCT(--(($A$1:$A$2=公区维修!$F173)+($A$1:$A$2=公区维修!$G173)+$BN$1:$BN$2&gt;0)))</f>
        <v>1</v>
      </c>
      <c r="AU173" s="0" t="n">
        <f aca="false">IF(OR($A$3=公区维修!$F173,$A$3=公区维修!$G173,$BN$3=1),0,3-SUMPRODUCT(--(($A$1:$A$3=公区维修!$F173)+($A$1:$A$3=公区维修!$G173)+$BN$1:$BN$3&gt;0)))</f>
        <v>2</v>
      </c>
      <c r="AV173" s="0" t="n">
        <f aca="false">IF(OR($A$4=公区维修!$F173,$A$4=公区维修!$G173,$BN$4=1),0,4-SUMPRODUCT(--(($A$1:$A$4=公区维修!$F173)+($A$1:$A$4=公区维修!$G173)+$BN$1:$BN$4&gt;0)))</f>
        <v>3</v>
      </c>
      <c r="AW173" s="0" t="n">
        <f aca="false">IF(OR($A$5=公区维修!$F173,$A$5=公区维修!$G173,$BN$5=1),0,5-SUMPRODUCT(--(($A$1:$A$5=公区维修!$F173)+($A$1:$A$5=公区维修!$G173)+$BN$1:$BN$5&gt;0)))</f>
        <v>4</v>
      </c>
      <c r="AY173" s="0" t="str">
        <f aca="false">IFERROR(INDEX($A$1:$A$5,MATCH(1,$AS173:$AW173,0)),IF(1=MAX($AS173:$AW173)+1,"取消",""))</f>
        <v>李师傅</v>
      </c>
      <c r="AZ173" s="0" t="str">
        <f aca="false">IFERROR(INDEX($A$1:$A$5,MATCH(2,$AS173:$AW173,0)),IF(2=MAX($AS173:$AW173)+1,"取消",""))</f>
        <v>王师傅</v>
      </c>
      <c r="BA173" s="0" t="str">
        <f aca="false">IFERROR(INDEX($A$1:$A$5,MATCH(3,$AS173:$AW173,0)),IF(3=MAX($AS173:$AW173)+1,"取消",""))</f>
        <v>陈师傅</v>
      </c>
      <c r="BB173" s="0" t="str">
        <f aca="false">IFERROR(INDEX($A$1:$A$5,MATCH(4,$AS173:$AW173,0)),IF(4=MAX($AS173:$AW173)+1,"取消",""))</f>
        <v>刘师傅</v>
      </c>
      <c r="BC173" s="0" t="str">
        <f aca="false">IFERROR(INDEX($A$1:$A$5,MATCH(5,$AS173:$AW173,0)),IF(5=MAX($AS173:$AW173)+1,"取消",""))</f>
        <v>取消</v>
      </c>
      <c r="BD173" s="0" t="str">
        <f aca="false">IFERROR(INDEX($A$1:$A$5,MATCH(6,$AS173:$AW173,0)),IF(6=MAX($AS173:$AW173)+1,"取消",""))</f>
        <v/>
      </c>
      <c r="FW173" s="0" t="str">
        <f aca="false">IF(AND(单元查询!$D$3&lt;&gt;"",IF(单元查询!$B$3="公区维修",公区维修!$E173&lt;&gt;"",入户维修!$E173&lt;&gt;""),IF(单元查询!$B$3="公区维修",公区维修!$C173,入户维修!$C173)=单元查询!$D$3,OR(单元查询!$F$3="",IF(单元查询!$B$3="公区维修",公区维修!$D173,入户维修!$D173)&amp;""=(单元查询!$F$3)&amp;"")),MAX($FW$4:$FW172)+1,"")</f>
        <v/>
      </c>
    </row>
    <row r="174" customFormat="false" ht="15" hidden="false" customHeight="true" outlineLevel="0" collapsed="false">
      <c r="F174" s="0" t="n">
        <f aca="false">IF(OR($A$1=入户维修!$F174,$BN$1=1),0,1-SUMPRODUCT(--(($A$1=入户维修!$F174)+$BN$1&gt;0)))</f>
        <v>0</v>
      </c>
      <c r="G174" s="0" t="n">
        <f aca="false">IF(OR($A$2=入户维修!$F174,$BN$2=1),0,2-SUMPRODUCT(--(($A$1:$A$2=入户维修!$F174)+$BN$1:$BN$2&gt;0)))</f>
        <v>1</v>
      </c>
      <c r="H174" s="0" t="n">
        <f aca="false">IF(OR($A$3=入户维修!$F174,$BN$3=1),0,3-SUMPRODUCT(--(($A$1:$A$3=入户维修!$F174)+$BN$1:$BN$3&gt;0)))</f>
        <v>2</v>
      </c>
      <c r="I174" s="0" t="n">
        <f aca="false">IF(OR($A$4=入户维修!$F174,$BN$4=1),0,4-SUMPRODUCT(--(($A$1:$A$4=入户维修!$F174)+$BN$1:$BN$4&gt;0)))</f>
        <v>3</v>
      </c>
      <c r="J174" s="0" t="n">
        <f aca="false">IF(OR($A$5=入户维修!$F174,$BN$5=1),0,5-SUMPRODUCT(--(($A$1:$A$5=入户维修!$F174)+$BN$1:$BN$5&gt;0)))</f>
        <v>4</v>
      </c>
      <c r="L174" s="0" t="str">
        <f aca="false">IFERROR(INDEX($A$1:$A$5,MATCH(1,$F174:$J174,0)),IF(1=MAX($F174:$J174)+1,"取消",""))</f>
        <v>李师傅</v>
      </c>
      <c r="M174" s="0" t="str">
        <f aca="false">IFERROR(INDEX($A$1:$A$5,MATCH(2,$F174:$J174,0)),IF(2=MAX($F174:$J174)+1,"取消",""))</f>
        <v>王师傅</v>
      </c>
      <c r="N174" s="0" t="str">
        <f aca="false">IFERROR(INDEX($A$1:$A$5,MATCH(3,$F174:$J174,0)),IF(3=MAX($F174:$J174)+1,"取消",""))</f>
        <v>陈师傅</v>
      </c>
      <c r="O174" s="0" t="str">
        <f aca="false">IFERROR(INDEX($A$1:$A$5,MATCH(4,$F174:$J174,0)),IF(4=MAX($F174:$J174)+1,"取消",""))</f>
        <v>刘师傅</v>
      </c>
      <c r="P174" s="0" t="str">
        <f aca="false">IFERROR(INDEX($A$1:$A$5,MATCH(5,$F174:$J174,0)),IF(5=MAX($F174:$J174)+1,"取消",""))</f>
        <v>取消</v>
      </c>
      <c r="Q174" s="0" t="str">
        <f aca="false">IFERROR(INDEX($A$1:$A$5,MATCH(6,$F174:$J174,0)),IF(6=MAX($F174:$J174)+1,"取消",""))</f>
        <v/>
      </c>
      <c r="S174" s="0" t="n">
        <f aca="false">IF(OR($A$1=入户维修!$F174,$A$1=入户维修!$G174,$BN$1=1),0,1-SUMPRODUCT(--(($A$1=入户维修!$F174)+($A$1=入户维修!$G174)+$BN$1&gt;0)))</f>
        <v>0</v>
      </c>
      <c r="T174" s="0" t="n">
        <f aca="false">IF(OR($A$2=入户维修!$F174,$A$2=入户维修!$G174,$BN$2=1),0,2-SUMPRODUCT(--(($A$1:$A$2=入户维修!$F174)+($A$1:$A$2=入户维修!$G174)+$BN$1:$BN$2&gt;0)))</f>
        <v>1</v>
      </c>
      <c r="U174" s="0" t="n">
        <f aca="false">IF(OR($A$3=入户维修!$F174,$A$3=入户维修!$G174,$BN$3=1),0,3-SUMPRODUCT(--(($A$1:$A$3=入户维修!$F174)+($A$1:$A$3=入户维修!$G174)+$BN$1:$BN$3&gt;0)))</f>
        <v>2</v>
      </c>
      <c r="V174" s="0" t="n">
        <f aca="false">IF(OR($A$4=入户维修!$F174,$A$4=入户维修!$G174,$BN$4=1),0,4-SUMPRODUCT(--(($A$1:$A$4=入户维修!$F174)+($A$1:$A$4=入户维修!$G174)+$BN$1:$BN$4&gt;0)))</f>
        <v>3</v>
      </c>
      <c r="W174" s="0" t="n">
        <f aca="false">IF(OR($A$5=入户维修!$F174,$A$5=入户维修!$G174,$BN$5=1),0,5-SUMPRODUCT(--(($A$1:$A$5=入户维修!$F174)+($A$1:$A$5=入户维修!$G174)+$BN$1:$BN$5&gt;0)))</f>
        <v>4</v>
      </c>
      <c r="Y174" s="0" t="str">
        <f aca="false">IFERROR(INDEX($A$1:$A$5,MATCH(1,$S174:$W174,0)),IF(1=MAX($S174:$W174)+1,"取消",""))</f>
        <v>李师傅</v>
      </c>
      <c r="Z174" s="0" t="str">
        <f aca="false">IFERROR(INDEX($A$1:$A$5,MATCH(2,$S174:$W174,0)),IF(2=MAX($S174:$W174)+1,"取消",""))</f>
        <v>王师傅</v>
      </c>
      <c r="AA174" s="0" t="str">
        <f aca="false">IFERROR(INDEX($A$1:$A$5,MATCH(3,$S174:$W174,0)),IF(3=MAX($S174:$W174)+1,"取消",""))</f>
        <v>陈师傅</v>
      </c>
      <c r="AB174" s="0" t="str">
        <f aca="false">IFERROR(INDEX($A$1:$A$5,MATCH(4,$S174:$W174,0)),IF(4=MAX($S174:$W174)+1,"取消",""))</f>
        <v>刘师傅</v>
      </c>
      <c r="AC174" s="0" t="str">
        <f aca="false">IFERROR(INDEX($A$1:$A$5,MATCH(5,$S174:$W174,0)),IF(5=MAX($S174:$W174)+1,"取消",""))</f>
        <v>取消</v>
      </c>
      <c r="AD174" s="0" t="str">
        <f aca="false">IFERROR(INDEX($A$1:$A$5,MATCH(6,$S174:$W174,0)),IF(6=MAX($S174:$W174)+1,"取消",""))</f>
        <v/>
      </c>
      <c r="AF174" s="0" t="n">
        <f aca="false">IF(OR($A$1=公区维修!$F174,$BN$1=1),0,1-SUMPRODUCT(--(($A$1=公区维修!$F174)+$BN$1&gt;0)))</f>
        <v>0</v>
      </c>
      <c r="AG174" s="0" t="n">
        <f aca="false">IF(OR($A$2=公区维修!$F174,$BN$2=1),0,2-SUMPRODUCT(--(($A$1:$A$2=公区维修!$F174)+$BN$1:$BN$2&gt;0)))</f>
        <v>1</v>
      </c>
      <c r="AH174" s="0" t="n">
        <f aca="false">IF(OR($A$3=公区维修!$F174,$BN$3=1),0,3-SUMPRODUCT(--(($A$1:$A$3=公区维修!$F174)+$BN$1:$BN$3&gt;0)))</f>
        <v>2</v>
      </c>
      <c r="AI174" s="0" t="n">
        <f aca="false">IF(OR($A$4=公区维修!$F174,$BN$4=1),0,4-SUMPRODUCT(--(($A$1:$A$4=公区维修!$F174)+$BN$1:$BN$4&gt;0)))</f>
        <v>3</v>
      </c>
      <c r="AJ174" s="0" t="n">
        <f aca="false">IF(OR($A$5=公区维修!$F174,$BN$5=1),0,5-SUMPRODUCT(--(($A$1:$A$5=公区维修!$F174)+$BN$1:$BN$5&gt;0)))</f>
        <v>4</v>
      </c>
      <c r="AL174" s="0" t="str">
        <f aca="false">IFERROR(INDEX($A$1:$A$5,MATCH(1,$AF174:$AJ174,0)),IF(1=MAX($AF174:$AJ174)+1,"取消",""))</f>
        <v>李师傅</v>
      </c>
      <c r="AM174" s="0" t="str">
        <f aca="false">IFERROR(INDEX($A$1:$A$5,MATCH(2,$AF174:$AJ174,0)),IF(2=MAX($AF174:$AJ174)+1,"取消",""))</f>
        <v>王师傅</v>
      </c>
      <c r="AN174" s="0" t="str">
        <f aca="false">IFERROR(INDEX($A$1:$A$5,MATCH(3,$AF174:$AJ174,0)),IF(3=MAX($AF174:$AJ174)+1,"取消",""))</f>
        <v>陈师傅</v>
      </c>
      <c r="AO174" s="0" t="str">
        <f aca="false">IFERROR(INDEX($A$1:$A$5,MATCH(4,$AF174:$AJ174,0)),IF(4=MAX($AF174:$AJ174)+1,"取消",""))</f>
        <v>刘师傅</v>
      </c>
      <c r="AP174" s="0" t="str">
        <f aca="false">IFERROR(INDEX($A$1:$A$5,MATCH(5,$AF174:$AJ174,0)),IF(5=MAX($AF174:$AJ174)+1,"取消",""))</f>
        <v>取消</v>
      </c>
      <c r="AQ174" s="0" t="str">
        <f aca="false">IFERROR(INDEX($A$1:$A$5,MATCH(6,$AF174:$AJ174,0)),IF(6=MAX($AF174:$AJ174)+1,"取消",""))</f>
        <v/>
      </c>
      <c r="AS174" s="0" t="n">
        <f aca="false">IF(OR($A$1=公区维修!$F174,$A$1=公区维修!$G174,$BN$1=1),0,1-SUMPRODUCT(--(($A$1=公区维修!$F174)+($A$1=公区维修!$G174)+$BN$1&gt;0)))</f>
        <v>0</v>
      </c>
      <c r="AT174" s="0" t="n">
        <f aca="false">IF(OR($A$2=公区维修!$F174,$A$2=公区维修!$G174,$BN$2=1),0,2-SUMPRODUCT(--(($A$1:$A$2=公区维修!$F174)+($A$1:$A$2=公区维修!$G174)+$BN$1:$BN$2&gt;0)))</f>
        <v>1</v>
      </c>
      <c r="AU174" s="0" t="n">
        <f aca="false">IF(OR($A$3=公区维修!$F174,$A$3=公区维修!$G174,$BN$3=1),0,3-SUMPRODUCT(--(($A$1:$A$3=公区维修!$F174)+($A$1:$A$3=公区维修!$G174)+$BN$1:$BN$3&gt;0)))</f>
        <v>2</v>
      </c>
      <c r="AV174" s="0" t="n">
        <f aca="false">IF(OR($A$4=公区维修!$F174,$A$4=公区维修!$G174,$BN$4=1),0,4-SUMPRODUCT(--(($A$1:$A$4=公区维修!$F174)+($A$1:$A$4=公区维修!$G174)+$BN$1:$BN$4&gt;0)))</f>
        <v>3</v>
      </c>
      <c r="AW174" s="0" t="n">
        <f aca="false">IF(OR($A$5=公区维修!$F174,$A$5=公区维修!$G174,$BN$5=1),0,5-SUMPRODUCT(--(($A$1:$A$5=公区维修!$F174)+($A$1:$A$5=公区维修!$G174)+$BN$1:$BN$5&gt;0)))</f>
        <v>4</v>
      </c>
      <c r="AY174" s="0" t="str">
        <f aca="false">IFERROR(INDEX($A$1:$A$5,MATCH(1,$AS174:$AW174,0)),IF(1=MAX($AS174:$AW174)+1,"取消",""))</f>
        <v>李师傅</v>
      </c>
      <c r="AZ174" s="0" t="str">
        <f aca="false">IFERROR(INDEX($A$1:$A$5,MATCH(2,$AS174:$AW174,0)),IF(2=MAX($AS174:$AW174)+1,"取消",""))</f>
        <v>王师傅</v>
      </c>
      <c r="BA174" s="0" t="str">
        <f aca="false">IFERROR(INDEX($A$1:$A$5,MATCH(3,$AS174:$AW174,0)),IF(3=MAX($AS174:$AW174)+1,"取消",""))</f>
        <v>陈师傅</v>
      </c>
      <c r="BB174" s="0" t="str">
        <f aca="false">IFERROR(INDEX($A$1:$A$5,MATCH(4,$AS174:$AW174,0)),IF(4=MAX($AS174:$AW174)+1,"取消",""))</f>
        <v>刘师傅</v>
      </c>
      <c r="BC174" s="0" t="str">
        <f aca="false">IFERROR(INDEX($A$1:$A$5,MATCH(5,$AS174:$AW174,0)),IF(5=MAX($AS174:$AW174)+1,"取消",""))</f>
        <v>取消</v>
      </c>
      <c r="BD174" s="0" t="str">
        <f aca="false">IFERROR(INDEX($A$1:$A$5,MATCH(6,$AS174:$AW174,0)),IF(6=MAX($AS174:$AW174)+1,"取消",""))</f>
        <v/>
      </c>
      <c r="FW174" s="0" t="str">
        <f aca="false">IF(AND(单元查询!$D$3&lt;&gt;"",IF(单元查询!$B$3="公区维修",公区维修!$E174&lt;&gt;"",入户维修!$E174&lt;&gt;""),IF(单元查询!$B$3="公区维修",公区维修!$C174,入户维修!$C174)=单元查询!$D$3,OR(单元查询!$F$3="",IF(单元查询!$B$3="公区维修",公区维修!$D174,入户维修!$D174)&amp;""=(单元查询!$F$3)&amp;"")),MAX($FW$4:$FW173)+1,"")</f>
        <v/>
      </c>
    </row>
    <row r="175" customFormat="false" ht="15" hidden="false" customHeight="true" outlineLevel="0" collapsed="false">
      <c r="F175" s="0" t="n">
        <f aca="false">IF(OR($A$1=入户维修!$F175,$BN$1=1),0,1-SUMPRODUCT(--(($A$1=入户维修!$F175)+$BN$1&gt;0)))</f>
        <v>0</v>
      </c>
      <c r="G175" s="0" t="n">
        <f aca="false">IF(OR($A$2=入户维修!$F175,$BN$2=1),0,2-SUMPRODUCT(--(($A$1:$A$2=入户维修!$F175)+$BN$1:$BN$2&gt;0)))</f>
        <v>1</v>
      </c>
      <c r="H175" s="0" t="n">
        <f aca="false">IF(OR($A$3=入户维修!$F175,$BN$3=1),0,3-SUMPRODUCT(--(($A$1:$A$3=入户维修!$F175)+$BN$1:$BN$3&gt;0)))</f>
        <v>2</v>
      </c>
      <c r="I175" s="0" t="n">
        <f aca="false">IF(OR($A$4=入户维修!$F175,$BN$4=1),0,4-SUMPRODUCT(--(($A$1:$A$4=入户维修!$F175)+$BN$1:$BN$4&gt;0)))</f>
        <v>3</v>
      </c>
      <c r="J175" s="0" t="n">
        <f aca="false">IF(OR($A$5=入户维修!$F175,$BN$5=1),0,5-SUMPRODUCT(--(($A$1:$A$5=入户维修!$F175)+$BN$1:$BN$5&gt;0)))</f>
        <v>4</v>
      </c>
      <c r="L175" s="0" t="str">
        <f aca="false">IFERROR(INDEX($A$1:$A$5,MATCH(1,$F175:$J175,0)),IF(1=MAX($F175:$J175)+1,"取消",""))</f>
        <v>李师傅</v>
      </c>
      <c r="M175" s="0" t="str">
        <f aca="false">IFERROR(INDEX($A$1:$A$5,MATCH(2,$F175:$J175,0)),IF(2=MAX($F175:$J175)+1,"取消",""))</f>
        <v>王师傅</v>
      </c>
      <c r="N175" s="0" t="str">
        <f aca="false">IFERROR(INDEX($A$1:$A$5,MATCH(3,$F175:$J175,0)),IF(3=MAX($F175:$J175)+1,"取消",""))</f>
        <v>陈师傅</v>
      </c>
      <c r="O175" s="0" t="str">
        <f aca="false">IFERROR(INDEX($A$1:$A$5,MATCH(4,$F175:$J175,0)),IF(4=MAX($F175:$J175)+1,"取消",""))</f>
        <v>刘师傅</v>
      </c>
      <c r="P175" s="0" t="str">
        <f aca="false">IFERROR(INDEX($A$1:$A$5,MATCH(5,$F175:$J175,0)),IF(5=MAX($F175:$J175)+1,"取消",""))</f>
        <v>取消</v>
      </c>
      <c r="Q175" s="0" t="str">
        <f aca="false">IFERROR(INDEX($A$1:$A$5,MATCH(6,$F175:$J175,0)),IF(6=MAX($F175:$J175)+1,"取消",""))</f>
        <v/>
      </c>
      <c r="S175" s="0" t="n">
        <f aca="false">IF(OR($A$1=入户维修!$F175,$A$1=入户维修!$G175,$BN$1=1),0,1-SUMPRODUCT(--(($A$1=入户维修!$F175)+($A$1=入户维修!$G175)+$BN$1&gt;0)))</f>
        <v>0</v>
      </c>
      <c r="T175" s="0" t="n">
        <f aca="false">IF(OR($A$2=入户维修!$F175,$A$2=入户维修!$G175,$BN$2=1),0,2-SUMPRODUCT(--(($A$1:$A$2=入户维修!$F175)+($A$1:$A$2=入户维修!$G175)+$BN$1:$BN$2&gt;0)))</f>
        <v>1</v>
      </c>
      <c r="U175" s="0" t="n">
        <f aca="false">IF(OR($A$3=入户维修!$F175,$A$3=入户维修!$G175,$BN$3=1),0,3-SUMPRODUCT(--(($A$1:$A$3=入户维修!$F175)+($A$1:$A$3=入户维修!$G175)+$BN$1:$BN$3&gt;0)))</f>
        <v>2</v>
      </c>
      <c r="V175" s="0" t="n">
        <f aca="false">IF(OR($A$4=入户维修!$F175,$A$4=入户维修!$G175,$BN$4=1),0,4-SUMPRODUCT(--(($A$1:$A$4=入户维修!$F175)+($A$1:$A$4=入户维修!$G175)+$BN$1:$BN$4&gt;0)))</f>
        <v>3</v>
      </c>
      <c r="W175" s="0" t="n">
        <f aca="false">IF(OR($A$5=入户维修!$F175,$A$5=入户维修!$G175,$BN$5=1),0,5-SUMPRODUCT(--(($A$1:$A$5=入户维修!$F175)+($A$1:$A$5=入户维修!$G175)+$BN$1:$BN$5&gt;0)))</f>
        <v>4</v>
      </c>
      <c r="Y175" s="0" t="str">
        <f aca="false">IFERROR(INDEX($A$1:$A$5,MATCH(1,$S175:$W175,0)),IF(1=MAX($S175:$W175)+1,"取消",""))</f>
        <v>李师傅</v>
      </c>
      <c r="Z175" s="0" t="str">
        <f aca="false">IFERROR(INDEX($A$1:$A$5,MATCH(2,$S175:$W175,0)),IF(2=MAX($S175:$W175)+1,"取消",""))</f>
        <v>王师傅</v>
      </c>
      <c r="AA175" s="0" t="str">
        <f aca="false">IFERROR(INDEX($A$1:$A$5,MATCH(3,$S175:$W175,0)),IF(3=MAX($S175:$W175)+1,"取消",""))</f>
        <v>陈师傅</v>
      </c>
      <c r="AB175" s="0" t="str">
        <f aca="false">IFERROR(INDEX($A$1:$A$5,MATCH(4,$S175:$W175,0)),IF(4=MAX($S175:$W175)+1,"取消",""))</f>
        <v>刘师傅</v>
      </c>
      <c r="AC175" s="0" t="str">
        <f aca="false">IFERROR(INDEX($A$1:$A$5,MATCH(5,$S175:$W175,0)),IF(5=MAX($S175:$W175)+1,"取消",""))</f>
        <v>取消</v>
      </c>
      <c r="AD175" s="0" t="str">
        <f aca="false">IFERROR(INDEX($A$1:$A$5,MATCH(6,$S175:$W175,0)),IF(6=MAX($S175:$W175)+1,"取消",""))</f>
        <v/>
      </c>
      <c r="AF175" s="0" t="n">
        <f aca="false">IF(OR($A$1=公区维修!$F175,$BN$1=1),0,1-SUMPRODUCT(--(($A$1=公区维修!$F175)+$BN$1&gt;0)))</f>
        <v>0</v>
      </c>
      <c r="AG175" s="0" t="n">
        <f aca="false">IF(OR($A$2=公区维修!$F175,$BN$2=1),0,2-SUMPRODUCT(--(($A$1:$A$2=公区维修!$F175)+$BN$1:$BN$2&gt;0)))</f>
        <v>1</v>
      </c>
      <c r="AH175" s="0" t="n">
        <f aca="false">IF(OR($A$3=公区维修!$F175,$BN$3=1),0,3-SUMPRODUCT(--(($A$1:$A$3=公区维修!$F175)+$BN$1:$BN$3&gt;0)))</f>
        <v>2</v>
      </c>
      <c r="AI175" s="0" t="n">
        <f aca="false">IF(OR($A$4=公区维修!$F175,$BN$4=1),0,4-SUMPRODUCT(--(($A$1:$A$4=公区维修!$F175)+$BN$1:$BN$4&gt;0)))</f>
        <v>3</v>
      </c>
      <c r="AJ175" s="0" t="n">
        <f aca="false">IF(OR($A$5=公区维修!$F175,$BN$5=1),0,5-SUMPRODUCT(--(($A$1:$A$5=公区维修!$F175)+$BN$1:$BN$5&gt;0)))</f>
        <v>4</v>
      </c>
      <c r="AL175" s="0" t="str">
        <f aca="false">IFERROR(INDEX($A$1:$A$5,MATCH(1,$AF175:$AJ175,0)),IF(1=MAX($AF175:$AJ175)+1,"取消",""))</f>
        <v>李师傅</v>
      </c>
      <c r="AM175" s="0" t="str">
        <f aca="false">IFERROR(INDEX($A$1:$A$5,MATCH(2,$AF175:$AJ175,0)),IF(2=MAX($AF175:$AJ175)+1,"取消",""))</f>
        <v>王师傅</v>
      </c>
      <c r="AN175" s="0" t="str">
        <f aca="false">IFERROR(INDEX($A$1:$A$5,MATCH(3,$AF175:$AJ175,0)),IF(3=MAX($AF175:$AJ175)+1,"取消",""))</f>
        <v>陈师傅</v>
      </c>
      <c r="AO175" s="0" t="str">
        <f aca="false">IFERROR(INDEX($A$1:$A$5,MATCH(4,$AF175:$AJ175,0)),IF(4=MAX($AF175:$AJ175)+1,"取消",""))</f>
        <v>刘师傅</v>
      </c>
      <c r="AP175" s="0" t="str">
        <f aca="false">IFERROR(INDEX($A$1:$A$5,MATCH(5,$AF175:$AJ175,0)),IF(5=MAX($AF175:$AJ175)+1,"取消",""))</f>
        <v>取消</v>
      </c>
      <c r="AQ175" s="0" t="str">
        <f aca="false">IFERROR(INDEX($A$1:$A$5,MATCH(6,$AF175:$AJ175,0)),IF(6=MAX($AF175:$AJ175)+1,"取消",""))</f>
        <v/>
      </c>
      <c r="AS175" s="0" t="n">
        <f aca="false">IF(OR($A$1=公区维修!$F175,$A$1=公区维修!$G175,$BN$1=1),0,1-SUMPRODUCT(--(($A$1=公区维修!$F175)+($A$1=公区维修!$G175)+$BN$1&gt;0)))</f>
        <v>0</v>
      </c>
      <c r="AT175" s="0" t="n">
        <f aca="false">IF(OR($A$2=公区维修!$F175,$A$2=公区维修!$G175,$BN$2=1),0,2-SUMPRODUCT(--(($A$1:$A$2=公区维修!$F175)+($A$1:$A$2=公区维修!$G175)+$BN$1:$BN$2&gt;0)))</f>
        <v>1</v>
      </c>
      <c r="AU175" s="0" t="n">
        <f aca="false">IF(OR($A$3=公区维修!$F175,$A$3=公区维修!$G175,$BN$3=1),0,3-SUMPRODUCT(--(($A$1:$A$3=公区维修!$F175)+($A$1:$A$3=公区维修!$G175)+$BN$1:$BN$3&gt;0)))</f>
        <v>2</v>
      </c>
      <c r="AV175" s="0" t="n">
        <f aca="false">IF(OR($A$4=公区维修!$F175,$A$4=公区维修!$G175,$BN$4=1),0,4-SUMPRODUCT(--(($A$1:$A$4=公区维修!$F175)+($A$1:$A$4=公区维修!$G175)+$BN$1:$BN$4&gt;0)))</f>
        <v>3</v>
      </c>
      <c r="AW175" s="0" t="n">
        <f aca="false">IF(OR($A$5=公区维修!$F175,$A$5=公区维修!$G175,$BN$5=1),0,5-SUMPRODUCT(--(($A$1:$A$5=公区维修!$F175)+($A$1:$A$5=公区维修!$G175)+$BN$1:$BN$5&gt;0)))</f>
        <v>4</v>
      </c>
      <c r="AY175" s="0" t="str">
        <f aca="false">IFERROR(INDEX($A$1:$A$5,MATCH(1,$AS175:$AW175,0)),IF(1=MAX($AS175:$AW175)+1,"取消",""))</f>
        <v>李师傅</v>
      </c>
      <c r="AZ175" s="0" t="str">
        <f aca="false">IFERROR(INDEX($A$1:$A$5,MATCH(2,$AS175:$AW175,0)),IF(2=MAX($AS175:$AW175)+1,"取消",""))</f>
        <v>王师傅</v>
      </c>
      <c r="BA175" s="0" t="str">
        <f aca="false">IFERROR(INDEX($A$1:$A$5,MATCH(3,$AS175:$AW175,0)),IF(3=MAX($AS175:$AW175)+1,"取消",""))</f>
        <v>陈师傅</v>
      </c>
      <c r="BB175" s="0" t="str">
        <f aca="false">IFERROR(INDEX($A$1:$A$5,MATCH(4,$AS175:$AW175,0)),IF(4=MAX($AS175:$AW175)+1,"取消",""))</f>
        <v>刘师傅</v>
      </c>
      <c r="BC175" s="0" t="str">
        <f aca="false">IFERROR(INDEX($A$1:$A$5,MATCH(5,$AS175:$AW175,0)),IF(5=MAX($AS175:$AW175)+1,"取消",""))</f>
        <v>取消</v>
      </c>
      <c r="BD175" s="0" t="str">
        <f aca="false">IFERROR(INDEX($A$1:$A$5,MATCH(6,$AS175:$AW175,0)),IF(6=MAX($AS175:$AW175)+1,"取消",""))</f>
        <v/>
      </c>
      <c r="FW175" s="0" t="str">
        <f aca="false">IF(AND(单元查询!$D$3&lt;&gt;"",IF(单元查询!$B$3="公区维修",公区维修!$E175&lt;&gt;"",入户维修!$E175&lt;&gt;""),IF(单元查询!$B$3="公区维修",公区维修!$C175,入户维修!$C175)=单元查询!$D$3,OR(单元查询!$F$3="",IF(单元查询!$B$3="公区维修",公区维修!$D175,入户维修!$D175)&amp;""=(单元查询!$F$3)&amp;"")),MAX($FW$4:$FW174)+1,"")</f>
        <v/>
      </c>
    </row>
    <row r="176" customFormat="false" ht="15" hidden="false" customHeight="true" outlineLevel="0" collapsed="false">
      <c r="F176" s="0" t="n">
        <f aca="false">IF(OR($A$1=入户维修!$F176,$BN$1=1),0,1-SUMPRODUCT(--(($A$1=入户维修!$F176)+$BN$1&gt;0)))</f>
        <v>0</v>
      </c>
      <c r="G176" s="0" t="n">
        <f aca="false">IF(OR($A$2=入户维修!$F176,$BN$2=1),0,2-SUMPRODUCT(--(($A$1:$A$2=入户维修!$F176)+$BN$1:$BN$2&gt;0)))</f>
        <v>1</v>
      </c>
      <c r="H176" s="0" t="n">
        <f aca="false">IF(OR($A$3=入户维修!$F176,$BN$3=1),0,3-SUMPRODUCT(--(($A$1:$A$3=入户维修!$F176)+$BN$1:$BN$3&gt;0)))</f>
        <v>2</v>
      </c>
      <c r="I176" s="0" t="n">
        <f aca="false">IF(OR($A$4=入户维修!$F176,$BN$4=1),0,4-SUMPRODUCT(--(($A$1:$A$4=入户维修!$F176)+$BN$1:$BN$4&gt;0)))</f>
        <v>3</v>
      </c>
      <c r="J176" s="0" t="n">
        <f aca="false">IF(OR($A$5=入户维修!$F176,$BN$5=1),0,5-SUMPRODUCT(--(($A$1:$A$5=入户维修!$F176)+$BN$1:$BN$5&gt;0)))</f>
        <v>4</v>
      </c>
      <c r="L176" s="0" t="str">
        <f aca="false">IFERROR(INDEX($A$1:$A$5,MATCH(1,$F176:$J176,0)),IF(1=MAX($F176:$J176)+1,"取消",""))</f>
        <v>李师傅</v>
      </c>
      <c r="M176" s="0" t="str">
        <f aca="false">IFERROR(INDEX($A$1:$A$5,MATCH(2,$F176:$J176,0)),IF(2=MAX($F176:$J176)+1,"取消",""))</f>
        <v>王师傅</v>
      </c>
      <c r="N176" s="0" t="str">
        <f aca="false">IFERROR(INDEX($A$1:$A$5,MATCH(3,$F176:$J176,0)),IF(3=MAX($F176:$J176)+1,"取消",""))</f>
        <v>陈师傅</v>
      </c>
      <c r="O176" s="0" t="str">
        <f aca="false">IFERROR(INDEX($A$1:$A$5,MATCH(4,$F176:$J176,0)),IF(4=MAX($F176:$J176)+1,"取消",""))</f>
        <v>刘师傅</v>
      </c>
      <c r="P176" s="0" t="str">
        <f aca="false">IFERROR(INDEX($A$1:$A$5,MATCH(5,$F176:$J176,0)),IF(5=MAX($F176:$J176)+1,"取消",""))</f>
        <v>取消</v>
      </c>
      <c r="Q176" s="0" t="str">
        <f aca="false">IFERROR(INDEX($A$1:$A$5,MATCH(6,$F176:$J176,0)),IF(6=MAX($F176:$J176)+1,"取消",""))</f>
        <v/>
      </c>
      <c r="S176" s="0" t="n">
        <f aca="false">IF(OR($A$1=入户维修!$F176,$A$1=入户维修!$G176,$BN$1=1),0,1-SUMPRODUCT(--(($A$1=入户维修!$F176)+($A$1=入户维修!$G176)+$BN$1&gt;0)))</f>
        <v>0</v>
      </c>
      <c r="T176" s="0" t="n">
        <f aca="false">IF(OR($A$2=入户维修!$F176,$A$2=入户维修!$G176,$BN$2=1),0,2-SUMPRODUCT(--(($A$1:$A$2=入户维修!$F176)+($A$1:$A$2=入户维修!$G176)+$BN$1:$BN$2&gt;0)))</f>
        <v>1</v>
      </c>
      <c r="U176" s="0" t="n">
        <f aca="false">IF(OR($A$3=入户维修!$F176,$A$3=入户维修!$G176,$BN$3=1),0,3-SUMPRODUCT(--(($A$1:$A$3=入户维修!$F176)+($A$1:$A$3=入户维修!$G176)+$BN$1:$BN$3&gt;0)))</f>
        <v>2</v>
      </c>
      <c r="V176" s="0" t="n">
        <f aca="false">IF(OR($A$4=入户维修!$F176,$A$4=入户维修!$G176,$BN$4=1),0,4-SUMPRODUCT(--(($A$1:$A$4=入户维修!$F176)+($A$1:$A$4=入户维修!$G176)+$BN$1:$BN$4&gt;0)))</f>
        <v>3</v>
      </c>
      <c r="W176" s="0" t="n">
        <f aca="false">IF(OR($A$5=入户维修!$F176,$A$5=入户维修!$G176,$BN$5=1),0,5-SUMPRODUCT(--(($A$1:$A$5=入户维修!$F176)+($A$1:$A$5=入户维修!$G176)+$BN$1:$BN$5&gt;0)))</f>
        <v>4</v>
      </c>
      <c r="Y176" s="0" t="str">
        <f aca="false">IFERROR(INDEX($A$1:$A$5,MATCH(1,$S176:$W176,0)),IF(1=MAX($S176:$W176)+1,"取消",""))</f>
        <v>李师傅</v>
      </c>
      <c r="Z176" s="0" t="str">
        <f aca="false">IFERROR(INDEX($A$1:$A$5,MATCH(2,$S176:$W176,0)),IF(2=MAX($S176:$W176)+1,"取消",""))</f>
        <v>王师傅</v>
      </c>
      <c r="AA176" s="0" t="str">
        <f aca="false">IFERROR(INDEX($A$1:$A$5,MATCH(3,$S176:$W176,0)),IF(3=MAX($S176:$W176)+1,"取消",""))</f>
        <v>陈师傅</v>
      </c>
      <c r="AB176" s="0" t="str">
        <f aca="false">IFERROR(INDEX($A$1:$A$5,MATCH(4,$S176:$W176,0)),IF(4=MAX($S176:$W176)+1,"取消",""))</f>
        <v>刘师傅</v>
      </c>
      <c r="AC176" s="0" t="str">
        <f aca="false">IFERROR(INDEX($A$1:$A$5,MATCH(5,$S176:$W176,0)),IF(5=MAX($S176:$W176)+1,"取消",""))</f>
        <v>取消</v>
      </c>
      <c r="AD176" s="0" t="str">
        <f aca="false">IFERROR(INDEX($A$1:$A$5,MATCH(6,$S176:$W176,0)),IF(6=MAX($S176:$W176)+1,"取消",""))</f>
        <v/>
      </c>
      <c r="AF176" s="0" t="n">
        <f aca="false">IF(OR($A$1=公区维修!$F176,$BN$1=1),0,1-SUMPRODUCT(--(($A$1=公区维修!$F176)+$BN$1&gt;0)))</f>
        <v>0</v>
      </c>
      <c r="AG176" s="0" t="n">
        <f aca="false">IF(OR($A$2=公区维修!$F176,$BN$2=1),0,2-SUMPRODUCT(--(($A$1:$A$2=公区维修!$F176)+$BN$1:$BN$2&gt;0)))</f>
        <v>1</v>
      </c>
      <c r="AH176" s="0" t="n">
        <f aca="false">IF(OR($A$3=公区维修!$F176,$BN$3=1),0,3-SUMPRODUCT(--(($A$1:$A$3=公区维修!$F176)+$BN$1:$BN$3&gt;0)))</f>
        <v>2</v>
      </c>
      <c r="AI176" s="0" t="n">
        <f aca="false">IF(OR($A$4=公区维修!$F176,$BN$4=1),0,4-SUMPRODUCT(--(($A$1:$A$4=公区维修!$F176)+$BN$1:$BN$4&gt;0)))</f>
        <v>3</v>
      </c>
      <c r="AJ176" s="0" t="n">
        <f aca="false">IF(OR($A$5=公区维修!$F176,$BN$5=1),0,5-SUMPRODUCT(--(($A$1:$A$5=公区维修!$F176)+$BN$1:$BN$5&gt;0)))</f>
        <v>4</v>
      </c>
      <c r="AL176" s="0" t="str">
        <f aca="false">IFERROR(INDEX($A$1:$A$5,MATCH(1,$AF176:$AJ176,0)),IF(1=MAX($AF176:$AJ176)+1,"取消",""))</f>
        <v>李师傅</v>
      </c>
      <c r="AM176" s="0" t="str">
        <f aca="false">IFERROR(INDEX($A$1:$A$5,MATCH(2,$AF176:$AJ176,0)),IF(2=MAX($AF176:$AJ176)+1,"取消",""))</f>
        <v>王师傅</v>
      </c>
      <c r="AN176" s="0" t="str">
        <f aca="false">IFERROR(INDEX($A$1:$A$5,MATCH(3,$AF176:$AJ176,0)),IF(3=MAX($AF176:$AJ176)+1,"取消",""))</f>
        <v>陈师傅</v>
      </c>
      <c r="AO176" s="0" t="str">
        <f aca="false">IFERROR(INDEX($A$1:$A$5,MATCH(4,$AF176:$AJ176,0)),IF(4=MAX($AF176:$AJ176)+1,"取消",""))</f>
        <v>刘师傅</v>
      </c>
      <c r="AP176" s="0" t="str">
        <f aca="false">IFERROR(INDEX($A$1:$A$5,MATCH(5,$AF176:$AJ176,0)),IF(5=MAX($AF176:$AJ176)+1,"取消",""))</f>
        <v>取消</v>
      </c>
      <c r="AQ176" s="0" t="str">
        <f aca="false">IFERROR(INDEX($A$1:$A$5,MATCH(6,$AF176:$AJ176,0)),IF(6=MAX($AF176:$AJ176)+1,"取消",""))</f>
        <v/>
      </c>
      <c r="AS176" s="0" t="n">
        <f aca="false">IF(OR($A$1=公区维修!$F176,$A$1=公区维修!$G176,$BN$1=1),0,1-SUMPRODUCT(--(($A$1=公区维修!$F176)+($A$1=公区维修!$G176)+$BN$1&gt;0)))</f>
        <v>0</v>
      </c>
      <c r="AT176" s="0" t="n">
        <f aca="false">IF(OR($A$2=公区维修!$F176,$A$2=公区维修!$G176,$BN$2=1),0,2-SUMPRODUCT(--(($A$1:$A$2=公区维修!$F176)+($A$1:$A$2=公区维修!$G176)+$BN$1:$BN$2&gt;0)))</f>
        <v>1</v>
      </c>
      <c r="AU176" s="0" t="n">
        <f aca="false">IF(OR($A$3=公区维修!$F176,$A$3=公区维修!$G176,$BN$3=1),0,3-SUMPRODUCT(--(($A$1:$A$3=公区维修!$F176)+($A$1:$A$3=公区维修!$G176)+$BN$1:$BN$3&gt;0)))</f>
        <v>2</v>
      </c>
      <c r="AV176" s="0" t="n">
        <f aca="false">IF(OR($A$4=公区维修!$F176,$A$4=公区维修!$G176,$BN$4=1),0,4-SUMPRODUCT(--(($A$1:$A$4=公区维修!$F176)+($A$1:$A$4=公区维修!$G176)+$BN$1:$BN$4&gt;0)))</f>
        <v>3</v>
      </c>
      <c r="AW176" s="0" t="n">
        <f aca="false">IF(OR($A$5=公区维修!$F176,$A$5=公区维修!$G176,$BN$5=1),0,5-SUMPRODUCT(--(($A$1:$A$5=公区维修!$F176)+($A$1:$A$5=公区维修!$G176)+$BN$1:$BN$5&gt;0)))</f>
        <v>4</v>
      </c>
      <c r="AY176" s="0" t="str">
        <f aca="false">IFERROR(INDEX($A$1:$A$5,MATCH(1,$AS176:$AW176,0)),IF(1=MAX($AS176:$AW176)+1,"取消",""))</f>
        <v>李师傅</v>
      </c>
      <c r="AZ176" s="0" t="str">
        <f aca="false">IFERROR(INDEX($A$1:$A$5,MATCH(2,$AS176:$AW176,0)),IF(2=MAX($AS176:$AW176)+1,"取消",""))</f>
        <v>王师傅</v>
      </c>
      <c r="BA176" s="0" t="str">
        <f aca="false">IFERROR(INDEX($A$1:$A$5,MATCH(3,$AS176:$AW176,0)),IF(3=MAX($AS176:$AW176)+1,"取消",""))</f>
        <v>陈师傅</v>
      </c>
      <c r="BB176" s="0" t="str">
        <f aca="false">IFERROR(INDEX($A$1:$A$5,MATCH(4,$AS176:$AW176,0)),IF(4=MAX($AS176:$AW176)+1,"取消",""))</f>
        <v>刘师傅</v>
      </c>
      <c r="BC176" s="0" t="str">
        <f aca="false">IFERROR(INDEX($A$1:$A$5,MATCH(5,$AS176:$AW176,0)),IF(5=MAX($AS176:$AW176)+1,"取消",""))</f>
        <v>取消</v>
      </c>
      <c r="BD176" s="0" t="str">
        <f aca="false">IFERROR(INDEX($A$1:$A$5,MATCH(6,$AS176:$AW176,0)),IF(6=MAX($AS176:$AW176)+1,"取消",""))</f>
        <v/>
      </c>
      <c r="FW176" s="0" t="str">
        <f aca="false">IF(AND(单元查询!$D$3&lt;&gt;"",IF(单元查询!$B$3="公区维修",公区维修!$E176&lt;&gt;"",入户维修!$E176&lt;&gt;""),IF(单元查询!$B$3="公区维修",公区维修!$C176,入户维修!$C176)=单元查询!$D$3,OR(单元查询!$F$3="",IF(单元查询!$B$3="公区维修",公区维修!$D176,入户维修!$D176)&amp;""=(单元查询!$F$3)&amp;"")),MAX($FW$4:$FW175)+1,"")</f>
        <v/>
      </c>
    </row>
    <row r="177" customFormat="false" ht="15" hidden="false" customHeight="true" outlineLevel="0" collapsed="false">
      <c r="F177" s="0" t="n">
        <f aca="false">IF(OR($A$1=入户维修!$F177,$BN$1=1),0,1-SUMPRODUCT(--(($A$1=入户维修!$F177)+$BN$1&gt;0)))</f>
        <v>0</v>
      </c>
      <c r="G177" s="0" t="n">
        <f aca="false">IF(OR($A$2=入户维修!$F177,$BN$2=1),0,2-SUMPRODUCT(--(($A$1:$A$2=入户维修!$F177)+$BN$1:$BN$2&gt;0)))</f>
        <v>1</v>
      </c>
      <c r="H177" s="0" t="n">
        <f aca="false">IF(OR($A$3=入户维修!$F177,$BN$3=1),0,3-SUMPRODUCT(--(($A$1:$A$3=入户维修!$F177)+$BN$1:$BN$3&gt;0)))</f>
        <v>2</v>
      </c>
      <c r="I177" s="0" t="n">
        <f aca="false">IF(OR($A$4=入户维修!$F177,$BN$4=1),0,4-SUMPRODUCT(--(($A$1:$A$4=入户维修!$F177)+$BN$1:$BN$4&gt;0)))</f>
        <v>3</v>
      </c>
      <c r="J177" s="0" t="n">
        <f aca="false">IF(OR($A$5=入户维修!$F177,$BN$5=1),0,5-SUMPRODUCT(--(($A$1:$A$5=入户维修!$F177)+$BN$1:$BN$5&gt;0)))</f>
        <v>4</v>
      </c>
      <c r="L177" s="0" t="str">
        <f aca="false">IFERROR(INDEX($A$1:$A$5,MATCH(1,$F177:$J177,0)),IF(1=MAX($F177:$J177)+1,"取消",""))</f>
        <v>李师傅</v>
      </c>
      <c r="M177" s="0" t="str">
        <f aca="false">IFERROR(INDEX($A$1:$A$5,MATCH(2,$F177:$J177,0)),IF(2=MAX($F177:$J177)+1,"取消",""))</f>
        <v>王师傅</v>
      </c>
      <c r="N177" s="0" t="str">
        <f aca="false">IFERROR(INDEX($A$1:$A$5,MATCH(3,$F177:$J177,0)),IF(3=MAX($F177:$J177)+1,"取消",""))</f>
        <v>陈师傅</v>
      </c>
      <c r="O177" s="0" t="str">
        <f aca="false">IFERROR(INDEX($A$1:$A$5,MATCH(4,$F177:$J177,0)),IF(4=MAX($F177:$J177)+1,"取消",""))</f>
        <v>刘师傅</v>
      </c>
      <c r="P177" s="0" t="str">
        <f aca="false">IFERROR(INDEX($A$1:$A$5,MATCH(5,$F177:$J177,0)),IF(5=MAX($F177:$J177)+1,"取消",""))</f>
        <v>取消</v>
      </c>
      <c r="Q177" s="0" t="str">
        <f aca="false">IFERROR(INDEX($A$1:$A$5,MATCH(6,$F177:$J177,0)),IF(6=MAX($F177:$J177)+1,"取消",""))</f>
        <v/>
      </c>
      <c r="S177" s="0" t="n">
        <f aca="false">IF(OR($A$1=入户维修!$F177,$A$1=入户维修!$G177,$BN$1=1),0,1-SUMPRODUCT(--(($A$1=入户维修!$F177)+($A$1=入户维修!$G177)+$BN$1&gt;0)))</f>
        <v>0</v>
      </c>
      <c r="T177" s="0" t="n">
        <f aca="false">IF(OR($A$2=入户维修!$F177,$A$2=入户维修!$G177,$BN$2=1),0,2-SUMPRODUCT(--(($A$1:$A$2=入户维修!$F177)+($A$1:$A$2=入户维修!$G177)+$BN$1:$BN$2&gt;0)))</f>
        <v>1</v>
      </c>
      <c r="U177" s="0" t="n">
        <f aca="false">IF(OR($A$3=入户维修!$F177,$A$3=入户维修!$G177,$BN$3=1),0,3-SUMPRODUCT(--(($A$1:$A$3=入户维修!$F177)+($A$1:$A$3=入户维修!$G177)+$BN$1:$BN$3&gt;0)))</f>
        <v>2</v>
      </c>
      <c r="V177" s="0" t="n">
        <f aca="false">IF(OR($A$4=入户维修!$F177,$A$4=入户维修!$G177,$BN$4=1),0,4-SUMPRODUCT(--(($A$1:$A$4=入户维修!$F177)+($A$1:$A$4=入户维修!$G177)+$BN$1:$BN$4&gt;0)))</f>
        <v>3</v>
      </c>
      <c r="W177" s="0" t="n">
        <f aca="false">IF(OR($A$5=入户维修!$F177,$A$5=入户维修!$G177,$BN$5=1),0,5-SUMPRODUCT(--(($A$1:$A$5=入户维修!$F177)+($A$1:$A$5=入户维修!$G177)+$BN$1:$BN$5&gt;0)))</f>
        <v>4</v>
      </c>
      <c r="Y177" s="0" t="str">
        <f aca="false">IFERROR(INDEX($A$1:$A$5,MATCH(1,$S177:$W177,0)),IF(1=MAX($S177:$W177)+1,"取消",""))</f>
        <v>李师傅</v>
      </c>
      <c r="Z177" s="0" t="str">
        <f aca="false">IFERROR(INDEX($A$1:$A$5,MATCH(2,$S177:$W177,0)),IF(2=MAX($S177:$W177)+1,"取消",""))</f>
        <v>王师傅</v>
      </c>
      <c r="AA177" s="0" t="str">
        <f aca="false">IFERROR(INDEX($A$1:$A$5,MATCH(3,$S177:$W177,0)),IF(3=MAX($S177:$W177)+1,"取消",""))</f>
        <v>陈师傅</v>
      </c>
      <c r="AB177" s="0" t="str">
        <f aca="false">IFERROR(INDEX($A$1:$A$5,MATCH(4,$S177:$W177,0)),IF(4=MAX($S177:$W177)+1,"取消",""))</f>
        <v>刘师傅</v>
      </c>
      <c r="AC177" s="0" t="str">
        <f aca="false">IFERROR(INDEX($A$1:$A$5,MATCH(5,$S177:$W177,0)),IF(5=MAX($S177:$W177)+1,"取消",""))</f>
        <v>取消</v>
      </c>
      <c r="AD177" s="0" t="str">
        <f aca="false">IFERROR(INDEX($A$1:$A$5,MATCH(6,$S177:$W177,0)),IF(6=MAX($S177:$W177)+1,"取消",""))</f>
        <v/>
      </c>
      <c r="AF177" s="0" t="n">
        <f aca="false">IF(OR($A$1=公区维修!$F177,$BN$1=1),0,1-SUMPRODUCT(--(($A$1=公区维修!$F177)+$BN$1&gt;0)))</f>
        <v>0</v>
      </c>
      <c r="AG177" s="0" t="n">
        <f aca="false">IF(OR($A$2=公区维修!$F177,$BN$2=1),0,2-SUMPRODUCT(--(($A$1:$A$2=公区维修!$F177)+$BN$1:$BN$2&gt;0)))</f>
        <v>1</v>
      </c>
      <c r="AH177" s="0" t="n">
        <f aca="false">IF(OR($A$3=公区维修!$F177,$BN$3=1),0,3-SUMPRODUCT(--(($A$1:$A$3=公区维修!$F177)+$BN$1:$BN$3&gt;0)))</f>
        <v>2</v>
      </c>
      <c r="AI177" s="0" t="n">
        <f aca="false">IF(OR($A$4=公区维修!$F177,$BN$4=1),0,4-SUMPRODUCT(--(($A$1:$A$4=公区维修!$F177)+$BN$1:$BN$4&gt;0)))</f>
        <v>3</v>
      </c>
      <c r="AJ177" s="0" t="n">
        <f aca="false">IF(OR($A$5=公区维修!$F177,$BN$5=1),0,5-SUMPRODUCT(--(($A$1:$A$5=公区维修!$F177)+$BN$1:$BN$5&gt;0)))</f>
        <v>4</v>
      </c>
      <c r="AL177" s="0" t="str">
        <f aca="false">IFERROR(INDEX($A$1:$A$5,MATCH(1,$AF177:$AJ177,0)),IF(1=MAX($AF177:$AJ177)+1,"取消",""))</f>
        <v>李师傅</v>
      </c>
      <c r="AM177" s="0" t="str">
        <f aca="false">IFERROR(INDEX($A$1:$A$5,MATCH(2,$AF177:$AJ177,0)),IF(2=MAX($AF177:$AJ177)+1,"取消",""))</f>
        <v>王师傅</v>
      </c>
      <c r="AN177" s="0" t="str">
        <f aca="false">IFERROR(INDEX($A$1:$A$5,MATCH(3,$AF177:$AJ177,0)),IF(3=MAX($AF177:$AJ177)+1,"取消",""))</f>
        <v>陈师傅</v>
      </c>
      <c r="AO177" s="0" t="str">
        <f aca="false">IFERROR(INDEX($A$1:$A$5,MATCH(4,$AF177:$AJ177,0)),IF(4=MAX($AF177:$AJ177)+1,"取消",""))</f>
        <v>刘师傅</v>
      </c>
      <c r="AP177" s="0" t="str">
        <f aca="false">IFERROR(INDEX($A$1:$A$5,MATCH(5,$AF177:$AJ177,0)),IF(5=MAX($AF177:$AJ177)+1,"取消",""))</f>
        <v>取消</v>
      </c>
      <c r="AQ177" s="0" t="str">
        <f aca="false">IFERROR(INDEX($A$1:$A$5,MATCH(6,$AF177:$AJ177,0)),IF(6=MAX($AF177:$AJ177)+1,"取消",""))</f>
        <v/>
      </c>
      <c r="AS177" s="0" t="n">
        <f aca="false">IF(OR($A$1=公区维修!$F177,$A$1=公区维修!$G177,$BN$1=1),0,1-SUMPRODUCT(--(($A$1=公区维修!$F177)+($A$1=公区维修!$G177)+$BN$1&gt;0)))</f>
        <v>0</v>
      </c>
      <c r="AT177" s="0" t="n">
        <f aca="false">IF(OR($A$2=公区维修!$F177,$A$2=公区维修!$G177,$BN$2=1),0,2-SUMPRODUCT(--(($A$1:$A$2=公区维修!$F177)+($A$1:$A$2=公区维修!$G177)+$BN$1:$BN$2&gt;0)))</f>
        <v>1</v>
      </c>
      <c r="AU177" s="0" t="n">
        <f aca="false">IF(OR($A$3=公区维修!$F177,$A$3=公区维修!$G177,$BN$3=1),0,3-SUMPRODUCT(--(($A$1:$A$3=公区维修!$F177)+($A$1:$A$3=公区维修!$G177)+$BN$1:$BN$3&gt;0)))</f>
        <v>2</v>
      </c>
      <c r="AV177" s="0" t="n">
        <f aca="false">IF(OR($A$4=公区维修!$F177,$A$4=公区维修!$G177,$BN$4=1),0,4-SUMPRODUCT(--(($A$1:$A$4=公区维修!$F177)+($A$1:$A$4=公区维修!$G177)+$BN$1:$BN$4&gt;0)))</f>
        <v>3</v>
      </c>
      <c r="AW177" s="0" t="n">
        <f aca="false">IF(OR($A$5=公区维修!$F177,$A$5=公区维修!$G177,$BN$5=1),0,5-SUMPRODUCT(--(($A$1:$A$5=公区维修!$F177)+($A$1:$A$5=公区维修!$G177)+$BN$1:$BN$5&gt;0)))</f>
        <v>4</v>
      </c>
      <c r="AY177" s="0" t="str">
        <f aca="false">IFERROR(INDEX($A$1:$A$5,MATCH(1,$AS177:$AW177,0)),IF(1=MAX($AS177:$AW177)+1,"取消",""))</f>
        <v>李师傅</v>
      </c>
      <c r="AZ177" s="0" t="str">
        <f aca="false">IFERROR(INDEX($A$1:$A$5,MATCH(2,$AS177:$AW177,0)),IF(2=MAX($AS177:$AW177)+1,"取消",""))</f>
        <v>王师傅</v>
      </c>
      <c r="BA177" s="0" t="str">
        <f aca="false">IFERROR(INDEX($A$1:$A$5,MATCH(3,$AS177:$AW177,0)),IF(3=MAX($AS177:$AW177)+1,"取消",""))</f>
        <v>陈师傅</v>
      </c>
      <c r="BB177" s="0" t="str">
        <f aca="false">IFERROR(INDEX($A$1:$A$5,MATCH(4,$AS177:$AW177,0)),IF(4=MAX($AS177:$AW177)+1,"取消",""))</f>
        <v>刘师傅</v>
      </c>
      <c r="BC177" s="0" t="str">
        <f aca="false">IFERROR(INDEX($A$1:$A$5,MATCH(5,$AS177:$AW177,0)),IF(5=MAX($AS177:$AW177)+1,"取消",""))</f>
        <v>取消</v>
      </c>
      <c r="BD177" s="0" t="str">
        <f aca="false">IFERROR(INDEX($A$1:$A$5,MATCH(6,$AS177:$AW177,0)),IF(6=MAX($AS177:$AW177)+1,"取消",""))</f>
        <v/>
      </c>
      <c r="FW177" s="0" t="str">
        <f aca="false">IF(AND(单元查询!$D$3&lt;&gt;"",IF(单元查询!$B$3="公区维修",公区维修!$E177&lt;&gt;"",入户维修!$E177&lt;&gt;""),IF(单元查询!$B$3="公区维修",公区维修!$C177,入户维修!$C177)=单元查询!$D$3,OR(单元查询!$F$3="",IF(单元查询!$B$3="公区维修",公区维修!$D177,入户维修!$D177)&amp;""=(单元查询!$F$3)&amp;"")),MAX($FW$4:$FW176)+1,"")</f>
        <v/>
      </c>
    </row>
    <row r="178" customFormat="false" ht="15" hidden="false" customHeight="true" outlineLevel="0" collapsed="false">
      <c r="F178" s="0" t="n">
        <f aca="false">IF(OR($A$1=入户维修!$F178,$BN$1=1),0,1-SUMPRODUCT(--(($A$1=入户维修!$F178)+$BN$1&gt;0)))</f>
        <v>0</v>
      </c>
      <c r="G178" s="0" t="n">
        <f aca="false">IF(OR($A$2=入户维修!$F178,$BN$2=1),0,2-SUMPRODUCT(--(($A$1:$A$2=入户维修!$F178)+$BN$1:$BN$2&gt;0)))</f>
        <v>1</v>
      </c>
      <c r="H178" s="0" t="n">
        <f aca="false">IF(OR($A$3=入户维修!$F178,$BN$3=1),0,3-SUMPRODUCT(--(($A$1:$A$3=入户维修!$F178)+$BN$1:$BN$3&gt;0)))</f>
        <v>2</v>
      </c>
      <c r="I178" s="0" t="n">
        <f aca="false">IF(OR($A$4=入户维修!$F178,$BN$4=1),0,4-SUMPRODUCT(--(($A$1:$A$4=入户维修!$F178)+$BN$1:$BN$4&gt;0)))</f>
        <v>3</v>
      </c>
      <c r="J178" s="0" t="n">
        <f aca="false">IF(OR($A$5=入户维修!$F178,$BN$5=1),0,5-SUMPRODUCT(--(($A$1:$A$5=入户维修!$F178)+$BN$1:$BN$5&gt;0)))</f>
        <v>4</v>
      </c>
      <c r="L178" s="0" t="str">
        <f aca="false">IFERROR(INDEX($A$1:$A$5,MATCH(1,$F178:$J178,0)),IF(1=MAX($F178:$J178)+1,"取消",""))</f>
        <v>李师傅</v>
      </c>
      <c r="M178" s="0" t="str">
        <f aca="false">IFERROR(INDEX($A$1:$A$5,MATCH(2,$F178:$J178,0)),IF(2=MAX($F178:$J178)+1,"取消",""))</f>
        <v>王师傅</v>
      </c>
      <c r="N178" s="0" t="str">
        <f aca="false">IFERROR(INDEX($A$1:$A$5,MATCH(3,$F178:$J178,0)),IF(3=MAX($F178:$J178)+1,"取消",""))</f>
        <v>陈师傅</v>
      </c>
      <c r="O178" s="0" t="str">
        <f aca="false">IFERROR(INDEX($A$1:$A$5,MATCH(4,$F178:$J178,0)),IF(4=MAX($F178:$J178)+1,"取消",""))</f>
        <v>刘师傅</v>
      </c>
      <c r="P178" s="0" t="str">
        <f aca="false">IFERROR(INDEX($A$1:$A$5,MATCH(5,$F178:$J178,0)),IF(5=MAX($F178:$J178)+1,"取消",""))</f>
        <v>取消</v>
      </c>
      <c r="Q178" s="0" t="str">
        <f aca="false">IFERROR(INDEX($A$1:$A$5,MATCH(6,$F178:$J178,0)),IF(6=MAX($F178:$J178)+1,"取消",""))</f>
        <v/>
      </c>
      <c r="S178" s="0" t="n">
        <f aca="false">IF(OR($A$1=入户维修!$F178,$A$1=入户维修!$G178,$BN$1=1),0,1-SUMPRODUCT(--(($A$1=入户维修!$F178)+($A$1=入户维修!$G178)+$BN$1&gt;0)))</f>
        <v>0</v>
      </c>
      <c r="T178" s="0" t="n">
        <f aca="false">IF(OR($A$2=入户维修!$F178,$A$2=入户维修!$G178,$BN$2=1),0,2-SUMPRODUCT(--(($A$1:$A$2=入户维修!$F178)+($A$1:$A$2=入户维修!$G178)+$BN$1:$BN$2&gt;0)))</f>
        <v>1</v>
      </c>
      <c r="U178" s="0" t="n">
        <f aca="false">IF(OR($A$3=入户维修!$F178,$A$3=入户维修!$G178,$BN$3=1),0,3-SUMPRODUCT(--(($A$1:$A$3=入户维修!$F178)+($A$1:$A$3=入户维修!$G178)+$BN$1:$BN$3&gt;0)))</f>
        <v>2</v>
      </c>
      <c r="V178" s="0" t="n">
        <f aca="false">IF(OR($A$4=入户维修!$F178,$A$4=入户维修!$G178,$BN$4=1),0,4-SUMPRODUCT(--(($A$1:$A$4=入户维修!$F178)+($A$1:$A$4=入户维修!$G178)+$BN$1:$BN$4&gt;0)))</f>
        <v>3</v>
      </c>
      <c r="W178" s="0" t="n">
        <f aca="false">IF(OR($A$5=入户维修!$F178,$A$5=入户维修!$G178,$BN$5=1),0,5-SUMPRODUCT(--(($A$1:$A$5=入户维修!$F178)+($A$1:$A$5=入户维修!$G178)+$BN$1:$BN$5&gt;0)))</f>
        <v>4</v>
      </c>
      <c r="Y178" s="0" t="str">
        <f aca="false">IFERROR(INDEX($A$1:$A$5,MATCH(1,$S178:$W178,0)),IF(1=MAX($S178:$W178)+1,"取消",""))</f>
        <v>李师傅</v>
      </c>
      <c r="Z178" s="0" t="str">
        <f aca="false">IFERROR(INDEX($A$1:$A$5,MATCH(2,$S178:$W178,0)),IF(2=MAX($S178:$W178)+1,"取消",""))</f>
        <v>王师傅</v>
      </c>
      <c r="AA178" s="0" t="str">
        <f aca="false">IFERROR(INDEX($A$1:$A$5,MATCH(3,$S178:$W178,0)),IF(3=MAX($S178:$W178)+1,"取消",""))</f>
        <v>陈师傅</v>
      </c>
      <c r="AB178" s="0" t="str">
        <f aca="false">IFERROR(INDEX($A$1:$A$5,MATCH(4,$S178:$W178,0)),IF(4=MAX($S178:$W178)+1,"取消",""))</f>
        <v>刘师傅</v>
      </c>
      <c r="AC178" s="0" t="str">
        <f aca="false">IFERROR(INDEX($A$1:$A$5,MATCH(5,$S178:$W178,0)),IF(5=MAX($S178:$W178)+1,"取消",""))</f>
        <v>取消</v>
      </c>
      <c r="AD178" s="0" t="str">
        <f aca="false">IFERROR(INDEX($A$1:$A$5,MATCH(6,$S178:$W178,0)),IF(6=MAX($S178:$W178)+1,"取消",""))</f>
        <v/>
      </c>
      <c r="AF178" s="0" t="n">
        <f aca="false">IF(OR($A$1=公区维修!$F178,$BN$1=1),0,1-SUMPRODUCT(--(($A$1=公区维修!$F178)+$BN$1&gt;0)))</f>
        <v>0</v>
      </c>
      <c r="AG178" s="0" t="n">
        <f aca="false">IF(OR($A$2=公区维修!$F178,$BN$2=1),0,2-SUMPRODUCT(--(($A$1:$A$2=公区维修!$F178)+$BN$1:$BN$2&gt;0)))</f>
        <v>1</v>
      </c>
      <c r="AH178" s="0" t="n">
        <f aca="false">IF(OR($A$3=公区维修!$F178,$BN$3=1),0,3-SUMPRODUCT(--(($A$1:$A$3=公区维修!$F178)+$BN$1:$BN$3&gt;0)))</f>
        <v>2</v>
      </c>
      <c r="AI178" s="0" t="n">
        <f aca="false">IF(OR($A$4=公区维修!$F178,$BN$4=1),0,4-SUMPRODUCT(--(($A$1:$A$4=公区维修!$F178)+$BN$1:$BN$4&gt;0)))</f>
        <v>3</v>
      </c>
      <c r="AJ178" s="0" t="n">
        <f aca="false">IF(OR($A$5=公区维修!$F178,$BN$5=1),0,5-SUMPRODUCT(--(($A$1:$A$5=公区维修!$F178)+$BN$1:$BN$5&gt;0)))</f>
        <v>4</v>
      </c>
      <c r="AL178" s="0" t="str">
        <f aca="false">IFERROR(INDEX($A$1:$A$5,MATCH(1,$AF178:$AJ178,0)),IF(1=MAX($AF178:$AJ178)+1,"取消",""))</f>
        <v>李师傅</v>
      </c>
      <c r="AM178" s="0" t="str">
        <f aca="false">IFERROR(INDEX($A$1:$A$5,MATCH(2,$AF178:$AJ178,0)),IF(2=MAX($AF178:$AJ178)+1,"取消",""))</f>
        <v>王师傅</v>
      </c>
      <c r="AN178" s="0" t="str">
        <f aca="false">IFERROR(INDEX($A$1:$A$5,MATCH(3,$AF178:$AJ178,0)),IF(3=MAX($AF178:$AJ178)+1,"取消",""))</f>
        <v>陈师傅</v>
      </c>
      <c r="AO178" s="0" t="str">
        <f aca="false">IFERROR(INDEX($A$1:$A$5,MATCH(4,$AF178:$AJ178,0)),IF(4=MAX($AF178:$AJ178)+1,"取消",""))</f>
        <v>刘师傅</v>
      </c>
      <c r="AP178" s="0" t="str">
        <f aca="false">IFERROR(INDEX($A$1:$A$5,MATCH(5,$AF178:$AJ178,0)),IF(5=MAX($AF178:$AJ178)+1,"取消",""))</f>
        <v>取消</v>
      </c>
      <c r="AQ178" s="0" t="str">
        <f aca="false">IFERROR(INDEX($A$1:$A$5,MATCH(6,$AF178:$AJ178,0)),IF(6=MAX($AF178:$AJ178)+1,"取消",""))</f>
        <v/>
      </c>
      <c r="AS178" s="0" t="n">
        <f aca="false">IF(OR($A$1=公区维修!$F178,$A$1=公区维修!$G178,$BN$1=1),0,1-SUMPRODUCT(--(($A$1=公区维修!$F178)+($A$1=公区维修!$G178)+$BN$1&gt;0)))</f>
        <v>0</v>
      </c>
      <c r="AT178" s="0" t="n">
        <f aca="false">IF(OR($A$2=公区维修!$F178,$A$2=公区维修!$G178,$BN$2=1),0,2-SUMPRODUCT(--(($A$1:$A$2=公区维修!$F178)+($A$1:$A$2=公区维修!$G178)+$BN$1:$BN$2&gt;0)))</f>
        <v>1</v>
      </c>
      <c r="AU178" s="0" t="n">
        <f aca="false">IF(OR($A$3=公区维修!$F178,$A$3=公区维修!$G178,$BN$3=1),0,3-SUMPRODUCT(--(($A$1:$A$3=公区维修!$F178)+($A$1:$A$3=公区维修!$G178)+$BN$1:$BN$3&gt;0)))</f>
        <v>2</v>
      </c>
      <c r="AV178" s="0" t="n">
        <f aca="false">IF(OR($A$4=公区维修!$F178,$A$4=公区维修!$G178,$BN$4=1),0,4-SUMPRODUCT(--(($A$1:$A$4=公区维修!$F178)+($A$1:$A$4=公区维修!$G178)+$BN$1:$BN$4&gt;0)))</f>
        <v>3</v>
      </c>
      <c r="AW178" s="0" t="n">
        <f aca="false">IF(OR($A$5=公区维修!$F178,$A$5=公区维修!$G178,$BN$5=1),0,5-SUMPRODUCT(--(($A$1:$A$5=公区维修!$F178)+($A$1:$A$5=公区维修!$G178)+$BN$1:$BN$5&gt;0)))</f>
        <v>4</v>
      </c>
      <c r="AY178" s="0" t="str">
        <f aca="false">IFERROR(INDEX($A$1:$A$5,MATCH(1,$AS178:$AW178,0)),IF(1=MAX($AS178:$AW178)+1,"取消",""))</f>
        <v>李师傅</v>
      </c>
      <c r="AZ178" s="0" t="str">
        <f aca="false">IFERROR(INDEX($A$1:$A$5,MATCH(2,$AS178:$AW178,0)),IF(2=MAX($AS178:$AW178)+1,"取消",""))</f>
        <v>王师傅</v>
      </c>
      <c r="BA178" s="0" t="str">
        <f aca="false">IFERROR(INDEX($A$1:$A$5,MATCH(3,$AS178:$AW178,0)),IF(3=MAX($AS178:$AW178)+1,"取消",""))</f>
        <v>陈师傅</v>
      </c>
      <c r="BB178" s="0" t="str">
        <f aca="false">IFERROR(INDEX($A$1:$A$5,MATCH(4,$AS178:$AW178,0)),IF(4=MAX($AS178:$AW178)+1,"取消",""))</f>
        <v>刘师傅</v>
      </c>
      <c r="BC178" s="0" t="str">
        <f aca="false">IFERROR(INDEX($A$1:$A$5,MATCH(5,$AS178:$AW178,0)),IF(5=MAX($AS178:$AW178)+1,"取消",""))</f>
        <v>取消</v>
      </c>
      <c r="BD178" s="0" t="str">
        <f aca="false">IFERROR(INDEX($A$1:$A$5,MATCH(6,$AS178:$AW178,0)),IF(6=MAX($AS178:$AW178)+1,"取消",""))</f>
        <v/>
      </c>
      <c r="FW178" s="0" t="str">
        <f aca="false">IF(AND(单元查询!$D$3&lt;&gt;"",IF(单元查询!$B$3="公区维修",公区维修!$E178&lt;&gt;"",入户维修!$E178&lt;&gt;""),IF(单元查询!$B$3="公区维修",公区维修!$C178,入户维修!$C178)=单元查询!$D$3,OR(单元查询!$F$3="",IF(单元查询!$B$3="公区维修",公区维修!$D178,入户维修!$D178)&amp;""=(单元查询!$F$3)&amp;"")),MAX($FW$4:$FW177)+1,"")</f>
        <v/>
      </c>
    </row>
    <row r="179" customFormat="false" ht="15" hidden="false" customHeight="true" outlineLevel="0" collapsed="false">
      <c r="F179" s="0" t="n">
        <f aca="false">IF(OR($A$1=入户维修!$F179,$BN$1=1),0,1-SUMPRODUCT(--(($A$1=入户维修!$F179)+$BN$1&gt;0)))</f>
        <v>0</v>
      </c>
      <c r="G179" s="0" t="n">
        <f aca="false">IF(OR($A$2=入户维修!$F179,$BN$2=1),0,2-SUMPRODUCT(--(($A$1:$A$2=入户维修!$F179)+$BN$1:$BN$2&gt;0)))</f>
        <v>1</v>
      </c>
      <c r="H179" s="0" t="n">
        <f aca="false">IF(OR($A$3=入户维修!$F179,$BN$3=1),0,3-SUMPRODUCT(--(($A$1:$A$3=入户维修!$F179)+$BN$1:$BN$3&gt;0)))</f>
        <v>2</v>
      </c>
      <c r="I179" s="0" t="n">
        <f aca="false">IF(OR($A$4=入户维修!$F179,$BN$4=1),0,4-SUMPRODUCT(--(($A$1:$A$4=入户维修!$F179)+$BN$1:$BN$4&gt;0)))</f>
        <v>3</v>
      </c>
      <c r="J179" s="0" t="n">
        <f aca="false">IF(OR($A$5=入户维修!$F179,$BN$5=1),0,5-SUMPRODUCT(--(($A$1:$A$5=入户维修!$F179)+$BN$1:$BN$5&gt;0)))</f>
        <v>4</v>
      </c>
      <c r="L179" s="0" t="str">
        <f aca="false">IFERROR(INDEX($A$1:$A$5,MATCH(1,$F179:$J179,0)),IF(1=MAX($F179:$J179)+1,"取消",""))</f>
        <v>李师傅</v>
      </c>
      <c r="M179" s="0" t="str">
        <f aca="false">IFERROR(INDEX($A$1:$A$5,MATCH(2,$F179:$J179,0)),IF(2=MAX($F179:$J179)+1,"取消",""))</f>
        <v>王师傅</v>
      </c>
      <c r="N179" s="0" t="str">
        <f aca="false">IFERROR(INDEX($A$1:$A$5,MATCH(3,$F179:$J179,0)),IF(3=MAX($F179:$J179)+1,"取消",""))</f>
        <v>陈师傅</v>
      </c>
      <c r="O179" s="0" t="str">
        <f aca="false">IFERROR(INDEX($A$1:$A$5,MATCH(4,$F179:$J179,0)),IF(4=MAX($F179:$J179)+1,"取消",""))</f>
        <v>刘师傅</v>
      </c>
      <c r="P179" s="0" t="str">
        <f aca="false">IFERROR(INDEX($A$1:$A$5,MATCH(5,$F179:$J179,0)),IF(5=MAX($F179:$J179)+1,"取消",""))</f>
        <v>取消</v>
      </c>
      <c r="Q179" s="0" t="str">
        <f aca="false">IFERROR(INDEX($A$1:$A$5,MATCH(6,$F179:$J179,0)),IF(6=MAX($F179:$J179)+1,"取消",""))</f>
        <v/>
      </c>
      <c r="S179" s="0" t="n">
        <f aca="false">IF(OR($A$1=入户维修!$F179,$A$1=入户维修!$G179,$BN$1=1),0,1-SUMPRODUCT(--(($A$1=入户维修!$F179)+($A$1=入户维修!$G179)+$BN$1&gt;0)))</f>
        <v>0</v>
      </c>
      <c r="T179" s="0" t="n">
        <f aca="false">IF(OR($A$2=入户维修!$F179,$A$2=入户维修!$G179,$BN$2=1),0,2-SUMPRODUCT(--(($A$1:$A$2=入户维修!$F179)+($A$1:$A$2=入户维修!$G179)+$BN$1:$BN$2&gt;0)))</f>
        <v>1</v>
      </c>
      <c r="U179" s="0" t="n">
        <f aca="false">IF(OR($A$3=入户维修!$F179,$A$3=入户维修!$G179,$BN$3=1),0,3-SUMPRODUCT(--(($A$1:$A$3=入户维修!$F179)+($A$1:$A$3=入户维修!$G179)+$BN$1:$BN$3&gt;0)))</f>
        <v>2</v>
      </c>
      <c r="V179" s="0" t="n">
        <f aca="false">IF(OR($A$4=入户维修!$F179,$A$4=入户维修!$G179,$BN$4=1),0,4-SUMPRODUCT(--(($A$1:$A$4=入户维修!$F179)+($A$1:$A$4=入户维修!$G179)+$BN$1:$BN$4&gt;0)))</f>
        <v>3</v>
      </c>
      <c r="W179" s="0" t="n">
        <f aca="false">IF(OR($A$5=入户维修!$F179,$A$5=入户维修!$G179,$BN$5=1),0,5-SUMPRODUCT(--(($A$1:$A$5=入户维修!$F179)+($A$1:$A$5=入户维修!$G179)+$BN$1:$BN$5&gt;0)))</f>
        <v>4</v>
      </c>
      <c r="Y179" s="0" t="str">
        <f aca="false">IFERROR(INDEX($A$1:$A$5,MATCH(1,$S179:$W179,0)),IF(1=MAX($S179:$W179)+1,"取消",""))</f>
        <v>李师傅</v>
      </c>
      <c r="Z179" s="0" t="str">
        <f aca="false">IFERROR(INDEX($A$1:$A$5,MATCH(2,$S179:$W179,0)),IF(2=MAX($S179:$W179)+1,"取消",""))</f>
        <v>王师傅</v>
      </c>
      <c r="AA179" s="0" t="str">
        <f aca="false">IFERROR(INDEX($A$1:$A$5,MATCH(3,$S179:$W179,0)),IF(3=MAX($S179:$W179)+1,"取消",""))</f>
        <v>陈师傅</v>
      </c>
      <c r="AB179" s="0" t="str">
        <f aca="false">IFERROR(INDEX($A$1:$A$5,MATCH(4,$S179:$W179,0)),IF(4=MAX($S179:$W179)+1,"取消",""))</f>
        <v>刘师傅</v>
      </c>
      <c r="AC179" s="0" t="str">
        <f aca="false">IFERROR(INDEX($A$1:$A$5,MATCH(5,$S179:$W179,0)),IF(5=MAX($S179:$W179)+1,"取消",""))</f>
        <v>取消</v>
      </c>
      <c r="AD179" s="0" t="str">
        <f aca="false">IFERROR(INDEX($A$1:$A$5,MATCH(6,$S179:$W179,0)),IF(6=MAX($S179:$W179)+1,"取消",""))</f>
        <v/>
      </c>
      <c r="AF179" s="0" t="n">
        <f aca="false">IF(OR($A$1=公区维修!$F179,$BN$1=1),0,1-SUMPRODUCT(--(($A$1=公区维修!$F179)+$BN$1&gt;0)))</f>
        <v>0</v>
      </c>
      <c r="AG179" s="0" t="n">
        <f aca="false">IF(OR($A$2=公区维修!$F179,$BN$2=1),0,2-SUMPRODUCT(--(($A$1:$A$2=公区维修!$F179)+$BN$1:$BN$2&gt;0)))</f>
        <v>1</v>
      </c>
      <c r="AH179" s="0" t="n">
        <f aca="false">IF(OR($A$3=公区维修!$F179,$BN$3=1),0,3-SUMPRODUCT(--(($A$1:$A$3=公区维修!$F179)+$BN$1:$BN$3&gt;0)))</f>
        <v>2</v>
      </c>
      <c r="AI179" s="0" t="n">
        <f aca="false">IF(OR($A$4=公区维修!$F179,$BN$4=1),0,4-SUMPRODUCT(--(($A$1:$A$4=公区维修!$F179)+$BN$1:$BN$4&gt;0)))</f>
        <v>3</v>
      </c>
      <c r="AJ179" s="0" t="n">
        <f aca="false">IF(OR($A$5=公区维修!$F179,$BN$5=1),0,5-SUMPRODUCT(--(($A$1:$A$5=公区维修!$F179)+$BN$1:$BN$5&gt;0)))</f>
        <v>4</v>
      </c>
      <c r="AL179" s="0" t="str">
        <f aca="false">IFERROR(INDEX($A$1:$A$5,MATCH(1,$AF179:$AJ179,0)),IF(1=MAX($AF179:$AJ179)+1,"取消",""))</f>
        <v>李师傅</v>
      </c>
      <c r="AM179" s="0" t="str">
        <f aca="false">IFERROR(INDEX($A$1:$A$5,MATCH(2,$AF179:$AJ179,0)),IF(2=MAX($AF179:$AJ179)+1,"取消",""))</f>
        <v>王师傅</v>
      </c>
      <c r="AN179" s="0" t="str">
        <f aca="false">IFERROR(INDEX($A$1:$A$5,MATCH(3,$AF179:$AJ179,0)),IF(3=MAX($AF179:$AJ179)+1,"取消",""))</f>
        <v>陈师傅</v>
      </c>
      <c r="AO179" s="0" t="str">
        <f aca="false">IFERROR(INDEX($A$1:$A$5,MATCH(4,$AF179:$AJ179,0)),IF(4=MAX($AF179:$AJ179)+1,"取消",""))</f>
        <v>刘师傅</v>
      </c>
      <c r="AP179" s="0" t="str">
        <f aca="false">IFERROR(INDEX($A$1:$A$5,MATCH(5,$AF179:$AJ179,0)),IF(5=MAX($AF179:$AJ179)+1,"取消",""))</f>
        <v>取消</v>
      </c>
      <c r="AQ179" s="0" t="str">
        <f aca="false">IFERROR(INDEX($A$1:$A$5,MATCH(6,$AF179:$AJ179,0)),IF(6=MAX($AF179:$AJ179)+1,"取消",""))</f>
        <v/>
      </c>
      <c r="AS179" s="0" t="n">
        <f aca="false">IF(OR($A$1=公区维修!$F179,$A$1=公区维修!$G179,$BN$1=1),0,1-SUMPRODUCT(--(($A$1=公区维修!$F179)+($A$1=公区维修!$G179)+$BN$1&gt;0)))</f>
        <v>0</v>
      </c>
      <c r="AT179" s="0" t="n">
        <f aca="false">IF(OR($A$2=公区维修!$F179,$A$2=公区维修!$G179,$BN$2=1),0,2-SUMPRODUCT(--(($A$1:$A$2=公区维修!$F179)+($A$1:$A$2=公区维修!$G179)+$BN$1:$BN$2&gt;0)))</f>
        <v>1</v>
      </c>
      <c r="AU179" s="0" t="n">
        <f aca="false">IF(OR($A$3=公区维修!$F179,$A$3=公区维修!$G179,$BN$3=1),0,3-SUMPRODUCT(--(($A$1:$A$3=公区维修!$F179)+($A$1:$A$3=公区维修!$G179)+$BN$1:$BN$3&gt;0)))</f>
        <v>2</v>
      </c>
      <c r="AV179" s="0" t="n">
        <f aca="false">IF(OR($A$4=公区维修!$F179,$A$4=公区维修!$G179,$BN$4=1),0,4-SUMPRODUCT(--(($A$1:$A$4=公区维修!$F179)+($A$1:$A$4=公区维修!$G179)+$BN$1:$BN$4&gt;0)))</f>
        <v>3</v>
      </c>
      <c r="AW179" s="0" t="n">
        <f aca="false">IF(OR($A$5=公区维修!$F179,$A$5=公区维修!$G179,$BN$5=1),0,5-SUMPRODUCT(--(($A$1:$A$5=公区维修!$F179)+($A$1:$A$5=公区维修!$G179)+$BN$1:$BN$5&gt;0)))</f>
        <v>4</v>
      </c>
      <c r="AY179" s="0" t="str">
        <f aca="false">IFERROR(INDEX($A$1:$A$5,MATCH(1,$AS179:$AW179,0)),IF(1=MAX($AS179:$AW179)+1,"取消",""))</f>
        <v>李师傅</v>
      </c>
      <c r="AZ179" s="0" t="str">
        <f aca="false">IFERROR(INDEX($A$1:$A$5,MATCH(2,$AS179:$AW179,0)),IF(2=MAX($AS179:$AW179)+1,"取消",""))</f>
        <v>王师傅</v>
      </c>
      <c r="BA179" s="0" t="str">
        <f aca="false">IFERROR(INDEX($A$1:$A$5,MATCH(3,$AS179:$AW179,0)),IF(3=MAX($AS179:$AW179)+1,"取消",""))</f>
        <v>陈师傅</v>
      </c>
      <c r="BB179" s="0" t="str">
        <f aca="false">IFERROR(INDEX($A$1:$A$5,MATCH(4,$AS179:$AW179,0)),IF(4=MAX($AS179:$AW179)+1,"取消",""))</f>
        <v>刘师傅</v>
      </c>
      <c r="BC179" s="0" t="str">
        <f aca="false">IFERROR(INDEX($A$1:$A$5,MATCH(5,$AS179:$AW179,0)),IF(5=MAX($AS179:$AW179)+1,"取消",""))</f>
        <v>取消</v>
      </c>
      <c r="BD179" s="0" t="str">
        <f aca="false">IFERROR(INDEX($A$1:$A$5,MATCH(6,$AS179:$AW179,0)),IF(6=MAX($AS179:$AW179)+1,"取消",""))</f>
        <v/>
      </c>
      <c r="FW179" s="0" t="str">
        <f aca="false">IF(AND(单元查询!$D$3&lt;&gt;"",IF(单元查询!$B$3="公区维修",公区维修!$E179&lt;&gt;"",入户维修!$E179&lt;&gt;""),IF(单元查询!$B$3="公区维修",公区维修!$C179,入户维修!$C179)=单元查询!$D$3,OR(单元查询!$F$3="",IF(单元查询!$B$3="公区维修",公区维修!$D179,入户维修!$D179)&amp;""=(单元查询!$F$3)&amp;"")),MAX($FW$4:$FW178)+1,"")</f>
        <v/>
      </c>
    </row>
    <row r="180" customFormat="false" ht="15" hidden="false" customHeight="true" outlineLevel="0" collapsed="false">
      <c r="F180" s="0" t="n">
        <f aca="false">IF(OR($A$1=入户维修!$F180,$BN$1=1),0,1-SUMPRODUCT(--(($A$1=入户维修!$F180)+$BN$1&gt;0)))</f>
        <v>0</v>
      </c>
      <c r="G180" s="0" t="n">
        <f aca="false">IF(OR($A$2=入户维修!$F180,$BN$2=1),0,2-SUMPRODUCT(--(($A$1:$A$2=入户维修!$F180)+$BN$1:$BN$2&gt;0)))</f>
        <v>1</v>
      </c>
      <c r="H180" s="0" t="n">
        <f aca="false">IF(OR($A$3=入户维修!$F180,$BN$3=1),0,3-SUMPRODUCT(--(($A$1:$A$3=入户维修!$F180)+$BN$1:$BN$3&gt;0)))</f>
        <v>2</v>
      </c>
      <c r="I180" s="0" t="n">
        <f aca="false">IF(OR($A$4=入户维修!$F180,$BN$4=1),0,4-SUMPRODUCT(--(($A$1:$A$4=入户维修!$F180)+$BN$1:$BN$4&gt;0)))</f>
        <v>3</v>
      </c>
      <c r="J180" s="0" t="n">
        <f aca="false">IF(OR($A$5=入户维修!$F180,$BN$5=1),0,5-SUMPRODUCT(--(($A$1:$A$5=入户维修!$F180)+$BN$1:$BN$5&gt;0)))</f>
        <v>4</v>
      </c>
      <c r="L180" s="0" t="str">
        <f aca="false">IFERROR(INDEX($A$1:$A$5,MATCH(1,$F180:$J180,0)),IF(1=MAX($F180:$J180)+1,"取消",""))</f>
        <v>李师傅</v>
      </c>
      <c r="M180" s="0" t="str">
        <f aca="false">IFERROR(INDEX($A$1:$A$5,MATCH(2,$F180:$J180,0)),IF(2=MAX($F180:$J180)+1,"取消",""))</f>
        <v>王师傅</v>
      </c>
      <c r="N180" s="0" t="str">
        <f aca="false">IFERROR(INDEX($A$1:$A$5,MATCH(3,$F180:$J180,0)),IF(3=MAX($F180:$J180)+1,"取消",""))</f>
        <v>陈师傅</v>
      </c>
      <c r="O180" s="0" t="str">
        <f aca="false">IFERROR(INDEX($A$1:$A$5,MATCH(4,$F180:$J180,0)),IF(4=MAX($F180:$J180)+1,"取消",""))</f>
        <v>刘师傅</v>
      </c>
      <c r="P180" s="0" t="str">
        <f aca="false">IFERROR(INDEX($A$1:$A$5,MATCH(5,$F180:$J180,0)),IF(5=MAX($F180:$J180)+1,"取消",""))</f>
        <v>取消</v>
      </c>
      <c r="Q180" s="0" t="str">
        <f aca="false">IFERROR(INDEX($A$1:$A$5,MATCH(6,$F180:$J180,0)),IF(6=MAX($F180:$J180)+1,"取消",""))</f>
        <v/>
      </c>
      <c r="S180" s="0" t="n">
        <f aca="false">IF(OR($A$1=入户维修!$F180,$A$1=入户维修!$G180,$BN$1=1),0,1-SUMPRODUCT(--(($A$1=入户维修!$F180)+($A$1=入户维修!$G180)+$BN$1&gt;0)))</f>
        <v>0</v>
      </c>
      <c r="T180" s="0" t="n">
        <f aca="false">IF(OR($A$2=入户维修!$F180,$A$2=入户维修!$G180,$BN$2=1),0,2-SUMPRODUCT(--(($A$1:$A$2=入户维修!$F180)+($A$1:$A$2=入户维修!$G180)+$BN$1:$BN$2&gt;0)))</f>
        <v>1</v>
      </c>
      <c r="U180" s="0" t="n">
        <f aca="false">IF(OR($A$3=入户维修!$F180,$A$3=入户维修!$G180,$BN$3=1),0,3-SUMPRODUCT(--(($A$1:$A$3=入户维修!$F180)+($A$1:$A$3=入户维修!$G180)+$BN$1:$BN$3&gt;0)))</f>
        <v>2</v>
      </c>
      <c r="V180" s="0" t="n">
        <f aca="false">IF(OR($A$4=入户维修!$F180,$A$4=入户维修!$G180,$BN$4=1),0,4-SUMPRODUCT(--(($A$1:$A$4=入户维修!$F180)+($A$1:$A$4=入户维修!$G180)+$BN$1:$BN$4&gt;0)))</f>
        <v>3</v>
      </c>
      <c r="W180" s="0" t="n">
        <f aca="false">IF(OR($A$5=入户维修!$F180,$A$5=入户维修!$G180,$BN$5=1),0,5-SUMPRODUCT(--(($A$1:$A$5=入户维修!$F180)+($A$1:$A$5=入户维修!$G180)+$BN$1:$BN$5&gt;0)))</f>
        <v>4</v>
      </c>
      <c r="Y180" s="0" t="str">
        <f aca="false">IFERROR(INDEX($A$1:$A$5,MATCH(1,$S180:$W180,0)),IF(1=MAX($S180:$W180)+1,"取消",""))</f>
        <v>李师傅</v>
      </c>
      <c r="Z180" s="0" t="str">
        <f aca="false">IFERROR(INDEX($A$1:$A$5,MATCH(2,$S180:$W180,0)),IF(2=MAX($S180:$W180)+1,"取消",""))</f>
        <v>王师傅</v>
      </c>
      <c r="AA180" s="0" t="str">
        <f aca="false">IFERROR(INDEX($A$1:$A$5,MATCH(3,$S180:$W180,0)),IF(3=MAX($S180:$W180)+1,"取消",""))</f>
        <v>陈师傅</v>
      </c>
      <c r="AB180" s="0" t="str">
        <f aca="false">IFERROR(INDEX($A$1:$A$5,MATCH(4,$S180:$W180,0)),IF(4=MAX($S180:$W180)+1,"取消",""))</f>
        <v>刘师傅</v>
      </c>
      <c r="AC180" s="0" t="str">
        <f aca="false">IFERROR(INDEX($A$1:$A$5,MATCH(5,$S180:$W180,0)),IF(5=MAX($S180:$W180)+1,"取消",""))</f>
        <v>取消</v>
      </c>
      <c r="AD180" s="0" t="str">
        <f aca="false">IFERROR(INDEX($A$1:$A$5,MATCH(6,$S180:$W180,0)),IF(6=MAX($S180:$W180)+1,"取消",""))</f>
        <v/>
      </c>
      <c r="AF180" s="0" t="n">
        <f aca="false">IF(OR($A$1=公区维修!$F180,$BN$1=1),0,1-SUMPRODUCT(--(($A$1=公区维修!$F180)+$BN$1&gt;0)))</f>
        <v>0</v>
      </c>
      <c r="AG180" s="0" t="n">
        <f aca="false">IF(OR($A$2=公区维修!$F180,$BN$2=1),0,2-SUMPRODUCT(--(($A$1:$A$2=公区维修!$F180)+$BN$1:$BN$2&gt;0)))</f>
        <v>1</v>
      </c>
      <c r="AH180" s="0" t="n">
        <f aca="false">IF(OR($A$3=公区维修!$F180,$BN$3=1),0,3-SUMPRODUCT(--(($A$1:$A$3=公区维修!$F180)+$BN$1:$BN$3&gt;0)))</f>
        <v>2</v>
      </c>
      <c r="AI180" s="0" t="n">
        <f aca="false">IF(OR($A$4=公区维修!$F180,$BN$4=1),0,4-SUMPRODUCT(--(($A$1:$A$4=公区维修!$F180)+$BN$1:$BN$4&gt;0)))</f>
        <v>3</v>
      </c>
      <c r="AJ180" s="0" t="n">
        <f aca="false">IF(OR($A$5=公区维修!$F180,$BN$5=1),0,5-SUMPRODUCT(--(($A$1:$A$5=公区维修!$F180)+$BN$1:$BN$5&gt;0)))</f>
        <v>4</v>
      </c>
      <c r="AL180" s="0" t="str">
        <f aca="false">IFERROR(INDEX($A$1:$A$5,MATCH(1,$AF180:$AJ180,0)),IF(1=MAX($AF180:$AJ180)+1,"取消",""))</f>
        <v>李师傅</v>
      </c>
      <c r="AM180" s="0" t="str">
        <f aca="false">IFERROR(INDEX($A$1:$A$5,MATCH(2,$AF180:$AJ180,0)),IF(2=MAX($AF180:$AJ180)+1,"取消",""))</f>
        <v>王师傅</v>
      </c>
      <c r="AN180" s="0" t="str">
        <f aca="false">IFERROR(INDEX($A$1:$A$5,MATCH(3,$AF180:$AJ180,0)),IF(3=MAX($AF180:$AJ180)+1,"取消",""))</f>
        <v>陈师傅</v>
      </c>
      <c r="AO180" s="0" t="str">
        <f aca="false">IFERROR(INDEX($A$1:$A$5,MATCH(4,$AF180:$AJ180,0)),IF(4=MAX($AF180:$AJ180)+1,"取消",""))</f>
        <v>刘师傅</v>
      </c>
      <c r="AP180" s="0" t="str">
        <f aca="false">IFERROR(INDEX($A$1:$A$5,MATCH(5,$AF180:$AJ180,0)),IF(5=MAX($AF180:$AJ180)+1,"取消",""))</f>
        <v>取消</v>
      </c>
      <c r="AQ180" s="0" t="str">
        <f aca="false">IFERROR(INDEX($A$1:$A$5,MATCH(6,$AF180:$AJ180,0)),IF(6=MAX($AF180:$AJ180)+1,"取消",""))</f>
        <v/>
      </c>
      <c r="AS180" s="0" t="n">
        <f aca="false">IF(OR($A$1=公区维修!$F180,$A$1=公区维修!$G180,$BN$1=1),0,1-SUMPRODUCT(--(($A$1=公区维修!$F180)+($A$1=公区维修!$G180)+$BN$1&gt;0)))</f>
        <v>0</v>
      </c>
      <c r="AT180" s="0" t="n">
        <f aca="false">IF(OR($A$2=公区维修!$F180,$A$2=公区维修!$G180,$BN$2=1),0,2-SUMPRODUCT(--(($A$1:$A$2=公区维修!$F180)+($A$1:$A$2=公区维修!$G180)+$BN$1:$BN$2&gt;0)))</f>
        <v>1</v>
      </c>
      <c r="AU180" s="0" t="n">
        <f aca="false">IF(OR($A$3=公区维修!$F180,$A$3=公区维修!$G180,$BN$3=1),0,3-SUMPRODUCT(--(($A$1:$A$3=公区维修!$F180)+($A$1:$A$3=公区维修!$G180)+$BN$1:$BN$3&gt;0)))</f>
        <v>2</v>
      </c>
      <c r="AV180" s="0" t="n">
        <f aca="false">IF(OR($A$4=公区维修!$F180,$A$4=公区维修!$G180,$BN$4=1),0,4-SUMPRODUCT(--(($A$1:$A$4=公区维修!$F180)+($A$1:$A$4=公区维修!$G180)+$BN$1:$BN$4&gt;0)))</f>
        <v>3</v>
      </c>
      <c r="AW180" s="0" t="n">
        <f aca="false">IF(OR($A$5=公区维修!$F180,$A$5=公区维修!$G180,$BN$5=1),0,5-SUMPRODUCT(--(($A$1:$A$5=公区维修!$F180)+($A$1:$A$5=公区维修!$G180)+$BN$1:$BN$5&gt;0)))</f>
        <v>4</v>
      </c>
      <c r="AY180" s="0" t="str">
        <f aca="false">IFERROR(INDEX($A$1:$A$5,MATCH(1,$AS180:$AW180,0)),IF(1=MAX($AS180:$AW180)+1,"取消",""))</f>
        <v>李师傅</v>
      </c>
      <c r="AZ180" s="0" t="str">
        <f aca="false">IFERROR(INDEX($A$1:$A$5,MATCH(2,$AS180:$AW180,0)),IF(2=MAX($AS180:$AW180)+1,"取消",""))</f>
        <v>王师傅</v>
      </c>
      <c r="BA180" s="0" t="str">
        <f aca="false">IFERROR(INDEX($A$1:$A$5,MATCH(3,$AS180:$AW180,0)),IF(3=MAX($AS180:$AW180)+1,"取消",""))</f>
        <v>陈师傅</v>
      </c>
      <c r="BB180" s="0" t="str">
        <f aca="false">IFERROR(INDEX($A$1:$A$5,MATCH(4,$AS180:$AW180,0)),IF(4=MAX($AS180:$AW180)+1,"取消",""))</f>
        <v>刘师傅</v>
      </c>
      <c r="BC180" s="0" t="str">
        <f aca="false">IFERROR(INDEX($A$1:$A$5,MATCH(5,$AS180:$AW180,0)),IF(5=MAX($AS180:$AW180)+1,"取消",""))</f>
        <v>取消</v>
      </c>
      <c r="BD180" s="0" t="str">
        <f aca="false">IFERROR(INDEX($A$1:$A$5,MATCH(6,$AS180:$AW180,0)),IF(6=MAX($AS180:$AW180)+1,"取消",""))</f>
        <v/>
      </c>
      <c r="FW180" s="0" t="str">
        <f aca="false">IF(AND(单元查询!$D$3&lt;&gt;"",IF(单元查询!$B$3="公区维修",公区维修!$E180&lt;&gt;"",入户维修!$E180&lt;&gt;""),IF(单元查询!$B$3="公区维修",公区维修!$C180,入户维修!$C180)=单元查询!$D$3,OR(单元查询!$F$3="",IF(单元查询!$B$3="公区维修",公区维修!$D180,入户维修!$D180)&amp;""=(单元查询!$F$3)&amp;"")),MAX($FW$4:$FW179)+1,"")</f>
        <v/>
      </c>
    </row>
    <row r="181" customFormat="false" ht="15" hidden="false" customHeight="true" outlineLevel="0" collapsed="false">
      <c r="F181" s="0" t="n">
        <f aca="false">IF(OR($A$1=入户维修!$F181,$BN$1=1),0,1-SUMPRODUCT(--(($A$1=入户维修!$F181)+$BN$1&gt;0)))</f>
        <v>0</v>
      </c>
      <c r="G181" s="0" t="n">
        <f aca="false">IF(OR($A$2=入户维修!$F181,$BN$2=1),0,2-SUMPRODUCT(--(($A$1:$A$2=入户维修!$F181)+$BN$1:$BN$2&gt;0)))</f>
        <v>1</v>
      </c>
      <c r="H181" s="0" t="n">
        <f aca="false">IF(OR($A$3=入户维修!$F181,$BN$3=1),0,3-SUMPRODUCT(--(($A$1:$A$3=入户维修!$F181)+$BN$1:$BN$3&gt;0)))</f>
        <v>2</v>
      </c>
      <c r="I181" s="0" t="n">
        <f aca="false">IF(OR($A$4=入户维修!$F181,$BN$4=1),0,4-SUMPRODUCT(--(($A$1:$A$4=入户维修!$F181)+$BN$1:$BN$4&gt;0)))</f>
        <v>3</v>
      </c>
      <c r="J181" s="0" t="n">
        <f aca="false">IF(OR($A$5=入户维修!$F181,$BN$5=1),0,5-SUMPRODUCT(--(($A$1:$A$5=入户维修!$F181)+$BN$1:$BN$5&gt;0)))</f>
        <v>4</v>
      </c>
      <c r="L181" s="0" t="str">
        <f aca="false">IFERROR(INDEX($A$1:$A$5,MATCH(1,$F181:$J181,0)),IF(1=MAX($F181:$J181)+1,"取消",""))</f>
        <v>李师傅</v>
      </c>
      <c r="M181" s="0" t="str">
        <f aca="false">IFERROR(INDEX($A$1:$A$5,MATCH(2,$F181:$J181,0)),IF(2=MAX($F181:$J181)+1,"取消",""))</f>
        <v>王师傅</v>
      </c>
      <c r="N181" s="0" t="str">
        <f aca="false">IFERROR(INDEX($A$1:$A$5,MATCH(3,$F181:$J181,0)),IF(3=MAX($F181:$J181)+1,"取消",""))</f>
        <v>陈师傅</v>
      </c>
      <c r="O181" s="0" t="str">
        <f aca="false">IFERROR(INDEX($A$1:$A$5,MATCH(4,$F181:$J181,0)),IF(4=MAX($F181:$J181)+1,"取消",""))</f>
        <v>刘师傅</v>
      </c>
      <c r="P181" s="0" t="str">
        <f aca="false">IFERROR(INDEX($A$1:$A$5,MATCH(5,$F181:$J181,0)),IF(5=MAX($F181:$J181)+1,"取消",""))</f>
        <v>取消</v>
      </c>
      <c r="Q181" s="0" t="str">
        <f aca="false">IFERROR(INDEX($A$1:$A$5,MATCH(6,$F181:$J181,0)),IF(6=MAX($F181:$J181)+1,"取消",""))</f>
        <v/>
      </c>
      <c r="S181" s="0" t="n">
        <f aca="false">IF(OR($A$1=入户维修!$F181,$A$1=入户维修!$G181,$BN$1=1),0,1-SUMPRODUCT(--(($A$1=入户维修!$F181)+($A$1=入户维修!$G181)+$BN$1&gt;0)))</f>
        <v>0</v>
      </c>
      <c r="T181" s="0" t="n">
        <f aca="false">IF(OR($A$2=入户维修!$F181,$A$2=入户维修!$G181,$BN$2=1),0,2-SUMPRODUCT(--(($A$1:$A$2=入户维修!$F181)+($A$1:$A$2=入户维修!$G181)+$BN$1:$BN$2&gt;0)))</f>
        <v>1</v>
      </c>
      <c r="U181" s="0" t="n">
        <f aca="false">IF(OR($A$3=入户维修!$F181,$A$3=入户维修!$G181,$BN$3=1),0,3-SUMPRODUCT(--(($A$1:$A$3=入户维修!$F181)+($A$1:$A$3=入户维修!$G181)+$BN$1:$BN$3&gt;0)))</f>
        <v>2</v>
      </c>
      <c r="V181" s="0" t="n">
        <f aca="false">IF(OR($A$4=入户维修!$F181,$A$4=入户维修!$G181,$BN$4=1),0,4-SUMPRODUCT(--(($A$1:$A$4=入户维修!$F181)+($A$1:$A$4=入户维修!$G181)+$BN$1:$BN$4&gt;0)))</f>
        <v>3</v>
      </c>
      <c r="W181" s="0" t="n">
        <f aca="false">IF(OR($A$5=入户维修!$F181,$A$5=入户维修!$G181,$BN$5=1),0,5-SUMPRODUCT(--(($A$1:$A$5=入户维修!$F181)+($A$1:$A$5=入户维修!$G181)+$BN$1:$BN$5&gt;0)))</f>
        <v>4</v>
      </c>
      <c r="Y181" s="0" t="str">
        <f aca="false">IFERROR(INDEX($A$1:$A$5,MATCH(1,$S181:$W181,0)),IF(1=MAX($S181:$W181)+1,"取消",""))</f>
        <v>李师傅</v>
      </c>
      <c r="Z181" s="0" t="str">
        <f aca="false">IFERROR(INDEX($A$1:$A$5,MATCH(2,$S181:$W181,0)),IF(2=MAX($S181:$W181)+1,"取消",""))</f>
        <v>王师傅</v>
      </c>
      <c r="AA181" s="0" t="str">
        <f aca="false">IFERROR(INDEX($A$1:$A$5,MATCH(3,$S181:$W181,0)),IF(3=MAX($S181:$W181)+1,"取消",""))</f>
        <v>陈师傅</v>
      </c>
      <c r="AB181" s="0" t="str">
        <f aca="false">IFERROR(INDEX($A$1:$A$5,MATCH(4,$S181:$W181,0)),IF(4=MAX($S181:$W181)+1,"取消",""))</f>
        <v>刘师傅</v>
      </c>
      <c r="AC181" s="0" t="str">
        <f aca="false">IFERROR(INDEX($A$1:$A$5,MATCH(5,$S181:$W181,0)),IF(5=MAX($S181:$W181)+1,"取消",""))</f>
        <v>取消</v>
      </c>
      <c r="AD181" s="0" t="str">
        <f aca="false">IFERROR(INDEX($A$1:$A$5,MATCH(6,$S181:$W181,0)),IF(6=MAX($S181:$W181)+1,"取消",""))</f>
        <v/>
      </c>
      <c r="AF181" s="0" t="n">
        <f aca="false">IF(OR($A$1=公区维修!$F181,$BN$1=1),0,1-SUMPRODUCT(--(($A$1=公区维修!$F181)+$BN$1&gt;0)))</f>
        <v>0</v>
      </c>
      <c r="AG181" s="0" t="n">
        <f aca="false">IF(OR($A$2=公区维修!$F181,$BN$2=1),0,2-SUMPRODUCT(--(($A$1:$A$2=公区维修!$F181)+$BN$1:$BN$2&gt;0)))</f>
        <v>1</v>
      </c>
      <c r="AH181" s="0" t="n">
        <f aca="false">IF(OR($A$3=公区维修!$F181,$BN$3=1),0,3-SUMPRODUCT(--(($A$1:$A$3=公区维修!$F181)+$BN$1:$BN$3&gt;0)))</f>
        <v>2</v>
      </c>
      <c r="AI181" s="0" t="n">
        <f aca="false">IF(OR($A$4=公区维修!$F181,$BN$4=1),0,4-SUMPRODUCT(--(($A$1:$A$4=公区维修!$F181)+$BN$1:$BN$4&gt;0)))</f>
        <v>3</v>
      </c>
      <c r="AJ181" s="0" t="n">
        <f aca="false">IF(OR($A$5=公区维修!$F181,$BN$5=1),0,5-SUMPRODUCT(--(($A$1:$A$5=公区维修!$F181)+$BN$1:$BN$5&gt;0)))</f>
        <v>4</v>
      </c>
      <c r="AL181" s="0" t="str">
        <f aca="false">IFERROR(INDEX($A$1:$A$5,MATCH(1,$AF181:$AJ181,0)),IF(1=MAX($AF181:$AJ181)+1,"取消",""))</f>
        <v>李师傅</v>
      </c>
      <c r="AM181" s="0" t="str">
        <f aca="false">IFERROR(INDEX($A$1:$A$5,MATCH(2,$AF181:$AJ181,0)),IF(2=MAX($AF181:$AJ181)+1,"取消",""))</f>
        <v>王师傅</v>
      </c>
      <c r="AN181" s="0" t="str">
        <f aca="false">IFERROR(INDEX($A$1:$A$5,MATCH(3,$AF181:$AJ181,0)),IF(3=MAX($AF181:$AJ181)+1,"取消",""))</f>
        <v>陈师傅</v>
      </c>
      <c r="AO181" s="0" t="str">
        <f aca="false">IFERROR(INDEX($A$1:$A$5,MATCH(4,$AF181:$AJ181,0)),IF(4=MAX($AF181:$AJ181)+1,"取消",""))</f>
        <v>刘师傅</v>
      </c>
      <c r="AP181" s="0" t="str">
        <f aca="false">IFERROR(INDEX($A$1:$A$5,MATCH(5,$AF181:$AJ181,0)),IF(5=MAX($AF181:$AJ181)+1,"取消",""))</f>
        <v>取消</v>
      </c>
      <c r="AQ181" s="0" t="str">
        <f aca="false">IFERROR(INDEX($A$1:$A$5,MATCH(6,$AF181:$AJ181,0)),IF(6=MAX($AF181:$AJ181)+1,"取消",""))</f>
        <v/>
      </c>
      <c r="AS181" s="0" t="n">
        <f aca="false">IF(OR($A$1=公区维修!$F181,$A$1=公区维修!$G181,$BN$1=1),0,1-SUMPRODUCT(--(($A$1=公区维修!$F181)+($A$1=公区维修!$G181)+$BN$1&gt;0)))</f>
        <v>0</v>
      </c>
      <c r="AT181" s="0" t="n">
        <f aca="false">IF(OR($A$2=公区维修!$F181,$A$2=公区维修!$G181,$BN$2=1),0,2-SUMPRODUCT(--(($A$1:$A$2=公区维修!$F181)+($A$1:$A$2=公区维修!$G181)+$BN$1:$BN$2&gt;0)))</f>
        <v>1</v>
      </c>
      <c r="AU181" s="0" t="n">
        <f aca="false">IF(OR($A$3=公区维修!$F181,$A$3=公区维修!$G181,$BN$3=1),0,3-SUMPRODUCT(--(($A$1:$A$3=公区维修!$F181)+($A$1:$A$3=公区维修!$G181)+$BN$1:$BN$3&gt;0)))</f>
        <v>2</v>
      </c>
      <c r="AV181" s="0" t="n">
        <f aca="false">IF(OR($A$4=公区维修!$F181,$A$4=公区维修!$G181,$BN$4=1),0,4-SUMPRODUCT(--(($A$1:$A$4=公区维修!$F181)+($A$1:$A$4=公区维修!$G181)+$BN$1:$BN$4&gt;0)))</f>
        <v>3</v>
      </c>
      <c r="AW181" s="0" t="n">
        <f aca="false">IF(OR($A$5=公区维修!$F181,$A$5=公区维修!$G181,$BN$5=1),0,5-SUMPRODUCT(--(($A$1:$A$5=公区维修!$F181)+($A$1:$A$5=公区维修!$G181)+$BN$1:$BN$5&gt;0)))</f>
        <v>4</v>
      </c>
      <c r="AY181" s="0" t="str">
        <f aca="false">IFERROR(INDEX($A$1:$A$5,MATCH(1,$AS181:$AW181,0)),IF(1=MAX($AS181:$AW181)+1,"取消",""))</f>
        <v>李师傅</v>
      </c>
      <c r="AZ181" s="0" t="str">
        <f aca="false">IFERROR(INDEX($A$1:$A$5,MATCH(2,$AS181:$AW181,0)),IF(2=MAX($AS181:$AW181)+1,"取消",""))</f>
        <v>王师傅</v>
      </c>
      <c r="BA181" s="0" t="str">
        <f aca="false">IFERROR(INDEX($A$1:$A$5,MATCH(3,$AS181:$AW181,0)),IF(3=MAX($AS181:$AW181)+1,"取消",""))</f>
        <v>陈师傅</v>
      </c>
      <c r="BB181" s="0" t="str">
        <f aca="false">IFERROR(INDEX($A$1:$A$5,MATCH(4,$AS181:$AW181,0)),IF(4=MAX($AS181:$AW181)+1,"取消",""))</f>
        <v>刘师傅</v>
      </c>
      <c r="BC181" s="0" t="str">
        <f aca="false">IFERROR(INDEX($A$1:$A$5,MATCH(5,$AS181:$AW181,0)),IF(5=MAX($AS181:$AW181)+1,"取消",""))</f>
        <v>取消</v>
      </c>
      <c r="BD181" s="0" t="str">
        <f aca="false">IFERROR(INDEX($A$1:$A$5,MATCH(6,$AS181:$AW181,0)),IF(6=MAX($AS181:$AW181)+1,"取消",""))</f>
        <v/>
      </c>
      <c r="FW181" s="0" t="str">
        <f aca="false">IF(AND(单元查询!$D$3&lt;&gt;"",IF(单元查询!$B$3="公区维修",公区维修!$E181&lt;&gt;"",入户维修!$E181&lt;&gt;""),IF(单元查询!$B$3="公区维修",公区维修!$C181,入户维修!$C181)=单元查询!$D$3,OR(单元查询!$F$3="",IF(单元查询!$B$3="公区维修",公区维修!$D181,入户维修!$D181)&amp;""=(单元查询!$F$3)&amp;"")),MAX($FW$4:$FW180)+1,"")</f>
        <v/>
      </c>
    </row>
    <row r="182" customFormat="false" ht="15" hidden="false" customHeight="true" outlineLevel="0" collapsed="false">
      <c r="F182" s="0" t="n">
        <f aca="false">IF(OR($A$1=入户维修!$F182,$BN$1=1),0,1-SUMPRODUCT(--(($A$1=入户维修!$F182)+$BN$1&gt;0)))</f>
        <v>0</v>
      </c>
      <c r="G182" s="0" t="n">
        <f aca="false">IF(OR($A$2=入户维修!$F182,$BN$2=1),0,2-SUMPRODUCT(--(($A$1:$A$2=入户维修!$F182)+$BN$1:$BN$2&gt;0)))</f>
        <v>1</v>
      </c>
      <c r="H182" s="0" t="n">
        <f aca="false">IF(OR($A$3=入户维修!$F182,$BN$3=1),0,3-SUMPRODUCT(--(($A$1:$A$3=入户维修!$F182)+$BN$1:$BN$3&gt;0)))</f>
        <v>2</v>
      </c>
      <c r="I182" s="0" t="n">
        <f aca="false">IF(OR($A$4=入户维修!$F182,$BN$4=1),0,4-SUMPRODUCT(--(($A$1:$A$4=入户维修!$F182)+$BN$1:$BN$4&gt;0)))</f>
        <v>3</v>
      </c>
      <c r="J182" s="0" t="n">
        <f aca="false">IF(OR($A$5=入户维修!$F182,$BN$5=1),0,5-SUMPRODUCT(--(($A$1:$A$5=入户维修!$F182)+$BN$1:$BN$5&gt;0)))</f>
        <v>4</v>
      </c>
      <c r="L182" s="0" t="str">
        <f aca="false">IFERROR(INDEX($A$1:$A$5,MATCH(1,$F182:$J182,0)),IF(1=MAX($F182:$J182)+1,"取消",""))</f>
        <v>李师傅</v>
      </c>
      <c r="M182" s="0" t="str">
        <f aca="false">IFERROR(INDEX($A$1:$A$5,MATCH(2,$F182:$J182,0)),IF(2=MAX($F182:$J182)+1,"取消",""))</f>
        <v>王师傅</v>
      </c>
      <c r="N182" s="0" t="str">
        <f aca="false">IFERROR(INDEX($A$1:$A$5,MATCH(3,$F182:$J182,0)),IF(3=MAX($F182:$J182)+1,"取消",""))</f>
        <v>陈师傅</v>
      </c>
      <c r="O182" s="0" t="str">
        <f aca="false">IFERROR(INDEX($A$1:$A$5,MATCH(4,$F182:$J182,0)),IF(4=MAX($F182:$J182)+1,"取消",""))</f>
        <v>刘师傅</v>
      </c>
      <c r="P182" s="0" t="str">
        <f aca="false">IFERROR(INDEX($A$1:$A$5,MATCH(5,$F182:$J182,0)),IF(5=MAX($F182:$J182)+1,"取消",""))</f>
        <v>取消</v>
      </c>
      <c r="Q182" s="0" t="str">
        <f aca="false">IFERROR(INDEX($A$1:$A$5,MATCH(6,$F182:$J182,0)),IF(6=MAX($F182:$J182)+1,"取消",""))</f>
        <v/>
      </c>
      <c r="S182" s="0" t="n">
        <f aca="false">IF(OR($A$1=入户维修!$F182,$A$1=入户维修!$G182,$BN$1=1),0,1-SUMPRODUCT(--(($A$1=入户维修!$F182)+($A$1=入户维修!$G182)+$BN$1&gt;0)))</f>
        <v>0</v>
      </c>
      <c r="T182" s="0" t="n">
        <f aca="false">IF(OR($A$2=入户维修!$F182,$A$2=入户维修!$G182,$BN$2=1),0,2-SUMPRODUCT(--(($A$1:$A$2=入户维修!$F182)+($A$1:$A$2=入户维修!$G182)+$BN$1:$BN$2&gt;0)))</f>
        <v>1</v>
      </c>
      <c r="U182" s="0" t="n">
        <f aca="false">IF(OR($A$3=入户维修!$F182,$A$3=入户维修!$G182,$BN$3=1),0,3-SUMPRODUCT(--(($A$1:$A$3=入户维修!$F182)+($A$1:$A$3=入户维修!$G182)+$BN$1:$BN$3&gt;0)))</f>
        <v>2</v>
      </c>
      <c r="V182" s="0" t="n">
        <f aca="false">IF(OR($A$4=入户维修!$F182,$A$4=入户维修!$G182,$BN$4=1),0,4-SUMPRODUCT(--(($A$1:$A$4=入户维修!$F182)+($A$1:$A$4=入户维修!$G182)+$BN$1:$BN$4&gt;0)))</f>
        <v>3</v>
      </c>
      <c r="W182" s="0" t="n">
        <f aca="false">IF(OR($A$5=入户维修!$F182,$A$5=入户维修!$G182,$BN$5=1),0,5-SUMPRODUCT(--(($A$1:$A$5=入户维修!$F182)+($A$1:$A$5=入户维修!$G182)+$BN$1:$BN$5&gt;0)))</f>
        <v>4</v>
      </c>
      <c r="Y182" s="0" t="str">
        <f aca="false">IFERROR(INDEX($A$1:$A$5,MATCH(1,$S182:$W182,0)),IF(1=MAX($S182:$W182)+1,"取消",""))</f>
        <v>李师傅</v>
      </c>
      <c r="Z182" s="0" t="str">
        <f aca="false">IFERROR(INDEX($A$1:$A$5,MATCH(2,$S182:$W182,0)),IF(2=MAX($S182:$W182)+1,"取消",""))</f>
        <v>王师傅</v>
      </c>
      <c r="AA182" s="0" t="str">
        <f aca="false">IFERROR(INDEX($A$1:$A$5,MATCH(3,$S182:$W182,0)),IF(3=MAX($S182:$W182)+1,"取消",""))</f>
        <v>陈师傅</v>
      </c>
      <c r="AB182" s="0" t="str">
        <f aca="false">IFERROR(INDEX($A$1:$A$5,MATCH(4,$S182:$W182,0)),IF(4=MAX($S182:$W182)+1,"取消",""))</f>
        <v>刘师傅</v>
      </c>
      <c r="AC182" s="0" t="str">
        <f aca="false">IFERROR(INDEX($A$1:$A$5,MATCH(5,$S182:$W182,0)),IF(5=MAX($S182:$W182)+1,"取消",""))</f>
        <v>取消</v>
      </c>
      <c r="AD182" s="0" t="str">
        <f aca="false">IFERROR(INDEX($A$1:$A$5,MATCH(6,$S182:$W182,0)),IF(6=MAX($S182:$W182)+1,"取消",""))</f>
        <v/>
      </c>
      <c r="AF182" s="0" t="n">
        <f aca="false">IF(OR($A$1=公区维修!$F182,$BN$1=1),0,1-SUMPRODUCT(--(($A$1=公区维修!$F182)+$BN$1&gt;0)))</f>
        <v>0</v>
      </c>
      <c r="AG182" s="0" t="n">
        <f aca="false">IF(OR($A$2=公区维修!$F182,$BN$2=1),0,2-SUMPRODUCT(--(($A$1:$A$2=公区维修!$F182)+$BN$1:$BN$2&gt;0)))</f>
        <v>1</v>
      </c>
      <c r="AH182" s="0" t="n">
        <f aca="false">IF(OR($A$3=公区维修!$F182,$BN$3=1),0,3-SUMPRODUCT(--(($A$1:$A$3=公区维修!$F182)+$BN$1:$BN$3&gt;0)))</f>
        <v>2</v>
      </c>
      <c r="AI182" s="0" t="n">
        <f aca="false">IF(OR($A$4=公区维修!$F182,$BN$4=1),0,4-SUMPRODUCT(--(($A$1:$A$4=公区维修!$F182)+$BN$1:$BN$4&gt;0)))</f>
        <v>3</v>
      </c>
      <c r="AJ182" s="0" t="n">
        <f aca="false">IF(OR($A$5=公区维修!$F182,$BN$5=1),0,5-SUMPRODUCT(--(($A$1:$A$5=公区维修!$F182)+$BN$1:$BN$5&gt;0)))</f>
        <v>4</v>
      </c>
      <c r="AL182" s="0" t="str">
        <f aca="false">IFERROR(INDEX($A$1:$A$5,MATCH(1,$AF182:$AJ182,0)),IF(1=MAX($AF182:$AJ182)+1,"取消",""))</f>
        <v>李师傅</v>
      </c>
      <c r="AM182" s="0" t="str">
        <f aca="false">IFERROR(INDEX($A$1:$A$5,MATCH(2,$AF182:$AJ182,0)),IF(2=MAX($AF182:$AJ182)+1,"取消",""))</f>
        <v>王师傅</v>
      </c>
      <c r="AN182" s="0" t="str">
        <f aca="false">IFERROR(INDEX($A$1:$A$5,MATCH(3,$AF182:$AJ182,0)),IF(3=MAX($AF182:$AJ182)+1,"取消",""))</f>
        <v>陈师傅</v>
      </c>
      <c r="AO182" s="0" t="str">
        <f aca="false">IFERROR(INDEX($A$1:$A$5,MATCH(4,$AF182:$AJ182,0)),IF(4=MAX($AF182:$AJ182)+1,"取消",""))</f>
        <v>刘师傅</v>
      </c>
      <c r="AP182" s="0" t="str">
        <f aca="false">IFERROR(INDEX($A$1:$A$5,MATCH(5,$AF182:$AJ182,0)),IF(5=MAX($AF182:$AJ182)+1,"取消",""))</f>
        <v>取消</v>
      </c>
      <c r="AQ182" s="0" t="str">
        <f aca="false">IFERROR(INDEX($A$1:$A$5,MATCH(6,$AF182:$AJ182,0)),IF(6=MAX($AF182:$AJ182)+1,"取消",""))</f>
        <v/>
      </c>
      <c r="AS182" s="0" t="n">
        <f aca="false">IF(OR($A$1=公区维修!$F182,$A$1=公区维修!$G182,$BN$1=1),0,1-SUMPRODUCT(--(($A$1=公区维修!$F182)+($A$1=公区维修!$G182)+$BN$1&gt;0)))</f>
        <v>0</v>
      </c>
      <c r="AT182" s="0" t="n">
        <f aca="false">IF(OR($A$2=公区维修!$F182,$A$2=公区维修!$G182,$BN$2=1),0,2-SUMPRODUCT(--(($A$1:$A$2=公区维修!$F182)+($A$1:$A$2=公区维修!$G182)+$BN$1:$BN$2&gt;0)))</f>
        <v>1</v>
      </c>
      <c r="AU182" s="0" t="n">
        <f aca="false">IF(OR($A$3=公区维修!$F182,$A$3=公区维修!$G182,$BN$3=1),0,3-SUMPRODUCT(--(($A$1:$A$3=公区维修!$F182)+($A$1:$A$3=公区维修!$G182)+$BN$1:$BN$3&gt;0)))</f>
        <v>2</v>
      </c>
      <c r="AV182" s="0" t="n">
        <f aca="false">IF(OR($A$4=公区维修!$F182,$A$4=公区维修!$G182,$BN$4=1),0,4-SUMPRODUCT(--(($A$1:$A$4=公区维修!$F182)+($A$1:$A$4=公区维修!$G182)+$BN$1:$BN$4&gt;0)))</f>
        <v>3</v>
      </c>
      <c r="AW182" s="0" t="n">
        <f aca="false">IF(OR($A$5=公区维修!$F182,$A$5=公区维修!$G182,$BN$5=1),0,5-SUMPRODUCT(--(($A$1:$A$5=公区维修!$F182)+($A$1:$A$5=公区维修!$G182)+$BN$1:$BN$5&gt;0)))</f>
        <v>4</v>
      </c>
      <c r="AY182" s="0" t="str">
        <f aca="false">IFERROR(INDEX($A$1:$A$5,MATCH(1,$AS182:$AW182,0)),IF(1=MAX($AS182:$AW182)+1,"取消",""))</f>
        <v>李师傅</v>
      </c>
      <c r="AZ182" s="0" t="str">
        <f aca="false">IFERROR(INDEX($A$1:$A$5,MATCH(2,$AS182:$AW182,0)),IF(2=MAX($AS182:$AW182)+1,"取消",""))</f>
        <v>王师傅</v>
      </c>
      <c r="BA182" s="0" t="str">
        <f aca="false">IFERROR(INDEX($A$1:$A$5,MATCH(3,$AS182:$AW182,0)),IF(3=MAX($AS182:$AW182)+1,"取消",""))</f>
        <v>陈师傅</v>
      </c>
      <c r="BB182" s="0" t="str">
        <f aca="false">IFERROR(INDEX($A$1:$A$5,MATCH(4,$AS182:$AW182,0)),IF(4=MAX($AS182:$AW182)+1,"取消",""))</f>
        <v>刘师傅</v>
      </c>
      <c r="BC182" s="0" t="str">
        <f aca="false">IFERROR(INDEX($A$1:$A$5,MATCH(5,$AS182:$AW182,0)),IF(5=MAX($AS182:$AW182)+1,"取消",""))</f>
        <v>取消</v>
      </c>
      <c r="BD182" s="0" t="str">
        <f aca="false">IFERROR(INDEX($A$1:$A$5,MATCH(6,$AS182:$AW182,0)),IF(6=MAX($AS182:$AW182)+1,"取消",""))</f>
        <v/>
      </c>
      <c r="FW182" s="0" t="str">
        <f aca="false">IF(AND(单元查询!$D$3&lt;&gt;"",IF(单元查询!$B$3="公区维修",公区维修!$E182&lt;&gt;"",入户维修!$E182&lt;&gt;""),IF(单元查询!$B$3="公区维修",公区维修!$C182,入户维修!$C182)=单元查询!$D$3,OR(单元查询!$F$3="",IF(单元查询!$B$3="公区维修",公区维修!$D182,入户维修!$D182)&amp;""=(单元查询!$F$3)&amp;"")),MAX($FW$4:$FW181)+1,"")</f>
        <v/>
      </c>
    </row>
    <row r="183" customFormat="false" ht="15" hidden="false" customHeight="true" outlineLevel="0" collapsed="false">
      <c r="F183" s="0" t="n">
        <f aca="false">IF(OR($A$1=入户维修!$F183,$BN$1=1),0,1-SUMPRODUCT(--(($A$1=入户维修!$F183)+$BN$1&gt;0)))</f>
        <v>0</v>
      </c>
      <c r="G183" s="0" t="n">
        <f aca="false">IF(OR($A$2=入户维修!$F183,$BN$2=1),0,2-SUMPRODUCT(--(($A$1:$A$2=入户维修!$F183)+$BN$1:$BN$2&gt;0)))</f>
        <v>1</v>
      </c>
      <c r="H183" s="0" t="n">
        <f aca="false">IF(OR($A$3=入户维修!$F183,$BN$3=1),0,3-SUMPRODUCT(--(($A$1:$A$3=入户维修!$F183)+$BN$1:$BN$3&gt;0)))</f>
        <v>2</v>
      </c>
      <c r="I183" s="0" t="n">
        <f aca="false">IF(OR($A$4=入户维修!$F183,$BN$4=1),0,4-SUMPRODUCT(--(($A$1:$A$4=入户维修!$F183)+$BN$1:$BN$4&gt;0)))</f>
        <v>3</v>
      </c>
      <c r="J183" s="0" t="n">
        <f aca="false">IF(OR($A$5=入户维修!$F183,$BN$5=1),0,5-SUMPRODUCT(--(($A$1:$A$5=入户维修!$F183)+$BN$1:$BN$5&gt;0)))</f>
        <v>4</v>
      </c>
      <c r="L183" s="0" t="str">
        <f aca="false">IFERROR(INDEX($A$1:$A$5,MATCH(1,$F183:$J183,0)),IF(1=MAX($F183:$J183)+1,"取消",""))</f>
        <v>李师傅</v>
      </c>
      <c r="M183" s="0" t="str">
        <f aca="false">IFERROR(INDEX($A$1:$A$5,MATCH(2,$F183:$J183,0)),IF(2=MAX($F183:$J183)+1,"取消",""))</f>
        <v>王师傅</v>
      </c>
      <c r="N183" s="0" t="str">
        <f aca="false">IFERROR(INDEX($A$1:$A$5,MATCH(3,$F183:$J183,0)),IF(3=MAX($F183:$J183)+1,"取消",""))</f>
        <v>陈师傅</v>
      </c>
      <c r="O183" s="0" t="str">
        <f aca="false">IFERROR(INDEX($A$1:$A$5,MATCH(4,$F183:$J183,0)),IF(4=MAX($F183:$J183)+1,"取消",""))</f>
        <v>刘师傅</v>
      </c>
      <c r="P183" s="0" t="str">
        <f aca="false">IFERROR(INDEX($A$1:$A$5,MATCH(5,$F183:$J183,0)),IF(5=MAX($F183:$J183)+1,"取消",""))</f>
        <v>取消</v>
      </c>
      <c r="Q183" s="0" t="str">
        <f aca="false">IFERROR(INDEX($A$1:$A$5,MATCH(6,$F183:$J183,0)),IF(6=MAX($F183:$J183)+1,"取消",""))</f>
        <v/>
      </c>
      <c r="S183" s="0" t="n">
        <f aca="false">IF(OR($A$1=入户维修!$F183,$A$1=入户维修!$G183,$BN$1=1),0,1-SUMPRODUCT(--(($A$1=入户维修!$F183)+($A$1=入户维修!$G183)+$BN$1&gt;0)))</f>
        <v>0</v>
      </c>
      <c r="T183" s="0" t="n">
        <f aca="false">IF(OR($A$2=入户维修!$F183,$A$2=入户维修!$G183,$BN$2=1),0,2-SUMPRODUCT(--(($A$1:$A$2=入户维修!$F183)+($A$1:$A$2=入户维修!$G183)+$BN$1:$BN$2&gt;0)))</f>
        <v>1</v>
      </c>
      <c r="U183" s="0" t="n">
        <f aca="false">IF(OR($A$3=入户维修!$F183,$A$3=入户维修!$G183,$BN$3=1),0,3-SUMPRODUCT(--(($A$1:$A$3=入户维修!$F183)+($A$1:$A$3=入户维修!$G183)+$BN$1:$BN$3&gt;0)))</f>
        <v>2</v>
      </c>
      <c r="V183" s="0" t="n">
        <f aca="false">IF(OR($A$4=入户维修!$F183,$A$4=入户维修!$G183,$BN$4=1),0,4-SUMPRODUCT(--(($A$1:$A$4=入户维修!$F183)+($A$1:$A$4=入户维修!$G183)+$BN$1:$BN$4&gt;0)))</f>
        <v>3</v>
      </c>
      <c r="W183" s="0" t="n">
        <f aca="false">IF(OR($A$5=入户维修!$F183,$A$5=入户维修!$G183,$BN$5=1),0,5-SUMPRODUCT(--(($A$1:$A$5=入户维修!$F183)+($A$1:$A$5=入户维修!$G183)+$BN$1:$BN$5&gt;0)))</f>
        <v>4</v>
      </c>
      <c r="Y183" s="0" t="str">
        <f aca="false">IFERROR(INDEX($A$1:$A$5,MATCH(1,$S183:$W183,0)),IF(1=MAX($S183:$W183)+1,"取消",""))</f>
        <v>李师傅</v>
      </c>
      <c r="Z183" s="0" t="str">
        <f aca="false">IFERROR(INDEX($A$1:$A$5,MATCH(2,$S183:$W183,0)),IF(2=MAX($S183:$W183)+1,"取消",""))</f>
        <v>王师傅</v>
      </c>
      <c r="AA183" s="0" t="str">
        <f aca="false">IFERROR(INDEX($A$1:$A$5,MATCH(3,$S183:$W183,0)),IF(3=MAX($S183:$W183)+1,"取消",""))</f>
        <v>陈师傅</v>
      </c>
      <c r="AB183" s="0" t="str">
        <f aca="false">IFERROR(INDEX($A$1:$A$5,MATCH(4,$S183:$W183,0)),IF(4=MAX($S183:$W183)+1,"取消",""))</f>
        <v>刘师傅</v>
      </c>
      <c r="AC183" s="0" t="str">
        <f aca="false">IFERROR(INDEX($A$1:$A$5,MATCH(5,$S183:$W183,0)),IF(5=MAX($S183:$W183)+1,"取消",""))</f>
        <v>取消</v>
      </c>
      <c r="AD183" s="0" t="str">
        <f aca="false">IFERROR(INDEX($A$1:$A$5,MATCH(6,$S183:$W183,0)),IF(6=MAX($S183:$W183)+1,"取消",""))</f>
        <v/>
      </c>
      <c r="AF183" s="0" t="n">
        <f aca="false">IF(OR($A$1=公区维修!$F183,$BN$1=1),0,1-SUMPRODUCT(--(($A$1=公区维修!$F183)+$BN$1&gt;0)))</f>
        <v>0</v>
      </c>
      <c r="AG183" s="0" t="n">
        <f aca="false">IF(OR($A$2=公区维修!$F183,$BN$2=1),0,2-SUMPRODUCT(--(($A$1:$A$2=公区维修!$F183)+$BN$1:$BN$2&gt;0)))</f>
        <v>1</v>
      </c>
      <c r="AH183" s="0" t="n">
        <f aca="false">IF(OR($A$3=公区维修!$F183,$BN$3=1),0,3-SUMPRODUCT(--(($A$1:$A$3=公区维修!$F183)+$BN$1:$BN$3&gt;0)))</f>
        <v>2</v>
      </c>
      <c r="AI183" s="0" t="n">
        <f aca="false">IF(OR($A$4=公区维修!$F183,$BN$4=1),0,4-SUMPRODUCT(--(($A$1:$A$4=公区维修!$F183)+$BN$1:$BN$4&gt;0)))</f>
        <v>3</v>
      </c>
      <c r="AJ183" s="0" t="n">
        <f aca="false">IF(OR($A$5=公区维修!$F183,$BN$5=1),0,5-SUMPRODUCT(--(($A$1:$A$5=公区维修!$F183)+$BN$1:$BN$5&gt;0)))</f>
        <v>4</v>
      </c>
      <c r="AL183" s="0" t="str">
        <f aca="false">IFERROR(INDEX($A$1:$A$5,MATCH(1,$AF183:$AJ183,0)),IF(1=MAX($AF183:$AJ183)+1,"取消",""))</f>
        <v>李师傅</v>
      </c>
      <c r="AM183" s="0" t="str">
        <f aca="false">IFERROR(INDEX($A$1:$A$5,MATCH(2,$AF183:$AJ183,0)),IF(2=MAX($AF183:$AJ183)+1,"取消",""))</f>
        <v>王师傅</v>
      </c>
      <c r="AN183" s="0" t="str">
        <f aca="false">IFERROR(INDEX($A$1:$A$5,MATCH(3,$AF183:$AJ183,0)),IF(3=MAX($AF183:$AJ183)+1,"取消",""))</f>
        <v>陈师傅</v>
      </c>
      <c r="AO183" s="0" t="str">
        <f aca="false">IFERROR(INDEX($A$1:$A$5,MATCH(4,$AF183:$AJ183,0)),IF(4=MAX($AF183:$AJ183)+1,"取消",""))</f>
        <v>刘师傅</v>
      </c>
      <c r="AP183" s="0" t="str">
        <f aca="false">IFERROR(INDEX($A$1:$A$5,MATCH(5,$AF183:$AJ183,0)),IF(5=MAX($AF183:$AJ183)+1,"取消",""))</f>
        <v>取消</v>
      </c>
      <c r="AQ183" s="0" t="str">
        <f aca="false">IFERROR(INDEX($A$1:$A$5,MATCH(6,$AF183:$AJ183,0)),IF(6=MAX($AF183:$AJ183)+1,"取消",""))</f>
        <v/>
      </c>
      <c r="AS183" s="0" t="n">
        <f aca="false">IF(OR($A$1=公区维修!$F183,$A$1=公区维修!$G183,$BN$1=1),0,1-SUMPRODUCT(--(($A$1=公区维修!$F183)+($A$1=公区维修!$G183)+$BN$1&gt;0)))</f>
        <v>0</v>
      </c>
      <c r="AT183" s="0" t="n">
        <f aca="false">IF(OR($A$2=公区维修!$F183,$A$2=公区维修!$G183,$BN$2=1),0,2-SUMPRODUCT(--(($A$1:$A$2=公区维修!$F183)+($A$1:$A$2=公区维修!$G183)+$BN$1:$BN$2&gt;0)))</f>
        <v>1</v>
      </c>
      <c r="AU183" s="0" t="n">
        <f aca="false">IF(OR($A$3=公区维修!$F183,$A$3=公区维修!$G183,$BN$3=1),0,3-SUMPRODUCT(--(($A$1:$A$3=公区维修!$F183)+($A$1:$A$3=公区维修!$G183)+$BN$1:$BN$3&gt;0)))</f>
        <v>2</v>
      </c>
      <c r="AV183" s="0" t="n">
        <f aca="false">IF(OR($A$4=公区维修!$F183,$A$4=公区维修!$G183,$BN$4=1),0,4-SUMPRODUCT(--(($A$1:$A$4=公区维修!$F183)+($A$1:$A$4=公区维修!$G183)+$BN$1:$BN$4&gt;0)))</f>
        <v>3</v>
      </c>
      <c r="AW183" s="0" t="n">
        <f aca="false">IF(OR($A$5=公区维修!$F183,$A$5=公区维修!$G183,$BN$5=1),0,5-SUMPRODUCT(--(($A$1:$A$5=公区维修!$F183)+($A$1:$A$5=公区维修!$G183)+$BN$1:$BN$5&gt;0)))</f>
        <v>4</v>
      </c>
      <c r="AY183" s="0" t="str">
        <f aca="false">IFERROR(INDEX($A$1:$A$5,MATCH(1,$AS183:$AW183,0)),IF(1=MAX($AS183:$AW183)+1,"取消",""))</f>
        <v>李师傅</v>
      </c>
      <c r="AZ183" s="0" t="str">
        <f aca="false">IFERROR(INDEX($A$1:$A$5,MATCH(2,$AS183:$AW183,0)),IF(2=MAX($AS183:$AW183)+1,"取消",""))</f>
        <v>王师傅</v>
      </c>
      <c r="BA183" s="0" t="str">
        <f aca="false">IFERROR(INDEX($A$1:$A$5,MATCH(3,$AS183:$AW183,0)),IF(3=MAX($AS183:$AW183)+1,"取消",""))</f>
        <v>陈师傅</v>
      </c>
      <c r="BB183" s="0" t="str">
        <f aca="false">IFERROR(INDEX($A$1:$A$5,MATCH(4,$AS183:$AW183,0)),IF(4=MAX($AS183:$AW183)+1,"取消",""))</f>
        <v>刘师傅</v>
      </c>
      <c r="BC183" s="0" t="str">
        <f aca="false">IFERROR(INDEX($A$1:$A$5,MATCH(5,$AS183:$AW183,0)),IF(5=MAX($AS183:$AW183)+1,"取消",""))</f>
        <v>取消</v>
      </c>
      <c r="BD183" s="0" t="str">
        <f aca="false">IFERROR(INDEX($A$1:$A$5,MATCH(6,$AS183:$AW183,0)),IF(6=MAX($AS183:$AW183)+1,"取消",""))</f>
        <v/>
      </c>
      <c r="FW183" s="0" t="str">
        <f aca="false">IF(AND(单元查询!$D$3&lt;&gt;"",IF(单元查询!$B$3="公区维修",公区维修!$E183&lt;&gt;"",入户维修!$E183&lt;&gt;""),IF(单元查询!$B$3="公区维修",公区维修!$C183,入户维修!$C183)=单元查询!$D$3,OR(单元查询!$F$3="",IF(单元查询!$B$3="公区维修",公区维修!$D183,入户维修!$D183)&amp;""=(单元查询!$F$3)&amp;"")),MAX($FW$4:$FW182)+1,"")</f>
        <v/>
      </c>
    </row>
    <row r="184" customFormat="false" ht="15" hidden="false" customHeight="true" outlineLevel="0" collapsed="false">
      <c r="F184" s="0" t="n">
        <f aca="false">IF(OR($A$1=入户维修!$F184,$BN$1=1),0,1-SUMPRODUCT(--(($A$1=入户维修!$F184)+$BN$1&gt;0)))</f>
        <v>0</v>
      </c>
      <c r="G184" s="0" t="n">
        <f aca="false">IF(OR($A$2=入户维修!$F184,$BN$2=1),0,2-SUMPRODUCT(--(($A$1:$A$2=入户维修!$F184)+$BN$1:$BN$2&gt;0)))</f>
        <v>1</v>
      </c>
      <c r="H184" s="0" t="n">
        <f aca="false">IF(OR($A$3=入户维修!$F184,$BN$3=1),0,3-SUMPRODUCT(--(($A$1:$A$3=入户维修!$F184)+$BN$1:$BN$3&gt;0)))</f>
        <v>2</v>
      </c>
      <c r="I184" s="0" t="n">
        <f aca="false">IF(OR($A$4=入户维修!$F184,$BN$4=1),0,4-SUMPRODUCT(--(($A$1:$A$4=入户维修!$F184)+$BN$1:$BN$4&gt;0)))</f>
        <v>3</v>
      </c>
      <c r="J184" s="0" t="n">
        <f aca="false">IF(OR($A$5=入户维修!$F184,$BN$5=1),0,5-SUMPRODUCT(--(($A$1:$A$5=入户维修!$F184)+$BN$1:$BN$5&gt;0)))</f>
        <v>4</v>
      </c>
      <c r="L184" s="0" t="str">
        <f aca="false">IFERROR(INDEX($A$1:$A$5,MATCH(1,$F184:$J184,0)),IF(1=MAX($F184:$J184)+1,"取消",""))</f>
        <v>李师傅</v>
      </c>
      <c r="M184" s="0" t="str">
        <f aca="false">IFERROR(INDEX($A$1:$A$5,MATCH(2,$F184:$J184,0)),IF(2=MAX($F184:$J184)+1,"取消",""))</f>
        <v>王师傅</v>
      </c>
      <c r="N184" s="0" t="str">
        <f aca="false">IFERROR(INDEX($A$1:$A$5,MATCH(3,$F184:$J184,0)),IF(3=MAX($F184:$J184)+1,"取消",""))</f>
        <v>陈师傅</v>
      </c>
      <c r="O184" s="0" t="str">
        <f aca="false">IFERROR(INDEX($A$1:$A$5,MATCH(4,$F184:$J184,0)),IF(4=MAX($F184:$J184)+1,"取消",""))</f>
        <v>刘师傅</v>
      </c>
      <c r="P184" s="0" t="str">
        <f aca="false">IFERROR(INDEX($A$1:$A$5,MATCH(5,$F184:$J184,0)),IF(5=MAX($F184:$J184)+1,"取消",""))</f>
        <v>取消</v>
      </c>
      <c r="Q184" s="0" t="str">
        <f aca="false">IFERROR(INDEX($A$1:$A$5,MATCH(6,$F184:$J184,0)),IF(6=MAX($F184:$J184)+1,"取消",""))</f>
        <v/>
      </c>
      <c r="S184" s="0" t="n">
        <f aca="false">IF(OR($A$1=入户维修!$F184,$A$1=入户维修!$G184,$BN$1=1),0,1-SUMPRODUCT(--(($A$1=入户维修!$F184)+($A$1=入户维修!$G184)+$BN$1&gt;0)))</f>
        <v>0</v>
      </c>
      <c r="T184" s="0" t="n">
        <f aca="false">IF(OR($A$2=入户维修!$F184,$A$2=入户维修!$G184,$BN$2=1),0,2-SUMPRODUCT(--(($A$1:$A$2=入户维修!$F184)+($A$1:$A$2=入户维修!$G184)+$BN$1:$BN$2&gt;0)))</f>
        <v>1</v>
      </c>
      <c r="U184" s="0" t="n">
        <f aca="false">IF(OR($A$3=入户维修!$F184,$A$3=入户维修!$G184,$BN$3=1),0,3-SUMPRODUCT(--(($A$1:$A$3=入户维修!$F184)+($A$1:$A$3=入户维修!$G184)+$BN$1:$BN$3&gt;0)))</f>
        <v>2</v>
      </c>
      <c r="V184" s="0" t="n">
        <f aca="false">IF(OR($A$4=入户维修!$F184,$A$4=入户维修!$G184,$BN$4=1),0,4-SUMPRODUCT(--(($A$1:$A$4=入户维修!$F184)+($A$1:$A$4=入户维修!$G184)+$BN$1:$BN$4&gt;0)))</f>
        <v>3</v>
      </c>
      <c r="W184" s="0" t="n">
        <f aca="false">IF(OR($A$5=入户维修!$F184,$A$5=入户维修!$G184,$BN$5=1),0,5-SUMPRODUCT(--(($A$1:$A$5=入户维修!$F184)+($A$1:$A$5=入户维修!$G184)+$BN$1:$BN$5&gt;0)))</f>
        <v>4</v>
      </c>
      <c r="Y184" s="0" t="str">
        <f aca="false">IFERROR(INDEX($A$1:$A$5,MATCH(1,$S184:$W184,0)),IF(1=MAX($S184:$W184)+1,"取消",""))</f>
        <v>李师傅</v>
      </c>
      <c r="Z184" s="0" t="str">
        <f aca="false">IFERROR(INDEX($A$1:$A$5,MATCH(2,$S184:$W184,0)),IF(2=MAX($S184:$W184)+1,"取消",""))</f>
        <v>王师傅</v>
      </c>
      <c r="AA184" s="0" t="str">
        <f aca="false">IFERROR(INDEX($A$1:$A$5,MATCH(3,$S184:$W184,0)),IF(3=MAX($S184:$W184)+1,"取消",""))</f>
        <v>陈师傅</v>
      </c>
      <c r="AB184" s="0" t="str">
        <f aca="false">IFERROR(INDEX($A$1:$A$5,MATCH(4,$S184:$W184,0)),IF(4=MAX($S184:$W184)+1,"取消",""))</f>
        <v>刘师傅</v>
      </c>
      <c r="AC184" s="0" t="str">
        <f aca="false">IFERROR(INDEX($A$1:$A$5,MATCH(5,$S184:$W184,0)),IF(5=MAX($S184:$W184)+1,"取消",""))</f>
        <v>取消</v>
      </c>
      <c r="AD184" s="0" t="str">
        <f aca="false">IFERROR(INDEX($A$1:$A$5,MATCH(6,$S184:$W184,0)),IF(6=MAX($S184:$W184)+1,"取消",""))</f>
        <v/>
      </c>
      <c r="AF184" s="0" t="n">
        <f aca="false">IF(OR($A$1=公区维修!$F184,$BN$1=1),0,1-SUMPRODUCT(--(($A$1=公区维修!$F184)+$BN$1&gt;0)))</f>
        <v>0</v>
      </c>
      <c r="AG184" s="0" t="n">
        <f aca="false">IF(OR($A$2=公区维修!$F184,$BN$2=1),0,2-SUMPRODUCT(--(($A$1:$A$2=公区维修!$F184)+$BN$1:$BN$2&gt;0)))</f>
        <v>1</v>
      </c>
      <c r="AH184" s="0" t="n">
        <f aca="false">IF(OR($A$3=公区维修!$F184,$BN$3=1),0,3-SUMPRODUCT(--(($A$1:$A$3=公区维修!$F184)+$BN$1:$BN$3&gt;0)))</f>
        <v>2</v>
      </c>
      <c r="AI184" s="0" t="n">
        <f aca="false">IF(OR($A$4=公区维修!$F184,$BN$4=1),0,4-SUMPRODUCT(--(($A$1:$A$4=公区维修!$F184)+$BN$1:$BN$4&gt;0)))</f>
        <v>3</v>
      </c>
      <c r="AJ184" s="0" t="n">
        <f aca="false">IF(OR($A$5=公区维修!$F184,$BN$5=1),0,5-SUMPRODUCT(--(($A$1:$A$5=公区维修!$F184)+$BN$1:$BN$5&gt;0)))</f>
        <v>4</v>
      </c>
      <c r="AL184" s="0" t="str">
        <f aca="false">IFERROR(INDEX($A$1:$A$5,MATCH(1,$AF184:$AJ184,0)),IF(1=MAX($AF184:$AJ184)+1,"取消",""))</f>
        <v>李师傅</v>
      </c>
      <c r="AM184" s="0" t="str">
        <f aca="false">IFERROR(INDEX($A$1:$A$5,MATCH(2,$AF184:$AJ184,0)),IF(2=MAX($AF184:$AJ184)+1,"取消",""))</f>
        <v>王师傅</v>
      </c>
      <c r="AN184" s="0" t="str">
        <f aca="false">IFERROR(INDEX($A$1:$A$5,MATCH(3,$AF184:$AJ184,0)),IF(3=MAX($AF184:$AJ184)+1,"取消",""))</f>
        <v>陈师傅</v>
      </c>
      <c r="AO184" s="0" t="str">
        <f aca="false">IFERROR(INDEX($A$1:$A$5,MATCH(4,$AF184:$AJ184,0)),IF(4=MAX($AF184:$AJ184)+1,"取消",""))</f>
        <v>刘师傅</v>
      </c>
      <c r="AP184" s="0" t="str">
        <f aca="false">IFERROR(INDEX($A$1:$A$5,MATCH(5,$AF184:$AJ184,0)),IF(5=MAX($AF184:$AJ184)+1,"取消",""))</f>
        <v>取消</v>
      </c>
      <c r="AQ184" s="0" t="str">
        <f aca="false">IFERROR(INDEX($A$1:$A$5,MATCH(6,$AF184:$AJ184,0)),IF(6=MAX($AF184:$AJ184)+1,"取消",""))</f>
        <v/>
      </c>
      <c r="AS184" s="0" t="n">
        <f aca="false">IF(OR($A$1=公区维修!$F184,$A$1=公区维修!$G184,$BN$1=1),0,1-SUMPRODUCT(--(($A$1=公区维修!$F184)+($A$1=公区维修!$G184)+$BN$1&gt;0)))</f>
        <v>0</v>
      </c>
      <c r="AT184" s="0" t="n">
        <f aca="false">IF(OR($A$2=公区维修!$F184,$A$2=公区维修!$G184,$BN$2=1),0,2-SUMPRODUCT(--(($A$1:$A$2=公区维修!$F184)+($A$1:$A$2=公区维修!$G184)+$BN$1:$BN$2&gt;0)))</f>
        <v>1</v>
      </c>
      <c r="AU184" s="0" t="n">
        <f aca="false">IF(OR($A$3=公区维修!$F184,$A$3=公区维修!$G184,$BN$3=1),0,3-SUMPRODUCT(--(($A$1:$A$3=公区维修!$F184)+($A$1:$A$3=公区维修!$G184)+$BN$1:$BN$3&gt;0)))</f>
        <v>2</v>
      </c>
      <c r="AV184" s="0" t="n">
        <f aca="false">IF(OR($A$4=公区维修!$F184,$A$4=公区维修!$G184,$BN$4=1),0,4-SUMPRODUCT(--(($A$1:$A$4=公区维修!$F184)+($A$1:$A$4=公区维修!$G184)+$BN$1:$BN$4&gt;0)))</f>
        <v>3</v>
      </c>
      <c r="AW184" s="0" t="n">
        <f aca="false">IF(OR($A$5=公区维修!$F184,$A$5=公区维修!$G184,$BN$5=1),0,5-SUMPRODUCT(--(($A$1:$A$5=公区维修!$F184)+($A$1:$A$5=公区维修!$G184)+$BN$1:$BN$5&gt;0)))</f>
        <v>4</v>
      </c>
      <c r="AY184" s="0" t="str">
        <f aca="false">IFERROR(INDEX($A$1:$A$5,MATCH(1,$AS184:$AW184,0)),IF(1=MAX($AS184:$AW184)+1,"取消",""))</f>
        <v>李师傅</v>
      </c>
      <c r="AZ184" s="0" t="str">
        <f aca="false">IFERROR(INDEX($A$1:$A$5,MATCH(2,$AS184:$AW184,0)),IF(2=MAX($AS184:$AW184)+1,"取消",""))</f>
        <v>王师傅</v>
      </c>
      <c r="BA184" s="0" t="str">
        <f aca="false">IFERROR(INDEX($A$1:$A$5,MATCH(3,$AS184:$AW184,0)),IF(3=MAX($AS184:$AW184)+1,"取消",""))</f>
        <v>陈师傅</v>
      </c>
      <c r="BB184" s="0" t="str">
        <f aca="false">IFERROR(INDEX($A$1:$A$5,MATCH(4,$AS184:$AW184,0)),IF(4=MAX($AS184:$AW184)+1,"取消",""))</f>
        <v>刘师傅</v>
      </c>
      <c r="BC184" s="0" t="str">
        <f aca="false">IFERROR(INDEX($A$1:$A$5,MATCH(5,$AS184:$AW184,0)),IF(5=MAX($AS184:$AW184)+1,"取消",""))</f>
        <v>取消</v>
      </c>
      <c r="BD184" s="0" t="str">
        <f aca="false">IFERROR(INDEX($A$1:$A$5,MATCH(6,$AS184:$AW184,0)),IF(6=MAX($AS184:$AW184)+1,"取消",""))</f>
        <v/>
      </c>
      <c r="FW184" s="0" t="str">
        <f aca="false">IF(AND(单元查询!$D$3&lt;&gt;"",IF(单元查询!$B$3="公区维修",公区维修!$E184&lt;&gt;"",入户维修!$E184&lt;&gt;""),IF(单元查询!$B$3="公区维修",公区维修!$C184,入户维修!$C184)=单元查询!$D$3,OR(单元查询!$F$3="",IF(单元查询!$B$3="公区维修",公区维修!$D184,入户维修!$D184)&amp;""=(单元查询!$F$3)&amp;"")),MAX($FW$4:$FW183)+1,"")</f>
        <v/>
      </c>
    </row>
    <row r="185" customFormat="false" ht="15" hidden="false" customHeight="true" outlineLevel="0" collapsed="false">
      <c r="F185" s="0" t="n">
        <f aca="false">IF(OR($A$1=入户维修!$F185,$BN$1=1),0,1-SUMPRODUCT(--(($A$1=入户维修!$F185)+$BN$1&gt;0)))</f>
        <v>0</v>
      </c>
      <c r="G185" s="0" t="n">
        <f aca="false">IF(OR($A$2=入户维修!$F185,$BN$2=1),0,2-SUMPRODUCT(--(($A$1:$A$2=入户维修!$F185)+$BN$1:$BN$2&gt;0)))</f>
        <v>1</v>
      </c>
      <c r="H185" s="0" t="n">
        <f aca="false">IF(OR($A$3=入户维修!$F185,$BN$3=1),0,3-SUMPRODUCT(--(($A$1:$A$3=入户维修!$F185)+$BN$1:$BN$3&gt;0)))</f>
        <v>2</v>
      </c>
      <c r="I185" s="0" t="n">
        <f aca="false">IF(OR($A$4=入户维修!$F185,$BN$4=1),0,4-SUMPRODUCT(--(($A$1:$A$4=入户维修!$F185)+$BN$1:$BN$4&gt;0)))</f>
        <v>3</v>
      </c>
      <c r="J185" s="0" t="n">
        <f aca="false">IF(OR($A$5=入户维修!$F185,$BN$5=1),0,5-SUMPRODUCT(--(($A$1:$A$5=入户维修!$F185)+$BN$1:$BN$5&gt;0)))</f>
        <v>4</v>
      </c>
      <c r="L185" s="0" t="str">
        <f aca="false">IFERROR(INDEX($A$1:$A$5,MATCH(1,$F185:$J185,0)),IF(1=MAX($F185:$J185)+1,"取消",""))</f>
        <v>李师傅</v>
      </c>
      <c r="M185" s="0" t="str">
        <f aca="false">IFERROR(INDEX($A$1:$A$5,MATCH(2,$F185:$J185,0)),IF(2=MAX($F185:$J185)+1,"取消",""))</f>
        <v>王师傅</v>
      </c>
      <c r="N185" s="0" t="str">
        <f aca="false">IFERROR(INDEX($A$1:$A$5,MATCH(3,$F185:$J185,0)),IF(3=MAX($F185:$J185)+1,"取消",""))</f>
        <v>陈师傅</v>
      </c>
      <c r="O185" s="0" t="str">
        <f aca="false">IFERROR(INDEX($A$1:$A$5,MATCH(4,$F185:$J185,0)),IF(4=MAX($F185:$J185)+1,"取消",""))</f>
        <v>刘师傅</v>
      </c>
      <c r="P185" s="0" t="str">
        <f aca="false">IFERROR(INDEX($A$1:$A$5,MATCH(5,$F185:$J185,0)),IF(5=MAX($F185:$J185)+1,"取消",""))</f>
        <v>取消</v>
      </c>
      <c r="Q185" s="0" t="str">
        <f aca="false">IFERROR(INDEX($A$1:$A$5,MATCH(6,$F185:$J185,0)),IF(6=MAX($F185:$J185)+1,"取消",""))</f>
        <v/>
      </c>
      <c r="S185" s="0" t="n">
        <f aca="false">IF(OR($A$1=入户维修!$F185,$A$1=入户维修!$G185,$BN$1=1),0,1-SUMPRODUCT(--(($A$1=入户维修!$F185)+($A$1=入户维修!$G185)+$BN$1&gt;0)))</f>
        <v>0</v>
      </c>
      <c r="T185" s="0" t="n">
        <f aca="false">IF(OR($A$2=入户维修!$F185,$A$2=入户维修!$G185,$BN$2=1),0,2-SUMPRODUCT(--(($A$1:$A$2=入户维修!$F185)+($A$1:$A$2=入户维修!$G185)+$BN$1:$BN$2&gt;0)))</f>
        <v>1</v>
      </c>
      <c r="U185" s="0" t="n">
        <f aca="false">IF(OR($A$3=入户维修!$F185,$A$3=入户维修!$G185,$BN$3=1),0,3-SUMPRODUCT(--(($A$1:$A$3=入户维修!$F185)+($A$1:$A$3=入户维修!$G185)+$BN$1:$BN$3&gt;0)))</f>
        <v>2</v>
      </c>
      <c r="V185" s="0" t="n">
        <f aca="false">IF(OR($A$4=入户维修!$F185,$A$4=入户维修!$G185,$BN$4=1),0,4-SUMPRODUCT(--(($A$1:$A$4=入户维修!$F185)+($A$1:$A$4=入户维修!$G185)+$BN$1:$BN$4&gt;0)))</f>
        <v>3</v>
      </c>
      <c r="W185" s="0" t="n">
        <f aca="false">IF(OR($A$5=入户维修!$F185,$A$5=入户维修!$G185,$BN$5=1),0,5-SUMPRODUCT(--(($A$1:$A$5=入户维修!$F185)+($A$1:$A$5=入户维修!$G185)+$BN$1:$BN$5&gt;0)))</f>
        <v>4</v>
      </c>
      <c r="Y185" s="0" t="str">
        <f aca="false">IFERROR(INDEX($A$1:$A$5,MATCH(1,$S185:$W185,0)),IF(1=MAX($S185:$W185)+1,"取消",""))</f>
        <v>李师傅</v>
      </c>
      <c r="Z185" s="0" t="str">
        <f aca="false">IFERROR(INDEX($A$1:$A$5,MATCH(2,$S185:$W185,0)),IF(2=MAX($S185:$W185)+1,"取消",""))</f>
        <v>王师傅</v>
      </c>
      <c r="AA185" s="0" t="str">
        <f aca="false">IFERROR(INDEX($A$1:$A$5,MATCH(3,$S185:$W185,0)),IF(3=MAX($S185:$W185)+1,"取消",""))</f>
        <v>陈师傅</v>
      </c>
      <c r="AB185" s="0" t="str">
        <f aca="false">IFERROR(INDEX($A$1:$A$5,MATCH(4,$S185:$W185,0)),IF(4=MAX($S185:$W185)+1,"取消",""))</f>
        <v>刘师傅</v>
      </c>
      <c r="AC185" s="0" t="str">
        <f aca="false">IFERROR(INDEX($A$1:$A$5,MATCH(5,$S185:$W185,0)),IF(5=MAX($S185:$W185)+1,"取消",""))</f>
        <v>取消</v>
      </c>
      <c r="AD185" s="0" t="str">
        <f aca="false">IFERROR(INDEX($A$1:$A$5,MATCH(6,$S185:$W185,0)),IF(6=MAX($S185:$W185)+1,"取消",""))</f>
        <v/>
      </c>
      <c r="AF185" s="0" t="n">
        <f aca="false">IF(OR($A$1=公区维修!$F185,$BN$1=1),0,1-SUMPRODUCT(--(($A$1=公区维修!$F185)+$BN$1&gt;0)))</f>
        <v>0</v>
      </c>
      <c r="AG185" s="0" t="n">
        <f aca="false">IF(OR($A$2=公区维修!$F185,$BN$2=1),0,2-SUMPRODUCT(--(($A$1:$A$2=公区维修!$F185)+$BN$1:$BN$2&gt;0)))</f>
        <v>1</v>
      </c>
      <c r="AH185" s="0" t="n">
        <f aca="false">IF(OR($A$3=公区维修!$F185,$BN$3=1),0,3-SUMPRODUCT(--(($A$1:$A$3=公区维修!$F185)+$BN$1:$BN$3&gt;0)))</f>
        <v>2</v>
      </c>
      <c r="AI185" s="0" t="n">
        <f aca="false">IF(OR($A$4=公区维修!$F185,$BN$4=1),0,4-SUMPRODUCT(--(($A$1:$A$4=公区维修!$F185)+$BN$1:$BN$4&gt;0)))</f>
        <v>3</v>
      </c>
      <c r="AJ185" s="0" t="n">
        <f aca="false">IF(OR($A$5=公区维修!$F185,$BN$5=1),0,5-SUMPRODUCT(--(($A$1:$A$5=公区维修!$F185)+$BN$1:$BN$5&gt;0)))</f>
        <v>4</v>
      </c>
      <c r="AL185" s="0" t="str">
        <f aca="false">IFERROR(INDEX($A$1:$A$5,MATCH(1,$AF185:$AJ185,0)),IF(1=MAX($AF185:$AJ185)+1,"取消",""))</f>
        <v>李师傅</v>
      </c>
      <c r="AM185" s="0" t="str">
        <f aca="false">IFERROR(INDEX($A$1:$A$5,MATCH(2,$AF185:$AJ185,0)),IF(2=MAX($AF185:$AJ185)+1,"取消",""))</f>
        <v>王师傅</v>
      </c>
      <c r="AN185" s="0" t="str">
        <f aca="false">IFERROR(INDEX($A$1:$A$5,MATCH(3,$AF185:$AJ185,0)),IF(3=MAX($AF185:$AJ185)+1,"取消",""))</f>
        <v>陈师傅</v>
      </c>
      <c r="AO185" s="0" t="str">
        <f aca="false">IFERROR(INDEX($A$1:$A$5,MATCH(4,$AF185:$AJ185,0)),IF(4=MAX($AF185:$AJ185)+1,"取消",""))</f>
        <v>刘师傅</v>
      </c>
      <c r="AP185" s="0" t="str">
        <f aca="false">IFERROR(INDEX($A$1:$A$5,MATCH(5,$AF185:$AJ185,0)),IF(5=MAX($AF185:$AJ185)+1,"取消",""))</f>
        <v>取消</v>
      </c>
      <c r="AQ185" s="0" t="str">
        <f aca="false">IFERROR(INDEX($A$1:$A$5,MATCH(6,$AF185:$AJ185,0)),IF(6=MAX($AF185:$AJ185)+1,"取消",""))</f>
        <v/>
      </c>
      <c r="AS185" s="0" t="n">
        <f aca="false">IF(OR($A$1=公区维修!$F185,$A$1=公区维修!$G185,$BN$1=1),0,1-SUMPRODUCT(--(($A$1=公区维修!$F185)+($A$1=公区维修!$G185)+$BN$1&gt;0)))</f>
        <v>0</v>
      </c>
      <c r="AT185" s="0" t="n">
        <f aca="false">IF(OR($A$2=公区维修!$F185,$A$2=公区维修!$G185,$BN$2=1),0,2-SUMPRODUCT(--(($A$1:$A$2=公区维修!$F185)+($A$1:$A$2=公区维修!$G185)+$BN$1:$BN$2&gt;0)))</f>
        <v>1</v>
      </c>
      <c r="AU185" s="0" t="n">
        <f aca="false">IF(OR($A$3=公区维修!$F185,$A$3=公区维修!$G185,$BN$3=1),0,3-SUMPRODUCT(--(($A$1:$A$3=公区维修!$F185)+($A$1:$A$3=公区维修!$G185)+$BN$1:$BN$3&gt;0)))</f>
        <v>2</v>
      </c>
      <c r="AV185" s="0" t="n">
        <f aca="false">IF(OR($A$4=公区维修!$F185,$A$4=公区维修!$G185,$BN$4=1),0,4-SUMPRODUCT(--(($A$1:$A$4=公区维修!$F185)+($A$1:$A$4=公区维修!$G185)+$BN$1:$BN$4&gt;0)))</f>
        <v>3</v>
      </c>
      <c r="AW185" s="0" t="n">
        <f aca="false">IF(OR($A$5=公区维修!$F185,$A$5=公区维修!$G185,$BN$5=1),0,5-SUMPRODUCT(--(($A$1:$A$5=公区维修!$F185)+($A$1:$A$5=公区维修!$G185)+$BN$1:$BN$5&gt;0)))</f>
        <v>4</v>
      </c>
      <c r="AY185" s="0" t="str">
        <f aca="false">IFERROR(INDEX($A$1:$A$5,MATCH(1,$AS185:$AW185,0)),IF(1=MAX($AS185:$AW185)+1,"取消",""))</f>
        <v>李师傅</v>
      </c>
      <c r="AZ185" s="0" t="str">
        <f aca="false">IFERROR(INDEX($A$1:$A$5,MATCH(2,$AS185:$AW185,0)),IF(2=MAX($AS185:$AW185)+1,"取消",""))</f>
        <v>王师傅</v>
      </c>
      <c r="BA185" s="0" t="str">
        <f aca="false">IFERROR(INDEX($A$1:$A$5,MATCH(3,$AS185:$AW185,0)),IF(3=MAX($AS185:$AW185)+1,"取消",""))</f>
        <v>陈师傅</v>
      </c>
      <c r="BB185" s="0" t="str">
        <f aca="false">IFERROR(INDEX($A$1:$A$5,MATCH(4,$AS185:$AW185,0)),IF(4=MAX($AS185:$AW185)+1,"取消",""))</f>
        <v>刘师傅</v>
      </c>
      <c r="BC185" s="0" t="str">
        <f aca="false">IFERROR(INDEX($A$1:$A$5,MATCH(5,$AS185:$AW185,0)),IF(5=MAX($AS185:$AW185)+1,"取消",""))</f>
        <v>取消</v>
      </c>
      <c r="BD185" s="0" t="str">
        <f aca="false">IFERROR(INDEX($A$1:$A$5,MATCH(6,$AS185:$AW185,0)),IF(6=MAX($AS185:$AW185)+1,"取消",""))</f>
        <v/>
      </c>
      <c r="FW185" s="0" t="str">
        <f aca="false">IF(AND(单元查询!$D$3&lt;&gt;"",IF(单元查询!$B$3="公区维修",公区维修!$E185&lt;&gt;"",入户维修!$E185&lt;&gt;""),IF(单元查询!$B$3="公区维修",公区维修!$C185,入户维修!$C185)=单元查询!$D$3,OR(单元查询!$F$3="",IF(单元查询!$B$3="公区维修",公区维修!$D185,入户维修!$D185)&amp;""=(单元查询!$F$3)&amp;"")),MAX($FW$4:$FW184)+1,"")</f>
        <v/>
      </c>
    </row>
    <row r="186" customFormat="false" ht="15" hidden="false" customHeight="true" outlineLevel="0" collapsed="false">
      <c r="F186" s="0" t="n">
        <f aca="false">IF(OR($A$1=入户维修!$F186,$BN$1=1),0,1-SUMPRODUCT(--(($A$1=入户维修!$F186)+$BN$1&gt;0)))</f>
        <v>0</v>
      </c>
      <c r="G186" s="0" t="n">
        <f aca="false">IF(OR($A$2=入户维修!$F186,$BN$2=1),0,2-SUMPRODUCT(--(($A$1:$A$2=入户维修!$F186)+$BN$1:$BN$2&gt;0)))</f>
        <v>1</v>
      </c>
      <c r="H186" s="0" t="n">
        <f aca="false">IF(OR($A$3=入户维修!$F186,$BN$3=1),0,3-SUMPRODUCT(--(($A$1:$A$3=入户维修!$F186)+$BN$1:$BN$3&gt;0)))</f>
        <v>2</v>
      </c>
      <c r="I186" s="0" t="n">
        <f aca="false">IF(OR($A$4=入户维修!$F186,$BN$4=1),0,4-SUMPRODUCT(--(($A$1:$A$4=入户维修!$F186)+$BN$1:$BN$4&gt;0)))</f>
        <v>3</v>
      </c>
      <c r="J186" s="0" t="n">
        <f aca="false">IF(OR($A$5=入户维修!$F186,$BN$5=1),0,5-SUMPRODUCT(--(($A$1:$A$5=入户维修!$F186)+$BN$1:$BN$5&gt;0)))</f>
        <v>4</v>
      </c>
      <c r="L186" s="0" t="str">
        <f aca="false">IFERROR(INDEX($A$1:$A$5,MATCH(1,$F186:$J186,0)),IF(1=MAX($F186:$J186)+1,"取消",""))</f>
        <v>李师傅</v>
      </c>
      <c r="M186" s="0" t="str">
        <f aca="false">IFERROR(INDEX($A$1:$A$5,MATCH(2,$F186:$J186,0)),IF(2=MAX($F186:$J186)+1,"取消",""))</f>
        <v>王师傅</v>
      </c>
      <c r="N186" s="0" t="str">
        <f aca="false">IFERROR(INDEX($A$1:$A$5,MATCH(3,$F186:$J186,0)),IF(3=MAX($F186:$J186)+1,"取消",""))</f>
        <v>陈师傅</v>
      </c>
      <c r="O186" s="0" t="str">
        <f aca="false">IFERROR(INDEX($A$1:$A$5,MATCH(4,$F186:$J186,0)),IF(4=MAX($F186:$J186)+1,"取消",""))</f>
        <v>刘师傅</v>
      </c>
      <c r="P186" s="0" t="str">
        <f aca="false">IFERROR(INDEX($A$1:$A$5,MATCH(5,$F186:$J186,0)),IF(5=MAX($F186:$J186)+1,"取消",""))</f>
        <v>取消</v>
      </c>
      <c r="Q186" s="0" t="str">
        <f aca="false">IFERROR(INDEX($A$1:$A$5,MATCH(6,$F186:$J186,0)),IF(6=MAX($F186:$J186)+1,"取消",""))</f>
        <v/>
      </c>
      <c r="S186" s="0" t="n">
        <f aca="false">IF(OR($A$1=入户维修!$F186,$A$1=入户维修!$G186,$BN$1=1),0,1-SUMPRODUCT(--(($A$1=入户维修!$F186)+($A$1=入户维修!$G186)+$BN$1&gt;0)))</f>
        <v>0</v>
      </c>
      <c r="T186" s="0" t="n">
        <f aca="false">IF(OR($A$2=入户维修!$F186,$A$2=入户维修!$G186,$BN$2=1),0,2-SUMPRODUCT(--(($A$1:$A$2=入户维修!$F186)+($A$1:$A$2=入户维修!$G186)+$BN$1:$BN$2&gt;0)))</f>
        <v>1</v>
      </c>
      <c r="U186" s="0" t="n">
        <f aca="false">IF(OR($A$3=入户维修!$F186,$A$3=入户维修!$G186,$BN$3=1),0,3-SUMPRODUCT(--(($A$1:$A$3=入户维修!$F186)+($A$1:$A$3=入户维修!$G186)+$BN$1:$BN$3&gt;0)))</f>
        <v>2</v>
      </c>
      <c r="V186" s="0" t="n">
        <f aca="false">IF(OR($A$4=入户维修!$F186,$A$4=入户维修!$G186,$BN$4=1),0,4-SUMPRODUCT(--(($A$1:$A$4=入户维修!$F186)+($A$1:$A$4=入户维修!$G186)+$BN$1:$BN$4&gt;0)))</f>
        <v>3</v>
      </c>
      <c r="W186" s="0" t="n">
        <f aca="false">IF(OR($A$5=入户维修!$F186,$A$5=入户维修!$G186,$BN$5=1),0,5-SUMPRODUCT(--(($A$1:$A$5=入户维修!$F186)+($A$1:$A$5=入户维修!$G186)+$BN$1:$BN$5&gt;0)))</f>
        <v>4</v>
      </c>
      <c r="Y186" s="0" t="str">
        <f aca="false">IFERROR(INDEX($A$1:$A$5,MATCH(1,$S186:$W186,0)),IF(1=MAX($S186:$W186)+1,"取消",""))</f>
        <v>李师傅</v>
      </c>
      <c r="Z186" s="0" t="str">
        <f aca="false">IFERROR(INDEX($A$1:$A$5,MATCH(2,$S186:$W186,0)),IF(2=MAX($S186:$W186)+1,"取消",""))</f>
        <v>王师傅</v>
      </c>
      <c r="AA186" s="0" t="str">
        <f aca="false">IFERROR(INDEX($A$1:$A$5,MATCH(3,$S186:$W186,0)),IF(3=MAX($S186:$W186)+1,"取消",""))</f>
        <v>陈师傅</v>
      </c>
      <c r="AB186" s="0" t="str">
        <f aca="false">IFERROR(INDEX($A$1:$A$5,MATCH(4,$S186:$W186,0)),IF(4=MAX($S186:$W186)+1,"取消",""))</f>
        <v>刘师傅</v>
      </c>
      <c r="AC186" s="0" t="str">
        <f aca="false">IFERROR(INDEX($A$1:$A$5,MATCH(5,$S186:$W186,0)),IF(5=MAX($S186:$W186)+1,"取消",""))</f>
        <v>取消</v>
      </c>
      <c r="AD186" s="0" t="str">
        <f aca="false">IFERROR(INDEX($A$1:$A$5,MATCH(6,$S186:$W186,0)),IF(6=MAX($S186:$W186)+1,"取消",""))</f>
        <v/>
      </c>
      <c r="AF186" s="0" t="n">
        <f aca="false">IF(OR($A$1=公区维修!$F186,$BN$1=1),0,1-SUMPRODUCT(--(($A$1=公区维修!$F186)+$BN$1&gt;0)))</f>
        <v>0</v>
      </c>
      <c r="AG186" s="0" t="n">
        <f aca="false">IF(OR($A$2=公区维修!$F186,$BN$2=1),0,2-SUMPRODUCT(--(($A$1:$A$2=公区维修!$F186)+$BN$1:$BN$2&gt;0)))</f>
        <v>1</v>
      </c>
      <c r="AH186" s="0" t="n">
        <f aca="false">IF(OR($A$3=公区维修!$F186,$BN$3=1),0,3-SUMPRODUCT(--(($A$1:$A$3=公区维修!$F186)+$BN$1:$BN$3&gt;0)))</f>
        <v>2</v>
      </c>
      <c r="AI186" s="0" t="n">
        <f aca="false">IF(OR($A$4=公区维修!$F186,$BN$4=1),0,4-SUMPRODUCT(--(($A$1:$A$4=公区维修!$F186)+$BN$1:$BN$4&gt;0)))</f>
        <v>3</v>
      </c>
      <c r="AJ186" s="0" t="n">
        <f aca="false">IF(OR($A$5=公区维修!$F186,$BN$5=1),0,5-SUMPRODUCT(--(($A$1:$A$5=公区维修!$F186)+$BN$1:$BN$5&gt;0)))</f>
        <v>4</v>
      </c>
      <c r="AL186" s="0" t="str">
        <f aca="false">IFERROR(INDEX($A$1:$A$5,MATCH(1,$AF186:$AJ186,0)),IF(1=MAX($AF186:$AJ186)+1,"取消",""))</f>
        <v>李师傅</v>
      </c>
      <c r="AM186" s="0" t="str">
        <f aca="false">IFERROR(INDEX($A$1:$A$5,MATCH(2,$AF186:$AJ186,0)),IF(2=MAX($AF186:$AJ186)+1,"取消",""))</f>
        <v>王师傅</v>
      </c>
      <c r="AN186" s="0" t="str">
        <f aca="false">IFERROR(INDEX($A$1:$A$5,MATCH(3,$AF186:$AJ186,0)),IF(3=MAX($AF186:$AJ186)+1,"取消",""))</f>
        <v>陈师傅</v>
      </c>
      <c r="AO186" s="0" t="str">
        <f aca="false">IFERROR(INDEX($A$1:$A$5,MATCH(4,$AF186:$AJ186,0)),IF(4=MAX($AF186:$AJ186)+1,"取消",""))</f>
        <v>刘师傅</v>
      </c>
      <c r="AP186" s="0" t="str">
        <f aca="false">IFERROR(INDEX($A$1:$A$5,MATCH(5,$AF186:$AJ186,0)),IF(5=MAX($AF186:$AJ186)+1,"取消",""))</f>
        <v>取消</v>
      </c>
      <c r="AQ186" s="0" t="str">
        <f aca="false">IFERROR(INDEX($A$1:$A$5,MATCH(6,$AF186:$AJ186,0)),IF(6=MAX($AF186:$AJ186)+1,"取消",""))</f>
        <v/>
      </c>
      <c r="AS186" s="0" t="n">
        <f aca="false">IF(OR($A$1=公区维修!$F186,$A$1=公区维修!$G186,$BN$1=1),0,1-SUMPRODUCT(--(($A$1=公区维修!$F186)+($A$1=公区维修!$G186)+$BN$1&gt;0)))</f>
        <v>0</v>
      </c>
      <c r="AT186" s="0" t="n">
        <f aca="false">IF(OR($A$2=公区维修!$F186,$A$2=公区维修!$G186,$BN$2=1),0,2-SUMPRODUCT(--(($A$1:$A$2=公区维修!$F186)+($A$1:$A$2=公区维修!$G186)+$BN$1:$BN$2&gt;0)))</f>
        <v>1</v>
      </c>
      <c r="AU186" s="0" t="n">
        <f aca="false">IF(OR($A$3=公区维修!$F186,$A$3=公区维修!$G186,$BN$3=1),0,3-SUMPRODUCT(--(($A$1:$A$3=公区维修!$F186)+($A$1:$A$3=公区维修!$G186)+$BN$1:$BN$3&gt;0)))</f>
        <v>2</v>
      </c>
      <c r="AV186" s="0" t="n">
        <f aca="false">IF(OR($A$4=公区维修!$F186,$A$4=公区维修!$G186,$BN$4=1),0,4-SUMPRODUCT(--(($A$1:$A$4=公区维修!$F186)+($A$1:$A$4=公区维修!$G186)+$BN$1:$BN$4&gt;0)))</f>
        <v>3</v>
      </c>
      <c r="AW186" s="0" t="n">
        <f aca="false">IF(OR($A$5=公区维修!$F186,$A$5=公区维修!$G186,$BN$5=1),0,5-SUMPRODUCT(--(($A$1:$A$5=公区维修!$F186)+($A$1:$A$5=公区维修!$G186)+$BN$1:$BN$5&gt;0)))</f>
        <v>4</v>
      </c>
      <c r="AY186" s="0" t="str">
        <f aca="false">IFERROR(INDEX($A$1:$A$5,MATCH(1,$AS186:$AW186,0)),IF(1=MAX($AS186:$AW186)+1,"取消",""))</f>
        <v>李师傅</v>
      </c>
      <c r="AZ186" s="0" t="str">
        <f aca="false">IFERROR(INDEX($A$1:$A$5,MATCH(2,$AS186:$AW186,0)),IF(2=MAX($AS186:$AW186)+1,"取消",""))</f>
        <v>王师傅</v>
      </c>
      <c r="BA186" s="0" t="str">
        <f aca="false">IFERROR(INDEX($A$1:$A$5,MATCH(3,$AS186:$AW186,0)),IF(3=MAX($AS186:$AW186)+1,"取消",""))</f>
        <v>陈师傅</v>
      </c>
      <c r="BB186" s="0" t="str">
        <f aca="false">IFERROR(INDEX($A$1:$A$5,MATCH(4,$AS186:$AW186,0)),IF(4=MAX($AS186:$AW186)+1,"取消",""))</f>
        <v>刘师傅</v>
      </c>
      <c r="BC186" s="0" t="str">
        <f aca="false">IFERROR(INDEX($A$1:$A$5,MATCH(5,$AS186:$AW186,0)),IF(5=MAX($AS186:$AW186)+1,"取消",""))</f>
        <v>取消</v>
      </c>
      <c r="BD186" s="0" t="str">
        <f aca="false">IFERROR(INDEX($A$1:$A$5,MATCH(6,$AS186:$AW186,0)),IF(6=MAX($AS186:$AW186)+1,"取消",""))</f>
        <v/>
      </c>
      <c r="FW186" s="0" t="str">
        <f aca="false">IF(AND(单元查询!$D$3&lt;&gt;"",IF(单元查询!$B$3="公区维修",公区维修!$E186&lt;&gt;"",入户维修!$E186&lt;&gt;""),IF(单元查询!$B$3="公区维修",公区维修!$C186,入户维修!$C186)=单元查询!$D$3,OR(单元查询!$F$3="",IF(单元查询!$B$3="公区维修",公区维修!$D186,入户维修!$D186)&amp;""=(单元查询!$F$3)&amp;"")),MAX($FW$4:$FW185)+1,"")</f>
        <v/>
      </c>
    </row>
    <row r="187" customFormat="false" ht="15" hidden="false" customHeight="true" outlineLevel="0" collapsed="false">
      <c r="F187" s="0" t="n">
        <f aca="false">IF(OR($A$1=入户维修!$F187,$BN$1=1),0,1-SUMPRODUCT(--(($A$1=入户维修!$F187)+$BN$1&gt;0)))</f>
        <v>0</v>
      </c>
      <c r="G187" s="0" t="n">
        <f aca="false">IF(OR($A$2=入户维修!$F187,$BN$2=1),0,2-SUMPRODUCT(--(($A$1:$A$2=入户维修!$F187)+$BN$1:$BN$2&gt;0)))</f>
        <v>1</v>
      </c>
      <c r="H187" s="0" t="n">
        <f aca="false">IF(OR($A$3=入户维修!$F187,$BN$3=1),0,3-SUMPRODUCT(--(($A$1:$A$3=入户维修!$F187)+$BN$1:$BN$3&gt;0)))</f>
        <v>2</v>
      </c>
      <c r="I187" s="0" t="n">
        <f aca="false">IF(OR($A$4=入户维修!$F187,$BN$4=1),0,4-SUMPRODUCT(--(($A$1:$A$4=入户维修!$F187)+$BN$1:$BN$4&gt;0)))</f>
        <v>3</v>
      </c>
      <c r="J187" s="0" t="n">
        <f aca="false">IF(OR($A$5=入户维修!$F187,$BN$5=1),0,5-SUMPRODUCT(--(($A$1:$A$5=入户维修!$F187)+$BN$1:$BN$5&gt;0)))</f>
        <v>4</v>
      </c>
      <c r="L187" s="0" t="str">
        <f aca="false">IFERROR(INDEX($A$1:$A$5,MATCH(1,$F187:$J187,0)),IF(1=MAX($F187:$J187)+1,"取消",""))</f>
        <v>李师傅</v>
      </c>
      <c r="M187" s="0" t="str">
        <f aca="false">IFERROR(INDEX($A$1:$A$5,MATCH(2,$F187:$J187,0)),IF(2=MAX($F187:$J187)+1,"取消",""))</f>
        <v>王师傅</v>
      </c>
      <c r="N187" s="0" t="str">
        <f aca="false">IFERROR(INDEX($A$1:$A$5,MATCH(3,$F187:$J187,0)),IF(3=MAX($F187:$J187)+1,"取消",""))</f>
        <v>陈师傅</v>
      </c>
      <c r="O187" s="0" t="str">
        <f aca="false">IFERROR(INDEX($A$1:$A$5,MATCH(4,$F187:$J187,0)),IF(4=MAX($F187:$J187)+1,"取消",""))</f>
        <v>刘师傅</v>
      </c>
      <c r="P187" s="0" t="str">
        <f aca="false">IFERROR(INDEX($A$1:$A$5,MATCH(5,$F187:$J187,0)),IF(5=MAX($F187:$J187)+1,"取消",""))</f>
        <v>取消</v>
      </c>
      <c r="Q187" s="0" t="str">
        <f aca="false">IFERROR(INDEX($A$1:$A$5,MATCH(6,$F187:$J187,0)),IF(6=MAX($F187:$J187)+1,"取消",""))</f>
        <v/>
      </c>
      <c r="S187" s="0" t="n">
        <f aca="false">IF(OR($A$1=入户维修!$F187,$A$1=入户维修!$G187,$BN$1=1),0,1-SUMPRODUCT(--(($A$1=入户维修!$F187)+($A$1=入户维修!$G187)+$BN$1&gt;0)))</f>
        <v>0</v>
      </c>
      <c r="T187" s="0" t="n">
        <f aca="false">IF(OR($A$2=入户维修!$F187,$A$2=入户维修!$G187,$BN$2=1),0,2-SUMPRODUCT(--(($A$1:$A$2=入户维修!$F187)+($A$1:$A$2=入户维修!$G187)+$BN$1:$BN$2&gt;0)))</f>
        <v>1</v>
      </c>
      <c r="U187" s="0" t="n">
        <f aca="false">IF(OR($A$3=入户维修!$F187,$A$3=入户维修!$G187,$BN$3=1),0,3-SUMPRODUCT(--(($A$1:$A$3=入户维修!$F187)+($A$1:$A$3=入户维修!$G187)+$BN$1:$BN$3&gt;0)))</f>
        <v>2</v>
      </c>
      <c r="V187" s="0" t="n">
        <f aca="false">IF(OR($A$4=入户维修!$F187,$A$4=入户维修!$G187,$BN$4=1),0,4-SUMPRODUCT(--(($A$1:$A$4=入户维修!$F187)+($A$1:$A$4=入户维修!$G187)+$BN$1:$BN$4&gt;0)))</f>
        <v>3</v>
      </c>
      <c r="W187" s="0" t="n">
        <f aca="false">IF(OR($A$5=入户维修!$F187,$A$5=入户维修!$G187,$BN$5=1),0,5-SUMPRODUCT(--(($A$1:$A$5=入户维修!$F187)+($A$1:$A$5=入户维修!$G187)+$BN$1:$BN$5&gt;0)))</f>
        <v>4</v>
      </c>
      <c r="Y187" s="0" t="str">
        <f aca="false">IFERROR(INDEX($A$1:$A$5,MATCH(1,$S187:$W187,0)),IF(1=MAX($S187:$W187)+1,"取消",""))</f>
        <v>李师傅</v>
      </c>
      <c r="Z187" s="0" t="str">
        <f aca="false">IFERROR(INDEX($A$1:$A$5,MATCH(2,$S187:$W187,0)),IF(2=MAX($S187:$W187)+1,"取消",""))</f>
        <v>王师傅</v>
      </c>
      <c r="AA187" s="0" t="str">
        <f aca="false">IFERROR(INDEX($A$1:$A$5,MATCH(3,$S187:$W187,0)),IF(3=MAX($S187:$W187)+1,"取消",""))</f>
        <v>陈师傅</v>
      </c>
      <c r="AB187" s="0" t="str">
        <f aca="false">IFERROR(INDEX($A$1:$A$5,MATCH(4,$S187:$W187,0)),IF(4=MAX($S187:$W187)+1,"取消",""))</f>
        <v>刘师傅</v>
      </c>
      <c r="AC187" s="0" t="str">
        <f aca="false">IFERROR(INDEX($A$1:$A$5,MATCH(5,$S187:$W187,0)),IF(5=MAX($S187:$W187)+1,"取消",""))</f>
        <v>取消</v>
      </c>
      <c r="AD187" s="0" t="str">
        <f aca="false">IFERROR(INDEX($A$1:$A$5,MATCH(6,$S187:$W187,0)),IF(6=MAX($S187:$W187)+1,"取消",""))</f>
        <v/>
      </c>
      <c r="AF187" s="0" t="n">
        <f aca="false">IF(OR($A$1=公区维修!$F187,$BN$1=1),0,1-SUMPRODUCT(--(($A$1=公区维修!$F187)+$BN$1&gt;0)))</f>
        <v>0</v>
      </c>
      <c r="AG187" s="0" t="n">
        <f aca="false">IF(OR($A$2=公区维修!$F187,$BN$2=1),0,2-SUMPRODUCT(--(($A$1:$A$2=公区维修!$F187)+$BN$1:$BN$2&gt;0)))</f>
        <v>1</v>
      </c>
      <c r="AH187" s="0" t="n">
        <f aca="false">IF(OR($A$3=公区维修!$F187,$BN$3=1),0,3-SUMPRODUCT(--(($A$1:$A$3=公区维修!$F187)+$BN$1:$BN$3&gt;0)))</f>
        <v>2</v>
      </c>
      <c r="AI187" s="0" t="n">
        <f aca="false">IF(OR($A$4=公区维修!$F187,$BN$4=1),0,4-SUMPRODUCT(--(($A$1:$A$4=公区维修!$F187)+$BN$1:$BN$4&gt;0)))</f>
        <v>3</v>
      </c>
      <c r="AJ187" s="0" t="n">
        <f aca="false">IF(OR($A$5=公区维修!$F187,$BN$5=1),0,5-SUMPRODUCT(--(($A$1:$A$5=公区维修!$F187)+$BN$1:$BN$5&gt;0)))</f>
        <v>4</v>
      </c>
      <c r="AL187" s="0" t="str">
        <f aca="false">IFERROR(INDEX($A$1:$A$5,MATCH(1,$AF187:$AJ187,0)),IF(1=MAX($AF187:$AJ187)+1,"取消",""))</f>
        <v>李师傅</v>
      </c>
      <c r="AM187" s="0" t="str">
        <f aca="false">IFERROR(INDEX($A$1:$A$5,MATCH(2,$AF187:$AJ187,0)),IF(2=MAX($AF187:$AJ187)+1,"取消",""))</f>
        <v>王师傅</v>
      </c>
      <c r="AN187" s="0" t="str">
        <f aca="false">IFERROR(INDEX($A$1:$A$5,MATCH(3,$AF187:$AJ187,0)),IF(3=MAX($AF187:$AJ187)+1,"取消",""))</f>
        <v>陈师傅</v>
      </c>
      <c r="AO187" s="0" t="str">
        <f aca="false">IFERROR(INDEX($A$1:$A$5,MATCH(4,$AF187:$AJ187,0)),IF(4=MAX($AF187:$AJ187)+1,"取消",""))</f>
        <v>刘师傅</v>
      </c>
      <c r="AP187" s="0" t="str">
        <f aca="false">IFERROR(INDEX($A$1:$A$5,MATCH(5,$AF187:$AJ187,0)),IF(5=MAX($AF187:$AJ187)+1,"取消",""))</f>
        <v>取消</v>
      </c>
      <c r="AQ187" s="0" t="str">
        <f aca="false">IFERROR(INDEX($A$1:$A$5,MATCH(6,$AF187:$AJ187,0)),IF(6=MAX($AF187:$AJ187)+1,"取消",""))</f>
        <v/>
      </c>
      <c r="AS187" s="0" t="n">
        <f aca="false">IF(OR($A$1=公区维修!$F187,$A$1=公区维修!$G187,$BN$1=1),0,1-SUMPRODUCT(--(($A$1=公区维修!$F187)+($A$1=公区维修!$G187)+$BN$1&gt;0)))</f>
        <v>0</v>
      </c>
      <c r="AT187" s="0" t="n">
        <f aca="false">IF(OR($A$2=公区维修!$F187,$A$2=公区维修!$G187,$BN$2=1),0,2-SUMPRODUCT(--(($A$1:$A$2=公区维修!$F187)+($A$1:$A$2=公区维修!$G187)+$BN$1:$BN$2&gt;0)))</f>
        <v>1</v>
      </c>
      <c r="AU187" s="0" t="n">
        <f aca="false">IF(OR($A$3=公区维修!$F187,$A$3=公区维修!$G187,$BN$3=1),0,3-SUMPRODUCT(--(($A$1:$A$3=公区维修!$F187)+($A$1:$A$3=公区维修!$G187)+$BN$1:$BN$3&gt;0)))</f>
        <v>2</v>
      </c>
      <c r="AV187" s="0" t="n">
        <f aca="false">IF(OR($A$4=公区维修!$F187,$A$4=公区维修!$G187,$BN$4=1),0,4-SUMPRODUCT(--(($A$1:$A$4=公区维修!$F187)+($A$1:$A$4=公区维修!$G187)+$BN$1:$BN$4&gt;0)))</f>
        <v>3</v>
      </c>
      <c r="AW187" s="0" t="n">
        <f aca="false">IF(OR($A$5=公区维修!$F187,$A$5=公区维修!$G187,$BN$5=1),0,5-SUMPRODUCT(--(($A$1:$A$5=公区维修!$F187)+($A$1:$A$5=公区维修!$G187)+$BN$1:$BN$5&gt;0)))</f>
        <v>4</v>
      </c>
      <c r="AY187" s="0" t="str">
        <f aca="false">IFERROR(INDEX($A$1:$A$5,MATCH(1,$AS187:$AW187,0)),IF(1=MAX($AS187:$AW187)+1,"取消",""))</f>
        <v>李师傅</v>
      </c>
      <c r="AZ187" s="0" t="str">
        <f aca="false">IFERROR(INDEX($A$1:$A$5,MATCH(2,$AS187:$AW187,0)),IF(2=MAX($AS187:$AW187)+1,"取消",""))</f>
        <v>王师傅</v>
      </c>
      <c r="BA187" s="0" t="str">
        <f aca="false">IFERROR(INDEX($A$1:$A$5,MATCH(3,$AS187:$AW187,0)),IF(3=MAX($AS187:$AW187)+1,"取消",""))</f>
        <v>陈师傅</v>
      </c>
      <c r="BB187" s="0" t="str">
        <f aca="false">IFERROR(INDEX($A$1:$A$5,MATCH(4,$AS187:$AW187,0)),IF(4=MAX($AS187:$AW187)+1,"取消",""))</f>
        <v>刘师傅</v>
      </c>
      <c r="BC187" s="0" t="str">
        <f aca="false">IFERROR(INDEX($A$1:$A$5,MATCH(5,$AS187:$AW187,0)),IF(5=MAX($AS187:$AW187)+1,"取消",""))</f>
        <v>取消</v>
      </c>
      <c r="BD187" s="0" t="str">
        <f aca="false">IFERROR(INDEX($A$1:$A$5,MATCH(6,$AS187:$AW187,0)),IF(6=MAX($AS187:$AW187)+1,"取消",""))</f>
        <v/>
      </c>
      <c r="FW187" s="0" t="str">
        <f aca="false">IF(AND(单元查询!$D$3&lt;&gt;"",IF(单元查询!$B$3="公区维修",公区维修!$E187&lt;&gt;"",入户维修!$E187&lt;&gt;""),IF(单元查询!$B$3="公区维修",公区维修!$C187,入户维修!$C187)=单元查询!$D$3,OR(单元查询!$F$3="",IF(单元查询!$B$3="公区维修",公区维修!$D187,入户维修!$D187)&amp;""=(单元查询!$F$3)&amp;"")),MAX($FW$4:$FW186)+1,"")</f>
        <v/>
      </c>
    </row>
    <row r="188" customFormat="false" ht="15" hidden="false" customHeight="true" outlineLevel="0" collapsed="false">
      <c r="F188" s="0" t="n">
        <f aca="false">IF(OR($A$1=入户维修!$F188,$BN$1=1),0,1-SUMPRODUCT(--(($A$1=入户维修!$F188)+$BN$1&gt;0)))</f>
        <v>0</v>
      </c>
      <c r="G188" s="0" t="n">
        <f aca="false">IF(OR($A$2=入户维修!$F188,$BN$2=1),0,2-SUMPRODUCT(--(($A$1:$A$2=入户维修!$F188)+$BN$1:$BN$2&gt;0)))</f>
        <v>1</v>
      </c>
      <c r="H188" s="0" t="n">
        <f aca="false">IF(OR($A$3=入户维修!$F188,$BN$3=1),0,3-SUMPRODUCT(--(($A$1:$A$3=入户维修!$F188)+$BN$1:$BN$3&gt;0)))</f>
        <v>2</v>
      </c>
      <c r="I188" s="0" t="n">
        <f aca="false">IF(OR($A$4=入户维修!$F188,$BN$4=1),0,4-SUMPRODUCT(--(($A$1:$A$4=入户维修!$F188)+$BN$1:$BN$4&gt;0)))</f>
        <v>3</v>
      </c>
      <c r="J188" s="0" t="n">
        <f aca="false">IF(OR($A$5=入户维修!$F188,$BN$5=1),0,5-SUMPRODUCT(--(($A$1:$A$5=入户维修!$F188)+$BN$1:$BN$5&gt;0)))</f>
        <v>4</v>
      </c>
      <c r="L188" s="0" t="str">
        <f aca="false">IFERROR(INDEX($A$1:$A$5,MATCH(1,$F188:$J188,0)),IF(1=MAX($F188:$J188)+1,"取消",""))</f>
        <v>李师傅</v>
      </c>
      <c r="M188" s="0" t="str">
        <f aca="false">IFERROR(INDEX($A$1:$A$5,MATCH(2,$F188:$J188,0)),IF(2=MAX($F188:$J188)+1,"取消",""))</f>
        <v>王师傅</v>
      </c>
      <c r="N188" s="0" t="str">
        <f aca="false">IFERROR(INDEX($A$1:$A$5,MATCH(3,$F188:$J188,0)),IF(3=MAX($F188:$J188)+1,"取消",""))</f>
        <v>陈师傅</v>
      </c>
      <c r="O188" s="0" t="str">
        <f aca="false">IFERROR(INDEX($A$1:$A$5,MATCH(4,$F188:$J188,0)),IF(4=MAX($F188:$J188)+1,"取消",""))</f>
        <v>刘师傅</v>
      </c>
      <c r="P188" s="0" t="str">
        <f aca="false">IFERROR(INDEX($A$1:$A$5,MATCH(5,$F188:$J188,0)),IF(5=MAX($F188:$J188)+1,"取消",""))</f>
        <v>取消</v>
      </c>
      <c r="Q188" s="0" t="str">
        <f aca="false">IFERROR(INDEX($A$1:$A$5,MATCH(6,$F188:$J188,0)),IF(6=MAX($F188:$J188)+1,"取消",""))</f>
        <v/>
      </c>
      <c r="S188" s="0" t="n">
        <f aca="false">IF(OR($A$1=入户维修!$F188,$A$1=入户维修!$G188,$BN$1=1),0,1-SUMPRODUCT(--(($A$1=入户维修!$F188)+($A$1=入户维修!$G188)+$BN$1&gt;0)))</f>
        <v>0</v>
      </c>
      <c r="T188" s="0" t="n">
        <f aca="false">IF(OR($A$2=入户维修!$F188,$A$2=入户维修!$G188,$BN$2=1),0,2-SUMPRODUCT(--(($A$1:$A$2=入户维修!$F188)+($A$1:$A$2=入户维修!$G188)+$BN$1:$BN$2&gt;0)))</f>
        <v>1</v>
      </c>
      <c r="U188" s="0" t="n">
        <f aca="false">IF(OR($A$3=入户维修!$F188,$A$3=入户维修!$G188,$BN$3=1),0,3-SUMPRODUCT(--(($A$1:$A$3=入户维修!$F188)+($A$1:$A$3=入户维修!$G188)+$BN$1:$BN$3&gt;0)))</f>
        <v>2</v>
      </c>
      <c r="V188" s="0" t="n">
        <f aca="false">IF(OR($A$4=入户维修!$F188,$A$4=入户维修!$G188,$BN$4=1),0,4-SUMPRODUCT(--(($A$1:$A$4=入户维修!$F188)+($A$1:$A$4=入户维修!$G188)+$BN$1:$BN$4&gt;0)))</f>
        <v>3</v>
      </c>
      <c r="W188" s="0" t="n">
        <f aca="false">IF(OR($A$5=入户维修!$F188,$A$5=入户维修!$G188,$BN$5=1),0,5-SUMPRODUCT(--(($A$1:$A$5=入户维修!$F188)+($A$1:$A$5=入户维修!$G188)+$BN$1:$BN$5&gt;0)))</f>
        <v>4</v>
      </c>
      <c r="Y188" s="0" t="str">
        <f aca="false">IFERROR(INDEX($A$1:$A$5,MATCH(1,$S188:$W188,0)),IF(1=MAX($S188:$W188)+1,"取消",""))</f>
        <v>李师傅</v>
      </c>
      <c r="Z188" s="0" t="str">
        <f aca="false">IFERROR(INDEX($A$1:$A$5,MATCH(2,$S188:$W188,0)),IF(2=MAX($S188:$W188)+1,"取消",""))</f>
        <v>王师傅</v>
      </c>
      <c r="AA188" s="0" t="str">
        <f aca="false">IFERROR(INDEX($A$1:$A$5,MATCH(3,$S188:$W188,0)),IF(3=MAX($S188:$W188)+1,"取消",""))</f>
        <v>陈师傅</v>
      </c>
      <c r="AB188" s="0" t="str">
        <f aca="false">IFERROR(INDEX($A$1:$A$5,MATCH(4,$S188:$W188,0)),IF(4=MAX($S188:$W188)+1,"取消",""))</f>
        <v>刘师傅</v>
      </c>
      <c r="AC188" s="0" t="str">
        <f aca="false">IFERROR(INDEX($A$1:$A$5,MATCH(5,$S188:$W188,0)),IF(5=MAX($S188:$W188)+1,"取消",""))</f>
        <v>取消</v>
      </c>
      <c r="AD188" s="0" t="str">
        <f aca="false">IFERROR(INDEX($A$1:$A$5,MATCH(6,$S188:$W188,0)),IF(6=MAX($S188:$W188)+1,"取消",""))</f>
        <v/>
      </c>
      <c r="AF188" s="0" t="n">
        <f aca="false">IF(OR($A$1=公区维修!$F188,$BN$1=1),0,1-SUMPRODUCT(--(($A$1=公区维修!$F188)+$BN$1&gt;0)))</f>
        <v>0</v>
      </c>
      <c r="AG188" s="0" t="n">
        <f aca="false">IF(OR($A$2=公区维修!$F188,$BN$2=1),0,2-SUMPRODUCT(--(($A$1:$A$2=公区维修!$F188)+$BN$1:$BN$2&gt;0)))</f>
        <v>1</v>
      </c>
      <c r="AH188" s="0" t="n">
        <f aca="false">IF(OR($A$3=公区维修!$F188,$BN$3=1),0,3-SUMPRODUCT(--(($A$1:$A$3=公区维修!$F188)+$BN$1:$BN$3&gt;0)))</f>
        <v>2</v>
      </c>
      <c r="AI188" s="0" t="n">
        <f aca="false">IF(OR($A$4=公区维修!$F188,$BN$4=1),0,4-SUMPRODUCT(--(($A$1:$A$4=公区维修!$F188)+$BN$1:$BN$4&gt;0)))</f>
        <v>3</v>
      </c>
      <c r="AJ188" s="0" t="n">
        <f aca="false">IF(OR($A$5=公区维修!$F188,$BN$5=1),0,5-SUMPRODUCT(--(($A$1:$A$5=公区维修!$F188)+$BN$1:$BN$5&gt;0)))</f>
        <v>4</v>
      </c>
      <c r="AL188" s="0" t="str">
        <f aca="false">IFERROR(INDEX($A$1:$A$5,MATCH(1,$AF188:$AJ188,0)),IF(1=MAX($AF188:$AJ188)+1,"取消",""))</f>
        <v>李师傅</v>
      </c>
      <c r="AM188" s="0" t="str">
        <f aca="false">IFERROR(INDEX($A$1:$A$5,MATCH(2,$AF188:$AJ188,0)),IF(2=MAX($AF188:$AJ188)+1,"取消",""))</f>
        <v>王师傅</v>
      </c>
      <c r="AN188" s="0" t="str">
        <f aca="false">IFERROR(INDEX($A$1:$A$5,MATCH(3,$AF188:$AJ188,0)),IF(3=MAX($AF188:$AJ188)+1,"取消",""))</f>
        <v>陈师傅</v>
      </c>
      <c r="AO188" s="0" t="str">
        <f aca="false">IFERROR(INDEX($A$1:$A$5,MATCH(4,$AF188:$AJ188,0)),IF(4=MAX($AF188:$AJ188)+1,"取消",""))</f>
        <v>刘师傅</v>
      </c>
      <c r="AP188" s="0" t="str">
        <f aca="false">IFERROR(INDEX($A$1:$A$5,MATCH(5,$AF188:$AJ188,0)),IF(5=MAX($AF188:$AJ188)+1,"取消",""))</f>
        <v>取消</v>
      </c>
      <c r="AQ188" s="0" t="str">
        <f aca="false">IFERROR(INDEX($A$1:$A$5,MATCH(6,$AF188:$AJ188,0)),IF(6=MAX($AF188:$AJ188)+1,"取消",""))</f>
        <v/>
      </c>
      <c r="AS188" s="0" t="n">
        <f aca="false">IF(OR($A$1=公区维修!$F188,$A$1=公区维修!$G188,$BN$1=1),0,1-SUMPRODUCT(--(($A$1=公区维修!$F188)+($A$1=公区维修!$G188)+$BN$1&gt;0)))</f>
        <v>0</v>
      </c>
      <c r="AT188" s="0" t="n">
        <f aca="false">IF(OR($A$2=公区维修!$F188,$A$2=公区维修!$G188,$BN$2=1),0,2-SUMPRODUCT(--(($A$1:$A$2=公区维修!$F188)+($A$1:$A$2=公区维修!$G188)+$BN$1:$BN$2&gt;0)))</f>
        <v>1</v>
      </c>
      <c r="AU188" s="0" t="n">
        <f aca="false">IF(OR($A$3=公区维修!$F188,$A$3=公区维修!$G188,$BN$3=1),0,3-SUMPRODUCT(--(($A$1:$A$3=公区维修!$F188)+($A$1:$A$3=公区维修!$G188)+$BN$1:$BN$3&gt;0)))</f>
        <v>2</v>
      </c>
      <c r="AV188" s="0" t="n">
        <f aca="false">IF(OR($A$4=公区维修!$F188,$A$4=公区维修!$G188,$BN$4=1),0,4-SUMPRODUCT(--(($A$1:$A$4=公区维修!$F188)+($A$1:$A$4=公区维修!$G188)+$BN$1:$BN$4&gt;0)))</f>
        <v>3</v>
      </c>
      <c r="AW188" s="0" t="n">
        <f aca="false">IF(OR($A$5=公区维修!$F188,$A$5=公区维修!$G188,$BN$5=1),0,5-SUMPRODUCT(--(($A$1:$A$5=公区维修!$F188)+($A$1:$A$5=公区维修!$G188)+$BN$1:$BN$5&gt;0)))</f>
        <v>4</v>
      </c>
      <c r="AY188" s="0" t="str">
        <f aca="false">IFERROR(INDEX($A$1:$A$5,MATCH(1,$AS188:$AW188,0)),IF(1=MAX($AS188:$AW188)+1,"取消",""))</f>
        <v>李师傅</v>
      </c>
      <c r="AZ188" s="0" t="str">
        <f aca="false">IFERROR(INDEX($A$1:$A$5,MATCH(2,$AS188:$AW188,0)),IF(2=MAX($AS188:$AW188)+1,"取消",""))</f>
        <v>王师傅</v>
      </c>
      <c r="BA188" s="0" t="str">
        <f aca="false">IFERROR(INDEX($A$1:$A$5,MATCH(3,$AS188:$AW188,0)),IF(3=MAX($AS188:$AW188)+1,"取消",""))</f>
        <v>陈师傅</v>
      </c>
      <c r="BB188" s="0" t="str">
        <f aca="false">IFERROR(INDEX($A$1:$A$5,MATCH(4,$AS188:$AW188,0)),IF(4=MAX($AS188:$AW188)+1,"取消",""))</f>
        <v>刘师傅</v>
      </c>
      <c r="BC188" s="0" t="str">
        <f aca="false">IFERROR(INDEX($A$1:$A$5,MATCH(5,$AS188:$AW188,0)),IF(5=MAX($AS188:$AW188)+1,"取消",""))</f>
        <v>取消</v>
      </c>
      <c r="BD188" s="0" t="str">
        <f aca="false">IFERROR(INDEX($A$1:$A$5,MATCH(6,$AS188:$AW188,0)),IF(6=MAX($AS188:$AW188)+1,"取消",""))</f>
        <v/>
      </c>
      <c r="FW188" s="0" t="str">
        <f aca="false">IF(AND(单元查询!$D$3&lt;&gt;"",IF(单元查询!$B$3="公区维修",公区维修!$E188&lt;&gt;"",入户维修!$E188&lt;&gt;""),IF(单元查询!$B$3="公区维修",公区维修!$C188,入户维修!$C188)=单元查询!$D$3,OR(单元查询!$F$3="",IF(单元查询!$B$3="公区维修",公区维修!$D188,入户维修!$D188)&amp;""=(单元查询!$F$3)&amp;"")),MAX($FW$4:$FW187)+1,"")</f>
        <v/>
      </c>
    </row>
    <row r="189" customFormat="false" ht="15" hidden="false" customHeight="true" outlineLevel="0" collapsed="false">
      <c r="F189" s="0" t="n">
        <f aca="false">IF(OR($A$1=入户维修!$F189,$BN$1=1),0,1-SUMPRODUCT(--(($A$1=入户维修!$F189)+$BN$1&gt;0)))</f>
        <v>0</v>
      </c>
      <c r="G189" s="0" t="n">
        <f aca="false">IF(OR($A$2=入户维修!$F189,$BN$2=1),0,2-SUMPRODUCT(--(($A$1:$A$2=入户维修!$F189)+$BN$1:$BN$2&gt;0)))</f>
        <v>1</v>
      </c>
      <c r="H189" s="0" t="n">
        <f aca="false">IF(OR($A$3=入户维修!$F189,$BN$3=1),0,3-SUMPRODUCT(--(($A$1:$A$3=入户维修!$F189)+$BN$1:$BN$3&gt;0)))</f>
        <v>2</v>
      </c>
      <c r="I189" s="0" t="n">
        <f aca="false">IF(OR($A$4=入户维修!$F189,$BN$4=1),0,4-SUMPRODUCT(--(($A$1:$A$4=入户维修!$F189)+$BN$1:$BN$4&gt;0)))</f>
        <v>3</v>
      </c>
      <c r="J189" s="0" t="n">
        <f aca="false">IF(OR($A$5=入户维修!$F189,$BN$5=1),0,5-SUMPRODUCT(--(($A$1:$A$5=入户维修!$F189)+$BN$1:$BN$5&gt;0)))</f>
        <v>4</v>
      </c>
      <c r="L189" s="0" t="str">
        <f aca="false">IFERROR(INDEX($A$1:$A$5,MATCH(1,$F189:$J189,0)),IF(1=MAX($F189:$J189)+1,"取消",""))</f>
        <v>李师傅</v>
      </c>
      <c r="M189" s="0" t="str">
        <f aca="false">IFERROR(INDEX($A$1:$A$5,MATCH(2,$F189:$J189,0)),IF(2=MAX($F189:$J189)+1,"取消",""))</f>
        <v>王师傅</v>
      </c>
      <c r="N189" s="0" t="str">
        <f aca="false">IFERROR(INDEX($A$1:$A$5,MATCH(3,$F189:$J189,0)),IF(3=MAX($F189:$J189)+1,"取消",""))</f>
        <v>陈师傅</v>
      </c>
      <c r="O189" s="0" t="str">
        <f aca="false">IFERROR(INDEX($A$1:$A$5,MATCH(4,$F189:$J189,0)),IF(4=MAX($F189:$J189)+1,"取消",""))</f>
        <v>刘师傅</v>
      </c>
      <c r="P189" s="0" t="str">
        <f aca="false">IFERROR(INDEX($A$1:$A$5,MATCH(5,$F189:$J189,0)),IF(5=MAX($F189:$J189)+1,"取消",""))</f>
        <v>取消</v>
      </c>
      <c r="Q189" s="0" t="str">
        <f aca="false">IFERROR(INDEX($A$1:$A$5,MATCH(6,$F189:$J189,0)),IF(6=MAX($F189:$J189)+1,"取消",""))</f>
        <v/>
      </c>
      <c r="S189" s="0" t="n">
        <f aca="false">IF(OR($A$1=入户维修!$F189,$A$1=入户维修!$G189,$BN$1=1),0,1-SUMPRODUCT(--(($A$1=入户维修!$F189)+($A$1=入户维修!$G189)+$BN$1&gt;0)))</f>
        <v>0</v>
      </c>
      <c r="T189" s="0" t="n">
        <f aca="false">IF(OR($A$2=入户维修!$F189,$A$2=入户维修!$G189,$BN$2=1),0,2-SUMPRODUCT(--(($A$1:$A$2=入户维修!$F189)+($A$1:$A$2=入户维修!$G189)+$BN$1:$BN$2&gt;0)))</f>
        <v>1</v>
      </c>
      <c r="U189" s="0" t="n">
        <f aca="false">IF(OR($A$3=入户维修!$F189,$A$3=入户维修!$G189,$BN$3=1),0,3-SUMPRODUCT(--(($A$1:$A$3=入户维修!$F189)+($A$1:$A$3=入户维修!$G189)+$BN$1:$BN$3&gt;0)))</f>
        <v>2</v>
      </c>
      <c r="V189" s="0" t="n">
        <f aca="false">IF(OR($A$4=入户维修!$F189,$A$4=入户维修!$G189,$BN$4=1),0,4-SUMPRODUCT(--(($A$1:$A$4=入户维修!$F189)+($A$1:$A$4=入户维修!$G189)+$BN$1:$BN$4&gt;0)))</f>
        <v>3</v>
      </c>
      <c r="W189" s="0" t="n">
        <f aca="false">IF(OR($A$5=入户维修!$F189,$A$5=入户维修!$G189,$BN$5=1),0,5-SUMPRODUCT(--(($A$1:$A$5=入户维修!$F189)+($A$1:$A$5=入户维修!$G189)+$BN$1:$BN$5&gt;0)))</f>
        <v>4</v>
      </c>
      <c r="Y189" s="0" t="str">
        <f aca="false">IFERROR(INDEX($A$1:$A$5,MATCH(1,$S189:$W189,0)),IF(1=MAX($S189:$W189)+1,"取消",""))</f>
        <v>李师傅</v>
      </c>
      <c r="Z189" s="0" t="str">
        <f aca="false">IFERROR(INDEX($A$1:$A$5,MATCH(2,$S189:$W189,0)),IF(2=MAX($S189:$W189)+1,"取消",""))</f>
        <v>王师傅</v>
      </c>
      <c r="AA189" s="0" t="str">
        <f aca="false">IFERROR(INDEX($A$1:$A$5,MATCH(3,$S189:$W189,0)),IF(3=MAX($S189:$W189)+1,"取消",""))</f>
        <v>陈师傅</v>
      </c>
      <c r="AB189" s="0" t="str">
        <f aca="false">IFERROR(INDEX($A$1:$A$5,MATCH(4,$S189:$W189,0)),IF(4=MAX($S189:$W189)+1,"取消",""))</f>
        <v>刘师傅</v>
      </c>
      <c r="AC189" s="0" t="str">
        <f aca="false">IFERROR(INDEX($A$1:$A$5,MATCH(5,$S189:$W189,0)),IF(5=MAX($S189:$W189)+1,"取消",""))</f>
        <v>取消</v>
      </c>
      <c r="AD189" s="0" t="str">
        <f aca="false">IFERROR(INDEX($A$1:$A$5,MATCH(6,$S189:$W189,0)),IF(6=MAX($S189:$W189)+1,"取消",""))</f>
        <v/>
      </c>
      <c r="AF189" s="0" t="n">
        <f aca="false">IF(OR($A$1=公区维修!$F189,$BN$1=1),0,1-SUMPRODUCT(--(($A$1=公区维修!$F189)+$BN$1&gt;0)))</f>
        <v>0</v>
      </c>
      <c r="AG189" s="0" t="n">
        <f aca="false">IF(OR($A$2=公区维修!$F189,$BN$2=1),0,2-SUMPRODUCT(--(($A$1:$A$2=公区维修!$F189)+$BN$1:$BN$2&gt;0)))</f>
        <v>1</v>
      </c>
      <c r="AH189" s="0" t="n">
        <f aca="false">IF(OR($A$3=公区维修!$F189,$BN$3=1),0,3-SUMPRODUCT(--(($A$1:$A$3=公区维修!$F189)+$BN$1:$BN$3&gt;0)))</f>
        <v>2</v>
      </c>
      <c r="AI189" s="0" t="n">
        <f aca="false">IF(OR($A$4=公区维修!$F189,$BN$4=1),0,4-SUMPRODUCT(--(($A$1:$A$4=公区维修!$F189)+$BN$1:$BN$4&gt;0)))</f>
        <v>3</v>
      </c>
      <c r="AJ189" s="0" t="n">
        <f aca="false">IF(OR($A$5=公区维修!$F189,$BN$5=1),0,5-SUMPRODUCT(--(($A$1:$A$5=公区维修!$F189)+$BN$1:$BN$5&gt;0)))</f>
        <v>4</v>
      </c>
      <c r="AL189" s="0" t="str">
        <f aca="false">IFERROR(INDEX($A$1:$A$5,MATCH(1,$AF189:$AJ189,0)),IF(1=MAX($AF189:$AJ189)+1,"取消",""))</f>
        <v>李师傅</v>
      </c>
      <c r="AM189" s="0" t="str">
        <f aca="false">IFERROR(INDEX($A$1:$A$5,MATCH(2,$AF189:$AJ189,0)),IF(2=MAX($AF189:$AJ189)+1,"取消",""))</f>
        <v>王师傅</v>
      </c>
      <c r="AN189" s="0" t="str">
        <f aca="false">IFERROR(INDEX($A$1:$A$5,MATCH(3,$AF189:$AJ189,0)),IF(3=MAX($AF189:$AJ189)+1,"取消",""))</f>
        <v>陈师傅</v>
      </c>
      <c r="AO189" s="0" t="str">
        <f aca="false">IFERROR(INDEX($A$1:$A$5,MATCH(4,$AF189:$AJ189,0)),IF(4=MAX($AF189:$AJ189)+1,"取消",""))</f>
        <v>刘师傅</v>
      </c>
      <c r="AP189" s="0" t="str">
        <f aca="false">IFERROR(INDEX($A$1:$A$5,MATCH(5,$AF189:$AJ189,0)),IF(5=MAX($AF189:$AJ189)+1,"取消",""))</f>
        <v>取消</v>
      </c>
      <c r="AQ189" s="0" t="str">
        <f aca="false">IFERROR(INDEX($A$1:$A$5,MATCH(6,$AF189:$AJ189,0)),IF(6=MAX($AF189:$AJ189)+1,"取消",""))</f>
        <v/>
      </c>
      <c r="AS189" s="0" t="n">
        <f aca="false">IF(OR($A$1=公区维修!$F189,$A$1=公区维修!$G189,$BN$1=1),0,1-SUMPRODUCT(--(($A$1=公区维修!$F189)+($A$1=公区维修!$G189)+$BN$1&gt;0)))</f>
        <v>0</v>
      </c>
      <c r="AT189" s="0" t="n">
        <f aca="false">IF(OR($A$2=公区维修!$F189,$A$2=公区维修!$G189,$BN$2=1),0,2-SUMPRODUCT(--(($A$1:$A$2=公区维修!$F189)+($A$1:$A$2=公区维修!$G189)+$BN$1:$BN$2&gt;0)))</f>
        <v>1</v>
      </c>
      <c r="AU189" s="0" t="n">
        <f aca="false">IF(OR($A$3=公区维修!$F189,$A$3=公区维修!$G189,$BN$3=1),0,3-SUMPRODUCT(--(($A$1:$A$3=公区维修!$F189)+($A$1:$A$3=公区维修!$G189)+$BN$1:$BN$3&gt;0)))</f>
        <v>2</v>
      </c>
      <c r="AV189" s="0" t="n">
        <f aca="false">IF(OR($A$4=公区维修!$F189,$A$4=公区维修!$G189,$BN$4=1),0,4-SUMPRODUCT(--(($A$1:$A$4=公区维修!$F189)+($A$1:$A$4=公区维修!$G189)+$BN$1:$BN$4&gt;0)))</f>
        <v>3</v>
      </c>
      <c r="AW189" s="0" t="n">
        <f aca="false">IF(OR($A$5=公区维修!$F189,$A$5=公区维修!$G189,$BN$5=1),0,5-SUMPRODUCT(--(($A$1:$A$5=公区维修!$F189)+($A$1:$A$5=公区维修!$G189)+$BN$1:$BN$5&gt;0)))</f>
        <v>4</v>
      </c>
      <c r="AY189" s="0" t="str">
        <f aca="false">IFERROR(INDEX($A$1:$A$5,MATCH(1,$AS189:$AW189,0)),IF(1=MAX($AS189:$AW189)+1,"取消",""))</f>
        <v>李师傅</v>
      </c>
      <c r="AZ189" s="0" t="str">
        <f aca="false">IFERROR(INDEX($A$1:$A$5,MATCH(2,$AS189:$AW189,0)),IF(2=MAX($AS189:$AW189)+1,"取消",""))</f>
        <v>王师傅</v>
      </c>
      <c r="BA189" s="0" t="str">
        <f aca="false">IFERROR(INDEX($A$1:$A$5,MATCH(3,$AS189:$AW189,0)),IF(3=MAX($AS189:$AW189)+1,"取消",""))</f>
        <v>陈师傅</v>
      </c>
      <c r="BB189" s="0" t="str">
        <f aca="false">IFERROR(INDEX($A$1:$A$5,MATCH(4,$AS189:$AW189,0)),IF(4=MAX($AS189:$AW189)+1,"取消",""))</f>
        <v>刘师傅</v>
      </c>
      <c r="BC189" s="0" t="str">
        <f aca="false">IFERROR(INDEX($A$1:$A$5,MATCH(5,$AS189:$AW189,0)),IF(5=MAX($AS189:$AW189)+1,"取消",""))</f>
        <v>取消</v>
      </c>
      <c r="BD189" s="0" t="str">
        <f aca="false">IFERROR(INDEX($A$1:$A$5,MATCH(6,$AS189:$AW189,0)),IF(6=MAX($AS189:$AW189)+1,"取消",""))</f>
        <v/>
      </c>
      <c r="FW189" s="0" t="str">
        <f aca="false">IF(AND(单元查询!$D$3&lt;&gt;"",IF(单元查询!$B$3="公区维修",公区维修!$E189&lt;&gt;"",入户维修!$E189&lt;&gt;""),IF(单元查询!$B$3="公区维修",公区维修!$C189,入户维修!$C189)=单元查询!$D$3,OR(单元查询!$F$3="",IF(单元查询!$B$3="公区维修",公区维修!$D189,入户维修!$D189)&amp;""=(单元查询!$F$3)&amp;"")),MAX($FW$4:$FW188)+1,"")</f>
        <v/>
      </c>
    </row>
    <row r="190" customFormat="false" ht="15" hidden="false" customHeight="true" outlineLevel="0" collapsed="false">
      <c r="F190" s="0" t="n">
        <f aca="false">IF(OR($A$1=入户维修!$F190,$BN$1=1),0,1-SUMPRODUCT(--(($A$1=入户维修!$F190)+$BN$1&gt;0)))</f>
        <v>0</v>
      </c>
      <c r="G190" s="0" t="n">
        <f aca="false">IF(OR($A$2=入户维修!$F190,$BN$2=1),0,2-SUMPRODUCT(--(($A$1:$A$2=入户维修!$F190)+$BN$1:$BN$2&gt;0)))</f>
        <v>1</v>
      </c>
      <c r="H190" s="0" t="n">
        <f aca="false">IF(OR($A$3=入户维修!$F190,$BN$3=1),0,3-SUMPRODUCT(--(($A$1:$A$3=入户维修!$F190)+$BN$1:$BN$3&gt;0)))</f>
        <v>2</v>
      </c>
      <c r="I190" s="0" t="n">
        <f aca="false">IF(OR($A$4=入户维修!$F190,$BN$4=1),0,4-SUMPRODUCT(--(($A$1:$A$4=入户维修!$F190)+$BN$1:$BN$4&gt;0)))</f>
        <v>3</v>
      </c>
      <c r="J190" s="0" t="n">
        <f aca="false">IF(OR($A$5=入户维修!$F190,$BN$5=1),0,5-SUMPRODUCT(--(($A$1:$A$5=入户维修!$F190)+$BN$1:$BN$5&gt;0)))</f>
        <v>4</v>
      </c>
      <c r="L190" s="0" t="str">
        <f aca="false">IFERROR(INDEX($A$1:$A$5,MATCH(1,$F190:$J190,0)),IF(1=MAX($F190:$J190)+1,"取消",""))</f>
        <v>李师傅</v>
      </c>
      <c r="M190" s="0" t="str">
        <f aca="false">IFERROR(INDEX($A$1:$A$5,MATCH(2,$F190:$J190,0)),IF(2=MAX($F190:$J190)+1,"取消",""))</f>
        <v>王师傅</v>
      </c>
      <c r="N190" s="0" t="str">
        <f aca="false">IFERROR(INDEX($A$1:$A$5,MATCH(3,$F190:$J190,0)),IF(3=MAX($F190:$J190)+1,"取消",""))</f>
        <v>陈师傅</v>
      </c>
      <c r="O190" s="0" t="str">
        <f aca="false">IFERROR(INDEX($A$1:$A$5,MATCH(4,$F190:$J190,0)),IF(4=MAX($F190:$J190)+1,"取消",""))</f>
        <v>刘师傅</v>
      </c>
      <c r="P190" s="0" t="str">
        <f aca="false">IFERROR(INDEX($A$1:$A$5,MATCH(5,$F190:$J190,0)),IF(5=MAX($F190:$J190)+1,"取消",""))</f>
        <v>取消</v>
      </c>
      <c r="Q190" s="0" t="str">
        <f aca="false">IFERROR(INDEX($A$1:$A$5,MATCH(6,$F190:$J190,0)),IF(6=MAX($F190:$J190)+1,"取消",""))</f>
        <v/>
      </c>
      <c r="S190" s="0" t="n">
        <f aca="false">IF(OR($A$1=入户维修!$F190,$A$1=入户维修!$G190,$BN$1=1),0,1-SUMPRODUCT(--(($A$1=入户维修!$F190)+($A$1=入户维修!$G190)+$BN$1&gt;0)))</f>
        <v>0</v>
      </c>
      <c r="T190" s="0" t="n">
        <f aca="false">IF(OR($A$2=入户维修!$F190,$A$2=入户维修!$G190,$BN$2=1),0,2-SUMPRODUCT(--(($A$1:$A$2=入户维修!$F190)+($A$1:$A$2=入户维修!$G190)+$BN$1:$BN$2&gt;0)))</f>
        <v>1</v>
      </c>
      <c r="U190" s="0" t="n">
        <f aca="false">IF(OR($A$3=入户维修!$F190,$A$3=入户维修!$G190,$BN$3=1),0,3-SUMPRODUCT(--(($A$1:$A$3=入户维修!$F190)+($A$1:$A$3=入户维修!$G190)+$BN$1:$BN$3&gt;0)))</f>
        <v>2</v>
      </c>
      <c r="V190" s="0" t="n">
        <f aca="false">IF(OR($A$4=入户维修!$F190,$A$4=入户维修!$G190,$BN$4=1),0,4-SUMPRODUCT(--(($A$1:$A$4=入户维修!$F190)+($A$1:$A$4=入户维修!$G190)+$BN$1:$BN$4&gt;0)))</f>
        <v>3</v>
      </c>
      <c r="W190" s="0" t="n">
        <f aca="false">IF(OR($A$5=入户维修!$F190,$A$5=入户维修!$G190,$BN$5=1),0,5-SUMPRODUCT(--(($A$1:$A$5=入户维修!$F190)+($A$1:$A$5=入户维修!$G190)+$BN$1:$BN$5&gt;0)))</f>
        <v>4</v>
      </c>
      <c r="Y190" s="0" t="str">
        <f aca="false">IFERROR(INDEX($A$1:$A$5,MATCH(1,$S190:$W190,0)),IF(1=MAX($S190:$W190)+1,"取消",""))</f>
        <v>李师傅</v>
      </c>
      <c r="Z190" s="0" t="str">
        <f aca="false">IFERROR(INDEX($A$1:$A$5,MATCH(2,$S190:$W190,0)),IF(2=MAX($S190:$W190)+1,"取消",""))</f>
        <v>王师傅</v>
      </c>
      <c r="AA190" s="0" t="str">
        <f aca="false">IFERROR(INDEX($A$1:$A$5,MATCH(3,$S190:$W190,0)),IF(3=MAX($S190:$W190)+1,"取消",""))</f>
        <v>陈师傅</v>
      </c>
      <c r="AB190" s="0" t="str">
        <f aca="false">IFERROR(INDEX($A$1:$A$5,MATCH(4,$S190:$W190,0)),IF(4=MAX($S190:$W190)+1,"取消",""))</f>
        <v>刘师傅</v>
      </c>
      <c r="AC190" s="0" t="str">
        <f aca="false">IFERROR(INDEX($A$1:$A$5,MATCH(5,$S190:$W190,0)),IF(5=MAX($S190:$W190)+1,"取消",""))</f>
        <v>取消</v>
      </c>
      <c r="AD190" s="0" t="str">
        <f aca="false">IFERROR(INDEX($A$1:$A$5,MATCH(6,$S190:$W190,0)),IF(6=MAX($S190:$W190)+1,"取消",""))</f>
        <v/>
      </c>
      <c r="AF190" s="0" t="n">
        <f aca="false">IF(OR($A$1=公区维修!$F190,$BN$1=1),0,1-SUMPRODUCT(--(($A$1=公区维修!$F190)+$BN$1&gt;0)))</f>
        <v>0</v>
      </c>
      <c r="AG190" s="0" t="n">
        <f aca="false">IF(OR($A$2=公区维修!$F190,$BN$2=1),0,2-SUMPRODUCT(--(($A$1:$A$2=公区维修!$F190)+$BN$1:$BN$2&gt;0)))</f>
        <v>1</v>
      </c>
      <c r="AH190" s="0" t="n">
        <f aca="false">IF(OR($A$3=公区维修!$F190,$BN$3=1),0,3-SUMPRODUCT(--(($A$1:$A$3=公区维修!$F190)+$BN$1:$BN$3&gt;0)))</f>
        <v>2</v>
      </c>
      <c r="AI190" s="0" t="n">
        <f aca="false">IF(OR($A$4=公区维修!$F190,$BN$4=1),0,4-SUMPRODUCT(--(($A$1:$A$4=公区维修!$F190)+$BN$1:$BN$4&gt;0)))</f>
        <v>3</v>
      </c>
      <c r="AJ190" s="0" t="n">
        <f aca="false">IF(OR($A$5=公区维修!$F190,$BN$5=1),0,5-SUMPRODUCT(--(($A$1:$A$5=公区维修!$F190)+$BN$1:$BN$5&gt;0)))</f>
        <v>4</v>
      </c>
      <c r="AL190" s="0" t="str">
        <f aca="false">IFERROR(INDEX($A$1:$A$5,MATCH(1,$AF190:$AJ190,0)),IF(1=MAX($AF190:$AJ190)+1,"取消",""))</f>
        <v>李师傅</v>
      </c>
      <c r="AM190" s="0" t="str">
        <f aca="false">IFERROR(INDEX($A$1:$A$5,MATCH(2,$AF190:$AJ190,0)),IF(2=MAX($AF190:$AJ190)+1,"取消",""))</f>
        <v>王师傅</v>
      </c>
      <c r="AN190" s="0" t="str">
        <f aca="false">IFERROR(INDEX($A$1:$A$5,MATCH(3,$AF190:$AJ190,0)),IF(3=MAX($AF190:$AJ190)+1,"取消",""))</f>
        <v>陈师傅</v>
      </c>
      <c r="AO190" s="0" t="str">
        <f aca="false">IFERROR(INDEX($A$1:$A$5,MATCH(4,$AF190:$AJ190,0)),IF(4=MAX($AF190:$AJ190)+1,"取消",""))</f>
        <v>刘师傅</v>
      </c>
      <c r="AP190" s="0" t="str">
        <f aca="false">IFERROR(INDEX($A$1:$A$5,MATCH(5,$AF190:$AJ190,0)),IF(5=MAX($AF190:$AJ190)+1,"取消",""))</f>
        <v>取消</v>
      </c>
      <c r="AQ190" s="0" t="str">
        <f aca="false">IFERROR(INDEX($A$1:$A$5,MATCH(6,$AF190:$AJ190,0)),IF(6=MAX($AF190:$AJ190)+1,"取消",""))</f>
        <v/>
      </c>
      <c r="AS190" s="0" t="n">
        <f aca="false">IF(OR($A$1=公区维修!$F190,$A$1=公区维修!$G190,$BN$1=1),0,1-SUMPRODUCT(--(($A$1=公区维修!$F190)+($A$1=公区维修!$G190)+$BN$1&gt;0)))</f>
        <v>0</v>
      </c>
      <c r="AT190" s="0" t="n">
        <f aca="false">IF(OR($A$2=公区维修!$F190,$A$2=公区维修!$G190,$BN$2=1),0,2-SUMPRODUCT(--(($A$1:$A$2=公区维修!$F190)+($A$1:$A$2=公区维修!$G190)+$BN$1:$BN$2&gt;0)))</f>
        <v>1</v>
      </c>
      <c r="AU190" s="0" t="n">
        <f aca="false">IF(OR($A$3=公区维修!$F190,$A$3=公区维修!$G190,$BN$3=1),0,3-SUMPRODUCT(--(($A$1:$A$3=公区维修!$F190)+($A$1:$A$3=公区维修!$G190)+$BN$1:$BN$3&gt;0)))</f>
        <v>2</v>
      </c>
      <c r="AV190" s="0" t="n">
        <f aca="false">IF(OR($A$4=公区维修!$F190,$A$4=公区维修!$G190,$BN$4=1),0,4-SUMPRODUCT(--(($A$1:$A$4=公区维修!$F190)+($A$1:$A$4=公区维修!$G190)+$BN$1:$BN$4&gt;0)))</f>
        <v>3</v>
      </c>
      <c r="AW190" s="0" t="n">
        <f aca="false">IF(OR($A$5=公区维修!$F190,$A$5=公区维修!$G190,$BN$5=1),0,5-SUMPRODUCT(--(($A$1:$A$5=公区维修!$F190)+($A$1:$A$5=公区维修!$G190)+$BN$1:$BN$5&gt;0)))</f>
        <v>4</v>
      </c>
      <c r="AY190" s="0" t="str">
        <f aca="false">IFERROR(INDEX($A$1:$A$5,MATCH(1,$AS190:$AW190,0)),IF(1=MAX($AS190:$AW190)+1,"取消",""))</f>
        <v>李师傅</v>
      </c>
      <c r="AZ190" s="0" t="str">
        <f aca="false">IFERROR(INDEX($A$1:$A$5,MATCH(2,$AS190:$AW190,0)),IF(2=MAX($AS190:$AW190)+1,"取消",""))</f>
        <v>王师傅</v>
      </c>
      <c r="BA190" s="0" t="str">
        <f aca="false">IFERROR(INDEX($A$1:$A$5,MATCH(3,$AS190:$AW190,0)),IF(3=MAX($AS190:$AW190)+1,"取消",""))</f>
        <v>陈师傅</v>
      </c>
      <c r="BB190" s="0" t="str">
        <f aca="false">IFERROR(INDEX($A$1:$A$5,MATCH(4,$AS190:$AW190,0)),IF(4=MAX($AS190:$AW190)+1,"取消",""))</f>
        <v>刘师傅</v>
      </c>
      <c r="BC190" s="0" t="str">
        <f aca="false">IFERROR(INDEX($A$1:$A$5,MATCH(5,$AS190:$AW190,0)),IF(5=MAX($AS190:$AW190)+1,"取消",""))</f>
        <v>取消</v>
      </c>
      <c r="BD190" s="0" t="str">
        <f aca="false">IFERROR(INDEX($A$1:$A$5,MATCH(6,$AS190:$AW190,0)),IF(6=MAX($AS190:$AW190)+1,"取消",""))</f>
        <v/>
      </c>
      <c r="FW190" s="0" t="str">
        <f aca="false">IF(AND(单元查询!$D$3&lt;&gt;"",IF(单元查询!$B$3="公区维修",公区维修!$E190&lt;&gt;"",入户维修!$E190&lt;&gt;""),IF(单元查询!$B$3="公区维修",公区维修!$C190,入户维修!$C190)=单元查询!$D$3,OR(单元查询!$F$3="",IF(单元查询!$B$3="公区维修",公区维修!$D190,入户维修!$D190)&amp;""=(单元查询!$F$3)&amp;"")),MAX($FW$4:$FW189)+1,"")</f>
        <v/>
      </c>
    </row>
    <row r="191" customFormat="false" ht="15" hidden="false" customHeight="true" outlineLevel="0" collapsed="false">
      <c r="F191" s="0" t="n">
        <f aca="false">IF(OR($A$1=入户维修!$F191,$BN$1=1),0,1-SUMPRODUCT(--(($A$1=入户维修!$F191)+$BN$1&gt;0)))</f>
        <v>0</v>
      </c>
      <c r="G191" s="0" t="n">
        <f aca="false">IF(OR($A$2=入户维修!$F191,$BN$2=1),0,2-SUMPRODUCT(--(($A$1:$A$2=入户维修!$F191)+$BN$1:$BN$2&gt;0)))</f>
        <v>1</v>
      </c>
      <c r="H191" s="0" t="n">
        <f aca="false">IF(OR($A$3=入户维修!$F191,$BN$3=1),0,3-SUMPRODUCT(--(($A$1:$A$3=入户维修!$F191)+$BN$1:$BN$3&gt;0)))</f>
        <v>2</v>
      </c>
      <c r="I191" s="0" t="n">
        <f aca="false">IF(OR($A$4=入户维修!$F191,$BN$4=1),0,4-SUMPRODUCT(--(($A$1:$A$4=入户维修!$F191)+$BN$1:$BN$4&gt;0)))</f>
        <v>3</v>
      </c>
      <c r="J191" s="0" t="n">
        <f aca="false">IF(OR($A$5=入户维修!$F191,$BN$5=1),0,5-SUMPRODUCT(--(($A$1:$A$5=入户维修!$F191)+$BN$1:$BN$5&gt;0)))</f>
        <v>4</v>
      </c>
      <c r="L191" s="0" t="str">
        <f aca="false">IFERROR(INDEX($A$1:$A$5,MATCH(1,$F191:$J191,0)),IF(1=MAX($F191:$J191)+1,"取消",""))</f>
        <v>李师傅</v>
      </c>
      <c r="M191" s="0" t="str">
        <f aca="false">IFERROR(INDEX($A$1:$A$5,MATCH(2,$F191:$J191,0)),IF(2=MAX($F191:$J191)+1,"取消",""))</f>
        <v>王师傅</v>
      </c>
      <c r="N191" s="0" t="str">
        <f aca="false">IFERROR(INDEX($A$1:$A$5,MATCH(3,$F191:$J191,0)),IF(3=MAX($F191:$J191)+1,"取消",""))</f>
        <v>陈师傅</v>
      </c>
      <c r="O191" s="0" t="str">
        <f aca="false">IFERROR(INDEX($A$1:$A$5,MATCH(4,$F191:$J191,0)),IF(4=MAX($F191:$J191)+1,"取消",""))</f>
        <v>刘师傅</v>
      </c>
      <c r="P191" s="0" t="str">
        <f aca="false">IFERROR(INDEX($A$1:$A$5,MATCH(5,$F191:$J191,0)),IF(5=MAX($F191:$J191)+1,"取消",""))</f>
        <v>取消</v>
      </c>
      <c r="Q191" s="0" t="str">
        <f aca="false">IFERROR(INDEX($A$1:$A$5,MATCH(6,$F191:$J191,0)),IF(6=MAX($F191:$J191)+1,"取消",""))</f>
        <v/>
      </c>
      <c r="S191" s="0" t="n">
        <f aca="false">IF(OR($A$1=入户维修!$F191,$A$1=入户维修!$G191,$BN$1=1),0,1-SUMPRODUCT(--(($A$1=入户维修!$F191)+($A$1=入户维修!$G191)+$BN$1&gt;0)))</f>
        <v>0</v>
      </c>
      <c r="T191" s="0" t="n">
        <f aca="false">IF(OR($A$2=入户维修!$F191,$A$2=入户维修!$G191,$BN$2=1),0,2-SUMPRODUCT(--(($A$1:$A$2=入户维修!$F191)+($A$1:$A$2=入户维修!$G191)+$BN$1:$BN$2&gt;0)))</f>
        <v>1</v>
      </c>
      <c r="U191" s="0" t="n">
        <f aca="false">IF(OR($A$3=入户维修!$F191,$A$3=入户维修!$G191,$BN$3=1),0,3-SUMPRODUCT(--(($A$1:$A$3=入户维修!$F191)+($A$1:$A$3=入户维修!$G191)+$BN$1:$BN$3&gt;0)))</f>
        <v>2</v>
      </c>
      <c r="V191" s="0" t="n">
        <f aca="false">IF(OR($A$4=入户维修!$F191,$A$4=入户维修!$G191,$BN$4=1),0,4-SUMPRODUCT(--(($A$1:$A$4=入户维修!$F191)+($A$1:$A$4=入户维修!$G191)+$BN$1:$BN$4&gt;0)))</f>
        <v>3</v>
      </c>
      <c r="W191" s="0" t="n">
        <f aca="false">IF(OR($A$5=入户维修!$F191,$A$5=入户维修!$G191,$BN$5=1),0,5-SUMPRODUCT(--(($A$1:$A$5=入户维修!$F191)+($A$1:$A$5=入户维修!$G191)+$BN$1:$BN$5&gt;0)))</f>
        <v>4</v>
      </c>
      <c r="Y191" s="0" t="str">
        <f aca="false">IFERROR(INDEX($A$1:$A$5,MATCH(1,$S191:$W191,0)),IF(1=MAX($S191:$W191)+1,"取消",""))</f>
        <v>李师傅</v>
      </c>
      <c r="Z191" s="0" t="str">
        <f aca="false">IFERROR(INDEX($A$1:$A$5,MATCH(2,$S191:$W191,0)),IF(2=MAX($S191:$W191)+1,"取消",""))</f>
        <v>王师傅</v>
      </c>
      <c r="AA191" s="0" t="str">
        <f aca="false">IFERROR(INDEX($A$1:$A$5,MATCH(3,$S191:$W191,0)),IF(3=MAX($S191:$W191)+1,"取消",""))</f>
        <v>陈师傅</v>
      </c>
      <c r="AB191" s="0" t="str">
        <f aca="false">IFERROR(INDEX($A$1:$A$5,MATCH(4,$S191:$W191,0)),IF(4=MAX($S191:$W191)+1,"取消",""))</f>
        <v>刘师傅</v>
      </c>
      <c r="AC191" s="0" t="str">
        <f aca="false">IFERROR(INDEX($A$1:$A$5,MATCH(5,$S191:$W191,0)),IF(5=MAX($S191:$W191)+1,"取消",""))</f>
        <v>取消</v>
      </c>
      <c r="AD191" s="0" t="str">
        <f aca="false">IFERROR(INDEX($A$1:$A$5,MATCH(6,$S191:$W191,0)),IF(6=MAX($S191:$W191)+1,"取消",""))</f>
        <v/>
      </c>
      <c r="AF191" s="0" t="n">
        <f aca="false">IF(OR($A$1=公区维修!$F191,$BN$1=1),0,1-SUMPRODUCT(--(($A$1=公区维修!$F191)+$BN$1&gt;0)))</f>
        <v>0</v>
      </c>
      <c r="AG191" s="0" t="n">
        <f aca="false">IF(OR($A$2=公区维修!$F191,$BN$2=1),0,2-SUMPRODUCT(--(($A$1:$A$2=公区维修!$F191)+$BN$1:$BN$2&gt;0)))</f>
        <v>1</v>
      </c>
      <c r="AH191" s="0" t="n">
        <f aca="false">IF(OR($A$3=公区维修!$F191,$BN$3=1),0,3-SUMPRODUCT(--(($A$1:$A$3=公区维修!$F191)+$BN$1:$BN$3&gt;0)))</f>
        <v>2</v>
      </c>
      <c r="AI191" s="0" t="n">
        <f aca="false">IF(OR($A$4=公区维修!$F191,$BN$4=1),0,4-SUMPRODUCT(--(($A$1:$A$4=公区维修!$F191)+$BN$1:$BN$4&gt;0)))</f>
        <v>3</v>
      </c>
      <c r="AJ191" s="0" t="n">
        <f aca="false">IF(OR($A$5=公区维修!$F191,$BN$5=1),0,5-SUMPRODUCT(--(($A$1:$A$5=公区维修!$F191)+$BN$1:$BN$5&gt;0)))</f>
        <v>4</v>
      </c>
      <c r="AL191" s="0" t="str">
        <f aca="false">IFERROR(INDEX($A$1:$A$5,MATCH(1,$AF191:$AJ191,0)),IF(1=MAX($AF191:$AJ191)+1,"取消",""))</f>
        <v>李师傅</v>
      </c>
      <c r="AM191" s="0" t="str">
        <f aca="false">IFERROR(INDEX($A$1:$A$5,MATCH(2,$AF191:$AJ191,0)),IF(2=MAX($AF191:$AJ191)+1,"取消",""))</f>
        <v>王师傅</v>
      </c>
      <c r="AN191" s="0" t="str">
        <f aca="false">IFERROR(INDEX($A$1:$A$5,MATCH(3,$AF191:$AJ191,0)),IF(3=MAX($AF191:$AJ191)+1,"取消",""))</f>
        <v>陈师傅</v>
      </c>
      <c r="AO191" s="0" t="str">
        <f aca="false">IFERROR(INDEX($A$1:$A$5,MATCH(4,$AF191:$AJ191,0)),IF(4=MAX($AF191:$AJ191)+1,"取消",""))</f>
        <v>刘师傅</v>
      </c>
      <c r="AP191" s="0" t="str">
        <f aca="false">IFERROR(INDEX($A$1:$A$5,MATCH(5,$AF191:$AJ191,0)),IF(5=MAX($AF191:$AJ191)+1,"取消",""))</f>
        <v>取消</v>
      </c>
      <c r="AQ191" s="0" t="str">
        <f aca="false">IFERROR(INDEX($A$1:$A$5,MATCH(6,$AF191:$AJ191,0)),IF(6=MAX($AF191:$AJ191)+1,"取消",""))</f>
        <v/>
      </c>
      <c r="AS191" s="0" t="n">
        <f aca="false">IF(OR($A$1=公区维修!$F191,$A$1=公区维修!$G191,$BN$1=1),0,1-SUMPRODUCT(--(($A$1=公区维修!$F191)+($A$1=公区维修!$G191)+$BN$1&gt;0)))</f>
        <v>0</v>
      </c>
      <c r="AT191" s="0" t="n">
        <f aca="false">IF(OR($A$2=公区维修!$F191,$A$2=公区维修!$G191,$BN$2=1),0,2-SUMPRODUCT(--(($A$1:$A$2=公区维修!$F191)+($A$1:$A$2=公区维修!$G191)+$BN$1:$BN$2&gt;0)))</f>
        <v>1</v>
      </c>
      <c r="AU191" s="0" t="n">
        <f aca="false">IF(OR($A$3=公区维修!$F191,$A$3=公区维修!$G191,$BN$3=1),0,3-SUMPRODUCT(--(($A$1:$A$3=公区维修!$F191)+($A$1:$A$3=公区维修!$G191)+$BN$1:$BN$3&gt;0)))</f>
        <v>2</v>
      </c>
      <c r="AV191" s="0" t="n">
        <f aca="false">IF(OR($A$4=公区维修!$F191,$A$4=公区维修!$G191,$BN$4=1),0,4-SUMPRODUCT(--(($A$1:$A$4=公区维修!$F191)+($A$1:$A$4=公区维修!$G191)+$BN$1:$BN$4&gt;0)))</f>
        <v>3</v>
      </c>
      <c r="AW191" s="0" t="n">
        <f aca="false">IF(OR($A$5=公区维修!$F191,$A$5=公区维修!$G191,$BN$5=1),0,5-SUMPRODUCT(--(($A$1:$A$5=公区维修!$F191)+($A$1:$A$5=公区维修!$G191)+$BN$1:$BN$5&gt;0)))</f>
        <v>4</v>
      </c>
      <c r="AY191" s="0" t="str">
        <f aca="false">IFERROR(INDEX($A$1:$A$5,MATCH(1,$AS191:$AW191,0)),IF(1=MAX($AS191:$AW191)+1,"取消",""))</f>
        <v>李师傅</v>
      </c>
      <c r="AZ191" s="0" t="str">
        <f aca="false">IFERROR(INDEX($A$1:$A$5,MATCH(2,$AS191:$AW191,0)),IF(2=MAX($AS191:$AW191)+1,"取消",""))</f>
        <v>王师傅</v>
      </c>
      <c r="BA191" s="0" t="str">
        <f aca="false">IFERROR(INDEX($A$1:$A$5,MATCH(3,$AS191:$AW191,0)),IF(3=MAX($AS191:$AW191)+1,"取消",""))</f>
        <v>陈师傅</v>
      </c>
      <c r="BB191" s="0" t="str">
        <f aca="false">IFERROR(INDEX($A$1:$A$5,MATCH(4,$AS191:$AW191,0)),IF(4=MAX($AS191:$AW191)+1,"取消",""))</f>
        <v>刘师傅</v>
      </c>
      <c r="BC191" s="0" t="str">
        <f aca="false">IFERROR(INDEX($A$1:$A$5,MATCH(5,$AS191:$AW191,0)),IF(5=MAX($AS191:$AW191)+1,"取消",""))</f>
        <v>取消</v>
      </c>
      <c r="BD191" s="0" t="str">
        <f aca="false">IFERROR(INDEX($A$1:$A$5,MATCH(6,$AS191:$AW191,0)),IF(6=MAX($AS191:$AW191)+1,"取消",""))</f>
        <v/>
      </c>
      <c r="FW191" s="0" t="str">
        <f aca="false">IF(AND(单元查询!$D$3&lt;&gt;"",IF(单元查询!$B$3="公区维修",公区维修!$E191&lt;&gt;"",入户维修!$E191&lt;&gt;""),IF(单元查询!$B$3="公区维修",公区维修!$C191,入户维修!$C191)=单元查询!$D$3,OR(单元查询!$F$3="",IF(单元查询!$B$3="公区维修",公区维修!$D191,入户维修!$D191)&amp;""=(单元查询!$F$3)&amp;"")),MAX($FW$4:$FW190)+1,"")</f>
        <v/>
      </c>
    </row>
    <row r="192" customFormat="false" ht="15" hidden="false" customHeight="true" outlineLevel="0" collapsed="false">
      <c r="F192" s="0" t="n">
        <f aca="false">IF(OR($A$1=入户维修!$F192,$BN$1=1),0,1-SUMPRODUCT(--(($A$1=入户维修!$F192)+$BN$1&gt;0)))</f>
        <v>0</v>
      </c>
      <c r="G192" s="0" t="n">
        <f aca="false">IF(OR($A$2=入户维修!$F192,$BN$2=1),0,2-SUMPRODUCT(--(($A$1:$A$2=入户维修!$F192)+$BN$1:$BN$2&gt;0)))</f>
        <v>1</v>
      </c>
      <c r="H192" s="0" t="n">
        <f aca="false">IF(OR($A$3=入户维修!$F192,$BN$3=1),0,3-SUMPRODUCT(--(($A$1:$A$3=入户维修!$F192)+$BN$1:$BN$3&gt;0)))</f>
        <v>2</v>
      </c>
      <c r="I192" s="0" t="n">
        <f aca="false">IF(OR($A$4=入户维修!$F192,$BN$4=1),0,4-SUMPRODUCT(--(($A$1:$A$4=入户维修!$F192)+$BN$1:$BN$4&gt;0)))</f>
        <v>3</v>
      </c>
      <c r="J192" s="0" t="n">
        <f aca="false">IF(OR($A$5=入户维修!$F192,$BN$5=1),0,5-SUMPRODUCT(--(($A$1:$A$5=入户维修!$F192)+$BN$1:$BN$5&gt;0)))</f>
        <v>4</v>
      </c>
      <c r="L192" s="0" t="str">
        <f aca="false">IFERROR(INDEX($A$1:$A$5,MATCH(1,$F192:$J192,0)),IF(1=MAX($F192:$J192)+1,"取消",""))</f>
        <v>李师傅</v>
      </c>
      <c r="M192" s="0" t="str">
        <f aca="false">IFERROR(INDEX($A$1:$A$5,MATCH(2,$F192:$J192,0)),IF(2=MAX($F192:$J192)+1,"取消",""))</f>
        <v>王师傅</v>
      </c>
      <c r="N192" s="0" t="str">
        <f aca="false">IFERROR(INDEX($A$1:$A$5,MATCH(3,$F192:$J192,0)),IF(3=MAX($F192:$J192)+1,"取消",""))</f>
        <v>陈师傅</v>
      </c>
      <c r="O192" s="0" t="str">
        <f aca="false">IFERROR(INDEX($A$1:$A$5,MATCH(4,$F192:$J192,0)),IF(4=MAX($F192:$J192)+1,"取消",""))</f>
        <v>刘师傅</v>
      </c>
      <c r="P192" s="0" t="str">
        <f aca="false">IFERROR(INDEX($A$1:$A$5,MATCH(5,$F192:$J192,0)),IF(5=MAX($F192:$J192)+1,"取消",""))</f>
        <v>取消</v>
      </c>
      <c r="Q192" s="0" t="str">
        <f aca="false">IFERROR(INDEX($A$1:$A$5,MATCH(6,$F192:$J192,0)),IF(6=MAX($F192:$J192)+1,"取消",""))</f>
        <v/>
      </c>
      <c r="S192" s="0" t="n">
        <f aca="false">IF(OR($A$1=入户维修!$F192,$A$1=入户维修!$G192,$BN$1=1),0,1-SUMPRODUCT(--(($A$1=入户维修!$F192)+($A$1=入户维修!$G192)+$BN$1&gt;0)))</f>
        <v>0</v>
      </c>
      <c r="T192" s="0" t="n">
        <f aca="false">IF(OR($A$2=入户维修!$F192,$A$2=入户维修!$G192,$BN$2=1),0,2-SUMPRODUCT(--(($A$1:$A$2=入户维修!$F192)+($A$1:$A$2=入户维修!$G192)+$BN$1:$BN$2&gt;0)))</f>
        <v>1</v>
      </c>
      <c r="U192" s="0" t="n">
        <f aca="false">IF(OR($A$3=入户维修!$F192,$A$3=入户维修!$G192,$BN$3=1),0,3-SUMPRODUCT(--(($A$1:$A$3=入户维修!$F192)+($A$1:$A$3=入户维修!$G192)+$BN$1:$BN$3&gt;0)))</f>
        <v>2</v>
      </c>
      <c r="V192" s="0" t="n">
        <f aca="false">IF(OR($A$4=入户维修!$F192,$A$4=入户维修!$G192,$BN$4=1),0,4-SUMPRODUCT(--(($A$1:$A$4=入户维修!$F192)+($A$1:$A$4=入户维修!$G192)+$BN$1:$BN$4&gt;0)))</f>
        <v>3</v>
      </c>
      <c r="W192" s="0" t="n">
        <f aca="false">IF(OR($A$5=入户维修!$F192,$A$5=入户维修!$G192,$BN$5=1),0,5-SUMPRODUCT(--(($A$1:$A$5=入户维修!$F192)+($A$1:$A$5=入户维修!$G192)+$BN$1:$BN$5&gt;0)))</f>
        <v>4</v>
      </c>
      <c r="Y192" s="0" t="str">
        <f aca="false">IFERROR(INDEX($A$1:$A$5,MATCH(1,$S192:$W192,0)),IF(1=MAX($S192:$W192)+1,"取消",""))</f>
        <v>李师傅</v>
      </c>
      <c r="Z192" s="0" t="str">
        <f aca="false">IFERROR(INDEX($A$1:$A$5,MATCH(2,$S192:$W192,0)),IF(2=MAX($S192:$W192)+1,"取消",""))</f>
        <v>王师傅</v>
      </c>
      <c r="AA192" s="0" t="str">
        <f aca="false">IFERROR(INDEX($A$1:$A$5,MATCH(3,$S192:$W192,0)),IF(3=MAX($S192:$W192)+1,"取消",""))</f>
        <v>陈师傅</v>
      </c>
      <c r="AB192" s="0" t="str">
        <f aca="false">IFERROR(INDEX($A$1:$A$5,MATCH(4,$S192:$W192,0)),IF(4=MAX($S192:$W192)+1,"取消",""))</f>
        <v>刘师傅</v>
      </c>
      <c r="AC192" s="0" t="str">
        <f aca="false">IFERROR(INDEX($A$1:$A$5,MATCH(5,$S192:$W192,0)),IF(5=MAX($S192:$W192)+1,"取消",""))</f>
        <v>取消</v>
      </c>
      <c r="AD192" s="0" t="str">
        <f aca="false">IFERROR(INDEX($A$1:$A$5,MATCH(6,$S192:$W192,0)),IF(6=MAX($S192:$W192)+1,"取消",""))</f>
        <v/>
      </c>
      <c r="AF192" s="0" t="n">
        <f aca="false">IF(OR($A$1=公区维修!$F192,$BN$1=1),0,1-SUMPRODUCT(--(($A$1=公区维修!$F192)+$BN$1&gt;0)))</f>
        <v>0</v>
      </c>
      <c r="AG192" s="0" t="n">
        <f aca="false">IF(OR($A$2=公区维修!$F192,$BN$2=1),0,2-SUMPRODUCT(--(($A$1:$A$2=公区维修!$F192)+$BN$1:$BN$2&gt;0)))</f>
        <v>1</v>
      </c>
      <c r="AH192" s="0" t="n">
        <f aca="false">IF(OR($A$3=公区维修!$F192,$BN$3=1),0,3-SUMPRODUCT(--(($A$1:$A$3=公区维修!$F192)+$BN$1:$BN$3&gt;0)))</f>
        <v>2</v>
      </c>
      <c r="AI192" s="0" t="n">
        <f aca="false">IF(OR($A$4=公区维修!$F192,$BN$4=1),0,4-SUMPRODUCT(--(($A$1:$A$4=公区维修!$F192)+$BN$1:$BN$4&gt;0)))</f>
        <v>3</v>
      </c>
      <c r="AJ192" s="0" t="n">
        <f aca="false">IF(OR($A$5=公区维修!$F192,$BN$5=1),0,5-SUMPRODUCT(--(($A$1:$A$5=公区维修!$F192)+$BN$1:$BN$5&gt;0)))</f>
        <v>4</v>
      </c>
      <c r="AL192" s="0" t="str">
        <f aca="false">IFERROR(INDEX($A$1:$A$5,MATCH(1,$AF192:$AJ192,0)),IF(1=MAX($AF192:$AJ192)+1,"取消",""))</f>
        <v>李师傅</v>
      </c>
      <c r="AM192" s="0" t="str">
        <f aca="false">IFERROR(INDEX($A$1:$A$5,MATCH(2,$AF192:$AJ192,0)),IF(2=MAX($AF192:$AJ192)+1,"取消",""))</f>
        <v>王师傅</v>
      </c>
      <c r="AN192" s="0" t="str">
        <f aca="false">IFERROR(INDEX($A$1:$A$5,MATCH(3,$AF192:$AJ192,0)),IF(3=MAX($AF192:$AJ192)+1,"取消",""))</f>
        <v>陈师傅</v>
      </c>
      <c r="AO192" s="0" t="str">
        <f aca="false">IFERROR(INDEX($A$1:$A$5,MATCH(4,$AF192:$AJ192,0)),IF(4=MAX($AF192:$AJ192)+1,"取消",""))</f>
        <v>刘师傅</v>
      </c>
      <c r="AP192" s="0" t="str">
        <f aca="false">IFERROR(INDEX($A$1:$A$5,MATCH(5,$AF192:$AJ192,0)),IF(5=MAX($AF192:$AJ192)+1,"取消",""))</f>
        <v>取消</v>
      </c>
      <c r="AQ192" s="0" t="str">
        <f aca="false">IFERROR(INDEX($A$1:$A$5,MATCH(6,$AF192:$AJ192,0)),IF(6=MAX($AF192:$AJ192)+1,"取消",""))</f>
        <v/>
      </c>
      <c r="AS192" s="0" t="n">
        <f aca="false">IF(OR($A$1=公区维修!$F192,$A$1=公区维修!$G192,$BN$1=1),0,1-SUMPRODUCT(--(($A$1=公区维修!$F192)+($A$1=公区维修!$G192)+$BN$1&gt;0)))</f>
        <v>0</v>
      </c>
      <c r="AT192" s="0" t="n">
        <f aca="false">IF(OR($A$2=公区维修!$F192,$A$2=公区维修!$G192,$BN$2=1),0,2-SUMPRODUCT(--(($A$1:$A$2=公区维修!$F192)+($A$1:$A$2=公区维修!$G192)+$BN$1:$BN$2&gt;0)))</f>
        <v>1</v>
      </c>
      <c r="AU192" s="0" t="n">
        <f aca="false">IF(OR($A$3=公区维修!$F192,$A$3=公区维修!$G192,$BN$3=1),0,3-SUMPRODUCT(--(($A$1:$A$3=公区维修!$F192)+($A$1:$A$3=公区维修!$G192)+$BN$1:$BN$3&gt;0)))</f>
        <v>2</v>
      </c>
      <c r="AV192" s="0" t="n">
        <f aca="false">IF(OR($A$4=公区维修!$F192,$A$4=公区维修!$G192,$BN$4=1),0,4-SUMPRODUCT(--(($A$1:$A$4=公区维修!$F192)+($A$1:$A$4=公区维修!$G192)+$BN$1:$BN$4&gt;0)))</f>
        <v>3</v>
      </c>
      <c r="AW192" s="0" t="n">
        <f aca="false">IF(OR($A$5=公区维修!$F192,$A$5=公区维修!$G192,$BN$5=1),0,5-SUMPRODUCT(--(($A$1:$A$5=公区维修!$F192)+($A$1:$A$5=公区维修!$G192)+$BN$1:$BN$5&gt;0)))</f>
        <v>4</v>
      </c>
      <c r="AY192" s="0" t="str">
        <f aca="false">IFERROR(INDEX($A$1:$A$5,MATCH(1,$AS192:$AW192,0)),IF(1=MAX($AS192:$AW192)+1,"取消",""))</f>
        <v>李师傅</v>
      </c>
      <c r="AZ192" s="0" t="str">
        <f aca="false">IFERROR(INDEX($A$1:$A$5,MATCH(2,$AS192:$AW192,0)),IF(2=MAX($AS192:$AW192)+1,"取消",""))</f>
        <v>王师傅</v>
      </c>
      <c r="BA192" s="0" t="str">
        <f aca="false">IFERROR(INDEX($A$1:$A$5,MATCH(3,$AS192:$AW192,0)),IF(3=MAX($AS192:$AW192)+1,"取消",""))</f>
        <v>陈师傅</v>
      </c>
      <c r="BB192" s="0" t="str">
        <f aca="false">IFERROR(INDEX($A$1:$A$5,MATCH(4,$AS192:$AW192,0)),IF(4=MAX($AS192:$AW192)+1,"取消",""))</f>
        <v>刘师傅</v>
      </c>
      <c r="BC192" s="0" t="str">
        <f aca="false">IFERROR(INDEX($A$1:$A$5,MATCH(5,$AS192:$AW192,0)),IF(5=MAX($AS192:$AW192)+1,"取消",""))</f>
        <v>取消</v>
      </c>
      <c r="BD192" s="0" t="str">
        <f aca="false">IFERROR(INDEX($A$1:$A$5,MATCH(6,$AS192:$AW192,0)),IF(6=MAX($AS192:$AW192)+1,"取消",""))</f>
        <v/>
      </c>
      <c r="FW192" s="0" t="str">
        <f aca="false">IF(AND(单元查询!$D$3&lt;&gt;"",IF(单元查询!$B$3="公区维修",公区维修!$E192&lt;&gt;"",入户维修!$E192&lt;&gt;""),IF(单元查询!$B$3="公区维修",公区维修!$C192,入户维修!$C192)=单元查询!$D$3,OR(单元查询!$F$3="",IF(单元查询!$B$3="公区维修",公区维修!$D192,入户维修!$D192)&amp;""=(单元查询!$F$3)&amp;"")),MAX($FW$4:$FW191)+1,"")</f>
        <v/>
      </c>
    </row>
    <row r="193" customFormat="false" ht="15" hidden="false" customHeight="true" outlineLevel="0" collapsed="false">
      <c r="F193" s="0" t="n">
        <f aca="false">IF(OR($A$1=入户维修!$F193,$BN$1=1),0,1-SUMPRODUCT(--(($A$1=入户维修!$F193)+$BN$1&gt;0)))</f>
        <v>0</v>
      </c>
      <c r="G193" s="0" t="n">
        <f aca="false">IF(OR($A$2=入户维修!$F193,$BN$2=1),0,2-SUMPRODUCT(--(($A$1:$A$2=入户维修!$F193)+$BN$1:$BN$2&gt;0)))</f>
        <v>1</v>
      </c>
      <c r="H193" s="0" t="n">
        <f aca="false">IF(OR($A$3=入户维修!$F193,$BN$3=1),0,3-SUMPRODUCT(--(($A$1:$A$3=入户维修!$F193)+$BN$1:$BN$3&gt;0)))</f>
        <v>2</v>
      </c>
      <c r="I193" s="0" t="n">
        <f aca="false">IF(OR($A$4=入户维修!$F193,$BN$4=1),0,4-SUMPRODUCT(--(($A$1:$A$4=入户维修!$F193)+$BN$1:$BN$4&gt;0)))</f>
        <v>3</v>
      </c>
      <c r="J193" s="0" t="n">
        <f aca="false">IF(OR($A$5=入户维修!$F193,$BN$5=1),0,5-SUMPRODUCT(--(($A$1:$A$5=入户维修!$F193)+$BN$1:$BN$5&gt;0)))</f>
        <v>4</v>
      </c>
      <c r="L193" s="0" t="str">
        <f aca="false">IFERROR(INDEX($A$1:$A$5,MATCH(1,$F193:$J193,0)),IF(1=MAX($F193:$J193)+1,"取消",""))</f>
        <v>李师傅</v>
      </c>
      <c r="M193" s="0" t="str">
        <f aca="false">IFERROR(INDEX($A$1:$A$5,MATCH(2,$F193:$J193,0)),IF(2=MAX($F193:$J193)+1,"取消",""))</f>
        <v>王师傅</v>
      </c>
      <c r="N193" s="0" t="str">
        <f aca="false">IFERROR(INDEX($A$1:$A$5,MATCH(3,$F193:$J193,0)),IF(3=MAX($F193:$J193)+1,"取消",""))</f>
        <v>陈师傅</v>
      </c>
      <c r="O193" s="0" t="str">
        <f aca="false">IFERROR(INDEX($A$1:$A$5,MATCH(4,$F193:$J193,0)),IF(4=MAX($F193:$J193)+1,"取消",""))</f>
        <v>刘师傅</v>
      </c>
      <c r="P193" s="0" t="str">
        <f aca="false">IFERROR(INDEX($A$1:$A$5,MATCH(5,$F193:$J193,0)),IF(5=MAX($F193:$J193)+1,"取消",""))</f>
        <v>取消</v>
      </c>
      <c r="Q193" s="0" t="str">
        <f aca="false">IFERROR(INDEX($A$1:$A$5,MATCH(6,$F193:$J193,0)),IF(6=MAX($F193:$J193)+1,"取消",""))</f>
        <v/>
      </c>
      <c r="S193" s="0" t="n">
        <f aca="false">IF(OR($A$1=入户维修!$F193,$A$1=入户维修!$G193,$BN$1=1),0,1-SUMPRODUCT(--(($A$1=入户维修!$F193)+($A$1=入户维修!$G193)+$BN$1&gt;0)))</f>
        <v>0</v>
      </c>
      <c r="T193" s="0" t="n">
        <f aca="false">IF(OR($A$2=入户维修!$F193,$A$2=入户维修!$G193,$BN$2=1),0,2-SUMPRODUCT(--(($A$1:$A$2=入户维修!$F193)+($A$1:$A$2=入户维修!$G193)+$BN$1:$BN$2&gt;0)))</f>
        <v>1</v>
      </c>
      <c r="U193" s="0" t="n">
        <f aca="false">IF(OR($A$3=入户维修!$F193,$A$3=入户维修!$G193,$BN$3=1),0,3-SUMPRODUCT(--(($A$1:$A$3=入户维修!$F193)+($A$1:$A$3=入户维修!$G193)+$BN$1:$BN$3&gt;0)))</f>
        <v>2</v>
      </c>
      <c r="V193" s="0" t="n">
        <f aca="false">IF(OR($A$4=入户维修!$F193,$A$4=入户维修!$G193,$BN$4=1),0,4-SUMPRODUCT(--(($A$1:$A$4=入户维修!$F193)+($A$1:$A$4=入户维修!$G193)+$BN$1:$BN$4&gt;0)))</f>
        <v>3</v>
      </c>
      <c r="W193" s="0" t="n">
        <f aca="false">IF(OR($A$5=入户维修!$F193,$A$5=入户维修!$G193,$BN$5=1),0,5-SUMPRODUCT(--(($A$1:$A$5=入户维修!$F193)+($A$1:$A$5=入户维修!$G193)+$BN$1:$BN$5&gt;0)))</f>
        <v>4</v>
      </c>
      <c r="Y193" s="0" t="str">
        <f aca="false">IFERROR(INDEX($A$1:$A$5,MATCH(1,$S193:$W193,0)),IF(1=MAX($S193:$W193)+1,"取消",""))</f>
        <v>李师傅</v>
      </c>
      <c r="Z193" s="0" t="str">
        <f aca="false">IFERROR(INDEX($A$1:$A$5,MATCH(2,$S193:$W193,0)),IF(2=MAX($S193:$W193)+1,"取消",""))</f>
        <v>王师傅</v>
      </c>
      <c r="AA193" s="0" t="str">
        <f aca="false">IFERROR(INDEX($A$1:$A$5,MATCH(3,$S193:$W193,0)),IF(3=MAX($S193:$W193)+1,"取消",""))</f>
        <v>陈师傅</v>
      </c>
      <c r="AB193" s="0" t="str">
        <f aca="false">IFERROR(INDEX($A$1:$A$5,MATCH(4,$S193:$W193,0)),IF(4=MAX($S193:$W193)+1,"取消",""))</f>
        <v>刘师傅</v>
      </c>
      <c r="AC193" s="0" t="str">
        <f aca="false">IFERROR(INDEX($A$1:$A$5,MATCH(5,$S193:$W193,0)),IF(5=MAX($S193:$W193)+1,"取消",""))</f>
        <v>取消</v>
      </c>
      <c r="AD193" s="0" t="str">
        <f aca="false">IFERROR(INDEX($A$1:$A$5,MATCH(6,$S193:$W193,0)),IF(6=MAX($S193:$W193)+1,"取消",""))</f>
        <v/>
      </c>
      <c r="AF193" s="0" t="n">
        <f aca="false">IF(OR($A$1=公区维修!$F193,$BN$1=1),0,1-SUMPRODUCT(--(($A$1=公区维修!$F193)+$BN$1&gt;0)))</f>
        <v>0</v>
      </c>
      <c r="AG193" s="0" t="n">
        <f aca="false">IF(OR($A$2=公区维修!$F193,$BN$2=1),0,2-SUMPRODUCT(--(($A$1:$A$2=公区维修!$F193)+$BN$1:$BN$2&gt;0)))</f>
        <v>1</v>
      </c>
      <c r="AH193" s="0" t="n">
        <f aca="false">IF(OR($A$3=公区维修!$F193,$BN$3=1),0,3-SUMPRODUCT(--(($A$1:$A$3=公区维修!$F193)+$BN$1:$BN$3&gt;0)))</f>
        <v>2</v>
      </c>
      <c r="AI193" s="0" t="n">
        <f aca="false">IF(OR($A$4=公区维修!$F193,$BN$4=1),0,4-SUMPRODUCT(--(($A$1:$A$4=公区维修!$F193)+$BN$1:$BN$4&gt;0)))</f>
        <v>3</v>
      </c>
      <c r="AJ193" s="0" t="n">
        <f aca="false">IF(OR($A$5=公区维修!$F193,$BN$5=1),0,5-SUMPRODUCT(--(($A$1:$A$5=公区维修!$F193)+$BN$1:$BN$5&gt;0)))</f>
        <v>4</v>
      </c>
      <c r="AL193" s="0" t="str">
        <f aca="false">IFERROR(INDEX($A$1:$A$5,MATCH(1,$AF193:$AJ193,0)),IF(1=MAX($AF193:$AJ193)+1,"取消",""))</f>
        <v>李师傅</v>
      </c>
      <c r="AM193" s="0" t="str">
        <f aca="false">IFERROR(INDEX($A$1:$A$5,MATCH(2,$AF193:$AJ193,0)),IF(2=MAX($AF193:$AJ193)+1,"取消",""))</f>
        <v>王师傅</v>
      </c>
      <c r="AN193" s="0" t="str">
        <f aca="false">IFERROR(INDEX($A$1:$A$5,MATCH(3,$AF193:$AJ193,0)),IF(3=MAX($AF193:$AJ193)+1,"取消",""))</f>
        <v>陈师傅</v>
      </c>
      <c r="AO193" s="0" t="str">
        <f aca="false">IFERROR(INDEX($A$1:$A$5,MATCH(4,$AF193:$AJ193,0)),IF(4=MAX($AF193:$AJ193)+1,"取消",""))</f>
        <v>刘师傅</v>
      </c>
      <c r="AP193" s="0" t="str">
        <f aca="false">IFERROR(INDEX($A$1:$A$5,MATCH(5,$AF193:$AJ193,0)),IF(5=MAX($AF193:$AJ193)+1,"取消",""))</f>
        <v>取消</v>
      </c>
      <c r="AQ193" s="0" t="str">
        <f aca="false">IFERROR(INDEX($A$1:$A$5,MATCH(6,$AF193:$AJ193,0)),IF(6=MAX($AF193:$AJ193)+1,"取消",""))</f>
        <v/>
      </c>
      <c r="AS193" s="0" t="n">
        <f aca="false">IF(OR($A$1=公区维修!$F193,$A$1=公区维修!$G193,$BN$1=1),0,1-SUMPRODUCT(--(($A$1=公区维修!$F193)+($A$1=公区维修!$G193)+$BN$1&gt;0)))</f>
        <v>0</v>
      </c>
      <c r="AT193" s="0" t="n">
        <f aca="false">IF(OR($A$2=公区维修!$F193,$A$2=公区维修!$G193,$BN$2=1),0,2-SUMPRODUCT(--(($A$1:$A$2=公区维修!$F193)+($A$1:$A$2=公区维修!$G193)+$BN$1:$BN$2&gt;0)))</f>
        <v>1</v>
      </c>
      <c r="AU193" s="0" t="n">
        <f aca="false">IF(OR($A$3=公区维修!$F193,$A$3=公区维修!$G193,$BN$3=1),0,3-SUMPRODUCT(--(($A$1:$A$3=公区维修!$F193)+($A$1:$A$3=公区维修!$G193)+$BN$1:$BN$3&gt;0)))</f>
        <v>2</v>
      </c>
      <c r="AV193" s="0" t="n">
        <f aca="false">IF(OR($A$4=公区维修!$F193,$A$4=公区维修!$G193,$BN$4=1),0,4-SUMPRODUCT(--(($A$1:$A$4=公区维修!$F193)+($A$1:$A$4=公区维修!$G193)+$BN$1:$BN$4&gt;0)))</f>
        <v>3</v>
      </c>
      <c r="AW193" s="0" t="n">
        <f aca="false">IF(OR($A$5=公区维修!$F193,$A$5=公区维修!$G193,$BN$5=1),0,5-SUMPRODUCT(--(($A$1:$A$5=公区维修!$F193)+($A$1:$A$5=公区维修!$G193)+$BN$1:$BN$5&gt;0)))</f>
        <v>4</v>
      </c>
      <c r="AY193" s="0" t="str">
        <f aca="false">IFERROR(INDEX($A$1:$A$5,MATCH(1,$AS193:$AW193,0)),IF(1=MAX($AS193:$AW193)+1,"取消",""))</f>
        <v>李师傅</v>
      </c>
      <c r="AZ193" s="0" t="str">
        <f aca="false">IFERROR(INDEX($A$1:$A$5,MATCH(2,$AS193:$AW193,0)),IF(2=MAX($AS193:$AW193)+1,"取消",""))</f>
        <v>王师傅</v>
      </c>
      <c r="BA193" s="0" t="str">
        <f aca="false">IFERROR(INDEX($A$1:$A$5,MATCH(3,$AS193:$AW193,0)),IF(3=MAX($AS193:$AW193)+1,"取消",""))</f>
        <v>陈师傅</v>
      </c>
      <c r="BB193" s="0" t="str">
        <f aca="false">IFERROR(INDEX($A$1:$A$5,MATCH(4,$AS193:$AW193,0)),IF(4=MAX($AS193:$AW193)+1,"取消",""))</f>
        <v>刘师傅</v>
      </c>
      <c r="BC193" s="0" t="str">
        <f aca="false">IFERROR(INDEX($A$1:$A$5,MATCH(5,$AS193:$AW193,0)),IF(5=MAX($AS193:$AW193)+1,"取消",""))</f>
        <v>取消</v>
      </c>
      <c r="BD193" s="0" t="str">
        <f aca="false">IFERROR(INDEX($A$1:$A$5,MATCH(6,$AS193:$AW193,0)),IF(6=MAX($AS193:$AW193)+1,"取消",""))</f>
        <v/>
      </c>
      <c r="FW193" s="0" t="str">
        <f aca="false">IF(AND(单元查询!$D$3&lt;&gt;"",IF(单元查询!$B$3="公区维修",公区维修!$E193&lt;&gt;"",入户维修!$E193&lt;&gt;""),IF(单元查询!$B$3="公区维修",公区维修!$C193,入户维修!$C193)=单元查询!$D$3,OR(单元查询!$F$3="",IF(单元查询!$B$3="公区维修",公区维修!$D193,入户维修!$D193)&amp;""=(单元查询!$F$3)&amp;"")),MAX($FW$4:$FW192)+1,"")</f>
        <v/>
      </c>
    </row>
    <row r="194" customFormat="false" ht="15" hidden="false" customHeight="true" outlineLevel="0" collapsed="false">
      <c r="F194" s="0" t="n">
        <f aca="false">IF(OR($A$1=入户维修!$F194,$BN$1=1),0,1-SUMPRODUCT(--(($A$1=入户维修!$F194)+$BN$1&gt;0)))</f>
        <v>0</v>
      </c>
      <c r="G194" s="0" t="n">
        <f aca="false">IF(OR($A$2=入户维修!$F194,$BN$2=1),0,2-SUMPRODUCT(--(($A$1:$A$2=入户维修!$F194)+$BN$1:$BN$2&gt;0)))</f>
        <v>1</v>
      </c>
      <c r="H194" s="0" t="n">
        <f aca="false">IF(OR($A$3=入户维修!$F194,$BN$3=1),0,3-SUMPRODUCT(--(($A$1:$A$3=入户维修!$F194)+$BN$1:$BN$3&gt;0)))</f>
        <v>2</v>
      </c>
      <c r="I194" s="0" t="n">
        <f aca="false">IF(OR($A$4=入户维修!$F194,$BN$4=1),0,4-SUMPRODUCT(--(($A$1:$A$4=入户维修!$F194)+$BN$1:$BN$4&gt;0)))</f>
        <v>3</v>
      </c>
      <c r="J194" s="0" t="n">
        <f aca="false">IF(OR($A$5=入户维修!$F194,$BN$5=1),0,5-SUMPRODUCT(--(($A$1:$A$5=入户维修!$F194)+$BN$1:$BN$5&gt;0)))</f>
        <v>4</v>
      </c>
      <c r="L194" s="0" t="str">
        <f aca="false">IFERROR(INDEX($A$1:$A$5,MATCH(1,$F194:$J194,0)),IF(1=MAX($F194:$J194)+1,"取消",""))</f>
        <v>李师傅</v>
      </c>
      <c r="M194" s="0" t="str">
        <f aca="false">IFERROR(INDEX($A$1:$A$5,MATCH(2,$F194:$J194,0)),IF(2=MAX($F194:$J194)+1,"取消",""))</f>
        <v>王师傅</v>
      </c>
      <c r="N194" s="0" t="str">
        <f aca="false">IFERROR(INDEX($A$1:$A$5,MATCH(3,$F194:$J194,0)),IF(3=MAX($F194:$J194)+1,"取消",""))</f>
        <v>陈师傅</v>
      </c>
      <c r="O194" s="0" t="str">
        <f aca="false">IFERROR(INDEX($A$1:$A$5,MATCH(4,$F194:$J194,0)),IF(4=MAX($F194:$J194)+1,"取消",""))</f>
        <v>刘师傅</v>
      </c>
      <c r="P194" s="0" t="str">
        <f aca="false">IFERROR(INDEX($A$1:$A$5,MATCH(5,$F194:$J194,0)),IF(5=MAX($F194:$J194)+1,"取消",""))</f>
        <v>取消</v>
      </c>
      <c r="Q194" s="0" t="str">
        <f aca="false">IFERROR(INDEX($A$1:$A$5,MATCH(6,$F194:$J194,0)),IF(6=MAX($F194:$J194)+1,"取消",""))</f>
        <v/>
      </c>
      <c r="S194" s="0" t="n">
        <f aca="false">IF(OR($A$1=入户维修!$F194,$A$1=入户维修!$G194,$BN$1=1),0,1-SUMPRODUCT(--(($A$1=入户维修!$F194)+($A$1=入户维修!$G194)+$BN$1&gt;0)))</f>
        <v>0</v>
      </c>
      <c r="T194" s="0" t="n">
        <f aca="false">IF(OR($A$2=入户维修!$F194,$A$2=入户维修!$G194,$BN$2=1),0,2-SUMPRODUCT(--(($A$1:$A$2=入户维修!$F194)+($A$1:$A$2=入户维修!$G194)+$BN$1:$BN$2&gt;0)))</f>
        <v>1</v>
      </c>
      <c r="U194" s="0" t="n">
        <f aca="false">IF(OR($A$3=入户维修!$F194,$A$3=入户维修!$G194,$BN$3=1),0,3-SUMPRODUCT(--(($A$1:$A$3=入户维修!$F194)+($A$1:$A$3=入户维修!$G194)+$BN$1:$BN$3&gt;0)))</f>
        <v>2</v>
      </c>
      <c r="V194" s="0" t="n">
        <f aca="false">IF(OR($A$4=入户维修!$F194,$A$4=入户维修!$G194,$BN$4=1),0,4-SUMPRODUCT(--(($A$1:$A$4=入户维修!$F194)+($A$1:$A$4=入户维修!$G194)+$BN$1:$BN$4&gt;0)))</f>
        <v>3</v>
      </c>
      <c r="W194" s="0" t="n">
        <f aca="false">IF(OR($A$5=入户维修!$F194,$A$5=入户维修!$G194,$BN$5=1),0,5-SUMPRODUCT(--(($A$1:$A$5=入户维修!$F194)+($A$1:$A$5=入户维修!$G194)+$BN$1:$BN$5&gt;0)))</f>
        <v>4</v>
      </c>
      <c r="Y194" s="0" t="str">
        <f aca="false">IFERROR(INDEX($A$1:$A$5,MATCH(1,$S194:$W194,0)),IF(1=MAX($S194:$W194)+1,"取消",""))</f>
        <v>李师傅</v>
      </c>
      <c r="Z194" s="0" t="str">
        <f aca="false">IFERROR(INDEX($A$1:$A$5,MATCH(2,$S194:$W194,0)),IF(2=MAX($S194:$W194)+1,"取消",""))</f>
        <v>王师傅</v>
      </c>
      <c r="AA194" s="0" t="str">
        <f aca="false">IFERROR(INDEX($A$1:$A$5,MATCH(3,$S194:$W194,0)),IF(3=MAX($S194:$W194)+1,"取消",""))</f>
        <v>陈师傅</v>
      </c>
      <c r="AB194" s="0" t="str">
        <f aca="false">IFERROR(INDEX($A$1:$A$5,MATCH(4,$S194:$W194,0)),IF(4=MAX($S194:$W194)+1,"取消",""))</f>
        <v>刘师傅</v>
      </c>
      <c r="AC194" s="0" t="str">
        <f aca="false">IFERROR(INDEX($A$1:$A$5,MATCH(5,$S194:$W194,0)),IF(5=MAX($S194:$W194)+1,"取消",""))</f>
        <v>取消</v>
      </c>
      <c r="AD194" s="0" t="str">
        <f aca="false">IFERROR(INDEX($A$1:$A$5,MATCH(6,$S194:$W194,0)),IF(6=MAX($S194:$W194)+1,"取消",""))</f>
        <v/>
      </c>
      <c r="AF194" s="0" t="n">
        <f aca="false">IF(OR($A$1=公区维修!$F194,$BN$1=1),0,1-SUMPRODUCT(--(($A$1=公区维修!$F194)+$BN$1&gt;0)))</f>
        <v>0</v>
      </c>
      <c r="AG194" s="0" t="n">
        <f aca="false">IF(OR($A$2=公区维修!$F194,$BN$2=1),0,2-SUMPRODUCT(--(($A$1:$A$2=公区维修!$F194)+$BN$1:$BN$2&gt;0)))</f>
        <v>1</v>
      </c>
      <c r="AH194" s="0" t="n">
        <f aca="false">IF(OR($A$3=公区维修!$F194,$BN$3=1),0,3-SUMPRODUCT(--(($A$1:$A$3=公区维修!$F194)+$BN$1:$BN$3&gt;0)))</f>
        <v>2</v>
      </c>
      <c r="AI194" s="0" t="n">
        <f aca="false">IF(OR($A$4=公区维修!$F194,$BN$4=1),0,4-SUMPRODUCT(--(($A$1:$A$4=公区维修!$F194)+$BN$1:$BN$4&gt;0)))</f>
        <v>3</v>
      </c>
      <c r="AJ194" s="0" t="n">
        <f aca="false">IF(OR($A$5=公区维修!$F194,$BN$5=1),0,5-SUMPRODUCT(--(($A$1:$A$5=公区维修!$F194)+$BN$1:$BN$5&gt;0)))</f>
        <v>4</v>
      </c>
      <c r="AL194" s="0" t="str">
        <f aca="false">IFERROR(INDEX($A$1:$A$5,MATCH(1,$AF194:$AJ194,0)),IF(1=MAX($AF194:$AJ194)+1,"取消",""))</f>
        <v>李师傅</v>
      </c>
      <c r="AM194" s="0" t="str">
        <f aca="false">IFERROR(INDEX($A$1:$A$5,MATCH(2,$AF194:$AJ194,0)),IF(2=MAX($AF194:$AJ194)+1,"取消",""))</f>
        <v>王师傅</v>
      </c>
      <c r="AN194" s="0" t="str">
        <f aca="false">IFERROR(INDEX($A$1:$A$5,MATCH(3,$AF194:$AJ194,0)),IF(3=MAX($AF194:$AJ194)+1,"取消",""))</f>
        <v>陈师傅</v>
      </c>
      <c r="AO194" s="0" t="str">
        <f aca="false">IFERROR(INDEX($A$1:$A$5,MATCH(4,$AF194:$AJ194,0)),IF(4=MAX($AF194:$AJ194)+1,"取消",""))</f>
        <v>刘师傅</v>
      </c>
      <c r="AP194" s="0" t="str">
        <f aca="false">IFERROR(INDEX($A$1:$A$5,MATCH(5,$AF194:$AJ194,0)),IF(5=MAX($AF194:$AJ194)+1,"取消",""))</f>
        <v>取消</v>
      </c>
      <c r="AQ194" s="0" t="str">
        <f aca="false">IFERROR(INDEX($A$1:$A$5,MATCH(6,$AF194:$AJ194,0)),IF(6=MAX($AF194:$AJ194)+1,"取消",""))</f>
        <v/>
      </c>
      <c r="AS194" s="0" t="n">
        <f aca="false">IF(OR($A$1=公区维修!$F194,$A$1=公区维修!$G194,$BN$1=1),0,1-SUMPRODUCT(--(($A$1=公区维修!$F194)+($A$1=公区维修!$G194)+$BN$1&gt;0)))</f>
        <v>0</v>
      </c>
      <c r="AT194" s="0" t="n">
        <f aca="false">IF(OR($A$2=公区维修!$F194,$A$2=公区维修!$G194,$BN$2=1),0,2-SUMPRODUCT(--(($A$1:$A$2=公区维修!$F194)+($A$1:$A$2=公区维修!$G194)+$BN$1:$BN$2&gt;0)))</f>
        <v>1</v>
      </c>
      <c r="AU194" s="0" t="n">
        <f aca="false">IF(OR($A$3=公区维修!$F194,$A$3=公区维修!$G194,$BN$3=1),0,3-SUMPRODUCT(--(($A$1:$A$3=公区维修!$F194)+($A$1:$A$3=公区维修!$G194)+$BN$1:$BN$3&gt;0)))</f>
        <v>2</v>
      </c>
      <c r="AV194" s="0" t="n">
        <f aca="false">IF(OR($A$4=公区维修!$F194,$A$4=公区维修!$G194,$BN$4=1),0,4-SUMPRODUCT(--(($A$1:$A$4=公区维修!$F194)+($A$1:$A$4=公区维修!$G194)+$BN$1:$BN$4&gt;0)))</f>
        <v>3</v>
      </c>
      <c r="AW194" s="0" t="n">
        <f aca="false">IF(OR($A$5=公区维修!$F194,$A$5=公区维修!$G194,$BN$5=1),0,5-SUMPRODUCT(--(($A$1:$A$5=公区维修!$F194)+($A$1:$A$5=公区维修!$G194)+$BN$1:$BN$5&gt;0)))</f>
        <v>4</v>
      </c>
      <c r="AY194" s="0" t="str">
        <f aca="false">IFERROR(INDEX($A$1:$A$5,MATCH(1,$AS194:$AW194,0)),IF(1=MAX($AS194:$AW194)+1,"取消",""))</f>
        <v>李师傅</v>
      </c>
      <c r="AZ194" s="0" t="str">
        <f aca="false">IFERROR(INDEX($A$1:$A$5,MATCH(2,$AS194:$AW194,0)),IF(2=MAX($AS194:$AW194)+1,"取消",""))</f>
        <v>王师傅</v>
      </c>
      <c r="BA194" s="0" t="str">
        <f aca="false">IFERROR(INDEX($A$1:$A$5,MATCH(3,$AS194:$AW194,0)),IF(3=MAX($AS194:$AW194)+1,"取消",""))</f>
        <v>陈师傅</v>
      </c>
      <c r="BB194" s="0" t="str">
        <f aca="false">IFERROR(INDEX($A$1:$A$5,MATCH(4,$AS194:$AW194,0)),IF(4=MAX($AS194:$AW194)+1,"取消",""))</f>
        <v>刘师傅</v>
      </c>
      <c r="BC194" s="0" t="str">
        <f aca="false">IFERROR(INDEX($A$1:$A$5,MATCH(5,$AS194:$AW194,0)),IF(5=MAX($AS194:$AW194)+1,"取消",""))</f>
        <v>取消</v>
      </c>
      <c r="BD194" s="0" t="str">
        <f aca="false">IFERROR(INDEX($A$1:$A$5,MATCH(6,$AS194:$AW194,0)),IF(6=MAX($AS194:$AW194)+1,"取消",""))</f>
        <v/>
      </c>
      <c r="FW194" s="0" t="str">
        <f aca="false">IF(AND(单元查询!$D$3&lt;&gt;"",IF(单元查询!$B$3="公区维修",公区维修!$E194&lt;&gt;"",入户维修!$E194&lt;&gt;""),IF(单元查询!$B$3="公区维修",公区维修!$C194,入户维修!$C194)=单元查询!$D$3,OR(单元查询!$F$3="",IF(单元查询!$B$3="公区维修",公区维修!$D194,入户维修!$D194)&amp;""=(单元查询!$F$3)&amp;"")),MAX($FW$4:$FW193)+1,"")</f>
        <v/>
      </c>
    </row>
    <row r="195" customFormat="false" ht="15" hidden="false" customHeight="true" outlineLevel="0" collapsed="false">
      <c r="F195" s="0" t="n">
        <f aca="false">IF(OR($A$1=入户维修!$F195,$BN$1=1),0,1-SUMPRODUCT(--(($A$1=入户维修!$F195)+$BN$1&gt;0)))</f>
        <v>0</v>
      </c>
      <c r="G195" s="0" t="n">
        <f aca="false">IF(OR($A$2=入户维修!$F195,$BN$2=1),0,2-SUMPRODUCT(--(($A$1:$A$2=入户维修!$F195)+$BN$1:$BN$2&gt;0)))</f>
        <v>1</v>
      </c>
      <c r="H195" s="0" t="n">
        <f aca="false">IF(OR($A$3=入户维修!$F195,$BN$3=1),0,3-SUMPRODUCT(--(($A$1:$A$3=入户维修!$F195)+$BN$1:$BN$3&gt;0)))</f>
        <v>2</v>
      </c>
      <c r="I195" s="0" t="n">
        <f aca="false">IF(OR($A$4=入户维修!$F195,$BN$4=1),0,4-SUMPRODUCT(--(($A$1:$A$4=入户维修!$F195)+$BN$1:$BN$4&gt;0)))</f>
        <v>3</v>
      </c>
      <c r="J195" s="0" t="n">
        <f aca="false">IF(OR($A$5=入户维修!$F195,$BN$5=1),0,5-SUMPRODUCT(--(($A$1:$A$5=入户维修!$F195)+$BN$1:$BN$5&gt;0)))</f>
        <v>4</v>
      </c>
      <c r="L195" s="0" t="str">
        <f aca="false">IFERROR(INDEX($A$1:$A$5,MATCH(1,$F195:$J195,0)),IF(1=MAX($F195:$J195)+1,"取消",""))</f>
        <v>李师傅</v>
      </c>
      <c r="M195" s="0" t="str">
        <f aca="false">IFERROR(INDEX($A$1:$A$5,MATCH(2,$F195:$J195,0)),IF(2=MAX($F195:$J195)+1,"取消",""))</f>
        <v>王师傅</v>
      </c>
      <c r="N195" s="0" t="str">
        <f aca="false">IFERROR(INDEX($A$1:$A$5,MATCH(3,$F195:$J195,0)),IF(3=MAX($F195:$J195)+1,"取消",""))</f>
        <v>陈师傅</v>
      </c>
      <c r="O195" s="0" t="str">
        <f aca="false">IFERROR(INDEX($A$1:$A$5,MATCH(4,$F195:$J195,0)),IF(4=MAX($F195:$J195)+1,"取消",""))</f>
        <v>刘师傅</v>
      </c>
      <c r="P195" s="0" t="str">
        <f aca="false">IFERROR(INDEX($A$1:$A$5,MATCH(5,$F195:$J195,0)),IF(5=MAX($F195:$J195)+1,"取消",""))</f>
        <v>取消</v>
      </c>
      <c r="Q195" s="0" t="str">
        <f aca="false">IFERROR(INDEX($A$1:$A$5,MATCH(6,$F195:$J195,0)),IF(6=MAX($F195:$J195)+1,"取消",""))</f>
        <v/>
      </c>
      <c r="S195" s="0" t="n">
        <f aca="false">IF(OR($A$1=入户维修!$F195,$A$1=入户维修!$G195,$BN$1=1),0,1-SUMPRODUCT(--(($A$1=入户维修!$F195)+($A$1=入户维修!$G195)+$BN$1&gt;0)))</f>
        <v>0</v>
      </c>
      <c r="T195" s="0" t="n">
        <f aca="false">IF(OR($A$2=入户维修!$F195,$A$2=入户维修!$G195,$BN$2=1),0,2-SUMPRODUCT(--(($A$1:$A$2=入户维修!$F195)+($A$1:$A$2=入户维修!$G195)+$BN$1:$BN$2&gt;0)))</f>
        <v>1</v>
      </c>
      <c r="U195" s="0" t="n">
        <f aca="false">IF(OR($A$3=入户维修!$F195,$A$3=入户维修!$G195,$BN$3=1),0,3-SUMPRODUCT(--(($A$1:$A$3=入户维修!$F195)+($A$1:$A$3=入户维修!$G195)+$BN$1:$BN$3&gt;0)))</f>
        <v>2</v>
      </c>
      <c r="V195" s="0" t="n">
        <f aca="false">IF(OR($A$4=入户维修!$F195,$A$4=入户维修!$G195,$BN$4=1),0,4-SUMPRODUCT(--(($A$1:$A$4=入户维修!$F195)+($A$1:$A$4=入户维修!$G195)+$BN$1:$BN$4&gt;0)))</f>
        <v>3</v>
      </c>
      <c r="W195" s="0" t="n">
        <f aca="false">IF(OR($A$5=入户维修!$F195,$A$5=入户维修!$G195,$BN$5=1),0,5-SUMPRODUCT(--(($A$1:$A$5=入户维修!$F195)+($A$1:$A$5=入户维修!$G195)+$BN$1:$BN$5&gt;0)))</f>
        <v>4</v>
      </c>
      <c r="Y195" s="0" t="str">
        <f aca="false">IFERROR(INDEX($A$1:$A$5,MATCH(1,$S195:$W195,0)),IF(1=MAX($S195:$W195)+1,"取消",""))</f>
        <v>李师傅</v>
      </c>
      <c r="Z195" s="0" t="str">
        <f aca="false">IFERROR(INDEX($A$1:$A$5,MATCH(2,$S195:$W195,0)),IF(2=MAX($S195:$W195)+1,"取消",""))</f>
        <v>王师傅</v>
      </c>
      <c r="AA195" s="0" t="str">
        <f aca="false">IFERROR(INDEX($A$1:$A$5,MATCH(3,$S195:$W195,0)),IF(3=MAX($S195:$W195)+1,"取消",""))</f>
        <v>陈师傅</v>
      </c>
      <c r="AB195" s="0" t="str">
        <f aca="false">IFERROR(INDEX($A$1:$A$5,MATCH(4,$S195:$W195,0)),IF(4=MAX($S195:$W195)+1,"取消",""))</f>
        <v>刘师傅</v>
      </c>
      <c r="AC195" s="0" t="str">
        <f aca="false">IFERROR(INDEX($A$1:$A$5,MATCH(5,$S195:$W195,0)),IF(5=MAX($S195:$W195)+1,"取消",""))</f>
        <v>取消</v>
      </c>
      <c r="AD195" s="0" t="str">
        <f aca="false">IFERROR(INDEX($A$1:$A$5,MATCH(6,$S195:$W195,0)),IF(6=MAX($S195:$W195)+1,"取消",""))</f>
        <v/>
      </c>
      <c r="AF195" s="0" t="n">
        <f aca="false">IF(OR($A$1=公区维修!$F195,$BN$1=1),0,1-SUMPRODUCT(--(($A$1=公区维修!$F195)+$BN$1&gt;0)))</f>
        <v>0</v>
      </c>
      <c r="AG195" s="0" t="n">
        <f aca="false">IF(OR($A$2=公区维修!$F195,$BN$2=1),0,2-SUMPRODUCT(--(($A$1:$A$2=公区维修!$F195)+$BN$1:$BN$2&gt;0)))</f>
        <v>1</v>
      </c>
      <c r="AH195" s="0" t="n">
        <f aca="false">IF(OR($A$3=公区维修!$F195,$BN$3=1),0,3-SUMPRODUCT(--(($A$1:$A$3=公区维修!$F195)+$BN$1:$BN$3&gt;0)))</f>
        <v>2</v>
      </c>
      <c r="AI195" s="0" t="n">
        <f aca="false">IF(OR($A$4=公区维修!$F195,$BN$4=1),0,4-SUMPRODUCT(--(($A$1:$A$4=公区维修!$F195)+$BN$1:$BN$4&gt;0)))</f>
        <v>3</v>
      </c>
      <c r="AJ195" s="0" t="n">
        <f aca="false">IF(OR($A$5=公区维修!$F195,$BN$5=1),0,5-SUMPRODUCT(--(($A$1:$A$5=公区维修!$F195)+$BN$1:$BN$5&gt;0)))</f>
        <v>4</v>
      </c>
      <c r="AL195" s="0" t="str">
        <f aca="false">IFERROR(INDEX($A$1:$A$5,MATCH(1,$AF195:$AJ195,0)),IF(1=MAX($AF195:$AJ195)+1,"取消",""))</f>
        <v>李师傅</v>
      </c>
      <c r="AM195" s="0" t="str">
        <f aca="false">IFERROR(INDEX($A$1:$A$5,MATCH(2,$AF195:$AJ195,0)),IF(2=MAX($AF195:$AJ195)+1,"取消",""))</f>
        <v>王师傅</v>
      </c>
      <c r="AN195" s="0" t="str">
        <f aca="false">IFERROR(INDEX($A$1:$A$5,MATCH(3,$AF195:$AJ195,0)),IF(3=MAX($AF195:$AJ195)+1,"取消",""))</f>
        <v>陈师傅</v>
      </c>
      <c r="AO195" s="0" t="str">
        <f aca="false">IFERROR(INDEX($A$1:$A$5,MATCH(4,$AF195:$AJ195,0)),IF(4=MAX($AF195:$AJ195)+1,"取消",""))</f>
        <v>刘师傅</v>
      </c>
      <c r="AP195" s="0" t="str">
        <f aca="false">IFERROR(INDEX($A$1:$A$5,MATCH(5,$AF195:$AJ195,0)),IF(5=MAX($AF195:$AJ195)+1,"取消",""))</f>
        <v>取消</v>
      </c>
      <c r="AQ195" s="0" t="str">
        <f aca="false">IFERROR(INDEX($A$1:$A$5,MATCH(6,$AF195:$AJ195,0)),IF(6=MAX($AF195:$AJ195)+1,"取消",""))</f>
        <v/>
      </c>
      <c r="AS195" s="0" t="n">
        <f aca="false">IF(OR($A$1=公区维修!$F195,$A$1=公区维修!$G195,$BN$1=1),0,1-SUMPRODUCT(--(($A$1=公区维修!$F195)+($A$1=公区维修!$G195)+$BN$1&gt;0)))</f>
        <v>0</v>
      </c>
      <c r="AT195" s="0" t="n">
        <f aca="false">IF(OR($A$2=公区维修!$F195,$A$2=公区维修!$G195,$BN$2=1),0,2-SUMPRODUCT(--(($A$1:$A$2=公区维修!$F195)+($A$1:$A$2=公区维修!$G195)+$BN$1:$BN$2&gt;0)))</f>
        <v>1</v>
      </c>
      <c r="AU195" s="0" t="n">
        <f aca="false">IF(OR($A$3=公区维修!$F195,$A$3=公区维修!$G195,$BN$3=1),0,3-SUMPRODUCT(--(($A$1:$A$3=公区维修!$F195)+($A$1:$A$3=公区维修!$G195)+$BN$1:$BN$3&gt;0)))</f>
        <v>2</v>
      </c>
      <c r="AV195" s="0" t="n">
        <f aca="false">IF(OR($A$4=公区维修!$F195,$A$4=公区维修!$G195,$BN$4=1),0,4-SUMPRODUCT(--(($A$1:$A$4=公区维修!$F195)+($A$1:$A$4=公区维修!$G195)+$BN$1:$BN$4&gt;0)))</f>
        <v>3</v>
      </c>
      <c r="AW195" s="0" t="n">
        <f aca="false">IF(OR($A$5=公区维修!$F195,$A$5=公区维修!$G195,$BN$5=1),0,5-SUMPRODUCT(--(($A$1:$A$5=公区维修!$F195)+($A$1:$A$5=公区维修!$G195)+$BN$1:$BN$5&gt;0)))</f>
        <v>4</v>
      </c>
      <c r="AY195" s="0" t="str">
        <f aca="false">IFERROR(INDEX($A$1:$A$5,MATCH(1,$AS195:$AW195,0)),IF(1=MAX($AS195:$AW195)+1,"取消",""))</f>
        <v>李师傅</v>
      </c>
      <c r="AZ195" s="0" t="str">
        <f aca="false">IFERROR(INDEX($A$1:$A$5,MATCH(2,$AS195:$AW195,0)),IF(2=MAX($AS195:$AW195)+1,"取消",""))</f>
        <v>王师傅</v>
      </c>
      <c r="BA195" s="0" t="str">
        <f aca="false">IFERROR(INDEX($A$1:$A$5,MATCH(3,$AS195:$AW195,0)),IF(3=MAX($AS195:$AW195)+1,"取消",""))</f>
        <v>陈师傅</v>
      </c>
      <c r="BB195" s="0" t="str">
        <f aca="false">IFERROR(INDEX($A$1:$A$5,MATCH(4,$AS195:$AW195,0)),IF(4=MAX($AS195:$AW195)+1,"取消",""))</f>
        <v>刘师傅</v>
      </c>
      <c r="BC195" s="0" t="str">
        <f aca="false">IFERROR(INDEX($A$1:$A$5,MATCH(5,$AS195:$AW195,0)),IF(5=MAX($AS195:$AW195)+1,"取消",""))</f>
        <v>取消</v>
      </c>
      <c r="BD195" s="0" t="str">
        <f aca="false">IFERROR(INDEX($A$1:$A$5,MATCH(6,$AS195:$AW195,0)),IF(6=MAX($AS195:$AW195)+1,"取消",""))</f>
        <v/>
      </c>
      <c r="FW195" s="0" t="str">
        <f aca="false">IF(AND(单元查询!$D$3&lt;&gt;"",IF(单元查询!$B$3="公区维修",公区维修!$E195&lt;&gt;"",入户维修!$E195&lt;&gt;""),IF(单元查询!$B$3="公区维修",公区维修!$C195,入户维修!$C195)=单元查询!$D$3,OR(单元查询!$F$3="",IF(单元查询!$B$3="公区维修",公区维修!$D195,入户维修!$D195)&amp;""=(单元查询!$F$3)&amp;"")),MAX($FW$4:$FW194)+1,"")</f>
        <v/>
      </c>
    </row>
    <row r="196" customFormat="false" ht="15" hidden="false" customHeight="true" outlineLevel="0" collapsed="false">
      <c r="F196" s="0" t="n">
        <f aca="false">IF(OR($A$1=入户维修!$F196,$BN$1=1),0,1-SUMPRODUCT(--(($A$1=入户维修!$F196)+$BN$1&gt;0)))</f>
        <v>0</v>
      </c>
      <c r="G196" s="0" t="n">
        <f aca="false">IF(OR($A$2=入户维修!$F196,$BN$2=1),0,2-SUMPRODUCT(--(($A$1:$A$2=入户维修!$F196)+$BN$1:$BN$2&gt;0)))</f>
        <v>1</v>
      </c>
      <c r="H196" s="0" t="n">
        <f aca="false">IF(OR($A$3=入户维修!$F196,$BN$3=1),0,3-SUMPRODUCT(--(($A$1:$A$3=入户维修!$F196)+$BN$1:$BN$3&gt;0)))</f>
        <v>2</v>
      </c>
      <c r="I196" s="0" t="n">
        <f aca="false">IF(OR($A$4=入户维修!$F196,$BN$4=1),0,4-SUMPRODUCT(--(($A$1:$A$4=入户维修!$F196)+$BN$1:$BN$4&gt;0)))</f>
        <v>3</v>
      </c>
      <c r="J196" s="0" t="n">
        <f aca="false">IF(OR($A$5=入户维修!$F196,$BN$5=1),0,5-SUMPRODUCT(--(($A$1:$A$5=入户维修!$F196)+$BN$1:$BN$5&gt;0)))</f>
        <v>4</v>
      </c>
      <c r="L196" s="0" t="str">
        <f aca="false">IFERROR(INDEX($A$1:$A$5,MATCH(1,$F196:$J196,0)),IF(1=MAX($F196:$J196)+1,"取消",""))</f>
        <v>李师傅</v>
      </c>
      <c r="M196" s="0" t="str">
        <f aca="false">IFERROR(INDEX($A$1:$A$5,MATCH(2,$F196:$J196,0)),IF(2=MAX($F196:$J196)+1,"取消",""))</f>
        <v>王师傅</v>
      </c>
      <c r="N196" s="0" t="str">
        <f aca="false">IFERROR(INDEX($A$1:$A$5,MATCH(3,$F196:$J196,0)),IF(3=MAX($F196:$J196)+1,"取消",""))</f>
        <v>陈师傅</v>
      </c>
      <c r="O196" s="0" t="str">
        <f aca="false">IFERROR(INDEX($A$1:$A$5,MATCH(4,$F196:$J196,0)),IF(4=MAX($F196:$J196)+1,"取消",""))</f>
        <v>刘师傅</v>
      </c>
      <c r="P196" s="0" t="str">
        <f aca="false">IFERROR(INDEX($A$1:$A$5,MATCH(5,$F196:$J196,0)),IF(5=MAX($F196:$J196)+1,"取消",""))</f>
        <v>取消</v>
      </c>
      <c r="Q196" s="0" t="str">
        <f aca="false">IFERROR(INDEX($A$1:$A$5,MATCH(6,$F196:$J196,0)),IF(6=MAX($F196:$J196)+1,"取消",""))</f>
        <v/>
      </c>
      <c r="S196" s="0" t="n">
        <f aca="false">IF(OR($A$1=入户维修!$F196,$A$1=入户维修!$G196,$BN$1=1),0,1-SUMPRODUCT(--(($A$1=入户维修!$F196)+($A$1=入户维修!$G196)+$BN$1&gt;0)))</f>
        <v>0</v>
      </c>
      <c r="T196" s="0" t="n">
        <f aca="false">IF(OR($A$2=入户维修!$F196,$A$2=入户维修!$G196,$BN$2=1),0,2-SUMPRODUCT(--(($A$1:$A$2=入户维修!$F196)+($A$1:$A$2=入户维修!$G196)+$BN$1:$BN$2&gt;0)))</f>
        <v>1</v>
      </c>
      <c r="U196" s="0" t="n">
        <f aca="false">IF(OR($A$3=入户维修!$F196,$A$3=入户维修!$G196,$BN$3=1),0,3-SUMPRODUCT(--(($A$1:$A$3=入户维修!$F196)+($A$1:$A$3=入户维修!$G196)+$BN$1:$BN$3&gt;0)))</f>
        <v>2</v>
      </c>
      <c r="V196" s="0" t="n">
        <f aca="false">IF(OR($A$4=入户维修!$F196,$A$4=入户维修!$G196,$BN$4=1),0,4-SUMPRODUCT(--(($A$1:$A$4=入户维修!$F196)+($A$1:$A$4=入户维修!$G196)+$BN$1:$BN$4&gt;0)))</f>
        <v>3</v>
      </c>
      <c r="W196" s="0" t="n">
        <f aca="false">IF(OR($A$5=入户维修!$F196,$A$5=入户维修!$G196,$BN$5=1),0,5-SUMPRODUCT(--(($A$1:$A$5=入户维修!$F196)+($A$1:$A$5=入户维修!$G196)+$BN$1:$BN$5&gt;0)))</f>
        <v>4</v>
      </c>
      <c r="Y196" s="0" t="str">
        <f aca="false">IFERROR(INDEX($A$1:$A$5,MATCH(1,$S196:$W196,0)),IF(1=MAX($S196:$W196)+1,"取消",""))</f>
        <v>李师傅</v>
      </c>
      <c r="Z196" s="0" t="str">
        <f aca="false">IFERROR(INDEX($A$1:$A$5,MATCH(2,$S196:$W196,0)),IF(2=MAX($S196:$W196)+1,"取消",""))</f>
        <v>王师傅</v>
      </c>
      <c r="AA196" s="0" t="str">
        <f aca="false">IFERROR(INDEX($A$1:$A$5,MATCH(3,$S196:$W196,0)),IF(3=MAX($S196:$W196)+1,"取消",""))</f>
        <v>陈师傅</v>
      </c>
      <c r="AB196" s="0" t="str">
        <f aca="false">IFERROR(INDEX($A$1:$A$5,MATCH(4,$S196:$W196,0)),IF(4=MAX($S196:$W196)+1,"取消",""))</f>
        <v>刘师傅</v>
      </c>
      <c r="AC196" s="0" t="str">
        <f aca="false">IFERROR(INDEX($A$1:$A$5,MATCH(5,$S196:$W196,0)),IF(5=MAX($S196:$W196)+1,"取消",""))</f>
        <v>取消</v>
      </c>
      <c r="AD196" s="0" t="str">
        <f aca="false">IFERROR(INDEX($A$1:$A$5,MATCH(6,$S196:$W196,0)),IF(6=MAX($S196:$W196)+1,"取消",""))</f>
        <v/>
      </c>
      <c r="AF196" s="0" t="n">
        <f aca="false">IF(OR($A$1=公区维修!$F196,$BN$1=1),0,1-SUMPRODUCT(--(($A$1=公区维修!$F196)+$BN$1&gt;0)))</f>
        <v>0</v>
      </c>
      <c r="AG196" s="0" t="n">
        <f aca="false">IF(OR($A$2=公区维修!$F196,$BN$2=1),0,2-SUMPRODUCT(--(($A$1:$A$2=公区维修!$F196)+$BN$1:$BN$2&gt;0)))</f>
        <v>1</v>
      </c>
      <c r="AH196" s="0" t="n">
        <f aca="false">IF(OR($A$3=公区维修!$F196,$BN$3=1),0,3-SUMPRODUCT(--(($A$1:$A$3=公区维修!$F196)+$BN$1:$BN$3&gt;0)))</f>
        <v>2</v>
      </c>
      <c r="AI196" s="0" t="n">
        <f aca="false">IF(OR($A$4=公区维修!$F196,$BN$4=1),0,4-SUMPRODUCT(--(($A$1:$A$4=公区维修!$F196)+$BN$1:$BN$4&gt;0)))</f>
        <v>3</v>
      </c>
      <c r="AJ196" s="0" t="n">
        <f aca="false">IF(OR($A$5=公区维修!$F196,$BN$5=1),0,5-SUMPRODUCT(--(($A$1:$A$5=公区维修!$F196)+$BN$1:$BN$5&gt;0)))</f>
        <v>4</v>
      </c>
      <c r="AL196" s="0" t="str">
        <f aca="false">IFERROR(INDEX($A$1:$A$5,MATCH(1,$AF196:$AJ196,0)),IF(1=MAX($AF196:$AJ196)+1,"取消",""))</f>
        <v>李师傅</v>
      </c>
      <c r="AM196" s="0" t="str">
        <f aca="false">IFERROR(INDEX($A$1:$A$5,MATCH(2,$AF196:$AJ196,0)),IF(2=MAX($AF196:$AJ196)+1,"取消",""))</f>
        <v>王师傅</v>
      </c>
      <c r="AN196" s="0" t="str">
        <f aca="false">IFERROR(INDEX($A$1:$A$5,MATCH(3,$AF196:$AJ196,0)),IF(3=MAX($AF196:$AJ196)+1,"取消",""))</f>
        <v>陈师傅</v>
      </c>
      <c r="AO196" s="0" t="str">
        <f aca="false">IFERROR(INDEX($A$1:$A$5,MATCH(4,$AF196:$AJ196,0)),IF(4=MAX($AF196:$AJ196)+1,"取消",""))</f>
        <v>刘师傅</v>
      </c>
      <c r="AP196" s="0" t="str">
        <f aca="false">IFERROR(INDEX($A$1:$A$5,MATCH(5,$AF196:$AJ196,0)),IF(5=MAX($AF196:$AJ196)+1,"取消",""))</f>
        <v>取消</v>
      </c>
      <c r="AQ196" s="0" t="str">
        <f aca="false">IFERROR(INDEX($A$1:$A$5,MATCH(6,$AF196:$AJ196,0)),IF(6=MAX($AF196:$AJ196)+1,"取消",""))</f>
        <v/>
      </c>
      <c r="AS196" s="0" t="n">
        <f aca="false">IF(OR($A$1=公区维修!$F196,$A$1=公区维修!$G196,$BN$1=1),0,1-SUMPRODUCT(--(($A$1=公区维修!$F196)+($A$1=公区维修!$G196)+$BN$1&gt;0)))</f>
        <v>0</v>
      </c>
      <c r="AT196" s="0" t="n">
        <f aca="false">IF(OR($A$2=公区维修!$F196,$A$2=公区维修!$G196,$BN$2=1),0,2-SUMPRODUCT(--(($A$1:$A$2=公区维修!$F196)+($A$1:$A$2=公区维修!$G196)+$BN$1:$BN$2&gt;0)))</f>
        <v>1</v>
      </c>
      <c r="AU196" s="0" t="n">
        <f aca="false">IF(OR($A$3=公区维修!$F196,$A$3=公区维修!$G196,$BN$3=1),0,3-SUMPRODUCT(--(($A$1:$A$3=公区维修!$F196)+($A$1:$A$3=公区维修!$G196)+$BN$1:$BN$3&gt;0)))</f>
        <v>2</v>
      </c>
      <c r="AV196" s="0" t="n">
        <f aca="false">IF(OR($A$4=公区维修!$F196,$A$4=公区维修!$G196,$BN$4=1),0,4-SUMPRODUCT(--(($A$1:$A$4=公区维修!$F196)+($A$1:$A$4=公区维修!$G196)+$BN$1:$BN$4&gt;0)))</f>
        <v>3</v>
      </c>
      <c r="AW196" s="0" t="n">
        <f aca="false">IF(OR($A$5=公区维修!$F196,$A$5=公区维修!$G196,$BN$5=1),0,5-SUMPRODUCT(--(($A$1:$A$5=公区维修!$F196)+($A$1:$A$5=公区维修!$G196)+$BN$1:$BN$5&gt;0)))</f>
        <v>4</v>
      </c>
      <c r="AY196" s="0" t="str">
        <f aca="false">IFERROR(INDEX($A$1:$A$5,MATCH(1,$AS196:$AW196,0)),IF(1=MAX($AS196:$AW196)+1,"取消",""))</f>
        <v>李师傅</v>
      </c>
      <c r="AZ196" s="0" t="str">
        <f aca="false">IFERROR(INDEX($A$1:$A$5,MATCH(2,$AS196:$AW196,0)),IF(2=MAX($AS196:$AW196)+1,"取消",""))</f>
        <v>王师傅</v>
      </c>
      <c r="BA196" s="0" t="str">
        <f aca="false">IFERROR(INDEX($A$1:$A$5,MATCH(3,$AS196:$AW196,0)),IF(3=MAX($AS196:$AW196)+1,"取消",""))</f>
        <v>陈师傅</v>
      </c>
      <c r="BB196" s="0" t="str">
        <f aca="false">IFERROR(INDEX($A$1:$A$5,MATCH(4,$AS196:$AW196,0)),IF(4=MAX($AS196:$AW196)+1,"取消",""))</f>
        <v>刘师傅</v>
      </c>
      <c r="BC196" s="0" t="str">
        <f aca="false">IFERROR(INDEX($A$1:$A$5,MATCH(5,$AS196:$AW196,0)),IF(5=MAX($AS196:$AW196)+1,"取消",""))</f>
        <v>取消</v>
      </c>
      <c r="BD196" s="0" t="str">
        <f aca="false">IFERROR(INDEX($A$1:$A$5,MATCH(6,$AS196:$AW196,0)),IF(6=MAX($AS196:$AW196)+1,"取消",""))</f>
        <v/>
      </c>
      <c r="FW196" s="0" t="str">
        <f aca="false">IF(AND(单元查询!$D$3&lt;&gt;"",IF(单元查询!$B$3="公区维修",公区维修!$E196&lt;&gt;"",入户维修!$E196&lt;&gt;""),IF(单元查询!$B$3="公区维修",公区维修!$C196,入户维修!$C196)=单元查询!$D$3,OR(单元查询!$F$3="",IF(单元查询!$B$3="公区维修",公区维修!$D196,入户维修!$D196)&amp;""=(单元查询!$F$3)&amp;"")),MAX($FW$4:$FW195)+1,"")</f>
        <v/>
      </c>
    </row>
    <row r="197" customFormat="false" ht="15" hidden="false" customHeight="true" outlineLevel="0" collapsed="false">
      <c r="F197" s="0" t="n">
        <f aca="false">IF(OR($A$1=入户维修!$F197,$BN$1=1),0,1-SUMPRODUCT(--(($A$1=入户维修!$F197)+$BN$1&gt;0)))</f>
        <v>0</v>
      </c>
      <c r="G197" s="0" t="n">
        <f aca="false">IF(OR($A$2=入户维修!$F197,$BN$2=1),0,2-SUMPRODUCT(--(($A$1:$A$2=入户维修!$F197)+$BN$1:$BN$2&gt;0)))</f>
        <v>1</v>
      </c>
      <c r="H197" s="0" t="n">
        <f aca="false">IF(OR($A$3=入户维修!$F197,$BN$3=1),0,3-SUMPRODUCT(--(($A$1:$A$3=入户维修!$F197)+$BN$1:$BN$3&gt;0)))</f>
        <v>2</v>
      </c>
      <c r="I197" s="0" t="n">
        <f aca="false">IF(OR($A$4=入户维修!$F197,$BN$4=1),0,4-SUMPRODUCT(--(($A$1:$A$4=入户维修!$F197)+$BN$1:$BN$4&gt;0)))</f>
        <v>3</v>
      </c>
      <c r="J197" s="0" t="n">
        <f aca="false">IF(OR($A$5=入户维修!$F197,$BN$5=1),0,5-SUMPRODUCT(--(($A$1:$A$5=入户维修!$F197)+$BN$1:$BN$5&gt;0)))</f>
        <v>4</v>
      </c>
      <c r="L197" s="0" t="str">
        <f aca="false">IFERROR(INDEX($A$1:$A$5,MATCH(1,$F197:$J197,0)),IF(1=MAX($F197:$J197)+1,"取消",""))</f>
        <v>李师傅</v>
      </c>
      <c r="M197" s="0" t="str">
        <f aca="false">IFERROR(INDEX($A$1:$A$5,MATCH(2,$F197:$J197,0)),IF(2=MAX($F197:$J197)+1,"取消",""))</f>
        <v>王师傅</v>
      </c>
      <c r="N197" s="0" t="str">
        <f aca="false">IFERROR(INDEX($A$1:$A$5,MATCH(3,$F197:$J197,0)),IF(3=MAX($F197:$J197)+1,"取消",""))</f>
        <v>陈师傅</v>
      </c>
      <c r="O197" s="0" t="str">
        <f aca="false">IFERROR(INDEX($A$1:$A$5,MATCH(4,$F197:$J197,0)),IF(4=MAX($F197:$J197)+1,"取消",""))</f>
        <v>刘师傅</v>
      </c>
      <c r="P197" s="0" t="str">
        <f aca="false">IFERROR(INDEX($A$1:$A$5,MATCH(5,$F197:$J197,0)),IF(5=MAX($F197:$J197)+1,"取消",""))</f>
        <v>取消</v>
      </c>
      <c r="Q197" s="0" t="str">
        <f aca="false">IFERROR(INDEX($A$1:$A$5,MATCH(6,$F197:$J197,0)),IF(6=MAX($F197:$J197)+1,"取消",""))</f>
        <v/>
      </c>
      <c r="S197" s="0" t="n">
        <f aca="false">IF(OR($A$1=入户维修!$F197,$A$1=入户维修!$G197,$BN$1=1),0,1-SUMPRODUCT(--(($A$1=入户维修!$F197)+($A$1=入户维修!$G197)+$BN$1&gt;0)))</f>
        <v>0</v>
      </c>
      <c r="T197" s="0" t="n">
        <f aca="false">IF(OR($A$2=入户维修!$F197,$A$2=入户维修!$G197,$BN$2=1),0,2-SUMPRODUCT(--(($A$1:$A$2=入户维修!$F197)+($A$1:$A$2=入户维修!$G197)+$BN$1:$BN$2&gt;0)))</f>
        <v>1</v>
      </c>
      <c r="U197" s="0" t="n">
        <f aca="false">IF(OR($A$3=入户维修!$F197,$A$3=入户维修!$G197,$BN$3=1),0,3-SUMPRODUCT(--(($A$1:$A$3=入户维修!$F197)+($A$1:$A$3=入户维修!$G197)+$BN$1:$BN$3&gt;0)))</f>
        <v>2</v>
      </c>
      <c r="V197" s="0" t="n">
        <f aca="false">IF(OR($A$4=入户维修!$F197,$A$4=入户维修!$G197,$BN$4=1),0,4-SUMPRODUCT(--(($A$1:$A$4=入户维修!$F197)+($A$1:$A$4=入户维修!$G197)+$BN$1:$BN$4&gt;0)))</f>
        <v>3</v>
      </c>
      <c r="W197" s="0" t="n">
        <f aca="false">IF(OR($A$5=入户维修!$F197,$A$5=入户维修!$G197,$BN$5=1),0,5-SUMPRODUCT(--(($A$1:$A$5=入户维修!$F197)+($A$1:$A$5=入户维修!$G197)+$BN$1:$BN$5&gt;0)))</f>
        <v>4</v>
      </c>
      <c r="Y197" s="0" t="str">
        <f aca="false">IFERROR(INDEX($A$1:$A$5,MATCH(1,$S197:$W197,0)),IF(1=MAX($S197:$W197)+1,"取消",""))</f>
        <v>李师傅</v>
      </c>
      <c r="Z197" s="0" t="str">
        <f aca="false">IFERROR(INDEX($A$1:$A$5,MATCH(2,$S197:$W197,0)),IF(2=MAX($S197:$W197)+1,"取消",""))</f>
        <v>王师傅</v>
      </c>
      <c r="AA197" s="0" t="str">
        <f aca="false">IFERROR(INDEX($A$1:$A$5,MATCH(3,$S197:$W197,0)),IF(3=MAX($S197:$W197)+1,"取消",""))</f>
        <v>陈师傅</v>
      </c>
      <c r="AB197" s="0" t="str">
        <f aca="false">IFERROR(INDEX($A$1:$A$5,MATCH(4,$S197:$W197,0)),IF(4=MAX($S197:$W197)+1,"取消",""))</f>
        <v>刘师傅</v>
      </c>
      <c r="AC197" s="0" t="str">
        <f aca="false">IFERROR(INDEX($A$1:$A$5,MATCH(5,$S197:$W197,0)),IF(5=MAX($S197:$W197)+1,"取消",""))</f>
        <v>取消</v>
      </c>
      <c r="AD197" s="0" t="str">
        <f aca="false">IFERROR(INDEX($A$1:$A$5,MATCH(6,$S197:$W197,0)),IF(6=MAX($S197:$W197)+1,"取消",""))</f>
        <v/>
      </c>
      <c r="AF197" s="0" t="n">
        <f aca="false">IF(OR($A$1=公区维修!$F197,$BN$1=1),0,1-SUMPRODUCT(--(($A$1=公区维修!$F197)+$BN$1&gt;0)))</f>
        <v>0</v>
      </c>
      <c r="AG197" s="0" t="n">
        <f aca="false">IF(OR($A$2=公区维修!$F197,$BN$2=1),0,2-SUMPRODUCT(--(($A$1:$A$2=公区维修!$F197)+$BN$1:$BN$2&gt;0)))</f>
        <v>1</v>
      </c>
      <c r="AH197" s="0" t="n">
        <f aca="false">IF(OR($A$3=公区维修!$F197,$BN$3=1),0,3-SUMPRODUCT(--(($A$1:$A$3=公区维修!$F197)+$BN$1:$BN$3&gt;0)))</f>
        <v>2</v>
      </c>
      <c r="AI197" s="0" t="n">
        <f aca="false">IF(OR($A$4=公区维修!$F197,$BN$4=1),0,4-SUMPRODUCT(--(($A$1:$A$4=公区维修!$F197)+$BN$1:$BN$4&gt;0)))</f>
        <v>3</v>
      </c>
      <c r="AJ197" s="0" t="n">
        <f aca="false">IF(OR($A$5=公区维修!$F197,$BN$5=1),0,5-SUMPRODUCT(--(($A$1:$A$5=公区维修!$F197)+$BN$1:$BN$5&gt;0)))</f>
        <v>4</v>
      </c>
      <c r="AL197" s="0" t="str">
        <f aca="false">IFERROR(INDEX($A$1:$A$5,MATCH(1,$AF197:$AJ197,0)),IF(1=MAX($AF197:$AJ197)+1,"取消",""))</f>
        <v>李师傅</v>
      </c>
      <c r="AM197" s="0" t="str">
        <f aca="false">IFERROR(INDEX($A$1:$A$5,MATCH(2,$AF197:$AJ197,0)),IF(2=MAX($AF197:$AJ197)+1,"取消",""))</f>
        <v>王师傅</v>
      </c>
      <c r="AN197" s="0" t="str">
        <f aca="false">IFERROR(INDEX($A$1:$A$5,MATCH(3,$AF197:$AJ197,0)),IF(3=MAX($AF197:$AJ197)+1,"取消",""))</f>
        <v>陈师傅</v>
      </c>
      <c r="AO197" s="0" t="str">
        <f aca="false">IFERROR(INDEX($A$1:$A$5,MATCH(4,$AF197:$AJ197,0)),IF(4=MAX($AF197:$AJ197)+1,"取消",""))</f>
        <v>刘师傅</v>
      </c>
      <c r="AP197" s="0" t="str">
        <f aca="false">IFERROR(INDEX($A$1:$A$5,MATCH(5,$AF197:$AJ197,0)),IF(5=MAX($AF197:$AJ197)+1,"取消",""))</f>
        <v>取消</v>
      </c>
      <c r="AQ197" s="0" t="str">
        <f aca="false">IFERROR(INDEX($A$1:$A$5,MATCH(6,$AF197:$AJ197,0)),IF(6=MAX($AF197:$AJ197)+1,"取消",""))</f>
        <v/>
      </c>
      <c r="AS197" s="0" t="n">
        <f aca="false">IF(OR($A$1=公区维修!$F197,$A$1=公区维修!$G197,$BN$1=1),0,1-SUMPRODUCT(--(($A$1=公区维修!$F197)+($A$1=公区维修!$G197)+$BN$1&gt;0)))</f>
        <v>0</v>
      </c>
      <c r="AT197" s="0" t="n">
        <f aca="false">IF(OR($A$2=公区维修!$F197,$A$2=公区维修!$G197,$BN$2=1),0,2-SUMPRODUCT(--(($A$1:$A$2=公区维修!$F197)+($A$1:$A$2=公区维修!$G197)+$BN$1:$BN$2&gt;0)))</f>
        <v>1</v>
      </c>
      <c r="AU197" s="0" t="n">
        <f aca="false">IF(OR($A$3=公区维修!$F197,$A$3=公区维修!$G197,$BN$3=1),0,3-SUMPRODUCT(--(($A$1:$A$3=公区维修!$F197)+($A$1:$A$3=公区维修!$G197)+$BN$1:$BN$3&gt;0)))</f>
        <v>2</v>
      </c>
      <c r="AV197" s="0" t="n">
        <f aca="false">IF(OR($A$4=公区维修!$F197,$A$4=公区维修!$G197,$BN$4=1),0,4-SUMPRODUCT(--(($A$1:$A$4=公区维修!$F197)+($A$1:$A$4=公区维修!$G197)+$BN$1:$BN$4&gt;0)))</f>
        <v>3</v>
      </c>
      <c r="AW197" s="0" t="n">
        <f aca="false">IF(OR($A$5=公区维修!$F197,$A$5=公区维修!$G197,$BN$5=1),0,5-SUMPRODUCT(--(($A$1:$A$5=公区维修!$F197)+($A$1:$A$5=公区维修!$G197)+$BN$1:$BN$5&gt;0)))</f>
        <v>4</v>
      </c>
      <c r="AY197" s="0" t="str">
        <f aca="false">IFERROR(INDEX($A$1:$A$5,MATCH(1,$AS197:$AW197,0)),IF(1=MAX($AS197:$AW197)+1,"取消",""))</f>
        <v>李师傅</v>
      </c>
      <c r="AZ197" s="0" t="str">
        <f aca="false">IFERROR(INDEX($A$1:$A$5,MATCH(2,$AS197:$AW197,0)),IF(2=MAX($AS197:$AW197)+1,"取消",""))</f>
        <v>王师傅</v>
      </c>
      <c r="BA197" s="0" t="str">
        <f aca="false">IFERROR(INDEX($A$1:$A$5,MATCH(3,$AS197:$AW197,0)),IF(3=MAX($AS197:$AW197)+1,"取消",""))</f>
        <v>陈师傅</v>
      </c>
      <c r="BB197" s="0" t="str">
        <f aca="false">IFERROR(INDEX($A$1:$A$5,MATCH(4,$AS197:$AW197,0)),IF(4=MAX($AS197:$AW197)+1,"取消",""))</f>
        <v>刘师傅</v>
      </c>
      <c r="BC197" s="0" t="str">
        <f aca="false">IFERROR(INDEX($A$1:$A$5,MATCH(5,$AS197:$AW197,0)),IF(5=MAX($AS197:$AW197)+1,"取消",""))</f>
        <v>取消</v>
      </c>
      <c r="BD197" s="0" t="str">
        <f aca="false">IFERROR(INDEX($A$1:$A$5,MATCH(6,$AS197:$AW197,0)),IF(6=MAX($AS197:$AW197)+1,"取消",""))</f>
        <v/>
      </c>
      <c r="FW197" s="0" t="str">
        <f aca="false">IF(AND(单元查询!$D$3&lt;&gt;"",IF(单元查询!$B$3="公区维修",公区维修!$E197&lt;&gt;"",入户维修!$E197&lt;&gt;""),IF(单元查询!$B$3="公区维修",公区维修!$C197,入户维修!$C197)=单元查询!$D$3,OR(单元查询!$F$3="",IF(单元查询!$B$3="公区维修",公区维修!$D197,入户维修!$D197)&amp;""=(单元查询!$F$3)&amp;"")),MAX($FW$4:$FW196)+1,"")</f>
        <v/>
      </c>
    </row>
    <row r="198" customFormat="false" ht="15" hidden="false" customHeight="true" outlineLevel="0" collapsed="false">
      <c r="F198" s="0" t="n">
        <f aca="false">IF(OR($A$1=入户维修!$F198,$BN$1=1),0,1-SUMPRODUCT(--(($A$1=入户维修!$F198)+$BN$1&gt;0)))</f>
        <v>0</v>
      </c>
      <c r="G198" s="0" t="n">
        <f aca="false">IF(OR($A$2=入户维修!$F198,$BN$2=1),0,2-SUMPRODUCT(--(($A$1:$A$2=入户维修!$F198)+$BN$1:$BN$2&gt;0)))</f>
        <v>1</v>
      </c>
      <c r="H198" s="0" t="n">
        <f aca="false">IF(OR($A$3=入户维修!$F198,$BN$3=1),0,3-SUMPRODUCT(--(($A$1:$A$3=入户维修!$F198)+$BN$1:$BN$3&gt;0)))</f>
        <v>2</v>
      </c>
      <c r="I198" s="0" t="n">
        <f aca="false">IF(OR($A$4=入户维修!$F198,$BN$4=1),0,4-SUMPRODUCT(--(($A$1:$A$4=入户维修!$F198)+$BN$1:$BN$4&gt;0)))</f>
        <v>3</v>
      </c>
      <c r="J198" s="0" t="n">
        <f aca="false">IF(OR($A$5=入户维修!$F198,$BN$5=1),0,5-SUMPRODUCT(--(($A$1:$A$5=入户维修!$F198)+$BN$1:$BN$5&gt;0)))</f>
        <v>4</v>
      </c>
      <c r="L198" s="0" t="str">
        <f aca="false">IFERROR(INDEX($A$1:$A$5,MATCH(1,$F198:$J198,0)),IF(1=MAX($F198:$J198)+1,"取消",""))</f>
        <v>李师傅</v>
      </c>
      <c r="M198" s="0" t="str">
        <f aca="false">IFERROR(INDEX($A$1:$A$5,MATCH(2,$F198:$J198,0)),IF(2=MAX($F198:$J198)+1,"取消",""))</f>
        <v>王师傅</v>
      </c>
      <c r="N198" s="0" t="str">
        <f aca="false">IFERROR(INDEX($A$1:$A$5,MATCH(3,$F198:$J198,0)),IF(3=MAX($F198:$J198)+1,"取消",""))</f>
        <v>陈师傅</v>
      </c>
      <c r="O198" s="0" t="str">
        <f aca="false">IFERROR(INDEX($A$1:$A$5,MATCH(4,$F198:$J198,0)),IF(4=MAX($F198:$J198)+1,"取消",""))</f>
        <v>刘师傅</v>
      </c>
      <c r="P198" s="0" t="str">
        <f aca="false">IFERROR(INDEX($A$1:$A$5,MATCH(5,$F198:$J198,0)),IF(5=MAX($F198:$J198)+1,"取消",""))</f>
        <v>取消</v>
      </c>
      <c r="Q198" s="0" t="str">
        <f aca="false">IFERROR(INDEX($A$1:$A$5,MATCH(6,$F198:$J198,0)),IF(6=MAX($F198:$J198)+1,"取消",""))</f>
        <v/>
      </c>
      <c r="S198" s="0" t="n">
        <f aca="false">IF(OR($A$1=入户维修!$F198,$A$1=入户维修!$G198,$BN$1=1),0,1-SUMPRODUCT(--(($A$1=入户维修!$F198)+($A$1=入户维修!$G198)+$BN$1&gt;0)))</f>
        <v>0</v>
      </c>
      <c r="T198" s="0" t="n">
        <f aca="false">IF(OR($A$2=入户维修!$F198,$A$2=入户维修!$G198,$BN$2=1),0,2-SUMPRODUCT(--(($A$1:$A$2=入户维修!$F198)+($A$1:$A$2=入户维修!$G198)+$BN$1:$BN$2&gt;0)))</f>
        <v>1</v>
      </c>
      <c r="U198" s="0" t="n">
        <f aca="false">IF(OR($A$3=入户维修!$F198,$A$3=入户维修!$G198,$BN$3=1),0,3-SUMPRODUCT(--(($A$1:$A$3=入户维修!$F198)+($A$1:$A$3=入户维修!$G198)+$BN$1:$BN$3&gt;0)))</f>
        <v>2</v>
      </c>
      <c r="V198" s="0" t="n">
        <f aca="false">IF(OR($A$4=入户维修!$F198,$A$4=入户维修!$G198,$BN$4=1),0,4-SUMPRODUCT(--(($A$1:$A$4=入户维修!$F198)+($A$1:$A$4=入户维修!$G198)+$BN$1:$BN$4&gt;0)))</f>
        <v>3</v>
      </c>
      <c r="W198" s="0" t="n">
        <f aca="false">IF(OR($A$5=入户维修!$F198,$A$5=入户维修!$G198,$BN$5=1),0,5-SUMPRODUCT(--(($A$1:$A$5=入户维修!$F198)+($A$1:$A$5=入户维修!$G198)+$BN$1:$BN$5&gt;0)))</f>
        <v>4</v>
      </c>
      <c r="Y198" s="0" t="str">
        <f aca="false">IFERROR(INDEX($A$1:$A$5,MATCH(1,$S198:$W198,0)),IF(1=MAX($S198:$W198)+1,"取消",""))</f>
        <v>李师傅</v>
      </c>
      <c r="Z198" s="0" t="str">
        <f aca="false">IFERROR(INDEX($A$1:$A$5,MATCH(2,$S198:$W198,0)),IF(2=MAX($S198:$W198)+1,"取消",""))</f>
        <v>王师傅</v>
      </c>
      <c r="AA198" s="0" t="str">
        <f aca="false">IFERROR(INDEX($A$1:$A$5,MATCH(3,$S198:$W198,0)),IF(3=MAX($S198:$W198)+1,"取消",""))</f>
        <v>陈师傅</v>
      </c>
      <c r="AB198" s="0" t="str">
        <f aca="false">IFERROR(INDEX($A$1:$A$5,MATCH(4,$S198:$W198,0)),IF(4=MAX($S198:$W198)+1,"取消",""))</f>
        <v>刘师傅</v>
      </c>
      <c r="AC198" s="0" t="str">
        <f aca="false">IFERROR(INDEX($A$1:$A$5,MATCH(5,$S198:$W198,0)),IF(5=MAX($S198:$W198)+1,"取消",""))</f>
        <v>取消</v>
      </c>
      <c r="AD198" s="0" t="str">
        <f aca="false">IFERROR(INDEX($A$1:$A$5,MATCH(6,$S198:$W198,0)),IF(6=MAX($S198:$W198)+1,"取消",""))</f>
        <v/>
      </c>
      <c r="AF198" s="0" t="n">
        <f aca="false">IF(OR($A$1=公区维修!$F198,$BN$1=1),0,1-SUMPRODUCT(--(($A$1=公区维修!$F198)+$BN$1&gt;0)))</f>
        <v>0</v>
      </c>
      <c r="AG198" s="0" t="n">
        <f aca="false">IF(OR($A$2=公区维修!$F198,$BN$2=1),0,2-SUMPRODUCT(--(($A$1:$A$2=公区维修!$F198)+$BN$1:$BN$2&gt;0)))</f>
        <v>1</v>
      </c>
      <c r="AH198" s="0" t="n">
        <f aca="false">IF(OR($A$3=公区维修!$F198,$BN$3=1),0,3-SUMPRODUCT(--(($A$1:$A$3=公区维修!$F198)+$BN$1:$BN$3&gt;0)))</f>
        <v>2</v>
      </c>
      <c r="AI198" s="0" t="n">
        <f aca="false">IF(OR($A$4=公区维修!$F198,$BN$4=1),0,4-SUMPRODUCT(--(($A$1:$A$4=公区维修!$F198)+$BN$1:$BN$4&gt;0)))</f>
        <v>3</v>
      </c>
      <c r="AJ198" s="0" t="n">
        <f aca="false">IF(OR($A$5=公区维修!$F198,$BN$5=1),0,5-SUMPRODUCT(--(($A$1:$A$5=公区维修!$F198)+$BN$1:$BN$5&gt;0)))</f>
        <v>4</v>
      </c>
      <c r="AL198" s="0" t="str">
        <f aca="false">IFERROR(INDEX($A$1:$A$5,MATCH(1,$AF198:$AJ198,0)),IF(1=MAX($AF198:$AJ198)+1,"取消",""))</f>
        <v>李师傅</v>
      </c>
      <c r="AM198" s="0" t="str">
        <f aca="false">IFERROR(INDEX($A$1:$A$5,MATCH(2,$AF198:$AJ198,0)),IF(2=MAX($AF198:$AJ198)+1,"取消",""))</f>
        <v>王师傅</v>
      </c>
      <c r="AN198" s="0" t="str">
        <f aca="false">IFERROR(INDEX($A$1:$A$5,MATCH(3,$AF198:$AJ198,0)),IF(3=MAX($AF198:$AJ198)+1,"取消",""))</f>
        <v>陈师傅</v>
      </c>
      <c r="AO198" s="0" t="str">
        <f aca="false">IFERROR(INDEX($A$1:$A$5,MATCH(4,$AF198:$AJ198,0)),IF(4=MAX($AF198:$AJ198)+1,"取消",""))</f>
        <v>刘师傅</v>
      </c>
      <c r="AP198" s="0" t="str">
        <f aca="false">IFERROR(INDEX($A$1:$A$5,MATCH(5,$AF198:$AJ198,0)),IF(5=MAX($AF198:$AJ198)+1,"取消",""))</f>
        <v>取消</v>
      </c>
      <c r="AQ198" s="0" t="str">
        <f aca="false">IFERROR(INDEX($A$1:$A$5,MATCH(6,$AF198:$AJ198,0)),IF(6=MAX($AF198:$AJ198)+1,"取消",""))</f>
        <v/>
      </c>
      <c r="AS198" s="0" t="n">
        <f aca="false">IF(OR($A$1=公区维修!$F198,$A$1=公区维修!$G198,$BN$1=1),0,1-SUMPRODUCT(--(($A$1=公区维修!$F198)+($A$1=公区维修!$G198)+$BN$1&gt;0)))</f>
        <v>0</v>
      </c>
      <c r="AT198" s="0" t="n">
        <f aca="false">IF(OR($A$2=公区维修!$F198,$A$2=公区维修!$G198,$BN$2=1),0,2-SUMPRODUCT(--(($A$1:$A$2=公区维修!$F198)+($A$1:$A$2=公区维修!$G198)+$BN$1:$BN$2&gt;0)))</f>
        <v>1</v>
      </c>
      <c r="AU198" s="0" t="n">
        <f aca="false">IF(OR($A$3=公区维修!$F198,$A$3=公区维修!$G198,$BN$3=1),0,3-SUMPRODUCT(--(($A$1:$A$3=公区维修!$F198)+($A$1:$A$3=公区维修!$G198)+$BN$1:$BN$3&gt;0)))</f>
        <v>2</v>
      </c>
      <c r="AV198" s="0" t="n">
        <f aca="false">IF(OR($A$4=公区维修!$F198,$A$4=公区维修!$G198,$BN$4=1),0,4-SUMPRODUCT(--(($A$1:$A$4=公区维修!$F198)+($A$1:$A$4=公区维修!$G198)+$BN$1:$BN$4&gt;0)))</f>
        <v>3</v>
      </c>
      <c r="AW198" s="0" t="n">
        <f aca="false">IF(OR($A$5=公区维修!$F198,$A$5=公区维修!$G198,$BN$5=1),0,5-SUMPRODUCT(--(($A$1:$A$5=公区维修!$F198)+($A$1:$A$5=公区维修!$G198)+$BN$1:$BN$5&gt;0)))</f>
        <v>4</v>
      </c>
      <c r="AY198" s="0" t="str">
        <f aca="false">IFERROR(INDEX($A$1:$A$5,MATCH(1,$AS198:$AW198,0)),IF(1=MAX($AS198:$AW198)+1,"取消",""))</f>
        <v>李师傅</v>
      </c>
      <c r="AZ198" s="0" t="str">
        <f aca="false">IFERROR(INDEX($A$1:$A$5,MATCH(2,$AS198:$AW198,0)),IF(2=MAX($AS198:$AW198)+1,"取消",""))</f>
        <v>王师傅</v>
      </c>
      <c r="BA198" s="0" t="str">
        <f aca="false">IFERROR(INDEX($A$1:$A$5,MATCH(3,$AS198:$AW198,0)),IF(3=MAX($AS198:$AW198)+1,"取消",""))</f>
        <v>陈师傅</v>
      </c>
      <c r="BB198" s="0" t="str">
        <f aca="false">IFERROR(INDEX($A$1:$A$5,MATCH(4,$AS198:$AW198,0)),IF(4=MAX($AS198:$AW198)+1,"取消",""))</f>
        <v>刘师傅</v>
      </c>
      <c r="BC198" s="0" t="str">
        <f aca="false">IFERROR(INDEX($A$1:$A$5,MATCH(5,$AS198:$AW198,0)),IF(5=MAX($AS198:$AW198)+1,"取消",""))</f>
        <v>取消</v>
      </c>
      <c r="BD198" s="0" t="str">
        <f aca="false">IFERROR(INDEX($A$1:$A$5,MATCH(6,$AS198:$AW198,0)),IF(6=MAX($AS198:$AW198)+1,"取消",""))</f>
        <v/>
      </c>
      <c r="FW198" s="0" t="str">
        <f aca="false">IF(AND(单元查询!$D$3&lt;&gt;"",IF(单元查询!$B$3="公区维修",公区维修!$E198&lt;&gt;"",入户维修!$E198&lt;&gt;""),IF(单元查询!$B$3="公区维修",公区维修!$C198,入户维修!$C198)=单元查询!$D$3,OR(单元查询!$F$3="",IF(单元查询!$B$3="公区维修",公区维修!$D198,入户维修!$D198)&amp;""=(单元查询!$F$3)&amp;"")),MAX($FW$4:$FW197)+1,"")</f>
        <v/>
      </c>
    </row>
    <row r="199" customFormat="false" ht="15" hidden="false" customHeight="true" outlineLevel="0" collapsed="false">
      <c r="F199" s="0" t="n">
        <f aca="false">IF(OR($A$1=入户维修!$F199,$BN$1=1),0,1-SUMPRODUCT(--(($A$1=入户维修!$F199)+$BN$1&gt;0)))</f>
        <v>0</v>
      </c>
      <c r="G199" s="0" t="n">
        <f aca="false">IF(OR($A$2=入户维修!$F199,$BN$2=1),0,2-SUMPRODUCT(--(($A$1:$A$2=入户维修!$F199)+$BN$1:$BN$2&gt;0)))</f>
        <v>1</v>
      </c>
      <c r="H199" s="0" t="n">
        <f aca="false">IF(OR($A$3=入户维修!$F199,$BN$3=1),0,3-SUMPRODUCT(--(($A$1:$A$3=入户维修!$F199)+$BN$1:$BN$3&gt;0)))</f>
        <v>2</v>
      </c>
      <c r="I199" s="0" t="n">
        <f aca="false">IF(OR($A$4=入户维修!$F199,$BN$4=1),0,4-SUMPRODUCT(--(($A$1:$A$4=入户维修!$F199)+$BN$1:$BN$4&gt;0)))</f>
        <v>3</v>
      </c>
      <c r="J199" s="0" t="n">
        <f aca="false">IF(OR($A$5=入户维修!$F199,$BN$5=1),0,5-SUMPRODUCT(--(($A$1:$A$5=入户维修!$F199)+$BN$1:$BN$5&gt;0)))</f>
        <v>4</v>
      </c>
      <c r="L199" s="0" t="str">
        <f aca="false">IFERROR(INDEX($A$1:$A$5,MATCH(1,$F199:$J199,0)),IF(1=MAX($F199:$J199)+1,"取消",""))</f>
        <v>李师傅</v>
      </c>
      <c r="M199" s="0" t="str">
        <f aca="false">IFERROR(INDEX($A$1:$A$5,MATCH(2,$F199:$J199,0)),IF(2=MAX($F199:$J199)+1,"取消",""))</f>
        <v>王师傅</v>
      </c>
      <c r="N199" s="0" t="str">
        <f aca="false">IFERROR(INDEX($A$1:$A$5,MATCH(3,$F199:$J199,0)),IF(3=MAX($F199:$J199)+1,"取消",""))</f>
        <v>陈师傅</v>
      </c>
      <c r="O199" s="0" t="str">
        <f aca="false">IFERROR(INDEX($A$1:$A$5,MATCH(4,$F199:$J199,0)),IF(4=MAX($F199:$J199)+1,"取消",""))</f>
        <v>刘师傅</v>
      </c>
      <c r="P199" s="0" t="str">
        <f aca="false">IFERROR(INDEX($A$1:$A$5,MATCH(5,$F199:$J199,0)),IF(5=MAX($F199:$J199)+1,"取消",""))</f>
        <v>取消</v>
      </c>
      <c r="Q199" s="0" t="str">
        <f aca="false">IFERROR(INDEX($A$1:$A$5,MATCH(6,$F199:$J199,0)),IF(6=MAX($F199:$J199)+1,"取消",""))</f>
        <v/>
      </c>
      <c r="S199" s="0" t="n">
        <f aca="false">IF(OR($A$1=入户维修!$F199,$A$1=入户维修!$G199,$BN$1=1),0,1-SUMPRODUCT(--(($A$1=入户维修!$F199)+($A$1=入户维修!$G199)+$BN$1&gt;0)))</f>
        <v>0</v>
      </c>
      <c r="T199" s="0" t="n">
        <f aca="false">IF(OR($A$2=入户维修!$F199,$A$2=入户维修!$G199,$BN$2=1),0,2-SUMPRODUCT(--(($A$1:$A$2=入户维修!$F199)+($A$1:$A$2=入户维修!$G199)+$BN$1:$BN$2&gt;0)))</f>
        <v>1</v>
      </c>
      <c r="U199" s="0" t="n">
        <f aca="false">IF(OR($A$3=入户维修!$F199,$A$3=入户维修!$G199,$BN$3=1),0,3-SUMPRODUCT(--(($A$1:$A$3=入户维修!$F199)+($A$1:$A$3=入户维修!$G199)+$BN$1:$BN$3&gt;0)))</f>
        <v>2</v>
      </c>
      <c r="V199" s="0" t="n">
        <f aca="false">IF(OR($A$4=入户维修!$F199,$A$4=入户维修!$G199,$BN$4=1),0,4-SUMPRODUCT(--(($A$1:$A$4=入户维修!$F199)+($A$1:$A$4=入户维修!$G199)+$BN$1:$BN$4&gt;0)))</f>
        <v>3</v>
      </c>
      <c r="W199" s="0" t="n">
        <f aca="false">IF(OR($A$5=入户维修!$F199,$A$5=入户维修!$G199,$BN$5=1),0,5-SUMPRODUCT(--(($A$1:$A$5=入户维修!$F199)+($A$1:$A$5=入户维修!$G199)+$BN$1:$BN$5&gt;0)))</f>
        <v>4</v>
      </c>
      <c r="Y199" s="0" t="str">
        <f aca="false">IFERROR(INDEX($A$1:$A$5,MATCH(1,$S199:$W199,0)),IF(1=MAX($S199:$W199)+1,"取消",""))</f>
        <v>李师傅</v>
      </c>
      <c r="Z199" s="0" t="str">
        <f aca="false">IFERROR(INDEX($A$1:$A$5,MATCH(2,$S199:$W199,0)),IF(2=MAX($S199:$W199)+1,"取消",""))</f>
        <v>王师傅</v>
      </c>
      <c r="AA199" s="0" t="str">
        <f aca="false">IFERROR(INDEX($A$1:$A$5,MATCH(3,$S199:$W199,0)),IF(3=MAX($S199:$W199)+1,"取消",""))</f>
        <v>陈师傅</v>
      </c>
      <c r="AB199" s="0" t="str">
        <f aca="false">IFERROR(INDEX($A$1:$A$5,MATCH(4,$S199:$W199,0)),IF(4=MAX($S199:$W199)+1,"取消",""))</f>
        <v>刘师傅</v>
      </c>
      <c r="AC199" s="0" t="str">
        <f aca="false">IFERROR(INDEX($A$1:$A$5,MATCH(5,$S199:$W199,0)),IF(5=MAX($S199:$W199)+1,"取消",""))</f>
        <v>取消</v>
      </c>
      <c r="AD199" s="0" t="str">
        <f aca="false">IFERROR(INDEX($A$1:$A$5,MATCH(6,$S199:$W199,0)),IF(6=MAX($S199:$W199)+1,"取消",""))</f>
        <v/>
      </c>
      <c r="AF199" s="0" t="n">
        <f aca="false">IF(OR($A$1=公区维修!$F199,$BN$1=1),0,1-SUMPRODUCT(--(($A$1=公区维修!$F199)+$BN$1&gt;0)))</f>
        <v>0</v>
      </c>
      <c r="AG199" s="0" t="n">
        <f aca="false">IF(OR($A$2=公区维修!$F199,$BN$2=1),0,2-SUMPRODUCT(--(($A$1:$A$2=公区维修!$F199)+$BN$1:$BN$2&gt;0)))</f>
        <v>1</v>
      </c>
      <c r="AH199" s="0" t="n">
        <f aca="false">IF(OR($A$3=公区维修!$F199,$BN$3=1),0,3-SUMPRODUCT(--(($A$1:$A$3=公区维修!$F199)+$BN$1:$BN$3&gt;0)))</f>
        <v>2</v>
      </c>
      <c r="AI199" s="0" t="n">
        <f aca="false">IF(OR($A$4=公区维修!$F199,$BN$4=1),0,4-SUMPRODUCT(--(($A$1:$A$4=公区维修!$F199)+$BN$1:$BN$4&gt;0)))</f>
        <v>3</v>
      </c>
      <c r="AJ199" s="0" t="n">
        <f aca="false">IF(OR($A$5=公区维修!$F199,$BN$5=1),0,5-SUMPRODUCT(--(($A$1:$A$5=公区维修!$F199)+$BN$1:$BN$5&gt;0)))</f>
        <v>4</v>
      </c>
      <c r="AL199" s="0" t="str">
        <f aca="false">IFERROR(INDEX($A$1:$A$5,MATCH(1,$AF199:$AJ199,0)),IF(1=MAX($AF199:$AJ199)+1,"取消",""))</f>
        <v>李师傅</v>
      </c>
      <c r="AM199" s="0" t="str">
        <f aca="false">IFERROR(INDEX($A$1:$A$5,MATCH(2,$AF199:$AJ199,0)),IF(2=MAX($AF199:$AJ199)+1,"取消",""))</f>
        <v>王师傅</v>
      </c>
      <c r="AN199" s="0" t="str">
        <f aca="false">IFERROR(INDEX($A$1:$A$5,MATCH(3,$AF199:$AJ199,0)),IF(3=MAX($AF199:$AJ199)+1,"取消",""))</f>
        <v>陈师傅</v>
      </c>
      <c r="AO199" s="0" t="str">
        <f aca="false">IFERROR(INDEX($A$1:$A$5,MATCH(4,$AF199:$AJ199,0)),IF(4=MAX($AF199:$AJ199)+1,"取消",""))</f>
        <v>刘师傅</v>
      </c>
      <c r="AP199" s="0" t="str">
        <f aca="false">IFERROR(INDEX($A$1:$A$5,MATCH(5,$AF199:$AJ199,0)),IF(5=MAX($AF199:$AJ199)+1,"取消",""))</f>
        <v>取消</v>
      </c>
      <c r="AQ199" s="0" t="str">
        <f aca="false">IFERROR(INDEX($A$1:$A$5,MATCH(6,$AF199:$AJ199,0)),IF(6=MAX($AF199:$AJ199)+1,"取消",""))</f>
        <v/>
      </c>
      <c r="AS199" s="0" t="n">
        <f aca="false">IF(OR($A$1=公区维修!$F199,$A$1=公区维修!$G199,$BN$1=1),0,1-SUMPRODUCT(--(($A$1=公区维修!$F199)+($A$1=公区维修!$G199)+$BN$1&gt;0)))</f>
        <v>0</v>
      </c>
      <c r="AT199" s="0" t="n">
        <f aca="false">IF(OR($A$2=公区维修!$F199,$A$2=公区维修!$G199,$BN$2=1),0,2-SUMPRODUCT(--(($A$1:$A$2=公区维修!$F199)+($A$1:$A$2=公区维修!$G199)+$BN$1:$BN$2&gt;0)))</f>
        <v>1</v>
      </c>
      <c r="AU199" s="0" t="n">
        <f aca="false">IF(OR($A$3=公区维修!$F199,$A$3=公区维修!$G199,$BN$3=1),0,3-SUMPRODUCT(--(($A$1:$A$3=公区维修!$F199)+($A$1:$A$3=公区维修!$G199)+$BN$1:$BN$3&gt;0)))</f>
        <v>2</v>
      </c>
      <c r="AV199" s="0" t="n">
        <f aca="false">IF(OR($A$4=公区维修!$F199,$A$4=公区维修!$G199,$BN$4=1),0,4-SUMPRODUCT(--(($A$1:$A$4=公区维修!$F199)+($A$1:$A$4=公区维修!$G199)+$BN$1:$BN$4&gt;0)))</f>
        <v>3</v>
      </c>
      <c r="AW199" s="0" t="n">
        <f aca="false">IF(OR($A$5=公区维修!$F199,$A$5=公区维修!$G199,$BN$5=1),0,5-SUMPRODUCT(--(($A$1:$A$5=公区维修!$F199)+($A$1:$A$5=公区维修!$G199)+$BN$1:$BN$5&gt;0)))</f>
        <v>4</v>
      </c>
      <c r="AY199" s="0" t="str">
        <f aca="false">IFERROR(INDEX($A$1:$A$5,MATCH(1,$AS199:$AW199,0)),IF(1=MAX($AS199:$AW199)+1,"取消",""))</f>
        <v>李师傅</v>
      </c>
      <c r="AZ199" s="0" t="str">
        <f aca="false">IFERROR(INDEX($A$1:$A$5,MATCH(2,$AS199:$AW199,0)),IF(2=MAX($AS199:$AW199)+1,"取消",""))</f>
        <v>王师傅</v>
      </c>
      <c r="BA199" s="0" t="str">
        <f aca="false">IFERROR(INDEX($A$1:$A$5,MATCH(3,$AS199:$AW199,0)),IF(3=MAX($AS199:$AW199)+1,"取消",""))</f>
        <v>陈师傅</v>
      </c>
      <c r="BB199" s="0" t="str">
        <f aca="false">IFERROR(INDEX($A$1:$A$5,MATCH(4,$AS199:$AW199,0)),IF(4=MAX($AS199:$AW199)+1,"取消",""))</f>
        <v>刘师傅</v>
      </c>
      <c r="BC199" s="0" t="str">
        <f aca="false">IFERROR(INDEX($A$1:$A$5,MATCH(5,$AS199:$AW199,0)),IF(5=MAX($AS199:$AW199)+1,"取消",""))</f>
        <v>取消</v>
      </c>
      <c r="BD199" s="0" t="str">
        <f aca="false">IFERROR(INDEX($A$1:$A$5,MATCH(6,$AS199:$AW199,0)),IF(6=MAX($AS199:$AW199)+1,"取消",""))</f>
        <v/>
      </c>
      <c r="FW199" s="0" t="str">
        <f aca="false">IF(AND(单元查询!$D$3&lt;&gt;"",IF(单元查询!$B$3="公区维修",公区维修!$E199&lt;&gt;"",入户维修!$E199&lt;&gt;""),IF(单元查询!$B$3="公区维修",公区维修!$C199,入户维修!$C199)=单元查询!$D$3,OR(单元查询!$F$3="",IF(单元查询!$B$3="公区维修",公区维修!$D199,入户维修!$D199)&amp;""=(单元查询!$F$3)&amp;"")),MAX($FW$4:$FW198)+1,"")</f>
        <v/>
      </c>
    </row>
    <row r="200" customFormat="false" ht="15" hidden="false" customHeight="true" outlineLevel="0" collapsed="false">
      <c r="F200" s="0" t="n">
        <f aca="false">IF(OR($A$1=入户维修!$F200,$BN$1=1),0,1-SUMPRODUCT(--(($A$1=入户维修!$F200)+$BN$1&gt;0)))</f>
        <v>0</v>
      </c>
      <c r="G200" s="0" t="n">
        <f aca="false">IF(OR($A$2=入户维修!$F200,$BN$2=1),0,2-SUMPRODUCT(--(($A$1:$A$2=入户维修!$F200)+$BN$1:$BN$2&gt;0)))</f>
        <v>1</v>
      </c>
      <c r="H200" s="0" t="n">
        <f aca="false">IF(OR($A$3=入户维修!$F200,$BN$3=1),0,3-SUMPRODUCT(--(($A$1:$A$3=入户维修!$F200)+$BN$1:$BN$3&gt;0)))</f>
        <v>2</v>
      </c>
      <c r="I200" s="0" t="n">
        <f aca="false">IF(OR($A$4=入户维修!$F200,$BN$4=1),0,4-SUMPRODUCT(--(($A$1:$A$4=入户维修!$F200)+$BN$1:$BN$4&gt;0)))</f>
        <v>3</v>
      </c>
      <c r="J200" s="0" t="n">
        <f aca="false">IF(OR($A$5=入户维修!$F200,$BN$5=1),0,5-SUMPRODUCT(--(($A$1:$A$5=入户维修!$F200)+$BN$1:$BN$5&gt;0)))</f>
        <v>4</v>
      </c>
      <c r="L200" s="0" t="str">
        <f aca="false">IFERROR(INDEX($A$1:$A$5,MATCH(1,$F200:$J200,0)),IF(1=MAX($F200:$J200)+1,"取消",""))</f>
        <v>李师傅</v>
      </c>
      <c r="M200" s="0" t="str">
        <f aca="false">IFERROR(INDEX($A$1:$A$5,MATCH(2,$F200:$J200,0)),IF(2=MAX($F200:$J200)+1,"取消",""))</f>
        <v>王师傅</v>
      </c>
      <c r="N200" s="0" t="str">
        <f aca="false">IFERROR(INDEX($A$1:$A$5,MATCH(3,$F200:$J200,0)),IF(3=MAX($F200:$J200)+1,"取消",""))</f>
        <v>陈师傅</v>
      </c>
      <c r="O200" s="0" t="str">
        <f aca="false">IFERROR(INDEX($A$1:$A$5,MATCH(4,$F200:$J200,0)),IF(4=MAX($F200:$J200)+1,"取消",""))</f>
        <v>刘师傅</v>
      </c>
      <c r="P200" s="0" t="str">
        <f aca="false">IFERROR(INDEX($A$1:$A$5,MATCH(5,$F200:$J200,0)),IF(5=MAX($F200:$J200)+1,"取消",""))</f>
        <v>取消</v>
      </c>
      <c r="Q200" s="0" t="str">
        <f aca="false">IFERROR(INDEX($A$1:$A$5,MATCH(6,$F200:$J200,0)),IF(6=MAX($F200:$J200)+1,"取消",""))</f>
        <v/>
      </c>
      <c r="S200" s="0" t="n">
        <f aca="false">IF(OR($A$1=入户维修!$F200,$A$1=入户维修!$G200,$BN$1=1),0,1-SUMPRODUCT(--(($A$1=入户维修!$F200)+($A$1=入户维修!$G200)+$BN$1&gt;0)))</f>
        <v>0</v>
      </c>
      <c r="T200" s="0" t="n">
        <f aca="false">IF(OR($A$2=入户维修!$F200,$A$2=入户维修!$G200,$BN$2=1),0,2-SUMPRODUCT(--(($A$1:$A$2=入户维修!$F200)+($A$1:$A$2=入户维修!$G200)+$BN$1:$BN$2&gt;0)))</f>
        <v>1</v>
      </c>
      <c r="U200" s="0" t="n">
        <f aca="false">IF(OR($A$3=入户维修!$F200,$A$3=入户维修!$G200,$BN$3=1),0,3-SUMPRODUCT(--(($A$1:$A$3=入户维修!$F200)+($A$1:$A$3=入户维修!$G200)+$BN$1:$BN$3&gt;0)))</f>
        <v>2</v>
      </c>
      <c r="V200" s="0" t="n">
        <f aca="false">IF(OR($A$4=入户维修!$F200,$A$4=入户维修!$G200,$BN$4=1),0,4-SUMPRODUCT(--(($A$1:$A$4=入户维修!$F200)+($A$1:$A$4=入户维修!$G200)+$BN$1:$BN$4&gt;0)))</f>
        <v>3</v>
      </c>
      <c r="W200" s="0" t="n">
        <f aca="false">IF(OR($A$5=入户维修!$F200,$A$5=入户维修!$G200,$BN$5=1),0,5-SUMPRODUCT(--(($A$1:$A$5=入户维修!$F200)+($A$1:$A$5=入户维修!$G200)+$BN$1:$BN$5&gt;0)))</f>
        <v>4</v>
      </c>
      <c r="Y200" s="0" t="str">
        <f aca="false">IFERROR(INDEX($A$1:$A$5,MATCH(1,$S200:$W200,0)),IF(1=MAX($S200:$W200)+1,"取消",""))</f>
        <v>李师傅</v>
      </c>
      <c r="Z200" s="0" t="str">
        <f aca="false">IFERROR(INDEX($A$1:$A$5,MATCH(2,$S200:$W200,0)),IF(2=MAX($S200:$W200)+1,"取消",""))</f>
        <v>王师傅</v>
      </c>
      <c r="AA200" s="0" t="str">
        <f aca="false">IFERROR(INDEX($A$1:$A$5,MATCH(3,$S200:$W200,0)),IF(3=MAX($S200:$W200)+1,"取消",""))</f>
        <v>陈师傅</v>
      </c>
      <c r="AB200" s="0" t="str">
        <f aca="false">IFERROR(INDEX($A$1:$A$5,MATCH(4,$S200:$W200,0)),IF(4=MAX($S200:$W200)+1,"取消",""))</f>
        <v>刘师傅</v>
      </c>
      <c r="AC200" s="0" t="str">
        <f aca="false">IFERROR(INDEX($A$1:$A$5,MATCH(5,$S200:$W200,0)),IF(5=MAX($S200:$W200)+1,"取消",""))</f>
        <v>取消</v>
      </c>
      <c r="AD200" s="0" t="str">
        <f aca="false">IFERROR(INDEX($A$1:$A$5,MATCH(6,$S200:$W200,0)),IF(6=MAX($S200:$W200)+1,"取消",""))</f>
        <v/>
      </c>
      <c r="AF200" s="0" t="n">
        <f aca="false">IF(OR($A$1=公区维修!$F200,$BN$1=1),0,1-SUMPRODUCT(--(($A$1=公区维修!$F200)+$BN$1&gt;0)))</f>
        <v>0</v>
      </c>
      <c r="AG200" s="0" t="n">
        <f aca="false">IF(OR($A$2=公区维修!$F200,$BN$2=1),0,2-SUMPRODUCT(--(($A$1:$A$2=公区维修!$F200)+$BN$1:$BN$2&gt;0)))</f>
        <v>1</v>
      </c>
      <c r="AH200" s="0" t="n">
        <f aca="false">IF(OR($A$3=公区维修!$F200,$BN$3=1),0,3-SUMPRODUCT(--(($A$1:$A$3=公区维修!$F200)+$BN$1:$BN$3&gt;0)))</f>
        <v>2</v>
      </c>
      <c r="AI200" s="0" t="n">
        <f aca="false">IF(OR($A$4=公区维修!$F200,$BN$4=1),0,4-SUMPRODUCT(--(($A$1:$A$4=公区维修!$F200)+$BN$1:$BN$4&gt;0)))</f>
        <v>3</v>
      </c>
      <c r="AJ200" s="0" t="n">
        <f aca="false">IF(OR($A$5=公区维修!$F200,$BN$5=1),0,5-SUMPRODUCT(--(($A$1:$A$5=公区维修!$F200)+$BN$1:$BN$5&gt;0)))</f>
        <v>4</v>
      </c>
      <c r="AL200" s="0" t="str">
        <f aca="false">IFERROR(INDEX($A$1:$A$5,MATCH(1,$AF200:$AJ200,0)),IF(1=MAX($AF200:$AJ200)+1,"取消",""))</f>
        <v>李师傅</v>
      </c>
      <c r="AM200" s="0" t="str">
        <f aca="false">IFERROR(INDEX($A$1:$A$5,MATCH(2,$AF200:$AJ200,0)),IF(2=MAX($AF200:$AJ200)+1,"取消",""))</f>
        <v>王师傅</v>
      </c>
      <c r="AN200" s="0" t="str">
        <f aca="false">IFERROR(INDEX($A$1:$A$5,MATCH(3,$AF200:$AJ200,0)),IF(3=MAX($AF200:$AJ200)+1,"取消",""))</f>
        <v>陈师傅</v>
      </c>
      <c r="AO200" s="0" t="str">
        <f aca="false">IFERROR(INDEX($A$1:$A$5,MATCH(4,$AF200:$AJ200,0)),IF(4=MAX($AF200:$AJ200)+1,"取消",""))</f>
        <v>刘师傅</v>
      </c>
      <c r="AP200" s="0" t="str">
        <f aca="false">IFERROR(INDEX($A$1:$A$5,MATCH(5,$AF200:$AJ200,0)),IF(5=MAX($AF200:$AJ200)+1,"取消",""))</f>
        <v>取消</v>
      </c>
      <c r="AQ200" s="0" t="str">
        <f aca="false">IFERROR(INDEX($A$1:$A$5,MATCH(6,$AF200:$AJ200,0)),IF(6=MAX($AF200:$AJ200)+1,"取消",""))</f>
        <v/>
      </c>
      <c r="AS200" s="0" t="n">
        <f aca="false">IF(OR($A$1=公区维修!$F200,$A$1=公区维修!$G200,$BN$1=1),0,1-SUMPRODUCT(--(($A$1=公区维修!$F200)+($A$1=公区维修!$G200)+$BN$1&gt;0)))</f>
        <v>0</v>
      </c>
      <c r="AT200" s="0" t="n">
        <f aca="false">IF(OR($A$2=公区维修!$F200,$A$2=公区维修!$G200,$BN$2=1),0,2-SUMPRODUCT(--(($A$1:$A$2=公区维修!$F200)+($A$1:$A$2=公区维修!$G200)+$BN$1:$BN$2&gt;0)))</f>
        <v>1</v>
      </c>
      <c r="AU200" s="0" t="n">
        <f aca="false">IF(OR($A$3=公区维修!$F200,$A$3=公区维修!$G200,$BN$3=1),0,3-SUMPRODUCT(--(($A$1:$A$3=公区维修!$F200)+($A$1:$A$3=公区维修!$G200)+$BN$1:$BN$3&gt;0)))</f>
        <v>2</v>
      </c>
      <c r="AV200" s="0" t="n">
        <f aca="false">IF(OR($A$4=公区维修!$F200,$A$4=公区维修!$G200,$BN$4=1),0,4-SUMPRODUCT(--(($A$1:$A$4=公区维修!$F200)+($A$1:$A$4=公区维修!$G200)+$BN$1:$BN$4&gt;0)))</f>
        <v>3</v>
      </c>
      <c r="AW200" s="0" t="n">
        <f aca="false">IF(OR($A$5=公区维修!$F200,$A$5=公区维修!$G200,$BN$5=1),0,5-SUMPRODUCT(--(($A$1:$A$5=公区维修!$F200)+($A$1:$A$5=公区维修!$G200)+$BN$1:$BN$5&gt;0)))</f>
        <v>4</v>
      </c>
      <c r="AY200" s="0" t="str">
        <f aca="false">IFERROR(INDEX($A$1:$A$5,MATCH(1,$AS200:$AW200,0)),IF(1=MAX($AS200:$AW200)+1,"取消",""))</f>
        <v>李师傅</v>
      </c>
      <c r="AZ200" s="0" t="str">
        <f aca="false">IFERROR(INDEX($A$1:$A$5,MATCH(2,$AS200:$AW200,0)),IF(2=MAX($AS200:$AW200)+1,"取消",""))</f>
        <v>王师傅</v>
      </c>
      <c r="BA200" s="0" t="str">
        <f aca="false">IFERROR(INDEX($A$1:$A$5,MATCH(3,$AS200:$AW200,0)),IF(3=MAX($AS200:$AW200)+1,"取消",""))</f>
        <v>陈师傅</v>
      </c>
      <c r="BB200" s="0" t="str">
        <f aca="false">IFERROR(INDEX($A$1:$A$5,MATCH(4,$AS200:$AW200,0)),IF(4=MAX($AS200:$AW200)+1,"取消",""))</f>
        <v>刘师傅</v>
      </c>
      <c r="BC200" s="0" t="str">
        <f aca="false">IFERROR(INDEX($A$1:$A$5,MATCH(5,$AS200:$AW200,0)),IF(5=MAX($AS200:$AW200)+1,"取消",""))</f>
        <v>取消</v>
      </c>
      <c r="BD200" s="0" t="str">
        <f aca="false">IFERROR(INDEX($A$1:$A$5,MATCH(6,$AS200:$AW200,0)),IF(6=MAX($AS200:$AW200)+1,"取消",""))</f>
        <v/>
      </c>
      <c r="FW200" s="0" t="str">
        <f aca="false">IF(AND(单元查询!$D$3&lt;&gt;"",IF(单元查询!$B$3="公区维修",公区维修!$E200&lt;&gt;"",入户维修!$E200&lt;&gt;""),IF(单元查询!$B$3="公区维修",公区维修!$C200,入户维修!$C200)=单元查询!$D$3,OR(单元查询!$F$3="",IF(单元查询!$B$3="公区维修",公区维修!$D200,入户维修!$D200)&amp;""=(单元查询!$F$3)&amp;"")),MAX($FW$4:$FW199)+1,"")</f>
        <v/>
      </c>
    </row>
    <row r="201" customFormat="false" ht="15" hidden="false" customHeight="true" outlineLevel="0" collapsed="false">
      <c r="F201" s="0" t="n">
        <f aca="false">IF(OR($A$1=入户维修!$F201,$BN$1=1),0,1-SUMPRODUCT(--(($A$1=入户维修!$F201)+$BN$1&gt;0)))</f>
        <v>0</v>
      </c>
      <c r="G201" s="0" t="n">
        <f aca="false">IF(OR($A$2=入户维修!$F201,$BN$2=1),0,2-SUMPRODUCT(--(($A$1:$A$2=入户维修!$F201)+$BN$1:$BN$2&gt;0)))</f>
        <v>1</v>
      </c>
      <c r="H201" s="0" t="n">
        <f aca="false">IF(OR($A$3=入户维修!$F201,$BN$3=1),0,3-SUMPRODUCT(--(($A$1:$A$3=入户维修!$F201)+$BN$1:$BN$3&gt;0)))</f>
        <v>2</v>
      </c>
      <c r="I201" s="0" t="n">
        <f aca="false">IF(OR($A$4=入户维修!$F201,$BN$4=1),0,4-SUMPRODUCT(--(($A$1:$A$4=入户维修!$F201)+$BN$1:$BN$4&gt;0)))</f>
        <v>3</v>
      </c>
      <c r="J201" s="0" t="n">
        <f aca="false">IF(OR($A$5=入户维修!$F201,$BN$5=1),0,5-SUMPRODUCT(--(($A$1:$A$5=入户维修!$F201)+$BN$1:$BN$5&gt;0)))</f>
        <v>4</v>
      </c>
      <c r="L201" s="0" t="str">
        <f aca="false">IFERROR(INDEX($A$1:$A$5,MATCH(1,$F201:$J201,0)),IF(1=MAX($F201:$J201)+1,"取消",""))</f>
        <v>李师傅</v>
      </c>
      <c r="M201" s="0" t="str">
        <f aca="false">IFERROR(INDEX($A$1:$A$5,MATCH(2,$F201:$J201,0)),IF(2=MAX($F201:$J201)+1,"取消",""))</f>
        <v>王师傅</v>
      </c>
      <c r="N201" s="0" t="str">
        <f aca="false">IFERROR(INDEX($A$1:$A$5,MATCH(3,$F201:$J201,0)),IF(3=MAX($F201:$J201)+1,"取消",""))</f>
        <v>陈师傅</v>
      </c>
      <c r="O201" s="0" t="str">
        <f aca="false">IFERROR(INDEX($A$1:$A$5,MATCH(4,$F201:$J201,0)),IF(4=MAX($F201:$J201)+1,"取消",""))</f>
        <v>刘师傅</v>
      </c>
      <c r="P201" s="0" t="str">
        <f aca="false">IFERROR(INDEX($A$1:$A$5,MATCH(5,$F201:$J201,0)),IF(5=MAX($F201:$J201)+1,"取消",""))</f>
        <v>取消</v>
      </c>
      <c r="Q201" s="0" t="str">
        <f aca="false">IFERROR(INDEX($A$1:$A$5,MATCH(6,$F201:$J201,0)),IF(6=MAX($F201:$J201)+1,"取消",""))</f>
        <v/>
      </c>
      <c r="S201" s="0" t="n">
        <f aca="false">IF(OR($A$1=入户维修!$F201,$A$1=入户维修!$G201,$BN$1=1),0,1-SUMPRODUCT(--(($A$1=入户维修!$F201)+($A$1=入户维修!$G201)+$BN$1&gt;0)))</f>
        <v>0</v>
      </c>
      <c r="T201" s="0" t="n">
        <f aca="false">IF(OR($A$2=入户维修!$F201,$A$2=入户维修!$G201,$BN$2=1),0,2-SUMPRODUCT(--(($A$1:$A$2=入户维修!$F201)+($A$1:$A$2=入户维修!$G201)+$BN$1:$BN$2&gt;0)))</f>
        <v>1</v>
      </c>
      <c r="U201" s="0" t="n">
        <f aca="false">IF(OR($A$3=入户维修!$F201,$A$3=入户维修!$G201,$BN$3=1),0,3-SUMPRODUCT(--(($A$1:$A$3=入户维修!$F201)+($A$1:$A$3=入户维修!$G201)+$BN$1:$BN$3&gt;0)))</f>
        <v>2</v>
      </c>
      <c r="V201" s="0" t="n">
        <f aca="false">IF(OR($A$4=入户维修!$F201,$A$4=入户维修!$G201,$BN$4=1),0,4-SUMPRODUCT(--(($A$1:$A$4=入户维修!$F201)+($A$1:$A$4=入户维修!$G201)+$BN$1:$BN$4&gt;0)))</f>
        <v>3</v>
      </c>
      <c r="W201" s="0" t="n">
        <f aca="false">IF(OR($A$5=入户维修!$F201,$A$5=入户维修!$G201,$BN$5=1),0,5-SUMPRODUCT(--(($A$1:$A$5=入户维修!$F201)+($A$1:$A$5=入户维修!$G201)+$BN$1:$BN$5&gt;0)))</f>
        <v>4</v>
      </c>
      <c r="Y201" s="0" t="str">
        <f aca="false">IFERROR(INDEX($A$1:$A$5,MATCH(1,$S201:$W201,0)),IF(1=MAX($S201:$W201)+1,"取消",""))</f>
        <v>李师傅</v>
      </c>
      <c r="Z201" s="0" t="str">
        <f aca="false">IFERROR(INDEX($A$1:$A$5,MATCH(2,$S201:$W201,0)),IF(2=MAX($S201:$W201)+1,"取消",""))</f>
        <v>王师傅</v>
      </c>
      <c r="AA201" s="0" t="str">
        <f aca="false">IFERROR(INDEX($A$1:$A$5,MATCH(3,$S201:$W201,0)),IF(3=MAX($S201:$W201)+1,"取消",""))</f>
        <v>陈师傅</v>
      </c>
      <c r="AB201" s="0" t="str">
        <f aca="false">IFERROR(INDEX($A$1:$A$5,MATCH(4,$S201:$W201,0)),IF(4=MAX($S201:$W201)+1,"取消",""))</f>
        <v>刘师傅</v>
      </c>
      <c r="AC201" s="0" t="str">
        <f aca="false">IFERROR(INDEX($A$1:$A$5,MATCH(5,$S201:$W201,0)),IF(5=MAX($S201:$W201)+1,"取消",""))</f>
        <v>取消</v>
      </c>
      <c r="AD201" s="0" t="str">
        <f aca="false">IFERROR(INDEX($A$1:$A$5,MATCH(6,$S201:$W201,0)),IF(6=MAX($S201:$W201)+1,"取消",""))</f>
        <v/>
      </c>
      <c r="AF201" s="0" t="n">
        <f aca="false">IF(OR($A$1=公区维修!$F201,$BN$1=1),0,1-SUMPRODUCT(--(($A$1=公区维修!$F201)+$BN$1&gt;0)))</f>
        <v>0</v>
      </c>
      <c r="AG201" s="0" t="n">
        <f aca="false">IF(OR($A$2=公区维修!$F201,$BN$2=1),0,2-SUMPRODUCT(--(($A$1:$A$2=公区维修!$F201)+$BN$1:$BN$2&gt;0)))</f>
        <v>1</v>
      </c>
      <c r="AH201" s="0" t="n">
        <f aca="false">IF(OR($A$3=公区维修!$F201,$BN$3=1),0,3-SUMPRODUCT(--(($A$1:$A$3=公区维修!$F201)+$BN$1:$BN$3&gt;0)))</f>
        <v>2</v>
      </c>
      <c r="AI201" s="0" t="n">
        <f aca="false">IF(OR($A$4=公区维修!$F201,$BN$4=1),0,4-SUMPRODUCT(--(($A$1:$A$4=公区维修!$F201)+$BN$1:$BN$4&gt;0)))</f>
        <v>3</v>
      </c>
      <c r="AJ201" s="0" t="n">
        <f aca="false">IF(OR($A$5=公区维修!$F201,$BN$5=1),0,5-SUMPRODUCT(--(($A$1:$A$5=公区维修!$F201)+$BN$1:$BN$5&gt;0)))</f>
        <v>4</v>
      </c>
      <c r="AL201" s="0" t="str">
        <f aca="false">IFERROR(INDEX($A$1:$A$5,MATCH(1,$AF201:$AJ201,0)),IF(1=MAX($AF201:$AJ201)+1,"取消",""))</f>
        <v>李师傅</v>
      </c>
      <c r="AM201" s="0" t="str">
        <f aca="false">IFERROR(INDEX($A$1:$A$5,MATCH(2,$AF201:$AJ201,0)),IF(2=MAX($AF201:$AJ201)+1,"取消",""))</f>
        <v>王师傅</v>
      </c>
      <c r="AN201" s="0" t="str">
        <f aca="false">IFERROR(INDEX($A$1:$A$5,MATCH(3,$AF201:$AJ201,0)),IF(3=MAX($AF201:$AJ201)+1,"取消",""))</f>
        <v>陈师傅</v>
      </c>
      <c r="AO201" s="0" t="str">
        <f aca="false">IFERROR(INDEX($A$1:$A$5,MATCH(4,$AF201:$AJ201,0)),IF(4=MAX($AF201:$AJ201)+1,"取消",""))</f>
        <v>刘师傅</v>
      </c>
      <c r="AP201" s="0" t="str">
        <f aca="false">IFERROR(INDEX($A$1:$A$5,MATCH(5,$AF201:$AJ201,0)),IF(5=MAX($AF201:$AJ201)+1,"取消",""))</f>
        <v>取消</v>
      </c>
      <c r="AQ201" s="0" t="str">
        <f aca="false">IFERROR(INDEX($A$1:$A$5,MATCH(6,$AF201:$AJ201,0)),IF(6=MAX($AF201:$AJ201)+1,"取消",""))</f>
        <v/>
      </c>
      <c r="AS201" s="0" t="n">
        <f aca="false">IF(OR($A$1=公区维修!$F201,$A$1=公区维修!$G201,$BN$1=1),0,1-SUMPRODUCT(--(($A$1=公区维修!$F201)+($A$1=公区维修!$G201)+$BN$1&gt;0)))</f>
        <v>0</v>
      </c>
      <c r="AT201" s="0" t="n">
        <f aca="false">IF(OR($A$2=公区维修!$F201,$A$2=公区维修!$G201,$BN$2=1),0,2-SUMPRODUCT(--(($A$1:$A$2=公区维修!$F201)+($A$1:$A$2=公区维修!$G201)+$BN$1:$BN$2&gt;0)))</f>
        <v>1</v>
      </c>
      <c r="AU201" s="0" t="n">
        <f aca="false">IF(OR($A$3=公区维修!$F201,$A$3=公区维修!$G201,$BN$3=1),0,3-SUMPRODUCT(--(($A$1:$A$3=公区维修!$F201)+($A$1:$A$3=公区维修!$G201)+$BN$1:$BN$3&gt;0)))</f>
        <v>2</v>
      </c>
      <c r="AV201" s="0" t="n">
        <f aca="false">IF(OR($A$4=公区维修!$F201,$A$4=公区维修!$G201,$BN$4=1),0,4-SUMPRODUCT(--(($A$1:$A$4=公区维修!$F201)+($A$1:$A$4=公区维修!$G201)+$BN$1:$BN$4&gt;0)))</f>
        <v>3</v>
      </c>
      <c r="AW201" s="0" t="n">
        <f aca="false">IF(OR($A$5=公区维修!$F201,$A$5=公区维修!$G201,$BN$5=1),0,5-SUMPRODUCT(--(($A$1:$A$5=公区维修!$F201)+($A$1:$A$5=公区维修!$G201)+$BN$1:$BN$5&gt;0)))</f>
        <v>4</v>
      </c>
      <c r="AY201" s="0" t="str">
        <f aca="false">IFERROR(INDEX($A$1:$A$5,MATCH(1,$AS201:$AW201,0)),IF(1=MAX($AS201:$AW201)+1,"取消",""))</f>
        <v>李师傅</v>
      </c>
      <c r="AZ201" s="0" t="str">
        <f aca="false">IFERROR(INDEX($A$1:$A$5,MATCH(2,$AS201:$AW201,0)),IF(2=MAX($AS201:$AW201)+1,"取消",""))</f>
        <v>王师傅</v>
      </c>
      <c r="BA201" s="0" t="str">
        <f aca="false">IFERROR(INDEX($A$1:$A$5,MATCH(3,$AS201:$AW201,0)),IF(3=MAX($AS201:$AW201)+1,"取消",""))</f>
        <v>陈师傅</v>
      </c>
      <c r="BB201" s="0" t="str">
        <f aca="false">IFERROR(INDEX($A$1:$A$5,MATCH(4,$AS201:$AW201,0)),IF(4=MAX($AS201:$AW201)+1,"取消",""))</f>
        <v>刘师傅</v>
      </c>
      <c r="BC201" s="0" t="str">
        <f aca="false">IFERROR(INDEX($A$1:$A$5,MATCH(5,$AS201:$AW201,0)),IF(5=MAX($AS201:$AW201)+1,"取消",""))</f>
        <v>取消</v>
      </c>
      <c r="BD201" s="0" t="str">
        <f aca="false">IFERROR(INDEX($A$1:$A$5,MATCH(6,$AS201:$AW201,0)),IF(6=MAX($AS201:$AW201)+1,"取消",""))</f>
        <v/>
      </c>
      <c r="FW201" s="0" t="str">
        <f aca="false">IF(AND(单元查询!$D$3&lt;&gt;"",IF(单元查询!$B$3="公区维修",公区维修!$E201&lt;&gt;"",入户维修!$E201&lt;&gt;""),IF(单元查询!$B$3="公区维修",公区维修!$C201,入户维修!$C201)=单元查询!$D$3,OR(单元查询!$F$3="",IF(单元查询!$B$3="公区维修",公区维修!$D201,入户维修!$D201)&amp;""=(单元查询!$F$3)&amp;"")),MAX($FW$4:$FW200)+1,"")</f>
        <v/>
      </c>
    </row>
    <row r="202" customFormat="false" ht="15" hidden="false" customHeight="true" outlineLevel="0" collapsed="false">
      <c r="F202" s="0" t="n">
        <f aca="false">IF(OR($A$1=入户维修!$F202,$BN$1=1),0,1-SUMPRODUCT(--(($A$1=入户维修!$F202)+$BN$1&gt;0)))</f>
        <v>0</v>
      </c>
      <c r="G202" s="0" t="n">
        <f aca="false">IF(OR($A$2=入户维修!$F202,$BN$2=1),0,2-SUMPRODUCT(--(($A$1:$A$2=入户维修!$F202)+$BN$1:$BN$2&gt;0)))</f>
        <v>1</v>
      </c>
      <c r="H202" s="0" t="n">
        <f aca="false">IF(OR($A$3=入户维修!$F202,$BN$3=1),0,3-SUMPRODUCT(--(($A$1:$A$3=入户维修!$F202)+$BN$1:$BN$3&gt;0)))</f>
        <v>2</v>
      </c>
      <c r="I202" s="0" t="n">
        <f aca="false">IF(OR($A$4=入户维修!$F202,$BN$4=1),0,4-SUMPRODUCT(--(($A$1:$A$4=入户维修!$F202)+$BN$1:$BN$4&gt;0)))</f>
        <v>3</v>
      </c>
      <c r="J202" s="0" t="n">
        <f aca="false">IF(OR($A$5=入户维修!$F202,$BN$5=1),0,5-SUMPRODUCT(--(($A$1:$A$5=入户维修!$F202)+$BN$1:$BN$5&gt;0)))</f>
        <v>4</v>
      </c>
      <c r="L202" s="0" t="str">
        <f aca="false">IFERROR(INDEX($A$1:$A$5,MATCH(1,$F202:$J202,0)),IF(1=MAX($F202:$J202)+1,"取消",""))</f>
        <v>李师傅</v>
      </c>
      <c r="M202" s="0" t="str">
        <f aca="false">IFERROR(INDEX($A$1:$A$5,MATCH(2,$F202:$J202,0)),IF(2=MAX($F202:$J202)+1,"取消",""))</f>
        <v>王师傅</v>
      </c>
      <c r="N202" s="0" t="str">
        <f aca="false">IFERROR(INDEX($A$1:$A$5,MATCH(3,$F202:$J202,0)),IF(3=MAX($F202:$J202)+1,"取消",""))</f>
        <v>陈师傅</v>
      </c>
      <c r="O202" s="0" t="str">
        <f aca="false">IFERROR(INDEX($A$1:$A$5,MATCH(4,$F202:$J202,0)),IF(4=MAX($F202:$J202)+1,"取消",""))</f>
        <v>刘师傅</v>
      </c>
      <c r="P202" s="0" t="str">
        <f aca="false">IFERROR(INDEX($A$1:$A$5,MATCH(5,$F202:$J202,0)),IF(5=MAX($F202:$J202)+1,"取消",""))</f>
        <v>取消</v>
      </c>
      <c r="Q202" s="0" t="str">
        <f aca="false">IFERROR(INDEX($A$1:$A$5,MATCH(6,$F202:$J202,0)),IF(6=MAX($F202:$J202)+1,"取消",""))</f>
        <v/>
      </c>
      <c r="S202" s="0" t="n">
        <f aca="false">IF(OR($A$1=入户维修!$F202,$A$1=入户维修!$G202,$BN$1=1),0,1-SUMPRODUCT(--(($A$1=入户维修!$F202)+($A$1=入户维修!$G202)+$BN$1&gt;0)))</f>
        <v>0</v>
      </c>
      <c r="T202" s="0" t="n">
        <f aca="false">IF(OR($A$2=入户维修!$F202,$A$2=入户维修!$G202,$BN$2=1),0,2-SUMPRODUCT(--(($A$1:$A$2=入户维修!$F202)+($A$1:$A$2=入户维修!$G202)+$BN$1:$BN$2&gt;0)))</f>
        <v>1</v>
      </c>
      <c r="U202" s="0" t="n">
        <f aca="false">IF(OR($A$3=入户维修!$F202,$A$3=入户维修!$G202,$BN$3=1),0,3-SUMPRODUCT(--(($A$1:$A$3=入户维修!$F202)+($A$1:$A$3=入户维修!$G202)+$BN$1:$BN$3&gt;0)))</f>
        <v>2</v>
      </c>
      <c r="V202" s="0" t="n">
        <f aca="false">IF(OR($A$4=入户维修!$F202,$A$4=入户维修!$G202,$BN$4=1),0,4-SUMPRODUCT(--(($A$1:$A$4=入户维修!$F202)+($A$1:$A$4=入户维修!$G202)+$BN$1:$BN$4&gt;0)))</f>
        <v>3</v>
      </c>
      <c r="W202" s="0" t="n">
        <f aca="false">IF(OR($A$5=入户维修!$F202,$A$5=入户维修!$G202,$BN$5=1),0,5-SUMPRODUCT(--(($A$1:$A$5=入户维修!$F202)+($A$1:$A$5=入户维修!$G202)+$BN$1:$BN$5&gt;0)))</f>
        <v>4</v>
      </c>
      <c r="Y202" s="0" t="str">
        <f aca="false">IFERROR(INDEX($A$1:$A$5,MATCH(1,$S202:$W202,0)),IF(1=MAX($S202:$W202)+1,"取消",""))</f>
        <v>李师傅</v>
      </c>
      <c r="Z202" s="0" t="str">
        <f aca="false">IFERROR(INDEX($A$1:$A$5,MATCH(2,$S202:$W202,0)),IF(2=MAX($S202:$W202)+1,"取消",""))</f>
        <v>王师傅</v>
      </c>
      <c r="AA202" s="0" t="str">
        <f aca="false">IFERROR(INDEX($A$1:$A$5,MATCH(3,$S202:$W202,0)),IF(3=MAX($S202:$W202)+1,"取消",""))</f>
        <v>陈师傅</v>
      </c>
      <c r="AB202" s="0" t="str">
        <f aca="false">IFERROR(INDEX($A$1:$A$5,MATCH(4,$S202:$W202,0)),IF(4=MAX($S202:$W202)+1,"取消",""))</f>
        <v>刘师傅</v>
      </c>
      <c r="AC202" s="0" t="str">
        <f aca="false">IFERROR(INDEX($A$1:$A$5,MATCH(5,$S202:$W202,0)),IF(5=MAX($S202:$W202)+1,"取消",""))</f>
        <v>取消</v>
      </c>
      <c r="AD202" s="0" t="str">
        <f aca="false">IFERROR(INDEX($A$1:$A$5,MATCH(6,$S202:$W202,0)),IF(6=MAX($S202:$W202)+1,"取消",""))</f>
        <v/>
      </c>
      <c r="AF202" s="0" t="n">
        <f aca="false">IF(OR($A$1=公区维修!$F202,$BN$1=1),0,1-SUMPRODUCT(--(($A$1=公区维修!$F202)+$BN$1&gt;0)))</f>
        <v>0</v>
      </c>
      <c r="AG202" s="0" t="n">
        <f aca="false">IF(OR($A$2=公区维修!$F202,$BN$2=1),0,2-SUMPRODUCT(--(($A$1:$A$2=公区维修!$F202)+$BN$1:$BN$2&gt;0)))</f>
        <v>1</v>
      </c>
      <c r="AH202" s="0" t="n">
        <f aca="false">IF(OR($A$3=公区维修!$F202,$BN$3=1),0,3-SUMPRODUCT(--(($A$1:$A$3=公区维修!$F202)+$BN$1:$BN$3&gt;0)))</f>
        <v>2</v>
      </c>
      <c r="AI202" s="0" t="n">
        <f aca="false">IF(OR($A$4=公区维修!$F202,$BN$4=1),0,4-SUMPRODUCT(--(($A$1:$A$4=公区维修!$F202)+$BN$1:$BN$4&gt;0)))</f>
        <v>3</v>
      </c>
      <c r="AJ202" s="0" t="n">
        <f aca="false">IF(OR($A$5=公区维修!$F202,$BN$5=1),0,5-SUMPRODUCT(--(($A$1:$A$5=公区维修!$F202)+$BN$1:$BN$5&gt;0)))</f>
        <v>4</v>
      </c>
      <c r="AL202" s="0" t="str">
        <f aca="false">IFERROR(INDEX($A$1:$A$5,MATCH(1,$AF202:$AJ202,0)),IF(1=MAX($AF202:$AJ202)+1,"取消",""))</f>
        <v>李师傅</v>
      </c>
      <c r="AM202" s="0" t="str">
        <f aca="false">IFERROR(INDEX($A$1:$A$5,MATCH(2,$AF202:$AJ202,0)),IF(2=MAX($AF202:$AJ202)+1,"取消",""))</f>
        <v>王师傅</v>
      </c>
      <c r="AN202" s="0" t="str">
        <f aca="false">IFERROR(INDEX($A$1:$A$5,MATCH(3,$AF202:$AJ202,0)),IF(3=MAX($AF202:$AJ202)+1,"取消",""))</f>
        <v>陈师傅</v>
      </c>
      <c r="AO202" s="0" t="str">
        <f aca="false">IFERROR(INDEX($A$1:$A$5,MATCH(4,$AF202:$AJ202,0)),IF(4=MAX($AF202:$AJ202)+1,"取消",""))</f>
        <v>刘师傅</v>
      </c>
      <c r="AP202" s="0" t="str">
        <f aca="false">IFERROR(INDEX($A$1:$A$5,MATCH(5,$AF202:$AJ202,0)),IF(5=MAX($AF202:$AJ202)+1,"取消",""))</f>
        <v>取消</v>
      </c>
      <c r="AQ202" s="0" t="str">
        <f aca="false">IFERROR(INDEX($A$1:$A$5,MATCH(6,$AF202:$AJ202,0)),IF(6=MAX($AF202:$AJ202)+1,"取消",""))</f>
        <v/>
      </c>
      <c r="AS202" s="0" t="n">
        <f aca="false">IF(OR($A$1=公区维修!$F202,$A$1=公区维修!$G202,$BN$1=1),0,1-SUMPRODUCT(--(($A$1=公区维修!$F202)+($A$1=公区维修!$G202)+$BN$1&gt;0)))</f>
        <v>0</v>
      </c>
      <c r="AT202" s="0" t="n">
        <f aca="false">IF(OR($A$2=公区维修!$F202,$A$2=公区维修!$G202,$BN$2=1),0,2-SUMPRODUCT(--(($A$1:$A$2=公区维修!$F202)+($A$1:$A$2=公区维修!$G202)+$BN$1:$BN$2&gt;0)))</f>
        <v>1</v>
      </c>
      <c r="AU202" s="0" t="n">
        <f aca="false">IF(OR($A$3=公区维修!$F202,$A$3=公区维修!$G202,$BN$3=1),0,3-SUMPRODUCT(--(($A$1:$A$3=公区维修!$F202)+($A$1:$A$3=公区维修!$G202)+$BN$1:$BN$3&gt;0)))</f>
        <v>2</v>
      </c>
      <c r="AV202" s="0" t="n">
        <f aca="false">IF(OR($A$4=公区维修!$F202,$A$4=公区维修!$G202,$BN$4=1),0,4-SUMPRODUCT(--(($A$1:$A$4=公区维修!$F202)+($A$1:$A$4=公区维修!$G202)+$BN$1:$BN$4&gt;0)))</f>
        <v>3</v>
      </c>
      <c r="AW202" s="0" t="n">
        <f aca="false">IF(OR($A$5=公区维修!$F202,$A$5=公区维修!$G202,$BN$5=1),0,5-SUMPRODUCT(--(($A$1:$A$5=公区维修!$F202)+($A$1:$A$5=公区维修!$G202)+$BN$1:$BN$5&gt;0)))</f>
        <v>4</v>
      </c>
      <c r="AY202" s="0" t="str">
        <f aca="false">IFERROR(INDEX($A$1:$A$5,MATCH(1,$AS202:$AW202,0)),IF(1=MAX($AS202:$AW202)+1,"取消",""))</f>
        <v>李师傅</v>
      </c>
      <c r="AZ202" s="0" t="str">
        <f aca="false">IFERROR(INDEX($A$1:$A$5,MATCH(2,$AS202:$AW202,0)),IF(2=MAX($AS202:$AW202)+1,"取消",""))</f>
        <v>王师傅</v>
      </c>
      <c r="BA202" s="0" t="str">
        <f aca="false">IFERROR(INDEX($A$1:$A$5,MATCH(3,$AS202:$AW202,0)),IF(3=MAX($AS202:$AW202)+1,"取消",""))</f>
        <v>陈师傅</v>
      </c>
      <c r="BB202" s="0" t="str">
        <f aca="false">IFERROR(INDEX($A$1:$A$5,MATCH(4,$AS202:$AW202,0)),IF(4=MAX($AS202:$AW202)+1,"取消",""))</f>
        <v>刘师傅</v>
      </c>
      <c r="BC202" s="0" t="str">
        <f aca="false">IFERROR(INDEX($A$1:$A$5,MATCH(5,$AS202:$AW202,0)),IF(5=MAX($AS202:$AW202)+1,"取消",""))</f>
        <v>取消</v>
      </c>
      <c r="BD202" s="0" t="str">
        <f aca="false">IFERROR(INDEX($A$1:$A$5,MATCH(6,$AS202:$AW202,0)),IF(6=MAX($AS202:$AW202)+1,"取消",""))</f>
        <v/>
      </c>
      <c r="FW202" s="0" t="str">
        <f aca="false">IF(AND(单元查询!$D$3&lt;&gt;"",IF(单元查询!$B$3="公区维修",公区维修!$E202&lt;&gt;"",入户维修!$E202&lt;&gt;""),IF(单元查询!$B$3="公区维修",公区维修!$C202,入户维修!$C202)=单元查询!$D$3,OR(单元查询!$F$3="",IF(单元查询!$B$3="公区维修",公区维修!$D202,入户维修!$D202)&amp;""=(单元查询!$F$3)&amp;"")),MAX($FW$4:$FW201)+1,"")</f>
        <v/>
      </c>
    </row>
    <row r="203" customFormat="false" ht="15" hidden="false" customHeight="true" outlineLevel="0" collapsed="false">
      <c r="F203" s="0" t="n">
        <f aca="false">IF(OR($A$1=入户维修!$F203,$BN$1=1),0,1-SUMPRODUCT(--(($A$1=入户维修!$F203)+$BN$1&gt;0)))</f>
        <v>0</v>
      </c>
      <c r="G203" s="0" t="n">
        <f aca="false">IF(OR($A$2=入户维修!$F203,$BN$2=1),0,2-SUMPRODUCT(--(($A$1:$A$2=入户维修!$F203)+$BN$1:$BN$2&gt;0)))</f>
        <v>1</v>
      </c>
      <c r="H203" s="0" t="n">
        <f aca="false">IF(OR($A$3=入户维修!$F203,$BN$3=1),0,3-SUMPRODUCT(--(($A$1:$A$3=入户维修!$F203)+$BN$1:$BN$3&gt;0)))</f>
        <v>2</v>
      </c>
      <c r="I203" s="0" t="n">
        <f aca="false">IF(OR($A$4=入户维修!$F203,$BN$4=1),0,4-SUMPRODUCT(--(($A$1:$A$4=入户维修!$F203)+$BN$1:$BN$4&gt;0)))</f>
        <v>3</v>
      </c>
      <c r="J203" s="0" t="n">
        <f aca="false">IF(OR($A$5=入户维修!$F203,$BN$5=1),0,5-SUMPRODUCT(--(($A$1:$A$5=入户维修!$F203)+$BN$1:$BN$5&gt;0)))</f>
        <v>4</v>
      </c>
      <c r="L203" s="0" t="str">
        <f aca="false">IFERROR(INDEX($A$1:$A$5,MATCH(1,$F203:$J203,0)),IF(1=MAX($F203:$J203)+1,"取消",""))</f>
        <v>李师傅</v>
      </c>
      <c r="M203" s="0" t="str">
        <f aca="false">IFERROR(INDEX($A$1:$A$5,MATCH(2,$F203:$J203,0)),IF(2=MAX($F203:$J203)+1,"取消",""))</f>
        <v>王师傅</v>
      </c>
      <c r="N203" s="0" t="str">
        <f aca="false">IFERROR(INDEX($A$1:$A$5,MATCH(3,$F203:$J203,0)),IF(3=MAX($F203:$J203)+1,"取消",""))</f>
        <v>陈师傅</v>
      </c>
      <c r="O203" s="0" t="str">
        <f aca="false">IFERROR(INDEX($A$1:$A$5,MATCH(4,$F203:$J203,0)),IF(4=MAX($F203:$J203)+1,"取消",""))</f>
        <v>刘师傅</v>
      </c>
      <c r="P203" s="0" t="str">
        <f aca="false">IFERROR(INDEX($A$1:$A$5,MATCH(5,$F203:$J203,0)),IF(5=MAX($F203:$J203)+1,"取消",""))</f>
        <v>取消</v>
      </c>
      <c r="Q203" s="0" t="str">
        <f aca="false">IFERROR(INDEX($A$1:$A$5,MATCH(6,$F203:$J203,0)),IF(6=MAX($F203:$J203)+1,"取消",""))</f>
        <v/>
      </c>
      <c r="S203" s="0" t="n">
        <f aca="false">IF(OR($A$1=入户维修!$F203,$A$1=入户维修!$G203,$BN$1=1),0,1-SUMPRODUCT(--(($A$1=入户维修!$F203)+($A$1=入户维修!$G203)+$BN$1&gt;0)))</f>
        <v>0</v>
      </c>
      <c r="T203" s="0" t="n">
        <f aca="false">IF(OR($A$2=入户维修!$F203,$A$2=入户维修!$G203,$BN$2=1),0,2-SUMPRODUCT(--(($A$1:$A$2=入户维修!$F203)+($A$1:$A$2=入户维修!$G203)+$BN$1:$BN$2&gt;0)))</f>
        <v>1</v>
      </c>
      <c r="U203" s="0" t="n">
        <f aca="false">IF(OR($A$3=入户维修!$F203,$A$3=入户维修!$G203,$BN$3=1),0,3-SUMPRODUCT(--(($A$1:$A$3=入户维修!$F203)+($A$1:$A$3=入户维修!$G203)+$BN$1:$BN$3&gt;0)))</f>
        <v>2</v>
      </c>
      <c r="V203" s="0" t="n">
        <f aca="false">IF(OR($A$4=入户维修!$F203,$A$4=入户维修!$G203,$BN$4=1),0,4-SUMPRODUCT(--(($A$1:$A$4=入户维修!$F203)+($A$1:$A$4=入户维修!$G203)+$BN$1:$BN$4&gt;0)))</f>
        <v>3</v>
      </c>
      <c r="W203" s="0" t="n">
        <f aca="false">IF(OR($A$5=入户维修!$F203,$A$5=入户维修!$G203,$BN$5=1),0,5-SUMPRODUCT(--(($A$1:$A$5=入户维修!$F203)+($A$1:$A$5=入户维修!$G203)+$BN$1:$BN$5&gt;0)))</f>
        <v>4</v>
      </c>
      <c r="Y203" s="0" t="str">
        <f aca="false">IFERROR(INDEX($A$1:$A$5,MATCH(1,$S203:$W203,0)),IF(1=MAX($S203:$W203)+1,"取消",""))</f>
        <v>李师傅</v>
      </c>
      <c r="Z203" s="0" t="str">
        <f aca="false">IFERROR(INDEX($A$1:$A$5,MATCH(2,$S203:$W203,0)),IF(2=MAX($S203:$W203)+1,"取消",""))</f>
        <v>王师傅</v>
      </c>
      <c r="AA203" s="0" t="str">
        <f aca="false">IFERROR(INDEX($A$1:$A$5,MATCH(3,$S203:$W203,0)),IF(3=MAX($S203:$W203)+1,"取消",""))</f>
        <v>陈师傅</v>
      </c>
      <c r="AB203" s="0" t="str">
        <f aca="false">IFERROR(INDEX($A$1:$A$5,MATCH(4,$S203:$W203,0)),IF(4=MAX($S203:$W203)+1,"取消",""))</f>
        <v>刘师傅</v>
      </c>
      <c r="AC203" s="0" t="str">
        <f aca="false">IFERROR(INDEX($A$1:$A$5,MATCH(5,$S203:$W203,0)),IF(5=MAX($S203:$W203)+1,"取消",""))</f>
        <v>取消</v>
      </c>
      <c r="AD203" s="0" t="str">
        <f aca="false">IFERROR(INDEX($A$1:$A$5,MATCH(6,$S203:$W203,0)),IF(6=MAX($S203:$W203)+1,"取消",""))</f>
        <v/>
      </c>
      <c r="AF203" s="0" t="n">
        <f aca="false">IF(OR($A$1=公区维修!$F203,$BN$1=1),0,1-SUMPRODUCT(--(($A$1=公区维修!$F203)+$BN$1&gt;0)))</f>
        <v>0</v>
      </c>
      <c r="AG203" s="0" t="n">
        <f aca="false">IF(OR($A$2=公区维修!$F203,$BN$2=1),0,2-SUMPRODUCT(--(($A$1:$A$2=公区维修!$F203)+$BN$1:$BN$2&gt;0)))</f>
        <v>1</v>
      </c>
      <c r="AH203" s="0" t="n">
        <f aca="false">IF(OR($A$3=公区维修!$F203,$BN$3=1),0,3-SUMPRODUCT(--(($A$1:$A$3=公区维修!$F203)+$BN$1:$BN$3&gt;0)))</f>
        <v>2</v>
      </c>
      <c r="AI203" s="0" t="n">
        <f aca="false">IF(OR($A$4=公区维修!$F203,$BN$4=1),0,4-SUMPRODUCT(--(($A$1:$A$4=公区维修!$F203)+$BN$1:$BN$4&gt;0)))</f>
        <v>3</v>
      </c>
      <c r="AJ203" s="0" t="n">
        <f aca="false">IF(OR($A$5=公区维修!$F203,$BN$5=1),0,5-SUMPRODUCT(--(($A$1:$A$5=公区维修!$F203)+$BN$1:$BN$5&gt;0)))</f>
        <v>4</v>
      </c>
      <c r="AL203" s="0" t="str">
        <f aca="false">IFERROR(INDEX($A$1:$A$5,MATCH(1,$AF203:$AJ203,0)),IF(1=MAX($AF203:$AJ203)+1,"取消",""))</f>
        <v>李师傅</v>
      </c>
      <c r="AM203" s="0" t="str">
        <f aca="false">IFERROR(INDEX($A$1:$A$5,MATCH(2,$AF203:$AJ203,0)),IF(2=MAX($AF203:$AJ203)+1,"取消",""))</f>
        <v>王师傅</v>
      </c>
      <c r="AN203" s="0" t="str">
        <f aca="false">IFERROR(INDEX($A$1:$A$5,MATCH(3,$AF203:$AJ203,0)),IF(3=MAX($AF203:$AJ203)+1,"取消",""))</f>
        <v>陈师傅</v>
      </c>
      <c r="AO203" s="0" t="str">
        <f aca="false">IFERROR(INDEX($A$1:$A$5,MATCH(4,$AF203:$AJ203,0)),IF(4=MAX($AF203:$AJ203)+1,"取消",""))</f>
        <v>刘师傅</v>
      </c>
      <c r="AP203" s="0" t="str">
        <f aca="false">IFERROR(INDEX($A$1:$A$5,MATCH(5,$AF203:$AJ203,0)),IF(5=MAX($AF203:$AJ203)+1,"取消",""))</f>
        <v>取消</v>
      </c>
      <c r="AQ203" s="0" t="str">
        <f aca="false">IFERROR(INDEX($A$1:$A$5,MATCH(6,$AF203:$AJ203,0)),IF(6=MAX($AF203:$AJ203)+1,"取消",""))</f>
        <v/>
      </c>
      <c r="AS203" s="0" t="n">
        <f aca="false">IF(OR($A$1=公区维修!$F203,$A$1=公区维修!$G203,$BN$1=1),0,1-SUMPRODUCT(--(($A$1=公区维修!$F203)+($A$1=公区维修!$G203)+$BN$1&gt;0)))</f>
        <v>0</v>
      </c>
      <c r="AT203" s="0" t="n">
        <f aca="false">IF(OR($A$2=公区维修!$F203,$A$2=公区维修!$G203,$BN$2=1),0,2-SUMPRODUCT(--(($A$1:$A$2=公区维修!$F203)+($A$1:$A$2=公区维修!$G203)+$BN$1:$BN$2&gt;0)))</f>
        <v>1</v>
      </c>
      <c r="AU203" s="0" t="n">
        <f aca="false">IF(OR($A$3=公区维修!$F203,$A$3=公区维修!$G203,$BN$3=1),0,3-SUMPRODUCT(--(($A$1:$A$3=公区维修!$F203)+($A$1:$A$3=公区维修!$G203)+$BN$1:$BN$3&gt;0)))</f>
        <v>2</v>
      </c>
      <c r="AV203" s="0" t="n">
        <f aca="false">IF(OR($A$4=公区维修!$F203,$A$4=公区维修!$G203,$BN$4=1),0,4-SUMPRODUCT(--(($A$1:$A$4=公区维修!$F203)+($A$1:$A$4=公区维修!$G203)+$BN$1:$BN$4&gt;0)))</f>
        <v>3</v>
      </c>
      <c r="AW203" s="0" t="n">
        <f aca="false">IF(OR($A$5=公区维修!$F203,$A$5=公区维修!$G203,$BN$5=1),0,5-SUMPRODUCT(--(($A$1:$A$5=公区维修!$F203)+($A$1:$A$5=公区维修!$G203)+$BN$1:$BN$5&gt;0)))</f>
        <v>4</v>
      </c>
      <c r="AY203" s="0" t="str">
        <f aca="false">IFERROR(INDEX($A$1:$A$5,MATCH(1,$AS203:$AW203,0)),IF(1=MAX($AS203:$AW203)+1,"取消",""))</f>
        <v>李师傅</v>
      </c>
      <c r="AZ203" s="0" t="str">
        <f aca="false">IFERROR(INDEX($A$1:$A$5,MATCH(2,$AS203:$AW203,0)),IF(2=MAX($AS203:$AW203)+1,"取消",""))</f>
        <v>王师傅</v>
      </c>
      <c r="BA203" s="0" t="str">
        <f aca="false">IFERROR(INDEX($A$1:$A$5,MATCH(3,$AS203:$AW203,0)),IF(3=MAX($AS203:$AW203)+1,"取消",""))</f>
        <v>陈师傅</v>
      </c>
      <c r="BB203" s="0" t="str">
        <f aca="false">IFERROR(INDEX($A$1:$A$5,MATCH(4,$AS203:$AW203,0)),IF(4=MAX($AS203:$AW203)+1,"取消",""))</f>
        <v>刘师傅</v>
      </c>
      <c r="BC203" s="0" t="str">
        <f aca="false">IFERROR(INDEX($A$1:$A$5,MATCH(5,$AS203:$AW203,0)),IF(5=MAX($AS203:$AW203)+1,"取消",""))</f>
        <v>取消</v>
      </c>
      <c r="BD203" s="0" t="str">
        <f aca="false">IFERROR(INDEX($A$1:$A$5,MATCH(6,$AS203:$AW203,0)),IF(6=MAX($AS203:$AW203)+1,"取消",""))</f>
        <v/>
      </c>
      <c r="FW203" s="0" t="str">
        <f aca="false">IF(AND(单元查询!$D$3&lt;&gt;"",IF(单元查询!$B$3="公区维修",公区维修!$E203&lt;&gt;"",入户维修!$E203&lt;&gt;""),IF(单元查询!$B$3="公区维修",公区维修!$C203,入户维修!$C203)=单元查询!$D$3,OR(单元查询!$F$3="",IF(单元查询!$B$3="公区维修",公区维修!$D203,入户维修!$D203)&amp;""=(单元查询!$F$3)&amp;"")),MAX($FW$4:$FW202)+1,"")</f>
        <v/>
      </c>
    </row>
    <row r="204" customFormat="false" ht="15" hidden="false" customHeight="true" outlineLevel="0" collapsed="false">
      <c r="F204" s="0" t="n">
        <f aca="false">IF(OR($A$1=入户维修!$F204,$BN$1=1),0,1-SUMPRODUCT(--(($A$1=入户维修!$F204)+$BN$1&gt;0)))</f>
        <v>0</v>
      </c>
      <c r="G204" s="0" t="n">
        <f aca="false">IF(OR($A$2=入户维修!$F204,$BN$2=1),0,2-SUMPRODUCT(--(($A$1:$A$2=入户维修!$F204)+$BN$1:$BN$2&gt;0)))</f>
        <v>1</v>
      </c>
      <c r="H204" s="0" t="n">
        <f aca="false">IF(OR($A$3=入户维修!$F204,$BN$3=1),0,3-SUMPRODUCT(--(($A$1:$A$3=入户维修!$F204)+$BN$1:$BN$3&gt;0)))</f>
        <v>2</v>
      </c>
      <c r="I204" s="0" t="n">
        <f aca="false">IF(OR($A$4=入户维修!$F204,$BN$4=1),0,4-SUMPRODUCT(--(($A$1:$A$4=入户维修!$F204)+$BN$1:$BN$4&gt;0)))</f>
        <v>3</v>
      </c>
      <c r="J204" s="0" t="n">
        <f aca="false">IF(OR($A$5=入户维修!$F204,$BN$5=1),0,5-SUMPRODUCT(--(($A$1:$A$5=入户维修!$F204)+$BN$1:$BN$5&gt;0)))</f>
        <v>4</v>
      </c>
      <c r="L204" s="0" t="str">
        <f aca="false">IFERROR(INDEX($A$1:$A$5,MATCH(1,$F204:$J204,0)),IF(1=MAX($F204:$J204)+1,"取消",""))</f>
        <v>李师傅</v>
      </c>
      <c r="M204" s="0" t="str">
        <f aca="false">IFERROR(INDEX($A$1:$A$5,MATCH(2,$F204:$J204,0)),IF(2=MAX($F204:$J204)+1,"取消",""))</f>
        <v>王师傅</v>
      </c>
      <c r="N204" s="0" t="str">
        <f aca="false">IFERROR(INDEX($A$1:$A$5,MATCH(3,$F204:$J204,0)),IF(3=MAX($F204:$J204)+1,"取消",""))</f>
        <v>陈师傅</v>
      </c>
      <c r="O204" s="0" t="str">
        <f aca="false">IFERROR(INDEX($A$1:$A$5,MATCH(4,$F204:$J204,0)),IF(4=MAX($F204:$J204)+1,"取消",""))</f>
        <v>刘师傅</v>
      </c>
      <c r="P204" s="0" t="str">
        <f aca="false">IFERROR(INDEX($A$1:$A$5,MATCH(5,$F204:$J204,0)),IF(5=MAX($F204:$J204)+1,"取消",""))</f>
        <v>取消</v>
      </c>
      <c r="Q204" s="0" t="str">
        <f aca="false">IFERROR(INDEX($A$1:$A$5,MATCH(6,$F204:$J204,0)),IF(6=MAX($F204:$J204)+1,"取消",""))</f>
        <v/>
      </c>
      <c r="S204" s="0" t="n">
        <f aca="false">IF(OR($A$1=入户维修!$F204,$A$1=入户维修!$G204,$BN$1=1),0,1-SUMPRODUCT(--(($A$1=入户维修!$F204)+($A$1=入户维修!$G204)+$BN$1&gt;0)))</f>
        <v>0</v>
      </c>
      <c r="T204" s="0" t="n">
        <f aca="false">IF(OR($A$2=入户维修!$F204,$A$2=入户维修!$G204,$BN$2=1),0,2-SUMPRODUCT(--(($A$1:$A$2=入户维修!$F204)+($A$1:$A$2=入户维修!$G204)+$BN$1:$BN$2&gt;0)))</f>
        <v>1</v>
      </c>
      <c r="U204" s="0" t="n">
        <f aca="false">IF(OR($A$3=入户维修!$F204,$A$3=入户维修!$G204,$BN$3=1),0,3-SUMPRODUCT(--(($A$1:$A$3=入户维修!$F204)+($A$1:$A$3=入户维修!$G204)+$BN$1:$BN$3&gt;0)))</f>
        <v>2</v>
      </c>
      <c r="V204" s="0" t="n">
        <f aca="false">IF(OR($A$4=入户维修!$F204,$A$4=入户维修!$G204,$BN$4=1),0,4-SUMPRODUCT(--(($A$1:$A$4=入户维修!$F204)+($A$1:$A$4=入户维修!$G204)+$BN$1:$BN$4&gt;0)))</f>
        <v>3</v>
      </c>
      <c r="W204" s="0" t="n">
        <f aca="false">IF(OR($A$5=入户维修!$F204,$A$5=入户维修!$G204,$BN$5=1),0,5-SUMPRODUCT(--(($A$1:$A$5=入户维修!$F204)+($A$1:$A$5=入户维修!$G204)+$BN$1:$BN$5&gt;0)))</f>
        <v>4</v>
      </c>
      <c r="Y204" s="0" t="str">
        <f aca="false">IFERROR(INDEX($A$1:$A$5,MATCH(1,$S204:$W204,0)),IF(1=MAX($S204:$W204)+1,"取消",""))</f>
        <v>李师傅</v>
      </c>
      <c r="Z204" s="0" t="str">
        <f aca="false">IFERROR(INDEX($A$1:$A$5,MATCH(2,$S204:$W204,0)),IF(2=MAX($S204:$W204)+1,"取消",""))</f>
        <v>王师傅</v>
      </c>
      <c r="AA204" s="0" t="str">
        <f aca="false">IFERROR(INDEX($A$1:$A$5,MATCH(3,$S204:$W204,0)),IF(3=MAX($S204:$W204)+1,"取消",""))</f>
        <v>陈师傅</v>
      </c>
      <c r="AB204" s="0" t="str">
        <f aca="false">IFERROR(INDEX($A$1:$A$5,MATCH(4,$S204:$W204,0)),IF(4=MAX($S204:$W204)+1,"取消",""))</f>
        <v>刘师傅</v>
      </c>
      <c r="AC204" s="0" t="str">
        <f aca="false">IFERROR(INDEX($A$1:$A$5,MATCH(5,$S204:$W204,0)),IF(5=MAX($S204:$W204)+1,"取消",""))</f>
        <v>取消</v>
      </c>
      <c r="AD204" s="0" t="str">
        <f aca="false">IFERROR(INDEX($A$1:$A$5,MATCH(6,$S204:$W204,0)),IF(6=MAX($S204:$W204)+1,"取消",""))</f>
        <v/>
      </c>
      <c r="AF204" s="0" t="n">
        <f aca="false">IF(OR($A$1=公区维修!$F204,$BN$1=1),0,1-SUMPRODUCT(--(($A$1=公区维修!$F204)+$BN$1&gt;0)))</f>
        <v>0</v>
      </c>
      <c r="AG204" s="0" t="n">
        <f aca="false">IF(OR($A$2=公区维修!$F204,$BN$2=1),0,2-SUMPRODUCT(--(($A$1:$A$2=公区维修!$F204)+$BN$1:$BN$2&gt;0)))</f>
        <v>1</v>
      </c>
      <c r="AH204" s="0" t="n">
        <f aca="false">IF(OR($A$3=公区维修!$F204,$BN$3=1),0,3-SUMPRODUCT(--(($A$1:$A$3=公区维修!$F204)+$BN$1:$BN$3&gt;0)))</f>
        <v>2</v>
      </c>
      <c r="AI204" s="0" t="n">
        <f aca="false">IF(OR($A$4=公区维修!$F204,$BN$4=1),0,4-SUMPRODUCT(--(($A$1:$A$4=公区维修!$F204)+$BN$1:$BN$4&gt;0)))</f>
        <v>3</v>
      </c>
      <c r="AJ204" s="0" t="n">
        <f aca="false">IF(OR($A$5=公区维修!$F204,$BN$5=1),0,5-SUMPRODUCT(--(($A$1:$A$5=公区维修!$F204)+$BN$1:$BN$5&gt;0)))</f>
        <v>4</v>
      </c>
      <c r="AL204" s="0" t="str">
        <f aca="false">IFERROR(INDEX($A$1:$A$5,MATCH(1,$AF204:$AJ204,0)),IF(1=MAX($AF204:$AJ204)+1,"取消",""))</f>
        <v>李师傅</v>
      </c>
      <c r="AM204" s="0" t="str">
        <f aca="false">IFERROR(INDEX($A$1:$A$5,MATCH(2,$AF204:$AJ204,0)),IF(2=MAX($AF204:$AJ204)+1,"取消",""))</f>
        <v>王师傅</v>
      </c>
      <c r="AN204" s="0" t="str">
        <f aca="false">IFERROR(INDEX($A$1:$A$5,MATCH(3,$AF204:$AJ204,0)),IF(3=MAX($AF204:$AJ204)+1,"取消",""))</f>
        <v>陈师傅</v>
      </c>
      <c r="AO204" s="0" t="str">
        <f aca="false">IFERROR(INDEX($A$1:$A$5,MATCH(4,$AF204:$AJ204,0)),IF(4=MAX($AF204:$AJ204)+1,"取消",""))</f>
        <v>刘师傅</v>
      </c>
      <c r="AP204" s="0" t="str">
        <f aca="false">IFERROR(INDEX($A$1:$A$5,MATCH(5,$AF204:$AJ204,0)),IF(5=MAX($AF204:$AJ204)+1,"取消",""))</f>
        <v>取消</v>
      </c>
      <c r="AQ204" s="0" t="str">
        <f aca="false">IFERROR(INDEX($A$1:$A$5,MATCH(6,$AF204:$AJ204,0)),IF(6=MAX($AF204:$AJ204)+1,"取消",""))</f>
        <v/>
      </c>
      <c r="AS204" s="0" t="n">
        <f aca="false">IF(OR($A$1=公区维修!$F204,$A$1=公区维修!$G204,$BN$1=1),0,1-SUMPRODUCT(--(($A$1=公区维修!$F204)+($A$1=公区维修!$G204)+$BN$1&gt;0)))</f>
        <v>0</v>
      </c>
      <c r="AT204" s="0" t="n">
        <f aca="false">IF(OR($A$2=公区维修!$F204,$A$2=公区维修!$G204,$BN$2=1),0,2-SUMPRODUCT(--(($A$1:$A$2=公区维修!$F204)+($A$1:$A$2=公区维修!$G204)+$BN$1:$BN$2&gt;0)))</f>
        <v>1</v>
      </c>
      <c r="AU204" s="0" t="n">
        <f aca="false">IF(OR($A$3=公区维修!$F204,$A$3=公区维修!$G204,$BN$3=1),0,3-SUMPRODUCT(--(($A$1:$A$3=公区维修!$F204)+($A$1:$A$3=公区维修!$G204)+$BN$1:$BN$3&gt;0)))</f>
        <v>2</v>
      </c>
      <c r="AV204" s="0" t="n">
        <f aca="false">IF(OR($A$4=公区维修!$F204,$A$4=公区维修!$G204,$BN$4=1),0,4-SUMPRODUCT(--(($A$1:$A$4=公区维修!$F204)+($A$1:$A$4=公区维修!$G204)+$BN$1:$BN$4&gt;0)))</f>
        <v>3</v>
      </c>
      <c r="AW204" s="0" t="n">
        <f aca="false">IF(OR($A$5=公区维修!$F204,$A$5=公区维修!$G204,$BN$5=1),0,5-SUMPRODUCT(--(($A$1:$A$5=公区维修!$F204)+($A$1:$A$5=公区维修!$G204)+$BN$1:$BN$5&gt;0)))</f>
        <v>4</v>
      </c>
      <c r="AY204" s="0" t="str">
        <f aca="false">IFERROR(INDEX($A$1:$A$5,MATCH(1,$AS204:$AW204,0)),IF(1=MAX($AS204:$AW204)+1,"取消",""))</f>
        <v>李师傅</v>
      </c>
      <c r="AZ204" s="0" t="str">
        <f aca="false">IFERROR(INDEX($A$1:$A$5,MATCH(2,$AS204:$AW204,0)),IF(2=MAX($AS204:$AW204)+1,"取消",""))</f>
        <v>王师傅</v>
      </c>
      <c r="BA204" s="0" t="str">
        <f aca="false">IFERROR(INDEX($A$1:$A$5,MATCH(3,$AS204:$AW204,0)),IF(3=MAX($AS204:$AW204)+1,"取消",""))</f>
        <v>陈师傅</v>
      </c>
      <c r="BB204" s="0" t="str">
        <f aca="false">IFERROR(INDEX($A$1:$A$5,MATCH(4,$AS204:$AW204,0)),IF(4=MAX($AS204:$AW204)+1,"取消",""))</f>
        <v>刘师傅</v>
      </c>
      <c r="BC204" s="0" t="str">
        <f aca="false">IFERROR(INDEX($A$1:$A$5,MATCH(5,$AS204:$AW204,0)),IF(5=MAX($AS204:$AW204)+1,"取消",""))</f>
        <v>取消</v>
      </c>
      <c r="BD204" s="0" t="str">
        <f aca="false">IFERROR(INDEX($A$1:$A$5,MATCH(6,$AS204:$AW204,0)),IF(6=MAX($AS204:$AW204)+1,"取消",""))</f>
        <v/>
      </c>
      <c r="FW204" s="0" t="str">
        <f aca="false">IF(AND(单元查询!$D$3&lt;&gt;"",IF(单元查询!$B$3="公区维修",公区维修!$E204&lt;&gt;"",入户维修!$E204&lt;&gt;""),IF(单元查询!$B$3="公区维修",公区维修!$C204,入户维修!$C204)=单元查询!$D$3,OR(单元查询!$F$3="",IF(单元查询!$B$3="公区维修",公区维修!$D204,入户维修!$D204)&amp;""=(单元查询!$F$3)&amp;"")),MAX($FW$4:$FW203)+1,"")</f>
        <v/>
      </c>
    </row>
    <row r="205" customFormat="false" ht="15" hidden="false" customHeight="true" outlineLevel="0" collapsed="false">
      <c r="F205" s="0" t="n">
        <f aca="false">IF(OR($A$1=入户维修!$F205,$BN$1=1),0,1-SUMPRODUCT(--(($A$1=入户维修!$F205)+$BN$1&gt;0)))</f>
        <v>0</v>
      </c>
      <c r="G205" s="0" t="n">
        <f aca="false">IF(OR($A$2=入户维修!$F205,$BN$2=1),0,2-SUMPRODUCT(--(($A$1:$A$2=入户维修!$F205)+$BN$1:$BN$2&gt;0)))</f>
        <v>1</v>
      </c>
      <c r="H205" s="0" t="n">
        <f aca="false">IF(OR($A$3=入户维修!$F205,$BN$3=1),0,3-SUMPRODUCT(--(($A$1:$A$3=入户维修!$F205)+$BN$1:$BN$3&gt;0)))</f>
        <v>2</v>
      </c>
      <c r="I205" s="0" t="n">
        <f aca="false">IF(OR($A$4=入户维修!$F205,$BN$4=1),0,4-SUMPRODUCT(--(($A$1:$A$4=入户维修!$F205)+$BN$1:$BN$4&gt;0)))</f>
        <v>3</v>
      </c>
      <c r="J205" s="0" t="n">
        <f aca="false">IF(OR($A$5=入户维修!$F205,$BN$5=1),0,5-SUMPRODUCT(--(($A$1:$A$5=入户维修!$F205)+$BN$1:$BN$5&gt;0)))</f>
        <v>4</v>
      </c>
      <c r="L205" s="0" t="str">
        <f aca="false">IFERROR(INDEX($A$1:$A$5,MATCH(1,$F205:$J205,0)),IF(1=MAX($F205:$J205)+1,"取消",""))</f>
        <v>李师傅</v>
      </c>
      <c r="M205" s="0" t="str">
        <f aca="false">IFERROR(INDEX($A$1:$A$5,MATCH(2,$F205:$J205,0)),IF(2=MAX($F205:$J205)+1,"取消",""))</f>
        <v>王师傅</v>
      </c>
      <c r="N205" s="0" t="str">
        <f aca="false">IFERROR(INDEX($A$1:$A$5,MATCH(3,$F205:$J205,0)),IF(3=MAX($F205:$J205)+1,"取消",""))</f>
        <v>陈师傅</v>
      </c>
      <c r="O205" s="0" t="str">
        <f aca="false">IFERROR(INDEX($A$1:$A$5,MATCH(4,$F205:$J205,0)),IF(4=MAX($F205:$J205)+1,"取消",""))</f>
        <v>刘师傅</v>
      </c>
      <c r="P205" s="0" t="str">
        <f aca="false">IFERROR(INDEX($A$1:$A$5,MATCH(5,$F205:$J205,0)),IF(5=MAX($F205:$J205)+1,"取消",""))</f>
        <v>取消</v>
      </c>
      <c r="Q205" s="0" t="str">
        <f aca="false">IFERROR(INDEX($A$1:$A$5,MATCH(6,$F205:$J205,0)),IF(6=MAX($F205:$J205)+1,"取消",""))</f>
        <v/>
      </c>
      <c r="S205" s="0" t="n">
        <f aca="false">IF(OR($A$1=入户维修!$F205,$A$1=入户维修!$G205,$BN$1=1),0,1-SUMPRODUCT(--(($A$1=入户维修!$F205)+($A$1=入户维修!$G205)+$BN$1&gt;0)))</f>
        <v>0</v>
      </c>
      <c r="T205" s="0" t="n">
        <f aca="false">IF(OR($A$2=入户维修!$F205,$A$2=入户维修!$G205,$BN$2=1),0,2-SUMPRODUCT(--(($A$1:$A$2=入户维修!$F205)+($A$1:$A$2=入户维修!$G205)+$BN$1:$BN$2&gt;0)))</f>
        <v>1</v>
      </c>
      <c r="U205" s="0" t="n">
        <f aca="false">IF(OR($A$3=入户维修!$F205,$A$3=入户维修!$G205,$BN$3=1),0,3-SUMPRODUCT(--(($A$1:$A$3=入户维修!$F205)+($A$1:$A$3=入户维修!$G205)+$BN$1:$BN$3&gt;0)))</f>
        <v>2</v>
      </c>
      <c r="V205" s="0" t="n">
        <f aca="false">IF(OR($A$4=入户维修!$F205,$A$4=入户维修!$G205,$BN$4=1),0,4-SUMPRODUCT(--(($A$1:$A$4=入户维修!$F205)+($A$1:$A$4=入户维修!$G205)+$BN$1:$BN$4&gt;0)))</f>
        <v>3</v>
      </c>
      <c r="W205" s="0" t="n">
        <f aca="false">IF(OR($A$5=入户维修!$F205,$A$5=入户维修!$G205,$BN$5=1),0,5-SUMPRODUCT(--(($A$1:$A$5=入户维修!$F205)+($A$1:$A$5=入户维修!$G205)+$BN$1:$BN$5&gt;0)))</f>
        <v>4</v>
      </c>
      <c r="Y205" s="0" t="str">
        <f aca="false">IFERROR(INDEX($A$1:$A$5,MATCH(1,$S205:$W205,0)),IF(1=MAX($S205:$W205)+1,"取消",""))</f>
        <v>李师傅</v>
      </c>
      <c r="Z205" s="0" t="str">
        <f aca="false">IFERROR(INDEX($A$1:$A$5,MATCH(2,$S205:$W205,0)),IF(2=MAX($S205:$W205)+1,"取消",""))</f>
        <v>王师傅</v>
      </c>
      <c r="AA205" s="0" t="str">
        <f aca="false">IFERROR(INDEX($A$1:$A$5,MATCH(3,$S205:$W205,0)),IF(3=MAX($S205:$W205)+1,"取消",""))</f>
        <v>陈师傅</v>
      </c>
      <c r="AB205" s="0" t="str">
        <f aca="false">IFERROR(INDEX($A$1:$A$5,MATCH(4,$S205:$W205,0)),IF(4=MAX($S205:$W205)+1,"取消",""))</f>
        <v>刘师傅</v>
      </c>
      <c r="AC205" s="0" t="str">
        <f aca="false">IFERROR(INDEX($A$1:$A$5,MATCH(5,$S205:$W205,0)),IF(5=MAX($S205:$W205)+1,"取消",""))</f>
        <v>取消</v>
      </c>
      <c r="AD205" s="0" t="str">
        <f aca="false">IFERROR(INDEX($A$1:$A$5,MATCH(6,$S205:$W205,0)),IF(6=MAX($S205:$W205)+1,"取消",""))</f>
        <v/>
      </c>
      <c r="AF205" s="0" t="n">
        <f aca="false">IF(OR($A$1=公区维修!$F205,$BN$1=1),0,1-SUMPRODUCT(--(($A$1=公区维修!$F205)+$BN$1&gt;0)))</f>
        <v>0</v>
      </c>
      <c r="AG205" s="0" t="n">
        <f aca="false">IF(OR($A$2=公区维修!$F205,$BN$2=1),0,2-SUMPRODUCT(--(($A$1:$A$2=公区维修!$F205)+$BN$1:$BN$2&gt;0)))</f>
        <v>1</v>
      </c>
      <c r="AH205" s="0" t="n">
        <f aca="false">IF(OR($A$3=公区维修!$F205,$BN$3=1),0,3-SUMPRODUCT(--(($A$1:$A$3=公区维修!$F205)+$BN$1:$BN$3&gt;0)))</f>
        <v>2</v>
      </c>
      <c r="AI205" s="0" t="n">
        <f aca="false">IF(OR($A$4=公区维修!$F205,$BN$4=1),0,4-SUMPRODUCT(--(($A$1:$A$4=公区维修!$F205)+$BN$1:$BN$4&gt;0)))</f>
        <v>3</v>
      </c>
      <c r="AJ205" s="0" t="n">
        <f aca="false">IF(OR($A$5=公区维修!$F205,$BN$5=1),0,5-SUMPRODUCT(--(($A$1:$A$5=公区维修!$F205)+$BN$1:$BN$5&gt;0)))</f>
        <v>4</v>
      </c>
      <c r="AL205" s="0" t="str">
        <f aca="false">IFERROR(INDEX($A$1:$A$5,MATCH(1,$AF205:$AJ205,0)),IF(1=MAX($AF205:$AJ205)+1,"取消",""))</f>
        <v>李师傅</v>
      </c>
      <c r="AM205" s="0" t="str">
        <f aca="false">IFERROR(INDEX($A$1:$A$5,MATCH(2,$AF205:$AJ205,0)),IF(2=MAX($AF205:$AJ205)+1,"取消",""))</f>
        <v>王师傅</v>
      </c>
      <c r="AN205" s="0" t="str">
        <f aca="false">IFERROR(INDEX($A$1:$A$5,MATCH(3,$AF205:$AJ205,0)),IF(3=MAX($AF205:$AJ205)+1,"取消",""))</f>
        <v>陈师傅</v>
      </c>
      <c r="AO205" s="0" t="str">
        <f aca="false">IFERROR(INDEX($A$1:$A$5,MATCH(4,$AF205:$AJ205,0)),IF(4=MAX($AF205:$AJ205)+1,"取消",""))</f>
        <v>刘师傅</v>
      </c>
      <c r="AP205" s="0" t="str">
        <f aca="false">IFERROR(INDEX($A$1:$A$5,MATCH(5,$AF205:$AJ205,0)),IF(5=MAX($AF205:$AJ205)+1,"取消",""))</f>
        <v>取消</v>
      </c>
      <c r="AQ205" s="0" t="str">
        <f aca="false">IFERROR(INDEX($A$1:$A$5,MATCH(6,$AF205:$AJ205,0)),IF(6=MAX($AF205:$AJ205)+1,"取消",""))</f>
        <v/>
      </c>
      <c r="AS205" s="0" t="n">
        <f aca="false">IF(OR($A$1=公区维修!$F205,$A$1=公区维修!$G205,$BN$1=1),0,1-SUMPRODUCT(--(($A$1=公区维修!$F205)+($A$1=公区维修!$G205)+$BN$1&gt;0)))</f>
        <v>0</v>
      </c>
      <c r="AT205" s="0" t="n">
        <f aca="false">IF(OR($A$2=公区维修!$F205,$A$2=公区维修!$G205,$BN$2=1),0,2-SUMPRODUCT(--(($A$1:$A$2=公区维修!$F205)+($A$1:$A$2=公区维修!$G205)+$BN$1:$BN$2&gt;0)))</f>
        <v>1</v>
      </c>
      <c r="AU205" s="0" t="n">
        <f aca="false">IF(OR($A$3=公区维修!$F205,$A$3=公区维修!$G205,$BN$3=1),0,3-SUMPRODUCT(--(($A$1:$A$3=公区维修!$F205)+($A$1:$A$3=公区维修!$G205)+$BN$1:$BN$3&gt;0)))</f>
        <v>2</v>
      </c>
      <c r="AV205" s="0" t="n">
        <f aca="false">IF(OR($A$4=公区维修!$F205,$A$4=公区维修!$G205,$BN$4=1),0,4-SUMPRODUCT(--(($A$1:$A$4=公区维修!$F205)+($A$1:$A$4=公区维修!$G205)+$BN$1:$BN$4&gt;0)))</f>
        <v>3</v>
      </c>
      <c r="AW205" s="0" t="n">
        <f aca="false">IF(OR($A$5=公区维修!$F205,$A$5=公区维修!$G205,$BN$5=1),0,5-SUMPRODUCT(--(($A$1:$A$5=公区维修!$F205)+($A$1:$A$5=公区维修!$G205)+$BN$1:$BN$5&gt;0)))</f>
        <v>4</v>
      </c>
      <c r="AY205" s="0" t="str">
        <f aca="false">IFERROR(INDEX($A$1:$A$5,MATCH(1,$AS205:$AW205,0)),IF(1=MAX($AS205:$AW205)+1,"取消",""))</f>
        <v>李师傅</v>
      </c>
      <c r="AZ205" s="0" t="str">
        <f aca="false">IFERROR(INDEX($A$1:$A$5,MATCH(2,$AS205:$AW205,0)),IF(2=MAX($AS205:$AW205)+1,"取消",""))</f>
        <v>王师傅</v>
      </c>
      <c r="BA205" s="0" t="str">
        <f aca="false">IFERROR(INDEX($A$1:$A$5,MATCH(3,$AS205:$AW205,0)),IF(3=MAX($AS205:$AW205)+1,"取消",""))</f>
        <v>陈师傅</v>
      </c>
      <c r="BB205" s="0" t="str">
        <f aca="false">IFERROR(INDEX($A$1:$A$5,MATCH(4,$AS205:$AW205,0)),IF(4=MAX($AS205:$AW205)+1,"取消",""))</f>
        <v>刘师傅</v>
      </c>
      <c r="BC205" s="0" t="str">
        <f aca="false">IFERROR(INDEX($A$1:$A$5,MATCH(5,$AS205:$AW205,0)),IF(5=MAX($AS205:$AW205)+1,"取消",""))</f>
        <v>取消</v>
      </c>
      <c r="BD205" s="0" t="str">
        <f aca="false">IFERROR(INDEX($A$1:$A$5,MATCH(6,$AS205:$AW205,0)),IF(6=MAX($AS205:$AW205)+1,"取消",""))</f>
        <v/>
      </c>
      <c r="FW205" s="0" t="str">
        <f aca="false">IF(AND(单元查询!$D$3&lt;&gt;"",IF(单元查询!$B$3="公区维修",公区维修!$E205&lt;&gt;"",入户维修!$E205&lt;&gt;""),IF(单元查询!$B$3="公区维修",公区维修!$C205,入户维修!$C205)=单元查询!$D$3,OR(单元查询!$F$3="",IF(单元查询!$B$3="公区维修",公区维修!$D205,入户维修!$D205)&amp;""=(单元查询!$F$3)&amp;"")),MAX($FW$4:$FW204)+1,"")</f>
        <v/>
      </c>
    </row>
    <row r="206" customFormat="false" ht="15" hidden="false" customHeight="true" outlineLevel="0" collapsed="false">
      <c r="F206" s="0" t="n">
        <f aca="false">IF(OR($A$1=入户维修!$F206,$BN$1=1),0,1-SUMPRODUCT(--(($A$1=入户维修!$F206)+$BN$1&gt;0)))</f>
        <v>0</v>
      </c>
      <c r="G206" s="0" t="n">
        <f aca="false">IF(OR($A$2=入户维修!$F206,$BN$2=1),0,2-SUMPRODUCT(--(($A$1:$A$2=入户维修!$F206)+$BN$1:$BN$2&gt;0)))</f>
        <v>1</v>
      </c>
      <c r="H206" s="0" t="n">
        <f aca="false">IF(OR($A$3=入户维修!$F206,$BN$3=1),0,3-SUMPRODUCT(--(($A$1:$A$3=入户维修!$F206)+$BN$1:$BN$3&gt;0)))</f>
        <v>2</v>
      </c>
      <c r="I206" s="0" t="n">
        <f aca="false">IF(OR($A$4=入户维修!$F206,$BN$4=1),0,4-SUMPRODUCT(--(($A$1:$A$4=入户维修!$F206)+$BN$1:$BN$4&gt;0)))</f>
        <v>3</v>
      </c>
      <c r="J206" s="0" t="n">
        <f aca="false">IF(OR($A$5=入户维修!$F206,$BN$5=1),0,5-SUMPRODUCT(--(($A$1:$A$5=入户维修!$F206)+$BN$1:$BN$5&gt;0)))</f>
        <v>4</v>
      </c>
      <c r="L206" s="0" t="str">
        <f aca="false">IFERROR(INDEX($A$1:$A$5,MATCH(1,$F206:$J206,0)),IF(1=MAX($F206:$J206)+1,"取消",""))</f>
        <v>李师傅</v>
      </c>
      <c r="M206" s="0" t="str">
        <f aca="false">IFERROR(INDEX($A$1:$A$5,MATCH(2,$F206:$J206,0)),IF(2=MAX($F206:$J206)+1,"取消",""))</f>
        <v>王师傅</v>
      </c>
      <c r="N206" s="0" t="str">
        <f aca="false">IFERROR(INDEX($A$1:$A$5,MATCH(3,$F206:$J206,0)),IF(3=MAX($F206:$J206)+1,"取消",""))</f>
        <v>陈师傅</v>
      </c>
      <c r="O206" s="0" t="str">
        <f aca="false">IFERROR(INDEX($A$1:$A$5,MATCH(4,$F206:$J206,0)),IF(4=MAX($F206:$J206)+1,"取消",""))</f>
        <v>刘师傅</v>
      </c>
      <c r="P206" s="0" t="str">
        <f aca="false">IFERROR(INDEX($A$1:$A$5,MATCH(5,$F206:$J206,0)),IF(5=MAX($F206:$J206)+1,"取消",""))</f>
        <v>取消</v>
      </c>
      <c r="Q206" s="0" t="str">
        <f aca="false">IFERROR(INDEX($A$1:$A$5,MATCH(6,$F206:$J206,0)),IF(6=MAX($F206:$J206)+1,"取消",""))</f>
        <v/>
      </c>
      <c r="S206" s="0" t="n">
        <f aca="false">IF(OR($A$1=入户维修!$F206,$A$1=入户维修!$G206,$BN$1=1),0,1-SUMPRODUCT(--(($A$1=入户维修!$F206)+($A$1=入户维修!$G206)+$BN$1&gt;0)))</f>
        <v>0</v>
      </c>
      <c r="T206" s="0" t="n">
        <f aca="false">IF(OR($A$2=入户维修!$F206,$A$2=入户维修!$G206,$BN$2=1),0,2-SUMPRODUCT(--(($A$1:$A$2=入户维修!$F206)+($A$1:$A$2=入户维修!$G206)+$BN$1:$BN$2&gt;0)))</f>
        <v>1</v>
      </c>
      <c r="U206" s="0" t="n">
        <f aca="false">IF(OR($A$3=入户维修!$F206,$A$3=入户维修!$G206,$BN$3=1),0,3-SUMPRODUCT(--(($A$1:$A$3=入户维修!$F206)+($A$1:$A$3=入户维修!$G206)+$BN$1:$BN$3&gt;0)))</f>
        <v>2</v>
      </c>
      <c r="V206" s="0" t="n">
        <f aca="false">IF(OR($A$4=入户维修!$F206,$A$4=入户维修!$G206,$BN$4=1),0,4-SUMPRODUCT(--(($A$1:$A$4=入户维修!$F206)+($A$1:$A$4=入户维修!$G206)+$BN$1:$BN$4&gt;0)))</f>
        <v>3</v>
      </c>
      <c r="W206" s="0" t="n">
        <f aca="false">IF(OR($A$5=入户维修!$F206,$A$5=入户维修!$G206,$BN$5=1),0,5-SUMPRODUCT(--(($A$1:$A$5=入户维修!$F206)+($A$1:$A$5=入户维修!$G206)+$BN$1:$BN$5&gt;0)))</f>
        <v>4</v>
      </c>
      <c r="Y206" s="0" t="str">
        <f aca="false">IFERROR(INDEX($A$1:$A$5,MATCH(1,$S206:$W206,0)),IF(1=MAX($S206:$W206)+1,"取消",""))</f>
        <v>李师傅</v>
      </c>
      <c r="Z206" s="0" t="str">
        <f aca="false">IFERROR(INDEX($A$1:$A$5,MATCH(2,$S206:$W206,0)),IF(2=MAX($S206:$W206)+1,"取消",""))</f>
        <v>王师傅</v>
      </c>
      <c r="AA206" s="0" t="str">
        <f aca="false">IFERROR(INDEX($A$1:$A$5,MATCH(3,$S206:$W206,0)),IF(3=MAX($S206:$W206)+1,"取消",""))</f>
        <v>陈师傅</v>
      </c>
      <c r="AB206" s="0" t="str">
        <f aca="false">IFERROR(INDEX($A$1:$A$5,MATCH(4,$S206:$W206,0)),IF(4=MAX($S206:$W206)+1,"取消",""))</f>
        <v>刘师傅</v>
      </c>
      <c r="AC206" s="0" t="str">
        <f aca="false">IFERROR(INDEX($A$1:$A$5,MATCH(5,$S206:$W206,0)),IF(5=MAX($S206:$W206)+1,"取消",""))</f>
        <v>取消</v>
      </c>
      <c r="AD206" s="0" t="str">
        <f aca="false">IFERROR(INDEX($A$1:$A$5,MATCH(6,$S206:$W206,0)),IF(6=MAX($S206:$W206)+1,"取消",""))</f>
        <v/>
      </c>
      <c r="AF206" s="0" t="n">
        <f aca="false">IF(OR($A$1=公区维修!$F206,$BN$1=1),0,1-SUMPRODUCT(--(($A$1=公区维修!$F206)+$BN$1&gt;0)))</f>
        <v>0</v>
      </c>
      <c r="AG206" s="0" t="n">
        <f aca="false">IF(OR($A$2=公区维修!$F206,$BN$2=1),0,2-SUMPRODUCT(--(($A$1:$A$2=公区维修!$F206)+$BN$1:$BN$2&gt;0)))</f>
        <v>1</v>
      </c>
      <c r="AH206" s="0" t="n">
        <f aca="false">IF(OR($A$3=公区维修!$F206,$BN$3=1),0,3-SUMPRODUCT(--(($A$1:$A$3=公区维修!$F206)+$BN$1:$BN$3&gt;0)))</f>
        <v>2</v>
      </c>
      <c r="AI206" s="0" t="n">
        <f aca="false">IF(OR($A$4=公区维修!$F206,$BN$4=1),0,4-SUMPRODUCT(--(($A$1:$A$4=公区维修!$F206)+$BN$1:$BN$4&gt;0)))</f>
        <v>3</v>
      </c>
      <c r="AJ206" s="0" t="n">
        <f aca="false">IF(OR($A$5=公区维修!$F206,$BN$5=1),0,5-SUMPRODUCT(--(($A$1:$A$5=公区维修!$F206)+$BN$1:$BN$5&gt;0)))</f>
        <v>4</v>
      </c>
      <c r="AL206" s="0" t="str">
        <f aca="false">IFERROR(INDEX($A$1:$A$5,MATCH(1,$AF206:$AJ206,0)),IF(1=MAX($AF206:$AJ206)+1,"取消",""))</f>
        <v>李师傅</v>
      </c>
      <c r="AM206" s="0" t="str">
        <f aca="false">IFERROR(INDEX($A$1:$A$5,MATCH(2,$AF206:$AJ206,0)),IF(2=MAX($AF206:$AJ206)+1,"取消",""))</f>
        <v>王师傅</v>
      </c>
      <c r="AN206" s="0" t="str">
        <f aca="false">IFERROR(INDEX($A$1:$A$5,MATCH(3,$AF206:$AJ206,0)),IF(3=MAX($AF206:$AJ206)+1,"取消",""))</f>
        <v>陈师傅</v>
      </c>
      <c r="AO206" s="0" t="str">
        <f aca="false">IFERROR(INDEX($A$1:$A$5,MATCH(4,$AF206:$AJ206,0)),IF(4=MAX($AF206:$AJ206)+1,"取消",""))</f>
        <v>刘师傅</v>
      </c>
      <c r="AP206" s="0" t="str">
        <f aca="false">IFERROR(INDEX($A$1:$A$5,MATCH(5,$AF206:$AJ206,0)),IF(5=MAX($AF206:$AJ206)+1,"取消",""))</f>
        <v>取消</v>
      </c>
      <c r="AQ206" s="0" t="str">
        <f aca="false">IFERROR(INDEX($A$1:$A$5,MATCH(6,$AF206:$AJ206,0)),IF(6=MAX($AF206:$AJ206)+1,"取消",""))</f>
        <v/>
      </c>
      <c r="AS206" s="0" t="n">
        <f aca="false">IF(OR($A$1=公区维修!$F206,$A$1=公区维修!$G206,$BN$1=1),0,1-SUMPRODUCT(--(($A$1=公区维修!$F206)+($A$1=公区维修!$G206)+$BN$1&gt;0)))</f>
        <v>0</v>
      </c>
      <c r="AT206" s="0" t="n">
        <f aca="false">IF(OR($A$2=公区维修!$F206,$A$2=公区维修!$G206,$BN$2=1),0,2-SUMPRODUCT(--(($A$1:$A$2=公区维修!$F206)+($A$1:$A$2=公区维修!$G206)+$BN$1:$BN$2&gt;0)))</f>
        <v>1</v>
      </c>
      <c r="AU206" s="0" t="n">
        <f aca="false">IF(OR($A$3=公区维修!$F206,$A$3=公区维修!$G206,$BN$3=1),0,3-SUMPRODUCT(--(($A$1:$A$3=公区维修!$F206)+($A$1:$A$3=公区维修!$G206)+$BN$1:$BN$3&gt;0)))</f>
        <v>2</v>
      </c>
      <c r="AV206" s="0" t="n">
        <f aca="false">IF(OR($A$4=公区维修!$F206,$A$4=公区维修!$G206,$BN$4=1),0,4-SUMPRODUCT(--(($A$1:$A$4=公区维修!$F206)+($A$1:$A$4=公区维修!$G206)+$BN$1:$BN$4&gt;0)))</f>
        <v>3</v>
      </c>
      <c r="AW206" s="0" t="n">
        <f aca="false">IF(OR($A$5=公区维修!$F206,$A$5=公区维修!$G206,$BN$5=1),0,5-SUMPRODUCT(--(($A$1:$A$5=公区维修!$F206)+($A$1:$A$5=公区维修!$G206)+$BN$1:$BN$5&gt;0)))</f>
        <v>4</v>
      </c>
      <c r="AY206" s="0" t="str">
        <f aca="false">IFERROR(INDEX($A$1:$A$5,MATCH(1,$AS206:$AW206,0)),IF(1=MAX($AS206:$AW206)+1,"取消",""))</f>
        <v>李师傅</v>
      </c>
      <c r="AZ206" s="0" t="str">
        <f aca="false">IFERROR(INDEX($A$1:$A$5,MATCH(2,$AS206:$AW206,0)),IF(2=MAX($AS206:$AW206)+1,"取消",""))</f>
        <v>王师傅</v>
      </c>
      <c r="BA206" s="0" t="str">
        <f aca="false">IFERROR(INDEX($A$1:$A$5,MATCH(3,$AS206:$AW206,0)),IF(3=MAX($AS206:$AW206)+1,"取消",""))</f>
        <v>陈师傅</v>
      </c>
      <c r="BB206" s="0" t="str">
        <f aca="false">IFERROR(INDEX($A$1:$A$5,MATCH(4,$AS206:$AW206,0)),IF(4=MAX($AS206:$AW206)+1,"取消",""))</f>
        <v>刘师傅</v>
      </c>
      <c r="BC206" s="0" t="str">
        <f aca="false">IFERROR(INDEX($A$1:$A$5,MATCH(5,$AS206:$AW206,0)),IF(5=MAX($AS206:$AW206)+1,"取消",""))</f>
        <v>取消</v>
      </c>
      <c r="BD206" s="0" t="str">
        <f aca="false">IFERROR(INDEX($A$1:$A$5,MATCH(6,$AS206:$AW206,0)),IF(6=MAX($AS206:$AW206)+1,"取消",""))</f>
        <v/>
      </c>
      <c r="FW206" s="0" t="str">
        <f aca="false">IF(AND(单元查询!$D$3&lt;&gt;"",IF(单元查询!$B$3="公区维修",公区维修!$E206&lt;&gt;"",入户维修!$E206&lt;&gt;""),IF(单元查询!$B$3="公区维修",公区维修!$C206,入户维修!$C206)=单元查询!$D$3,OR(单元查询!$F$3="",IF(单元查询!$B$3="公区维修",公区维修!$D206,入户维修!$D206)&amp;""=(单元查询!$F$3)&amp;"")),MAX($FW$4:$FW205)+1,"")</f>
        <v/>
      </c>
    </row>
    <row r="207" customFormat="false" ht="15" hidden="false" customHeight="true" outlineLevel="0" collapsed="false">
      <c r="F207" s="0" t="n">
        <f aca="false">IF(OR($A$1=入户维修!$F207,$BN$1=1),0,1-SUMPRODUCT(--(($A$1=入户维修!$F207)+$BN$1&gt;0)))</f>
        <v>0</v>
      </c>
      <c r="G207" s="0" t="n">
        <f aca="false">IF(OR($A$2=入户维修!$F207,$BN$2=1),0,2-SUMPRODUCT(--(($A$1:$A$2=入户维修!$F207)+$BN$1:$BN$2&gt;0)))</f>
        <v>1</v>
      </c>
      <c r="H207" s="0" t="n">
        <f aca="false">IF(OR($A$3=入户维修!$F207,$BN$3=1),0,3-SUMPRODUCT(--(($A$1:$A$3=入户维修!$F207)+$BN$1:$BN$3&gt;0)))</f>
        <v>2</v>
      </c>
      <c r="I207" s="0" t="n">
        <f aca="false">IF(OR($A$4=入户维修!$F207,$BN$4=1),0,4-SUMPRODUCT(--(($A$1:$A$4=入户维修!$F207)+$BN$1:$BN$4&gt;0)))</f>
        <v>3</v>
      </c>
      <c r="J207" s="0" t="n">
        <f aca="false">IF(OR($A$5=入户维修!$F207,$BN$5=1),0,5-SUMPRODUCT(--(($A$1:$A$5=入户维修!$F207)+$BN$1:$BN$5&gt;0)))</f>
        <v>4</v>
      </c>
      <c r="L207" s="0" t="str">
        <f aca="false">IFERROR(INDEX($A$1:$A$5,MATCH(1,$F207:$J207,0)),IF(1=MAX($F207:$J207)+1,"取消",""))</f>
        <v>李师傅</v>
      </c>
      <c r="M207" s="0" t="str">
        <f aca="false">IFERROR(INDEX($A$1:$A$5,MATCH(2,$F207:$J207,0)),IF(2=MAX($F207:$J207)+1,"取消",""))</f>
        <v>王师傅</v>
      </c>
      <c r="N207" s="0" t="str">
        <f aca="false">IFERROR(INDEX($A$1:$A$5,MATCH(3,$F207:$J207,0)),IF(3=MAX($F207:$J207)+1,"取消",""))</f>
        <v>陈师傅</v>
      </c>
      <c r="O207" s="0" t="str">
        <f aca="false">IFERROR(INDEX($A$1:$A$5,MATCH(4,$F207:$J207,0)),IF(4=MAX($F207:$J207)+1,"取消",""))</f>
        <v>刘师傅</v>
      </c>
      <c r="P207" s="0" t="str">
        <f aca="false">IFERROR(INDEX($A$1:$A$5,MATCH(5,$F207:$J207,0)),IF(5=MAX($F207:$J207)+1,"取消",""))</f>
        <v>取消</v>
      </c>
      <c r="Q207" s="0" t="str">
        <f aca="false">IFERROR(INDEX($A$1:$A$5,MATCH(6,$F207:$J207,0)),IF(6=MAX($F207:$J207)+1,"取消",""))</f>
        <v/>
      </c>
      <c r="S207" s="0" t="n">
        <f aca="false">IF(OR($A$1=入户维修!$F207,$A$1=入户维修!$G207,$BN$1=1),0,1-SUMPRODUCT(--(($A$1=入户维修!$F207)+($A$1=入户维修!$G207)+$BN$1&gt;0)))</f>
        <v>0</v>
      </c>
      <c r="T207" s="0" t="n">
        <f aca="false">IF(OR($A$2=入户维修!$F207,$A$2=入户维修!$G207,$BN$2=1),0,2-SUMPRODUCT(--(($A$1:$A$2=入户维修!$F207)+($A$1:$A$2=入户维修!$G207)+$BN$1:$BN$2&gt;0)))</f>
        <v>1</v>
      </c>
      <c r="U207" s="0" t="n">
        <f aca="false">IF(OR($A$3=入户维修!$F207,$A$3=入户维修!$G207,$BN$3=1),0,3-SUMPRODUCT(--(($A$1:$A$3=入户维修!$F207)+($A$1:$A$3=入户维修!$G207)+$BN$1:$BN$3&gt;0)))</f>
        <v>2</v>
      </c>
      <c r="V207" s="0" t="n">
        <f aca="false">IF(OR($A$4=入户维修!$F207,$A$4=入户维修!$G207,$BN$4=1),0,4-SUMPRODUCT(--(($A$1:$A$4=入户维修!$F207)+($A$1:$A$4=入户维修!$G207)+$BN$1:$BN$4&gt;0)))</f>
        <v>3</v>
      </c>
      <c r="W207" s="0" t="n">
        <f aca="false">IF(OR($A$5=入户维修!$F207,$A$5=入户维修!$G207,$BN$5=1),0,5-SUMPRODUCT(--(($A$1:$A$5=入户维修!$F207)+($A$1:$A$5=入户维修!$G207)+$BN$1:$BN$5&gt;0)))</f>
        <v>4</v>
      </c>
      <c r="Y207" s="0" t="str">
        <f aca="false">IFERROR(INDEX($A$1:$A$5,MATCH(1,$S207:$W207,0)),IF(1=MAX($S207:$W207)+1,"取消",""))</f>
        <v>李师傅</v>
      </c>
      <c r="Z207" s="0" t="str">
        <f aca="false">IFERROR(INDEX($A$1:$A$5,MATCH(2,$S207:$W207,0)),IF(2=MAX($S207:$W207)+1,"取消",""))</f>
        <v>王师傅</v>
      </c>
      <c r="AA207" s="0" t="str">
        <f aca="false">IFERROR(INDEX($A$1:$A$5,MATCH(3,$S207:$W207,0)),IF(3=MAX($S207:$W207)+1,"取消",""))</f>
        <v>陈师傅</v>
      </c>
      <c r="AB207" s="0" t="str">
        <f aca="false">IFERROR(INDEX($A$1:$A$5,MATCH(4,$S207:$W207,0)),IF(4=MAX($S207:$W207)+1,"取消",""))</f>
        <v>刘师傅</v>
      </c>
      <c r="AC207" s="0" t="str">
        <f aca="false">IFERROR(INDEX($A$1:$A$5,MATCH(5,$S207:$W207,0)),IF(5=MAX($S207:$W207)+1,"取消",""))</f>
        <v>取消</v>
      </c>
      <c r="AD207" s="0" t="str">
        <f aca="false">IFERROR(INDEX($A$1:$A$5,MATCH(6,$S207:$W207,0)),IF(6=MAX($S207:$W207)+1,"取消",""))</f>
        <v/>
      </c>
      <c r="AF207" s="0" t="n">
        <f aca="false">IF(OR($A$1=公区维修!$F207,$BN$1=1),0,1-SUMPRODUCT(--(($A$1=公区维修!$F207)+$BN$1&gt;0)))</f>
        <v>0</v>
      </c>
      <c r="AG207" s="0" t="n">
        <f aca="false">IF(OR($A$2=公区维修!$F207,$BN$2=1),0,2-SUMPRODUCT(--(($A$1:$A$2=公区维修!$F207)+$BN$1:$BN$2&gt;0)))</f>
        <v>1</v>
      </c>
      <c r="AH207" s="0" t="n">
        <f aca="false">IF(OR($A$3=公区维修!$F207,$BN$3=1),0,3-SUMPRODUCT(--(($A$1:$A$3=公区维修!$F207)+$BN$1:$BN$3&gt;0)))</f>
        <v>2</v>
      </c>
      <c r="AI207" s="0" t="n">
        <f aca="false">IF(OR($A$4=公区维修!$F207,$BN$4=1),0,4-SUMPRODUCT(--(($A$1:$A$4=公区维修!$F207)+$BN$1:$BN$4&gt;0)))</f>
        <v>3</v>
      </c>
      <c r="AJ207" s="0" t="n">
        <f aca="false">IF(OR($A$5=公区维修!$F207,$BN$5=1),0,5-SUMPRODUCT(--(($A$1:$A$5=公区维修!$F207)+$BN$1:$BN$5&gt;0)))</f>
        <v>4</v>
      </c>
      <c r="AL207" s="0" t="str">
        <f aca="false">IFERROR(INDEX($A$1:$A$5,MATCH(1,$AF207:$AJ207,0)),IF(1=MAX($AF207:$AJ207)+1,"取消",""))</f>
        <v>李师傅</v>
      </c>
      <c r="AM207" s="0" t="str">
        <f aca="false">IFERROR(INDEX($A$1:$A$5,MATCH(2,$AF207:$AJ207,0)),IF(2=MAX($AF207:$AJ207)+1,"取消",""))</f>
        <v>王师傅</v>
      </c>
      <c r="AN207" s="0" t="str">
        <f aca="false">IFERROR(INDEX($A$1:$A$5,MATCH(3,$AF207:$AJ207,0)),IF(3=MAX($AF207:$AJ207)+1,"取消",""))</f>
        <v>陈师傅</v>
      </c>
      <c r="AO207" s="0" t="str">
        <f aca="false">IFERROR(INDEX($A$1:$A$5,MATCH(4,$AF207:$AJ207,0)),IF(4=MAX($AF207:$AJ207)+1,"取消",""))</f>
        <v>刘师傅</v>
      </c>
      <c r="AP207" s="0" t="str">
        <f aca="false">IFERROR(INDEX($A$1:$A$5,MATCH(5,$AF207:$AJ207,0)),IF(5=MAX($AF207:$AJ207)+1,"取消",""))</f>
        <v>取消</v>
      </c>
      <c r="AQ207" s="0" t="str">
        <f aca="false">IFERROR(INDEX($A$1:$A$5,MATCH(6,$AF207:$AJ207,0)),IF(6=MAX($AF207:$AJ207)+1,"取消",""))</f>
        <v/>
      </c>
      <c r="AS207" s="0" t="n">
        <f aca="false">IF(OR($A$1=公区维修!$F207,$A$1=公区维修!$G207,$BN$1=1),0,1-SUMPRODUCT(--(($A$1=公区维修!$F207)+($A$1=公区维修!$G207)+$BN$1&gt;0)))</f>
        <v>0</v>
      </c>
      <c r="AT207" s="0" t="n">
        <f aca="false">IF(OR($A$2=公区维修!$F207,$A$2=公区维修!$G207,$BN$2=1),0,2-SUMPRODUCT(--(($A$1:$A$2=公区维修!$F207)+($A$1:$A$2=公区维修!$G207)+$BN$1:$BN$2&gt;0)))</f>
        <v>1</v>
      </c>
      <c r="AU207" s="0" t="n">
        <f aca="false">IF(OR($A$3=公区维修!$F207,$A$3=公区维修!$G207,$BN$3=1),0,3-SUMPRODUCT(--(($A$1:$A$3=公区维修!$F207)+($A$1:$A$3=公区维修!$G207)+$BN$1:$BN$3&gt;0)))</f>
        <v>2</v>
      </c>
      <c r="AV207" s="0" t="n">
        <f aca="false">IF(OR($A$4=公区维修!$F207,$A$4=公区维修!$G207,$BN$4=1),0,4-SUMPRODUCT(--(($A$1:$A$4=公区维修!$F207)+($A$1:$A$4=公区维修!$G207)+$BN$1:$BN$4&gt;0)))</f>
        <v>3</v>
      </c>
      <c r="AW207" s="0" t="n">
        <f aca="false">IF(OR($A$5=公区维修!$F207,$A$5=公区维修!$G207,$BN$5=1),0,5-SUMPRODUCT(--(($A$1:$A$5=公区维修!$F207)+($A$1:$A$5=公区维修!$G207)+$BN$1:$BN$5&gt;0)))</f>
        <v>4</v>
      </c>
      <c r="AY207" s="0" t="str">
        <f aca="false">IFERROR(INDEX($A$1:$A$5,MATCH(1,$AS207:$AW207,0)),IF(1=MAX($AS207:$AW207)+1,"取消",""))</f>
        <v>李师傅</v>
      </c>
      <c r="AZ207" s="0" t="str">
        <f aca="false">IFERROR(INDEX($A$1:$A$5,MATCH(2,$AS207:$AW207,0)),IF(2=MAX($AS207:$AW207)+1,"取消",""))</f>
        <v>王师傅</v>
      </c>
      <c r="BA207" s="0" t="str">
        <f aca="false">IFERROR(INDEX($A$1:$A$5,MATCH(3,$AS207:$AW207,0)),IF(3=MAX($AS207:$AW207)+1,"取消",""))</f>
        <v>陈师傅</v>
      </c>
      <c r="BB207" s="0" t="str">
        <f aca="false">IFERROR(INDEX($A$1:$A$5,MATCH(4,$AS207:$AW207,0)),IF(4=MAX($AS207:$AW207)+1,"取消",""))</f>
        <v>刘师傅</v>
      </c>
      <c r="BC207" s="0" t="str">
        <f aca="false">IFERROR(INDEX($A$1:$A$5,MATCH(5,$AS207:$AW207,0)),IF(5=MAX($AS207:$AW207)+1,"取消",""))</f>
        <v>取消</v>
      </c>
      <c r="BD207" s="0" t="str">
        <f aca="false">IFERROR(INDEX($A$1:$A$5,MATCH(6,$AS207:$AW207,0)),IF(6=MAX($AS207:$AW207)+1,"取消",""))</f>
        <v/>
      </c>
      <c r="FW207" s="0" t="str">
        <f aca="false">IF(AND(单元查询!$D$3&lt;&gt;"",IF(单元查询!$B$3="公区维修",公区维修!$E207&lt;&gt;"",入户维修!$E207&lt;&gt;""),IF(单元查询!$B$3="公区维修",公区维修!$C207,入户维修!$C207)=单元查询!$D$3,OR(单元查询!$F$3="",IF(单元查询!$B$3="公区维修",公区维修!$D207,入户维修!$D207)&amp;""=(单元查询!$F$3)&amp;"")),MAX($FW$4:$FW206)+1,"")</f>
        <v/>
      </c>
    </row>
    <row r="208" customFormat="false" ht="15" hidden="false" customHeight="true" outlineLevel="0" collapsed="false">
      <c r="F208" s="0" t="n">
        <f aca="false">IF(OR($A$1=入户维修!$F208,$BN$1=1),0,1-SUMPRODUCT(--(($A$1=入户维修!$F208)+$BN$1&gt;0)))</f>
        <v>0</v>
      </c>
      <c r="G208" s="0" t="n">
        <f aca="false">IF(OR($A$2=入户维修!$F208,$BN$2=1),0,2-SUMPRODUCT(--(($A$1:$A$2=入户维修!$F208)+$BN$1:$BN$2&gt;0)))</f>
        <v>1</v>
      </c>
      <c r="H208" s="0" t="n">
        <f aca="false">IF(OR($A$3=入户维修!$F208,$BN$3=1),0,3-SUMPRODUCT(--(($A$1:$A$3=入户维修!$F208)+$BN$1:$BN$3&gt;0)))</f>
        <v>2</v>
      </c>
      <c r="I208" s="0" t="n">
        <f aca="false">IF(OR($A$4=入户维修!$F208,$BN$4=1),0,4-SUMPRODUCT(--(($A$1:$A$4=入户维修!$F208)+$BN$1:$BN$4&gt;0)))</f>
        <v>3</v>
      </c>
      <c r="J208" s="0" t="n">
        <f aca="false">IF(OR($A$5=入户维修!$F208,$BN$5=1),0,5-SUMPRODUCT(--(($A$1:$A$5=入户维修!$F208)+$BN$1:$BN$5&gt;0)))</f>
        <v>4</v>
      </c>
      <c r="L208" s="0" t="str">
        <f aca="false">IFERROR(INDEX($A$1:$A$5,MATCH(1,$F208:$J208,0)),IF(1=MAX($F208:$J208)+1,"取消",""))</f>
        <v>李师傅</v>
      </c>
      <c r="M208" s="0" t="str">
        <f aca="false">IFERROR(INDEX($A$1:$A$5,MATCH(2,$F208:$J208,0)),IF(2=MAX($F208:$J208)+1,"取消",""))</f>
        <v>王师傅</v>
      </c>
      <c r="N208" s="0" t="str">
        <f aca="false">IFERROR(INDEX($A$1:$A$5,MATCH(3,$F208:$J208,0)),IF(3=MAX($F208:$J208)+1,"取消",""))</f>
        <v>陈师傅</v>
      </c>
      <c r="O208" s="0" t="str">
        <f aca="false">IFERROR(INDEX($A$1:$A$5,MATCH(4,$F208:$J208,0)),IF(4=MAX($F208:$J208)+1,"取消",""))</f>
        <v>刘师傅</v>
      </c>
      <c r="P208" s="0" t="str">
        <f aca="false">IFERROR(INDEX($A$1:$A$5,MATCH(5,$F208:$J208,0)),IF(5=MAX($F208:$J208)+1,"取消",""))</f>
        <v>取消</v>
      </c>
      <c r="Q208" s="0" t="str">
        <f aca="false">IFERROR(INDEX($A$1:$A$5,MATCH(6,$F208:$J208,0)),IF(6=MAX($F208:$J208)+1,"取消",""))</f>
        <v/>
      </c>
      <c r="S208" s="0" t="n">
        <f aca="false">IF(OR($A$1=入户维修!$F208,$A$1=入户维修!$G208,$BN$1=1),0,1-SUMPRODUCT(--(($A$1=入户维修!$F208)+($A$1=入户维修!$G208)+$BN$1&gt;0)))</f>
        <v>0</v>
      </c>
      <c r="T208" s="0" t="n">
        <f aca="false">IF(OR($A$2=入户维修!$F208,$A$2=入户维修!$G208,$BN$2=1),0,2-SUMPRODUCT(--(($A$1:$A$2=入户维修!$F208)+($A$1:$A$2=入户维修!$G208)+$BN$1:$BN$2&gt;0)))</f>
        <v>1</v>
      </c>
      <c r="U208" s="0" t="n">
        <f aca="false">IF(OR($A$3=入户维修!$F208,$A$3=入户维修!$G208,$BN$3=1),0,3-SUMPRODUCT(--(($A$1:$A$3=入户维修!$F208)+($A$1:$A$3=入户维修!$G208)+$BN$1:$BN$3&gt;0)))</f>
        <v>2</v>
      </c>
      <c r="V208" s="0" t="n">
        <f aca="false">IF(OR($A$4=入户维修!$F208,$A$4=入户维修!$G208,$BN$4=1),0,4-SUMPRODUCT(--(($A$1:$A$4=入户维修!$F208)+($A$1:$A$4=入户维修!$G208)+$BN$1:$BN$4&gt;0)))</f>
        <v>3</v>
      </c>
      <c r="W208" s="0" t="n">
        <f aca="false">IF(OR($A$5=入户维修!$F208,$A$5=入户维修!$G208,$BN$5=1),0,5-SUMPRODUCT(--(($A$1:$A$5=入户维修!$F208)+($A$1:$A$5=入户维修!$G208)+$BN$1:$BN$5&gt;0)))</f>
        <v>4</v>
      </c>
      <c r="Y208" s="0" t="str">
        <f aca="false">IFERROR(INDEX($A$1:$A$5,MATCH(1,$S208:$W208,0)),IF(1=MAX($S208:$W208)+1,"取消",""))</f>
        <v>李师傅</v>
      </c>
      <c r="Z208" s="0" t="str">
        <f aca="false">IFERROR(INDEX($A$1:$A$5,MATCH(2,$S208:$W208,0)),IF(2=MAX($S208:$W208)+1,"取消",""))</f>
        <v>王师傅</v>
      </c>
      <c r="AA208" s="0" t="str">
        <f aca="false">IFERROR(INDEX($A$1:$A$5,MATCH(3,$S208:$W208,0)),IF(3=MAX($S208:$W208)+1,"取消",""))</f>
        <v>陈师傅</v>
      </c>
      <c r="AB208" s="0" t="str">
        <f aca="false">IFERROR(INDEX($A$1:$A$5,MATCH(4,$S208:$W208,0)),IF(4=MAX($S208:$W208)+1,"取消",""))</f>
        <v>刘师傅</v>
      </c>
      <c r="AC208" s="0" t="str">
        <f aca="false">IFERROR(INDEX($A$1:$A$5,MATCH(5,$S208:$W208,0)),IF(5=MAX($S208:$W208)+1,"取消",""))</f>
        <v>取消</v>
      </c>
      <c r="AD208" s="0" t="str">
        <f aca="false">IFERROR(INDEX($A$1:$A$5,MATCH(6,$S208:$W208,0)),IF(6=MAX($S208:$W208)+1,"取消",""))</f>
        <v/>
      </c>
      <c r="AF208" s="0" t="n">
        <f aca="false">IF(OR($A$1=公区维修!$F208,$BN$1=1),0,1-SUMPRODUCT(--(($A$1=公区维修!$F208)+$BN$1&gt;0)))</f>
        <v>0</v>
      </c>
      <c r="AG208" s="0" t="n">
        <f aca="false">IF(OR($A$2=公区维修!$F208,$BN$2=1),0,2-SUMPRODUCT(--(($A$1:$A$2=公区维修!$F208)+$BN$1:$BN$2&gt;0)))</f>
        <v>1</v>
      </c>
      <c r="AH208" s="0" t="n">
        <f aca="false">IF(OR($A$3=公区维修!$F208,$BN$3=1),0,3-SUMPRODUCT(--(($A$1:$A$3=公区维修!$F208)+$BN$1:$BN$3&gt;0)))</f>
        <v>2</v>
      </c>
      <c r="AI208" s="0" t="n">
        <f aca="false">IF(OR($A$4=公区维修!$F208,$BN$4=1),0,4-SUMPRODUCT(--(($A$1:$A$4=公区维修!$F208)+$BN$1:$BN$4&gt;0)))</f>
        <v>3</v>
      </c>
      <c r="AJ208" s="0" t="n">
        <f aca="false">IF(OR($A$5=公区维修!$F208,$BN$5=1),0,5-SUMPRODUCT(--(($A$1:$A$5=公区维修!$F208)+$BN$1:$BN$5&gt;0)))</f>
        <v>4</v>
      </c>
      <c r="AL208" s="0" t="str">
        <f aca="false">IFERROR(INDEX($A$1:$A$5,MATCH(1,$AF208:$AJ208,0)),IF(1=MAX($AF208:$AJ208)+1,"取消",""))</f>
        <v>李师傅</v>
      </c>
      <c r="AM208" s="0" t="str">
        <f aca="false">IFERROR(INDEX($A$1:$A$5,MATCH(2,$AF208:$AJ208,0)),IF(2=MAX($AF208:$AJ208)+1,"取消",""))</f>
        <v>王师傅</v>
      </c>
      <c r="AN208" s="0" t="str">
        <f aca="false">IFERROR(INDEX($A$1:$A$5,MATCH(3,$AF208:$AJ208,0)),IF(3=MAX($AF208:$AJ208)+1,"取消",""))</f>
        <v>陈师傅</v>
      </c>
      <c r="AO208" s="0" t="str">
        <f aca="false">IFERROR(INDEX($A$1:$A$5,MATCH(4,$AF208:$AJ208,0)),IF(4=MAX($AF208:$AJ208)+1,"取消",""))</f>
        <v>刘师傅</v>
      </c>
      <c r="AP208" s="0" t="str">
        <f aca="false">IFERROR(INDEX($A$1:$A$5,MATCH(5,$AF208:$AJ208,0)),IF(5=MAX($AF208:$AJ208)+1,"取消",""))</f>
        <v>取消</v>
      </c>
      <c r="AQ208" s="0" t="str">
        <f aca="false">IFERROR(INDEX($A$1:$A$5,MATCH(6,$AF208:$AJ208,0)),IF(6=MAX($AF208:$AJ208)+1,"取消",""))</f>
        <v/>
      </c>
      <c r="AS208" s="0" t="n">
        <f aca="false">IF(OR($A$1=公区维修!$F208,$A$1=公区维修!$G208,$BN$1=1),0,1-SUMPRODUCT(--(($A$1=公区维修!$F208)+($A$1=公区维修!$G208)+$BN$1&gt;0)))</f>
        <v>0</v>
      </c>
      <c r="AT208" s="0" t="n">
        <f aca="false">IF(OR($A$2=公区维修!$F208,$A$2=公区维修!$G208,$BN$2=1),0,2-SUMPRODUCT(--(($A$1:$A$2=公区维修!$F208)+($A$1:$A$2=公区维修!$G208)+$BN$1:$BN$2&gt;0)))</f>
        <v>1</v>
      </c>
      <c r="AU208" s="0" t="n">
        <f aca="false">IF(OR($A$3=公区维修!$F208,$A$3=公区维修!$G208,$BN$3=1),0,3-SUMPRODUCT(--(($A$1:$A$3=公区维修!$F208)+($A$1:$A$3=公区维修!$G208)+$BN$1:$BN$3&gt;0)))</f>
        <v>2</v>
      </c>
      <c r="AV208" s="0" t="n">
        <f aca="false">IF(OR($A$4=公区维修!$F208,$A$4=公区维修!$G208,$BN$4=1),0,4-SUMPRODUCT(--(($A$1:$A$4=公区维修!$F208)+($A$1:$A$4=公区维修!$G208)+$BN$1:$BN$4&gt;0)))</f>
        <v>3</v>
      </c>
      <c r="AW208" s="0" t="n">
        <f aca="false">IF(OR($A$5=公区维修!$F208,$A$5=公区维修!$G208,$BN$5=1),0,5-SUMPRODUCT(--(($A$1:$A$5=公区维修!$F208)+($A$1:$A$5=公区维修!$G208)+$BN$1:$BN$5&gt;0)))</f>
        <v>4</v>
      </c>
      <c r="AY208" s="0" t="str">
        <f aca="false">IFERROR(INDEX($A$1:$A$5,MATCH(1,$AS208:$AW208,0)),IF(1=MAX($AS208:$AW208)+1,"取消",""))</f>
        <v>李师傅</v>
      </c>
      <c r="AZ208" s="0" t="str">
        <f aca="false">IFERROR(INDEX($A$1:$A$5,MATCH(2,$AS208:$AW208,0)),IF(2=MAX($AS208:$AW208)+1,"取消",""))</f>
        <v>王师傅</v>
      </c>
      <c r="BA208" s="0" t="str">
        <f aca="false">IFERROR(INDEX($A$1:$A$5,MATCH(3,$AS208:$AW208,0)),IF(3=MAX($AS208:$AW208)+1,"取消",""))</f>
        <v>陈师傅</v>
      </c>
      <c r="BB208" s="0" t="str">
        <f aca="false">IFERROR(INDEX($A$1:$A$5,MATCH(4,$AS208:$AW208,0)),IF(4=MAX($AS208:$AW208)+1,"取消",""))</f>
        <v>刘师傅</v>
      </c>
      <c r="BC208" s="0" t="str">
        <f aca="false">IFERROR(INDEX($A$1:$A$5,MATCH(5,$AS208:$AW208,0)),IF(5=MAX($AS208:$AW208)+1,"取消",""))</f>
        <v>取消</v>
      </c>
      <c r="BD208" s="0" t="str">
        <f aca="false">IFERROR(INDEX($A$1:$A$5,MATCH(6,$AS208:$AW208,0)),IF(6=MAX($AS208:$AW208)+1,"取消",""))</f>
        <v/>
      </c>
      <c r="FW208" s="0" t="str">
        <f aca="false">IF(AND(单元查询!$D$3&lt;&gt;"",IF(单元查询!$B$3="公区维修",公区维修!$E208&lt;&gt;"",入户维修!$E208&lt;&gt;""),IF(单元查询!$B$3="公区维修",公区维修!$C208,入户维修!$C208)=单元查询!$D$3,OR(单元查询!$F$3="",IF(单元查询!$B$3="公区维修",公区维修!$D208,入户维修!$D208)&amp;""=(单元查询!$F$3)&amp;"")),MAX($FW$4:$FW207)+1,"")</f>
        <v/>
      </c>
    </row>
    <row r="209" customFormat="false" ht="15" hidden="false" customHeight="true" outlineLevel="0" collapsed="false">
      <c r="F209" s="0" t="n">
        <f aca="false">IF(OR($A$1=入户维修!$F209,$BN$1=1),0,1-SUMPRODUCT(--(($A$1=入户维修!$F209)+$BN$1&gt;0)))</f>
        <v>0</v>
      </c>
      <c r="G209" s="0" t="n">
        <f aca="false">IF(OR($A$2=入户维修!$F209,$BN$2=1),0,2-SUMPRODUCT(--(($A$1:$A$2=入户维修!$F209)+$BN$1:$BN$2&gt;0)))</f>
        <v>1</v>
      </c>
      <c r="H209" s="0" t="n">
        <f aca="false">IF(OR($A$3=入户维修!$F209,$BN$3=1),0,3-SUMPRODUCT(--(($A$1:$A$3=入户维修!$F209)+$BN$1:$BN$3&gt;0)))</f>
        <v>2</v>
      </c>
      <c r="I209" s="0" t="n">
        <f aca="false">IF(OR($A$4=入户维修!$F209,$BN$4=1),0,4-SUMPRODUCT(--(($A$1:$A$4=入户维修!$F209)+$BN$1:$BN$4&gt;0)))</f>
        <v>3</v>
      </c>
      <c r="J209" s="0" t="n">
        <f aca="false">IF(OR($A$5=入户维修!$F209,$BN$5=1),0,5-SUMPRODUCT(--(($A$1:$A$5=入户维修!$F209)+$BN$1:$BN$5&gt;0)))</f>
        <v>4</v>
      </c>
      <c r="L209" s="0" t="str">
        <f aca="false">IFERROR(INDEX($A$1:$A$5,MATCH(1,$F209:$J209,0)),IF(1=MAX($F209:$J209)+1,"取消",""))</f>
        <v>李师傅</v>
      </c>
      <c r="M209" s="0" t="str">
        <f aca="false">IFERROR(INDEX($A$1:$A$5,MATCH(2,$F209:$J209,0)),IF(2=MAX($F209:$J209)+1,"取消",""))</f>
        <v>王师傅</v>
      </c>
      <c r="N209" s="0" t="str">
        <f aca="false">IFERROR(INDEX($A$1:$A$5,MATCH(3,$F209:$J209,0)),IF(3=MAX($F209:$J209)+1,"取消",""))</f>
        <v>陈师傅</v>
      </c>
      <c r="O209" s="0" t="str">
        <f aca="false">IFERROR(INDEX($A$1:$A$5,MATCH(4,$F209:$J209,0)),IF(4=MAX($F209:$J209)+1,"取消",""))</f>
        <v>刘师傅</v>
      </c>
      <c r="P209" s="0" t="str">
        <f aca="false">IFERROR(INDEX($A$1:$A$5,MATCH(5,$F209:$J209,0)),IF(5=MAX($F209:$J209)+1,"取消",""))</f>
        <v>取消</v>
      </c>
      <c r="Q209" s="0" t="str">
        <f aca="false">IFERROR(INDEX($A$1:$A$5,MATCH(6,$F209:$J209,0)),IF(6=MAX($F209:$J209)+1,"取消",""))</f>
        <v/>
      </c>
      <c r="S209" s="0" t="n">
        <f aca="false">IF(OR($A$1=入户维修!$F209,$A$1=入户维修!$G209,$BN$1=1),0,1-SUMPRODUCT(--(($A$1=入户维修!$F209)+($A$1=入户维修!$G209)+$BN$1&gt;0)))</f>
        <v>0</v>
      </c>
      <c r="T209" s="0" t="n">
        <f aca="false">IF(OR($A$2=入户维修!$F209,$A$2=入户维修!$G209,$BN$2=1),0,2-SUMPRODUCT(--(($A$1:$A$2=入户维修!$F209)+($A$1:$A$2=入户维修!$G209)+$BN$1:$BN$2&gt;0)))</f>
        <v>1</v>
      </c>
      <c r="U209" s="0" t="n">
        <f aca="false">IF(OR($A$3=入户维修!$F209,$A$3=入户维修!$G209,$BN$3=1),0,3-SUMPRODUCT(--(($A$1:$A$3=入户维修!$F209)+($A$1:$A$3=入户维修!$G209)+$BN$1:$BN$3&gt;0)))</f>
        <v>2</v>
      </c>
      <c r="V209" s="0" t="n">
        <f aca="false">IF(OR($A$4=入户维修!$F209,$A$4=入户维修!$G209,$BN$4=1),0,4-SUMPRODUCT(--(($A$1:$A$4=入户维修!$F209)+($A$1:$A$4=入户维修!$G209)+$BN$1:$BN$4&gt;0)))</f>
        <v>3</v>
      </c>
      <c r="W209" s="0" t="n">
        <f aca="false">IF(OR($A$5=入户维修!$F209,$A$5=入户维修!$G209,$BN$5=1),0,5-SUMPRODUCT(--(($A$1:$A$5=入户维修!$F209)+($A$1:$A$5=入户维修!$G209)+$BN$1:$BN$5&gt;0)))</f>
        <v>4</v>
      </c>
      <c r="Y209" s="0" t="str">
        <f aca="false">IFERROR(INDEX($A$1:$A$5,MATCH(1,$S209:$W209,0)),IF(1=MAX($S209:$W209)+1,"取消",""))</f>
        <v>李师傅</v>
      </c>
      <c r="Z209" s="0" t="str">
        <f aca="false">IFERROR(INDEX($A$1:$A$5,MATCH(2,$S209:$W209,0)),IF(2=MAX($S209:$W209)+1,"取消",""))</f>
        <v>王师傅</v>
      </c>
      <c r="AA209" s="0" t="str">
        <f aca="false">IFERROR(INDEX($A$1:$A$5,MATCH(3,$S209:$W209,0)),IF(3=MAX($S209:$W209)+1,"取消",""))</f>
        <v>陈师傅</v>
      </c>
      <c r="AB209" s="0" t="str">
        <f aca="false">IFERROR(INDEX($A$1:$A$5,MATCH(4,$S209:$W209,0)),IF(4=MAX($S209:$W209)+1,"取消",""))</f>
        <v>刘师傅</v>
      </c>
      <c r="AC209" s="0" t="str">
        <f aca="false">IFERROR(INDEX($A$1:$A$5,MATCH(5,$S209:$W209,0)),IF(5=MAX($S209:$W209)+1,"取消",""))</f>
        <v>取消</v>
      </c>
      <c r="AD209" s="0" t="str">
        <f aca="false">IFERROR(INDEX($A$1:$A$5,MATCH(6,$S209:$W209,0)),IF(6=MAX($S209:$W209)+1,"取消",""))</f>
        <v/>
      </c>
      <c r="AF209" s="0" t="n">
        <f aca="false">IF(OR($A$1=公区维修!$F209,$BN$1=1),0,1-SUMPRODUCT(--(($A$1=公区维修!$F209)+$BN$1&gt;0)))</f>
        <v>0</v>
      </c>
      <c r="AG209" s="0" t="n">
        <f aca="false">IF(OR($A$2=公区维修!$F209,$BN$2=1),0,2-SUMPRODUCT(--(($A$1:$A$2=公区维修!$F209)+$BN$1:$BN$2&gt;0)))</f>
        <v>1</v>
      </c>
      <c r="AH209" s="0" t="n">
        <f aca="false">IF(OR($A$3=公区维修!$F209,$BN$3=1),0,3-SUMPRODUCT(--(($A$1:$A$3=公区维修!$F209)+$BN$1:$BN$3&gt;0)))</f>
        <v>2</v>
      </c>
      <c r="AI209" s="0" t="n">
        <f aca="false">IF(OR($A$4=公区维修!$F209,$BN$4=1),0,4-SUMPRODUCT(--(($A$1:$A$4=公区维修!$F209)+$BN$1:$BN$4&gt;0)))</f>
        <v>3</v>
      </c>
      <c r="AJ209" s="0" t="n">
        <f aca="false">IF(OR($A$5=公区维修!$F209,$BN$5=1),0,5-SUMPRODUCT(--(($A$1:$A$5=公区维修!$F209)+$BN$1:$BN$5&gt;0)))</f>
        <v>4</v>
      </c>
      <c r="AL209" s="0" t="str">
        <f aca="false">IFERROR(INDEX($A$1:$A$5,MATCH(1,$AF209:$AJ209,0)),IF(1=MAX($AF209:$AJ209)+1,"取消",""))</f>
        <v>李师傅</v>
      </c>
      <c r="AM209" s="0" t="str">
        <f aca="false">IFERROR(INDEX($A$1:$A$5,MATCH(2,$AF209:$AJ209,0)),IF(2=MAX($AF209:$AJ209)+1,"取消",""))</f>
        <v>王师傅</v>
      </c>
      <c r="AN209" s="0" t="str">
        <f aca="false">IFERROR(INDEX($A$1:$A$5,MATCH(3,$AF209:$AJ209,0)),IF(3=MAX($AF209:$AJ209)+1,"取消",""))</f>
        <v>陈师傅</v>
      </c>
      <c r="AO209" s="0" t="str">
        <f aca="false">IFERROR(INDEX($A$1:$A$5,MATCH(4,$AF209:$AJ209,0)),IF(4=MAX($AF209:$AJ209)+1,"取消",""))</f>
        <v>刘师傅</v>
      </c>
      <c r="AP209" s="0" t="str">
        <f aca="false">IFERROR(INDEX($A$1:$A$5,MATCH(5,$AF209:$AJ209,0)),IF(5=MAX($AF209:$AJ209)+1,"取消",""))</f>
        <v>取消</v>
      </c>
      <c r="AQ209" s="0" t="str">
        <f aca="false">IFERROR(INDEX($A$1:$A$5,MATCH(6,$AF209:$AJ209,0)),IF(6=MAX($AF209:$AJ209)+1,"取消",""))</f>
        <v/>
      </c>
      <c r="AS209" s="0" t="n">
        <f aca="false">IF(OR($A$1=公区维修!$F209,$A$1=公区维修!$G209,$BN$1=1),0,1-SUMPRODUCT(--(($A$1=公区维修!$F209)+($A$1=公区维修!$G209)+$BN$1&gt;0)))</f>
        <v>0</v>
      </c>
      <c r="AT209" s="0" t="n">
        <f aca="false">IF(OR($A$2=公区维修!$F209,$A$2=公区维修!$G209,$BN$2=1),0,2-SUMPRODUCT(--(($A$1:$A$2=公区维修!$F209)+($A$1:$A$2=公区维修!$G209)+$BN$1:$BN$2&gt;0)))</f>
        <v>1</v>
      </c>
      <c r="AU209" s="0" t="n">
        <f aca="false">IF(OR($A$3=公区维修!$F209,$A$3=公区维修!$G209,$BN$3=1),0,3-SUMPRODUCT(--(($A$1:$A$3=公区维修!$F209)+($A$1:$A$3=公区维修!$G209)+$BN$1:$BN$3&gt;0)))</f>
        <v>2</v>
      </c>
      <c r="AV209" s="0" t="n">
        <f aca="false">IF(OR($A$4=公区维修!$F209,$A$4=公区维修!$G209,$BN$4=1),0,4-SUMPRODUCT(--(($A$1:$A$4=公区维修!$F209)+($A$1:$A$4=公区维修!$G209)+$BN$1:$BN$4&gt;0)))</f>
        <v>3</v>
      </c>
      <c r="AW209" s="0" t="n">
        <f aca="false">IF(OR($A$5=公区维修!$F209,$A$5=公区维修!$G209,$BN$5=1),0,5-SUMPRODUCT(--(($A$1:$A$5=公区维修!$F209)+($A$1:$A$5=公区维修!$G209)+$BN$1:$BN$5&gt;0)))</f>
        <v>4</v>
      </c>
      <c r="AY209" s="0" t="str">
        <f aca="false">IFERROR(INDEX($A$1:$A$5,MATCH(1,$AS209:$AW209,0)),IF(1=MAX($AS209:$AW209)+1,"取消",""))</f>
        <v>李师傅</v>
      </c>
      <c r="AZ209" s="0" t="str">
        <f aca="false">IFERROR(INDEX($A$1:$A$5,MATCH(2,$AS209:$AW209,0)),IF(2=MAX($AS209:$AW209)+1,"取消",""))</f>
        <v>王师傅</v>
      </c>
      <c r="BA209" s="0" t="str">
        <f aca="false">IFERROR(INDEX($A$1:$A$5,MATCH(3,$AS209:$AW209,0)),IF(3=MAX($AS209:$AW209)+1,"取消",""))</f>
        <v>陈师傅</v>
      </c>
      <c r="BB209" s="0" t="str">
        <f aca="false">IFERROR(INDEX($A$1:$A$5,MATCH(4,$AS209:$AW209,0)),IF(4=MAX($AS209:$AW209)+1,"取消",""))</f>
        <v>刘师傅</v>
      </c>
      <c r="BC209" s="0" t="str">
        <f aca="false">IFERROR(INDEX($A$1:$A$5,MATCH(5,$AS209:$AW209,0)),IF(5=MAX($AS209:$AW209)+1,"取消",""))</f>
        <v>取消</v>
      </c>
      <c r="BD209" s="0" t="str">
        <f aca="false">IFERROR(INDEX($A$1:$A$5,MATCH(6,$AS209:$AW209,0)),IF(6=MAX($AS209:$AW209)+1,"取消",""))</f>
        <v/>
      </c>
      <c r="FW209" s="0" t="str">
        <f aca="false">IF(AND(单元查询!$D$3&lt;&gt;"",IF(单元查询!$B$3="公区维修",公区维修!$E209&lt;&gt;"",入户维修!$E209&lt;&gt;""),IF(单元查询!$B$3="公区维修",公区维修!$C209,入户维修!$C209)=单元查询!$D$3,OR(单元查询!$F$3="",IF(单元查询!$B$3="公区维修",公区维修!$D209,入户维修!$D209)&amp;""=(单元查询!$F$3)&amp;"")),MAX($FW$4:$FW208)+1,"")</f>
        <v/>
      </c>
    </row>
    <row r="210" customFormat="false" ht="15" hidden="false" customHeight="true" outlineLevel="0" collapsed="false">
      <c r="F210" s="0" t="n">
        <f aca="false">IF(OR($A$1=入户维修!$F210,$BN$1=1),0,1-SUMPRODUCT(--(($A$1=入户维修!$F210)+$BN$1&gt;0)))</f>
        <v>0</v>
      </c>
      <c r="G210" s="0" t="n">
        <f aca="false">IF(OR($A$2=入户维修!$F210,$BN$2=1),0,2-SUMPRODUCT(--(($A$1:$A$2=入户维修!$F210)+$BN$1:$BN$2&gt;0)))</f>
        <v>1</v>
      </c>
      <c r="H210" s="0" t="n">
        <f aca="false">IF(OR($A$3=入户维修!$F210,$BN$3=1),0,3-SUMPRODUCT(--(($A$1:$A$3=入户维修!$F210)+$BN$1:$BN$3&gt;0)))</f>
        <v>2</v>
      </c>
      <c r="I210" s="0" t="n">
        <f aca="false">IF(OR($A$4=入户维修!$F210,$BN$4=1),0,4-SUMPRODUCT(--(($A$1:$A$4=入户维修!$F210)+$BN$1:$BN$4&gt;0)))</f>
        <v>3</v>
      </c>
      <c r="J210" s="0" t="n">
        <f aca="false">IF(OR($A$5=入户维修!$F210,$BN$5=1),0,5-SUMPRODUCT(--(($A$1:$A$5=入户维修!$F210)+$BN$1:$BN$5&gt;0)))</f>
        <v>4</v>
      </c>
      <c r="L210" s="0" t="str">
        <f aca="false">IFERROR(INDEX($A$1:$A$5,MATCH(1,$F210:$J210,0)),IF(1=MAX($F210:$J210)+1,"取消",""))</f>
        <v>李师傅</v>
      </c>
      <c r="M210" s="0" t="str">
        <f aca="false">IFERROR(INDEX($A$1:$A$5,MATCH(2,$F210:$J210,0)),IF(2=MAX($F210:$J210)+1,"取消",""))</f>
        <v>王师傅</v>
      </c>
      <c r="N210" s="0" t="str">
        <f aca="false">IFERROR(INDEX($A$1:$A$5,MATCH(3,$F210:$J210,0)),IF(3=MAX($F210:$J210)+1,"取消",""))</f>
        <v>陈师傅</v>
      </c>
      <c r="O210" s="0" t="str">
        <f aca="false">IFERROR(INDEX($A$1:$A$5,MATCH(4,$F210:$J210,0)),IF(4=MAX($F210:$J210)+1,"取消",""))</f>
        <v>刘师傅</v>
      </c>
      <c r="P210" s="0" t="str">
        <f aca="false">IFERROR(INDEX($A$1:$A$5,MATCH(5,$F210:$J210,0)),IF(5=MAX($F210:$J210)+1,"取消",""))</f>
        <v>取消</v>
      </c>
      <c r="Q210" s="0" t="str">
        <f aca="false">IFERROR(INDEX($A$1:$A$5,MATCH(6,$F210:$J210,0)),IF(6=MAX($F210:$J210)+1,"取消",""))</f>
        <v/>
      </c>
      <c r="S210" s="0" t="n">
        <f aca="false">IF(OR($A$1=入户维修!$F210,$A$1=入户维修!$G210,$BN$1=1),0,1-SUMPRODUCT(--(($A$1=入户维修!$F210)+($A$1=入户维修!$G210)+$BN$1&gt;0)))</f>
        <v>0</v>
      </c>
      <c r="T210" s="0" t="n">
        <f aca="false">IF(OR($A$2=入户维修!$F210,$A$2=入户维修!$G210,$BN$2=1),0,2-SUMPRODUCT(--(($A$1:$A$2=入户维修!$F210)+($A$1:$A$2=入户维修!$G210)+$BN$1:$BN$2&gt;0)))</f>
        <v>1</v>
      </c>
      <c r="U210" s="0" t="n">
        <f aca="false">IF(OR($A$3=入户维修!$F210,$A$3=入户维修!$G210,$BN$3=1),0,3-SUMPRODUCT(--(($A$1:$A$3=入户维修!$F210)+($A$1:$A$3=入户维修!$G210)+$BN$1:$BN$3&gt;0)))</f>
        <v>2</v>
      </c>
      <c r="V210" s="0" t="n">
        <f aca="false">IF(OR($A$4=入户维修!$F210,$A$4=入户维修!$G210,$BN$4=1),0,4-SUMPRODUCT(--(($A$1:$A$4=入户维修!$F210)+($A$1:$A$4=入户维修!$G210)+$BN$1:$BN$4&gt;0)))</f>
        <v>3</v>
      </c>
      <c r="W210" s="0" t="n">
        <f aca="false">IF(OR($A$5=入户维修!$F210,$A$5=入户维修!$G210,$BN$5=1),0,5-SUMPRODUCT(--(($A$1:$A$5=入户维修!$F210)+($A$1:$A$5=入户维修!$G210)+$BN$1:$BN$5&gt;0)))</f>
        <v>4</v>
      </c>
      <c r="Y210" s="0" t="str">
        <f aca="false">IFERROR(INDEX($A$1:$A$5,MATCH(1,$S210:$W210,0)),IF(1=MAX($S210:$W210)+1,"取消",""))</f>
        <v>李师傅</v>
      </c>
      <c r="Z210" s="0" t="str">
        <f aca="false">IFERROR(INDEX($A$1:$A$5,MATCH(2,$S210:$W210,0)),IF(2=MAX($S210:$W210)+1,"取消",""))</f>
        <v>王师傅</v>
      </c>
      <c r="AA210" s="0" t="str">
        <f aca="false">IFERROR(INDEX($A$1:$A$5,MATCH(3,$S210:$W210,0)),IF(3=MAX($S210:$W210)+1,"取消",""))</f>
        <v>陈师傅</v>
      </c>
      <c r="AB210" s="0" t="str">
        <f aca="false">IFERROR(INDEX($A$1:$A$5,MATCH(4,$S210:$W210,0)),IF(4=MAX($S210:$W210)+1,"取消",""))</f>
        <v>刘师傅</v>
      </c>
      <c r="AC210" s="0" t="str">
        <f aca="false">IFERROR(INDEX($A$1:$A$5,MATCH(5,$S210:$W210,0)),IF(5=MAX($S210:$W210)+1,"取消",""))</f>
        <v>取消</v>
      </c>
      <c r="AD210" s="0" t="str">
        <f aca="false">IFERROR(INDEX($A$1:$A$5,MATCH(6,$S210:$W210,0)),IF(6=MAX($S210:$W210)+1,"取消",""))</f>
        <v/>
      </c>
      <c r="AF210" s="0" t="n">
        <f aca="false">IF(OR($A$1=公区维修!$F210,$BN$1=1),0,1-SUMPRODUCT(--(($A$1=公区维修!$F210)+$BN$1&gt;0)))</f>
        <v>0</v>
      </c>
      <c r="AG210" s="0" t="n">
        <f aca="false">IF(OR($A$2=公区维修!$F210,$BN$2=1),0,2-SUMPRODUCT(--(($A$1:$A$2=公区维修!$F210)+$BN$1:$BN$2&gt;0)))</f>
        <v>1</v>
      </c>
      <c r="AH210" s="0" t="n">
        <f aca="false">IF(OR($A$3=公区维修!$F210,$BN$3=1),0,3-SUMPRODUCT(--(($A$1:$A$3=公区维修!$F210)+$BN$1:$BN$3&gt;0)))</f>
        <v>2</v>
      </c>
      <c r="AI210" s="0" t="n">
        <f aca="false">IF(OR($A$4=公区维修!$F210,$BN$4=1),0,4-SUMPRODUCT(--(($A$1:$A$4=公区维修!$F210)+$BN$1:$BN$4&gt;0)))</f>
        <v>3</v>
      </c>
      <c r="AJ210" s="0" t="n">
        <f aca="false">IF(OR($A$5=公区维修!$F210,$BN$5=1),0,5-SUMPRODUCT(--(($A$1:$A$5=公区维修!$F210)+$BN$1:$BN$5&gt;0)))</f>
        <v>4</v>
      </c>
      <c r="AL210" s="0" t="str">
        <f aca="false">IFERROR(INDEX($A$1:$A$5,MATCH(1,$AF210:$AJ210,0)),IF(1=MAX($AF210:$AJ210)+1,"取消",""))</f>
        <v>李师傅</v>
      </c>
      <c r="AM210" s="0" t="str">
        <f aca="false">IFERROR(INDEX($A$1:$A$5,MATCH(2,$AF210:$AJ210,0)),IF(2=MAX($AF210:$AJ210)+1,"取消",""))</f>
        <v>王师傅</v>
      </c>
      <c r="AN210" s="0" t="str">
        <f aca="false">IFERROR(INDEX($A$1:$A$5,MATCH(3,$AF210:$AJ210,0)),IF(3=MAX($AF210:$AJ210)+1,"取消",""))</f>
        <v>陈师傅</v>
      </c>
      <c r="AO210" s="0" t="str">
        <f aca="false">IFERROR(INDEX($A$1:$A$5,MATCH(4,$AF210:$AJ210,0)),IF(4=MAX($AF210:$AJ210)+1,"取消",""))</f>
        <v>刘师傅</v>
      </c>
      <c r="AP210" s="0" t="str">
        <f aca="false">IFERROR(INDEX($A$1:$A$5,MATCH(5,$AF210:$AJ210,0)),IF(5=MAX($AF210:$AJ210)+1,"取消",""))</f>
        <v>取消</v>
      </c>
      <c r="AQ210" s="0" t="str">
        <f aca="false">IFERROR(INDEX($A$1:$A$5,MATCH(6,$AF210:$AJ210,0)),IF(6=MAX($AF210:$AJ210)+1,"取消",""))</f>
        <v/>
      </c>
      <c r="AS210" s="0" t="n">
        <f aca="false">IF(OR($A$1=公区维修!$F210,$A$1=公区维修!$G210,$BN$1=1),0,1-SUMPRODUCT(--(($A$1=公区维修!$F210)+($A$1=公区维修!$G210)+$BN$1&gt;0)))</f>
        <v>0</v>
      </c>
      <c r="AT210" s="0" t="n">
        <f aca="false">IF(OR($A$2=公区维修!$F210,$A$2=公区维修!$G210,$BN$2=1),0,2-SUMPRODUCT(--(($A$1:$A$2=公区维修!$F210)+($A$1:$A$2=公区维修!$G210)+$BN$1:$BN$2&gt;0)))</f>
        <v>1</v>
      </c>
      <c r="AU210" s="0" t="n">
        <f aca="false">IF(OR($A$3=公区维修!$F210,$A$3=公区维修!$G210,$BN$3=1),0,3-SUMPRODUCT(--(($A$1:$A$3=公区维修!$F210)+($A$1:$A$3=公区维修!$G210)+$BN$1:$BN$3&gt;0)))</f>
        <v>2</v>
      </c>
      <c r="AV210" s="0" t="n">
        <f aca="false">IF(OR($A$4=公区维修!$F210,$A$4=公区维修!$G210,$BN$4=1),0,4-SUMPRODUCT(--(($A$1:$A$4=公区维修!$F210)+($A$1:$A$4=公区维修!$G210)+$BN$1:$BN$4&gt;0)))</f>
        <v>3</v>
      </c>
      <c r="AW210" s="0" t="n">
        <f aca="false">IF(OR($A$5=公区维修!$F210,$A$5=公区维修!$G210,$BN$5=1),0,5-SUMPRODUCT(--(($A$1:$A$5=公区维修!$F210)+($A$1:$A$5=公区维修!$G210)+$BN$1:$BN$5&gt;0)))</f>
        <v>4</v>
      </c>
      <c r="AY210" s="0" t="str">
        <f aca="false">IFERROR(INDEX($A$1:$A$5,MATCH(1,$AS210:$AW210,0)),IF(1=MAX($AS210:$AW210)+1,"取消",""))</f>
        <v>李师傅</v>
      </c>
      <c r="AZ210" s="0" t="str">
        <f aca="false">IFERROR(INDEX($A$1:$A$5,MATCH(2,$AS210:$AW210,0)),IF(2=MAX($AS210:$AW210)+1,"取消",""))</f>
        <v>王师傅</v>
      </c>
      <c r="BA210" s="0" t="str">
        <f aca="false">IFERROR(INDEX($A$1:$A$5,MATCH(3,$AS210:$AW210,0)),IF(3=MAX($AS210:$AW210)+1,"取消",""))</f>
        <v>陈师傅</v>
      </c>
      <c r="BB210" s="0" t="str">
        <f aca="false">IFERROR(INDEX($A$1:$A$5,MATCH(4,$AS210:$AW210,0)),IF(4=MAX($AS210:$AW210)+1,"取消",""))</f>
        <v>刘师傅</v>
      </c>
      <c r="BC210" s="0" t="str">
        <f aca="false">IFERROR(INDEX($A$1:$A$5,MATCH(5,$AS210:$AW210,0)),IF(5=MAX($AS210:$AW210)+1,"取消",""))</f>
        <v>取消</v>
      </c>
      <c r="BD210" s="0" t="str">
        <f aca="false">IFERROR(INDEX($A$1:$A$5,MATCH(6,$AS210:$AW210,0)),IF(6=MAX($AS210:$AW210)+1,"取消",""))</f>
        <v/>
      </c>
      <c r="FW210" s="0" t="str">
        <f aca="false">IF(AND(单元查询!$D$3&lt;&gt;"",IF(单元查询!$B$3="公区维修",公区维修!$E210&lt;&gt;"",入户维修!$E210&lt;&gt;""),IF(单元查询!$B$3="公区维修",公区维修!$C210,入户维修!$C210)=单元查询!$D$3,OR(单元查询!$F$3="",IF(单元查询!$B$3="公区维修",公区维修!$D210,入户维修!$D210)&amp;""=(单元查询!$F$3)&amp;"")),MAX($FW$4:$FW209)+1,"")</f>
        <v/>
      </c>
    </row>
    <row r="211" customFormat="false" ht="15" hidden="false" customHeight="true" outlineLevel="0" collapsed="false">
      <c r="F211" s="0" t="n">
        <f aca="false">IF(OR($A$1=入户维修!$F211,$BN$1=1),0,1-SUMPRODUCT(--(($A$1=入户维修!$F211)+$BN$1&gt;0)))</f>
        <v>0</v>
      </c>
      <c r="G211" s="0" t="n">
        <f aca="false">IF(OR($A$2=入户维修!$F211,$BN$2=1),0,2-SUMPRODUCT(--(($A$1:$A$2=入户维修!$F211)+$BN$1:$BN$2&gt;0)))</f>
        <v>1</v>
      </c>
      <c r="H211" s="0" t="n">
        <f aca="false">IF(OR($A$3=入户维修!$F211,$BN$3=1),0,3-SUMPRODUCT(--(($A$1:$A$3=入户维修!$F211)+$BN$1:$BN$3&gt;0)))</f>
        <v>2</v>
      </c>
      <c r="I211" s="0" t="n">
        <f aca="false">IF(OR($A$4=入户维修!$F211,$BN$4=1),0,4-SUMPRODUCT(--(($A$1:$A$4=入户维修!$F211)+$BN$1:$BN$4&gt;0)))</f>
        <v>3</v>
      </c>
      <c r="J211" s="0" t="n">
        <f aca="false">IF(OR($A$5=入户维修!$F211,$BN$5=1),0,5-SUMPRODUCT(--(($A$1:$A$5=入户维修!$F211)+$BN$1:$BN$5&gt;0)))</f>
        <v>4</v>
      </c>
      <c r="L211" s="0" t="str">
        <f aca="false">IFERROR(INDEX($A$1:$A$5,MATCH(1,$F211:$J211,0)),IF(1=MAX($F211:$J211)+1,"取消",""))</f>
        <v>李师傅</v>
      </c>
      <c r="M211" s="0" t="str">
        <f aca="false">IFERROR(INDEX($A$1:$A$5,MATCH(2,$F211:$J211,0)),IF(2=MAX($F211:$J211)+1,"取消",""))</f>
        <v>王师傅</v>
      </c>
      <c r="N211" s="0" t="str">
        <f aca="false">IFERROR(INDEX($A$1:$A$5,MATCH(3,$F211:$J211,0)),IF(3=MAX($F211:$J211)+1,"取消",""))</f>
        <v>陈师傅</v>
      </c>
      <c r="O211" s="0" t="str">
        <f aca="false">IFERROR(INDEX($A$1:$A$5,MATCH(4,$F211:$J211,0)),IF(4=MAX($F211:$J211)+1,"取消",""))</f>
        <v>刘师傅</v>
      </c>
      <c r="P211" s="0" t="str">
        <f aca="false">IFERROR(INDEX($A$1:$A$5,MATCH(5,$F211:$J211,0)),IF(5=MAX($F211:$J211)+1,"取消",""))</f>
        <v>取消</v>
      </c>
      <c r="Q211" s="0" t="str">
        <f aca="false">IFERROR(INDEX($A$1:$A$5,MATCH(6,$F211:$J211,0)),IF(6=MAX($F211:$J211)+1,"取消",""))</f>
        <v/>
      </c>
      <c r="S211" s="0" t="n">
        <f aca="false">IF(OR($A$1=入户维修!$F211,$A$1=入户维修!$G211,$BN$1=1),0,1-SUMPRODUCT(--(($A$1=入户维修!$F211)+($A$1=入户维修!$G211)+$BN$1&gt;0)))</f>
        <v>0</v>
      </c>
      <c r="T211" s="0" t="n">
        <f aca="false">IF(OR($A$2=入户维修!$F211,$A$2=入户维修!$G211,$BN$2=1),0,2-SUMPRODUCT(--(($A$1:$A$2=入户维修!$F211)+($A$1:$A$2=入户维修!$G211)+$BN$1:$BN$2&gt;0)))</f>
        <v>1</v>
      </c>
      <c r="U211" s="0" t="n">
        <f aca="false">IF(OR($A$3=入户维修!$F211,$A$3=入户维修!$G211,$BN$3=1),0,3-SUMPRODUCT(--(($A$1:$A$3=入户维修!$F211)+($A$1:$A$3=入户维修!$G211)+$BN$1:$BN$3&gt;0)))</f>
        <v>2</v>
      </c>
      <c r="V211" s="0" t="n">
        <f aca="false">IF(OR($A$4=入户维修!$F211,$A$4=入户维修!$G211,$BN$4=1),0,4-SUMPRODUCT(--(($A$1:$A$4=入户维修!$F211)+($A$1:$A$4=入户维修!$G211)+$BN$1:$BN$4&gt;0)))</f>
        <v>3</v>
      </c>
      <c r="W211" s="0" t="n">
        <f aca="false">IF(OR($A$5=入户维修!$F211,$A$5=入户维修!$G211,$BN$5=1),0,5-SUMPRODUCT(--(($A$1:$A$5=入户维修!$F211)+($A$1:$A$5=入户维修!$G211)+$BN$1:$BN$5&gt;0)))</f>
        <v>4</v>
      </c>
      <c r="Y211" s="0" t="str">
        <f aca="false">IFERROR(INDEX($A$1:$A$5,MATCH(1,$S211:$W211,0)),IF(1=MAX($S211:$W211)+1,"取消",""))</f>
        <v>李师傅</v>
      </c>
      <c r="Z211" s="0" t="str">
        <f aca="false">IFERROR(INDEX($A$1:$A$5,MATCH(2,$S211:$W211,0)),IF(2=MAX($S211:$W211)+1,"取消",""))</f>
        <v>王师傅</v>
      </c>
      <c r="AA211" s="0" t="str">
        <f aca="false">IFERROR(INDEX($A$1:$A$5,MATCH(3,$S211:$W211,0)),IF(3=MAX($S211:$W211)+1,"取消",""))</f>
        <v>陈师傅</v>
      </c>
      <c r="AB211" s="0" t="str">
        <f aca="false">IFERROR(INDEX($A$1:$A$5,MATCH(4,$S211:$W211,0)),IF(4=MAX($S211:$W211)+1,"取消",""))</f>
        <v>刘师傅</v>
      </c>
      <c r="AC211" s="0" t="str">
        <f aca="false">IFERROR(INDEX($A$1:$A$5,MATCH(5,$S211:$W211,0)),IF(5=MAX($S211:$W211)+1,"取消",""))</f>
        <v>取消</v>
      </c>
      <c r="AD211" s="0" t="str">
        <f aca="false">IFERROR(INDEX($A$1:$A$5,MATCH(6,$S211:$W211,0)),IF(6=MAX($S211:$W211)+1,"取消",""))</f>
        <v/>
      </c>
      <c r="AF211" s="0" t="n">
        <f aca="false">IF(OR($A$1=公区维修!$F211,$BN$1=1),0,1-SUMPRODUCT(--(($A$1=公区维修!$F211)+$BN$1&gt;0)))</f>
        <v>0</v>
      </c>
      <c r="AG211" s="0" t="n">
        <f aca="false">IF(OR($A$2=公区维修!$F211,$BN$2=1),0,2-SUMPRODUCT(--(($A$1:$A$2=公区维修!$F211)+$BN$1:$BN$2&gt;0)))</f>
        <v>1</v>
      </c>
      <c r="AH211" s="0" t="n">
        <f aca="false">IF(OR($A$3=公区维修!$F211,$BN$3=1),0,3-SUMPRODUCT(--(($A$1:$A$3=公区维修!$F211)+$BN$1:$BN$3&gt;0)))</f>
        <v>2</v>
      </c>
      <c r="AI211" s="0" t="n">
        <f aca="false">IF(OR($A$4=公区维修!$F211,$BN$4=1),0,4-SUMPRODUCT(--(($A$1:$A$4=公区维修!$F211)+$BN$1:$BN$4&gt;0)))</f>
        <v>3</v>
      </c>
      <c r="AJ211" s="0" t="n">
        <f aca="false">IF(OR($A$5=公区维修!$F211,$BN$5=1),0,5-SUMPRODUCT(--(($A$1:$A$5=公区维修!$F211)+$BN$1:$BN$5&gt;0)))</f>
        <v>4</v>
      </c>
      <c r="AL211" s="0" t="str">
        <f aca="false">IFERROR(INDEX($A$1:$A$5,MATCH(1,$AF211:$AJ211,0)),IF(1=MAX($AF211:$AJ211)+1,"取消",""))</f>
        <v>李师傅</v>
      </c>
      <c r="AM211" s="0" t="str">
        <f aca="false">IFERROR(INDEX($A$1:$A$5,MATCH(2,$AF211:$AJ211,0)),IF(2=MAX($AF211:$AJ211)+1,"取消",""))</f>
        <v>王师傅</v>
      </c>
      <c r="AN211" s="0" t="str">
        <f aca="false">IFERROR(INDEX($A$1:$A$5,MATCH(3,$AF211:$AJ211,0)),IF(3=MAX($AF211:$AJ211)+1,"取消",""))</f>
        <v>陈师傅</v>
      </c>
      <c r="AO211" s="0" t="str">
        <f aca="false">IFERROR(INDEX($A$1:$A$5,MATCH(4,$AF211:$AJ211,0)),IF(4=MAX($AF211:$AJ211)+1,"取消",""))</f>
        <v>刘师傅</v>
      </c>
      <c r="AP211" s="0" t="str">
        <f aca="false">IFERROR(INDEX($A$1:$A$5,MATCH(5,$AF211:$AJ211,0)),IF(5=MAX($AF211:$AJ211)+1,"取消",""))</f>
        <v>取消</v>
      </c>
      <c r="AQ211" s="0" t="str">
        <f aca="false">IFERROR(INDEX($A$1:$A$5,MATCH(6,$AF211:$AJ211,0)),IF(6=MAX($AF211:$AJ211)+1,"取消",""))</f>
        <v/>
      </c>
      <c r="AS211" s="0" t="n">
        <f aca="false">IF(OR($A$1=公区维修!$F211,$A$1=公区维修!$G211,$BN$1=1),0,1-SUMPRODUCT(--(($A$1=公区维修!$F211)+($A$1=公区维修!$G211)+$BN$1&gt;0)))</f>
        <v>0</v>
      </c>
      <c r="AT211" s="0" t="n">
        <f aca="false">IF(OR($A$2=公区维修!$F211,$A$2=公区维修!$G211,$BN$2=1),0,2-SUMPRODUCT(--(($A$1:$A$2=公区维修!$F211)+($A$1:$A$2=公区维修!$G211)+$BN$1:$BN$2&gt;0)))</f>
        <v>1</v>
      </c>
      <c r="AU211" s="0" t="n">
        <f aca="false">IF(OR($A$3=公区维修!$F211,$A$3=公区维修!$G211,$BN$3=1),0,3-SUMPRODUCT(--(($A$1:$A$3=公区维修!$F211)+($A$1:$A$3=公区维修!$G211)+$BN$1:$BN$3&gt;0)))</f>
        <v>2</v>
      </c>
      <c r="AV211" s="0" t="n">
        <f aca="false">IF(OR($A$4=公区维修!$F211,$A$4=公区维修!$G211,$BN$4=1),0,4-SUMPRODUCT(--(($A$1:$A$4=公区维修!$F211)+($A$1:$A$4=公区维修!$G211)+$BN$1:$BN$4&gt;0)))</f>
        <v>3</v>
      </c>
      <c r="AW211" s="0" t="n">
        <f aca="false">IF(OR($A$5=公区维修!$F211,$A$5=公区维修!$G211,$BN$5=1),0,5-SUMPRODUCT(--(($A$1:$A$5=公区维修!$F211)+($A$1:$A$5=公区维修!$G211)+$BN$1:$BN$5&gt;0)))</f>
        <v>4</v>
      </c>
      <c r="AY211" s="0" t="str">
        <f aca="false">IFERROR(INDEX($A$1:$A$5,MATCH(1,$AS211:$AW211,0)),IF(1=MAX($AS211:$AW211)+1,"取消",""))</f>
        <v>李师傅</v>
      </c>
      <c r="AZ211" s="0" t="str">
        <f aca="false">IFERROR(INDEX($A$1:$A$5,MATCH(2,$AS211:$AW211,0)),IF(2=MAX($AS211:$AW211)+1,"取消",""))</f>
        <v>王师傅</v>
      </c>
      <c r="BA211" s="0" t="str">
        <f aca="false">IFERROR(INDEX($A$1:$A$5,MATCH(3,$AS211:$AW211,0)),IF(3=MAX($AS211:$AW211)+1,"取消",""))</f>
        <v>陈师傅</v>
      </c>
      <c r="BB211" s="0" t="str">
        <f aca="false">IFERROR(INDEX($A$1:$A$5,MATCH(4,$AS211:$AW211,0)),IF(4=MAX($AS211:$AW211)+1,"取消",""))</f>
        <v>刘师傅</v>
      </c>
      <c r="BC211" s="0" t="str">
        <f aca="false">IFERROR(INDEX($A$1:$A$5,MATCH(5,$AS211:$AW211,0)),IF(5=MAX($AS211:$AW211)+1,"取消",""))</f>
        <v>取消</v>
      </c>
      <c r="BD211" s="0" t="str">
        <f aca="false">IFERROR(INDEX($A$1:$A$5,MATCH(6,$AS211:$AW211,0)),IF(6=MAX($AS211:$AW211)+1,"取消",""))</f>
        <v/>
      </c>
      <c r="FW211" s="0" t="str">
        <f aca="false">IF(AND(单元查询!$D$3&lt;&gt;"",IF(单元查询!$B$3="公区维修",公区维修!$E211&lt;&gt;"",入户维修!$E211&lt;&gt;""),IF(单元查询!$B$3="公区维修",公区维修!$C211,入户维修!$C211)=单元查询!$D$3,OR(单元查询!$F$3="",IF(单元查询!$B$3="公区维修",公区维修!$D211,入户维修!$D211)&amp;""=(单元查询!$F$3)&amp;"")),MAX($FW$4:$FW210)+1,"")</f>
        <v/>
      </c>
    </row>
    <row r="212" customFormat="false" ht="15" hidden="false" customHeight="true" outlineLevel="0" collapsed="false">
      <c r="F212" s="0" t="n">
        <f aca="false">IF(OR($A$1=入户维修!$F212,$BN$1=1),0,1-SUMPRODUCT(--(($A$1=入户维修!$F212)+$BN$1&gt;0)))</f>
        <v>0</v>
      </c>
      <c r="G212" s="0" t="n">
        <f aca="false">IF(OR($A$2=入户维修!$F212,$BN$2=1),0,2-SUMPRODUCT(--(($A$1:$A$2=入户维修!$F212)+$BN$1:$BN$2&gt;0)))</f>
        <v>1</v>
      </c>
      <c r="H212" s="0" t="n">
        <f aca="false">IF(OR($A$3=入户维修!$F212,$BN$3=1),0,3-SUMPRODUCT(--(($A$1:$A$3=入户维修!$F212)+$BN$1:$BN$3&gt;0)))</f>
        <v>2</v>
      </c>
      <c r="I212" s="0" t="n">
        <f aca="false">IF(OR($A$4=入户维修!$F212,$BN$4=1),0,4-SUMPRODUCT(--(($A$1:$A$4=入户维修!$F212)+$BN$1:$BN$4&gt;0)))</f>
        <v>3</v>
      </c>
      <c r="J212" s="0" t="n">
        <f aca="false">IF(OR($A$5=入户维修!$F212,$BN$5=1),0,5-SUMPRODUCT(--(($A$1:$A$5=入户维修!$F212)+$BN$1:$BN$5&gt;0)))</f>
        <v>4</v>
      </c>
      <c r="L212" s="0" t="str">
        <f aca="false">IFERROR(INDEX($A$1:$A$5,MATCH(1,$F212:$J212,0)),IF(1=MAX($F212:$J212)+1,"取消",""))</f>
        <v>李师傅</v>
      </c>
      <c r="M212" s="0" t="str">
        <f aca="false">IFERROR(INDEX($A$1:$A$5,MATCH(2,$F212:$J212,0)),IF(2=MAX($F212:$J212)+1,"取消",""))</f>
        <v>王师傅</v>
      </c>
      <c r="N212" s="0" t="str">
        <f aca="false">IFERROR(INDEX($A$1:$A$5,MATCH(3,$F212:$J212,0)),IF(3=MAX($F212:$J212)+1,"取消",""))</f>
        <v>陈师傅</v>
      </c>
      <c r="O212" s="0" t="str">
        <f aca="false">IFERROR(INDEX($A$1:$A$5,MATCH(4,$F212:$J212,0)),IF(4=MAX($F212:$J212)+1,"取消",""))</f>
        <v>刘师傅</v>
      </c>
      <c r="P212" s="0" t="str">
        <f aca="false">IFERROR(INDEX($A$1:$A$5,MATCH(5,$F212:$J212,0)),IF(5=MAX($F212:$J212)+1,"取消",""))</f>
        <v>取消</v>
      </c>
      <c r="Q212" s="0" t="str">
        <f aca="false">IFERROR(INDEX($A$1:$A$5,MATCH(6,$F212:$J212,0)),IF(6=MAX($F212:$J212)+1,"取消",""))</f>
        <v/>
      </c>
      <c r="S212" s="0" t="n">
        <f aca="false">IF(OR($A$1=入户维修!$F212,$A$1=入户维修!$G212,$BN$1=1),0,1-SUMPRODUCT(--(($A$1=入户维修!$F212)+($A$1=入户维修!$G212)+$BN$1&gt;0)))</f>
        <v>0</v>
      </c>
      <c r="T212" s="0" t="n">
        <f aca="false">IF(OR($A$2=入户维修!$F212,$A$2=入户维修!$G212,$BN$2=1),0,2-SUMPRODUCT(--(($A$1:$A$2=入户维修!$F212)+($A$1:$A$2=入户维修!$G212)+$BN$1:$BN$2&gt;0)))</f>
        <v>1</v>
      </c>
      <c r="U212" s="0" t="n">
        <f aca="false">IF(OR($A$3=入户维修!$F212,$A$3=入户维修!$G212,$BN$3=1),0,3-SUMPRODUCT(--(($A$1:$A$3=入户维修!$F212)+($A$1:$A$3=入户维修!$G212)+$BN$1:$BN$3&gt;0)))</f>
        <v>2</v>
      </c>
      <c r="V212" s="0" t="n">
        <f aca="false">IF(OR($A$4=入户维修!$F212,$A$4=入户维修!$G212,$BN$4=1),0,4-SUMPRODUCT(--(($A$1:$A$4=入户维修!$F212)+($A$1:$A$4=入户维修!$G212)+$BN$1:$BN$4&gt;0)))</f>
        <v>3</v>
      </c>
      <c r="W212" s="0" t="n">
        <f aca="false">IF(OR($A$5=入户维修!$F212,$A$5=入户维修!$G212,$BN$5=1),0,5-SUMPRODUCT(--(($A$1:$A$5=入户维修!$F212)+($A$1:$A$5=入户维修!$G212)+$BN$1:$BN$5&gt;0)))</f>
        <v>4</v>
      </c>
      <c r="Y212" s="0" t="str">
        <f aca="false">IFERROR(INDEX($A$1:$A$5,MATCH(1,$S212:$W212,0)),IF(1=MAX($S212:$W212)+1,"取消",""))</f>
        <v>李师傅</v>
      </c>
      <c r="Z212" s="0" t="str">
        <f aca="false">IFERROR(INDEX($A$1:$A$5,MATCH(2,$S212:$W212,0)),IF(2=MAX($S212:$W212)+1,"取消",""))</f>
        <v>王师傅</v>
      </c>
      <c r="AA212" s="0" t="str">
        <f aca="false">IFERROR(INDEX($A$1:$A$5,MATCH(3,$S212:$W212,0)),IF(3=MAX($S212:$W212)+1,"取消",""))</f>
        <v>陈师傅</v>
      </c>
      <c r="AB212" s="0" t="str">
        <f aca="false">IFERROR(INDEX($A$1:$A$5,MATCH(4,$S212:$W212,0)),IF(4=MAX($S212:$W212)+1,"取消",""))</f>
        <v>刘师傅</v>
      </c>
      <c r="AC212" s="0" t="str">
        <f aca="false">IFERROR(INDEX($A$1:$A$5,MATCH(5,$S212:$W212,0)),IF(5=MAX($S212:$W212)+1,"取消",""))</f>
        <v>取消</v>
      </c>
      <c r="AD212" s="0" t="str">
        <f aca="false">IFERROR(INDEX($A$1:$A$5,MATCH(6,$S212:$W212,0)),IF(6=MAX($S212:$W212)+1,"取消",""))</f>
        <v/>
      </c>
      <c r="AF212" s="0" t="n">
        <f aca="false">IF(OR($A$1=公区维修!$F212,$BN$1=1),0,1-SUMPRODUCT(--(($A$1=公区维修!$F212)+$BN$1&gt;0)))</f>
        <v>0</v>
      </c>
      <c r="AG212" s="0" t="n">
        <f aca="false">IF(OR($A$2=公区维修!$F212,$BN$2=1),0,2-SUMPRODUCT(--(($A$1:$A$2=公区维修!$F212)+$BN$1:$BN$2&gt;0)))</f>
        <v>1</v>
      </c>
      <c r="AH212" s="0" t="n">
        <f aca="false">IF(OR($A$3=公区维修!$F212,$BN$3=1),0,3-SUMPRODUCT(--(($A$1:$A$3=公区维修!$F212)+$BN$1:$BN$3&gt;0)))</f>
        <v>2</v>
      </c>
      <c r="AI212" s="0" t="n">
        <f aca="false">IF(OR($A$4=公区维修!$F212,$BN$4=1),0,4-SUMPRODUCT(--(($A$1:$A$4=公区维修!$F212)+$BN$1:$BN$4&gt;0)))</f>
        <v>3</v>
      </c>
      <c r="AJ212" s="0" t="n">
        <f aca="false">IF(OR($A$5=公区维修!$F212,$BN$5=1),0,5-SUMPRODUCT(--(($A$1:$A$5=公区维修!$F212)+$BN$1:$BN$5&gt;0)))</f>
        <v>4</v>
      </c>
      <c r="AL212" s="0" t="str">
        <f aca="false">IFERROR(INDEX($A$1:$A$5,MATCH(1,$AF212:$AJ212,0)),IF(1=MAX($AF212:$AJ212)+1,"取消",""))</f>
        <v>李师傅</v>
      </c>
      <c r="AM212" s="0" t="str">
        <f aca="false">IFERROR(INDEX($A$1:$A$5,MATCH(2,$AF212:$AJ212,0)),IF(2=MAX($AF212:$AJ212)+1,"取消",""))</f>
        <v>王师傅</v>
      </c>
      <c r="AN212" s="0" t="str">
        <f aca="false">IFERROR(INDEX($A$1:$A$5,MATCH(3,$AF212:$AJ212,0)),IF(3=MAX($AF212:$AJ212)+1,"取消",""))</f>
        <v>陈师傅</v>
      </c>
      <c r="AO212" s="0" t="str">
        <f aca="false">IFERROR(INDEX($A$1:$A$5,MATCH(4,$AF212:$AJ212,0)),IF(4=MAX($AF212:$AJ212)+1,"取消",""))</f>
        <v>刘师傅</v>
      </c>
      <c r="AP212" s="0" t="str">
        <f aca="false">IFERROR(INDEX($A$1:$A$5,MATCH(5,$AF212:$AJ212,0)),IF(5=MAX($AF212:$AJ212)+1,"取消",""))</f>
        <v>取消</v>
      </c>
      <c r="AQ212" s="0" t="str">
        <f aca="false">IFERROR(INDEX($A$1:$A$5,MATCH(6,$AF212:$AJ212,0)),IF(6=MAX($AF212:$AJ212)+1,"取消",""))</f>
        <v/>
      </c>
      <c r="AS212" s="0" t="n">
        <f aca="false">IF(OR($A$1=公区维修!$F212,$A$1=公区维修!$G212,$BN$1=1),0,1-SUMPRODUCT(--(($A$1=公区维修!$F212)+($A$1=公区维修!$G212)+$BN$1&gt;0)))</f>
        <v>0</v>
      </c>
      <c r="AT212" s="0" t="n">
        <f aca="false">IF(OR($A$2=公区维修!$F212,$A$2=公区维修!$G212,$BN$2=1),0,2-SUMPRODUCT(--(($A$1:$A$2=公区维修!$F212)+($A$1:$A$2=公区维修!$G212)+$BN$1:$BN$2&gt;0)))</f>
        <v>1</v>
      </c>
      <c r="AU212" s="0" t="n">
        <f aca="false">IF(OR($A$3=公区维修!$F212,$A$3=公区维修!$G212,$BN$3=1),0,3-SUMPRODUCT(--(($A$1:$A$3=公区维修!$F212)+($A$1:$A$3=公区维修!$G212)+$BN$1:$BN$3&gt;0)))</f>
        <v>2</v>
      </c>
      <c r="AV212" s="0" t="n">
        <f aca="false">IF(OR($A$4=公区维修!$F212,$A$4=公区维修!$G212,$BN$4=1),0,4-SUMPRODUCT(--(($A$1:$A$4=公区维修!$F212)+($A$1:$A$4=公区维修!$G212)+$BN$1:$BN$4&gt;0)))</f>
        <v>3</v>
      </c>
      <c r="AW212" s="0" t="n">
        <f aca="false">IF(OR($A$5=公区维修!$F212,$A$5=公区维修!$G212,$BN$5=1),0,5-SUMPRODUCT(--(($A$1:$A$5=公区维修!$F212)+($A$1:$A$5=公区维修!$G212)+$BN$1:$BN$5&gt;0)))</f>
        <v>4</v>
      </c>
      <c r="AY212" s="0" t="str">
        <f aca="false">IFERROR(INDEX($A$1:$A$5,MATCH(1,$AS212:$AW212,0)),IF(1=MAX($AS212:$AW212)+1,"取消",""))</f>
        <v>李师傅</v>
      </c>
      <c r="AZ212" s="0" t="str">
        <f aca="false">IFERROR(INDEX($A$1:$A$5,MATCH(2,$AS212:$AW212,0)),IF(2=MAX($AS212:$AW212)+1,"取消",""))</f>
        <v>王师傅</v>
      </c>
      <c r="BA212" s="0" t="str">
        <f aca="false">IFERROR(INDEX($A$1:$A$5,MATCH(3,$AS212:$AW212,0)),IF(3=MAX($AS212:$AW212)+1,"取消",""))</f>
        <v>陈师傅</v>
      </c>
      <c r="BB212" s="0" t="str">
        <f aca="false">IFERROR(INDEX($A$1:$A$5,MATCH(4,$AS212:$AW212,0)),IF(4=MAX($AS212:$AW212)+1,"取消",""))</f>
        <v>刘师傅</v>
      </c>
      <c r="BC212" s="0" t="str">
        <f aca="false">IFERROR(INDEX($A$1:$A$5,MATCH(5,$AS212:$AW212,0)),IF(5=MAX($AS212:$AW212)+1,"取消",""))</f>
        <v>取消</v>
      </c>
      <c r="BD212" s="0" t="str">
        <f aca="false">IFERROR(INDEX($A$1:$A$5,MATCH(6,$AS212:$AW212,0)),IF(6=MAX($AS212:$AW212)+1,"取消",""))</f>
        <v/>
      </c>
      <c r="FW212" s="0" t="str">
        <f aca="false">IF(AND(单元查询!$D$3&lt;&gt;"",IF(单元查询!$B$3="公区维修",公区维修!$E212&lt;&gt;"",入户维修!$E212&lt;&gt;""),IF(单元查询!$B$3="公区维修",公区维修!$C212,入户维修!$C212)=单元查询!$D$3,OR(单元查询!$F$3="",IF(单元查询!$B$3="公区维修",公区维修!$D212,入户维修!$D212)&amp;""=(单元查询!$F$3)&amp;"")),MAX($FW$4:$FW211)+1,"")</f>
        <v/>
      </c>
    </row>
    <row r="213" customFormat="false" ht="15" hidden="false" customHeight="true" outlineLevel="0" collapsed="false">
      <c r="F213" s="0" t="n">
        <f aca="false">IF(OR($A$1=入户维修!$F213,$BN$1=1),0,1-SUMPRODUCT(--(($A$1=入户维修!$F213)+$BN$1&gt;0)))</f>
        <v>0</v>
      </c>
      <c r="G213" s="0" t="n">
        <f aca="false">IF(OR($A$2=入户维修!$F213,$BN$2=1),0,2-SUMPRODUCT(--(($A$1:$A$2=入户维修!$F213)+$BN$1:$BN$2&gt;0)))</f>
        <v>1</v>
      </c>
      <c r="H213" s="0" t="n">
        <f aca="false">IF(OR($A$3=入户维修!$F213,$BN$3=1),0,3-SUMPRODUCT(--(($A$1:$A$3=入户维修!$F213)+$BN$1:$BN$3&gt;0)))</f>
        <v>2</v>
      </c>
      <c r="I213" s="0" t="n">
        <f aca="false">IF(OR($A$4=入户维修!$F213,$BN$4=1),0,4-SUMPRODUCT(--(($A$1:$A$4=入户维修!$F213)+$BN$1:$BN$4&gt;0)))</f>
        <v>3</v>
      </c>
      <c r="J213" s="0" t="n">
        <f aca="false">IF(OR($A$5=入户维修!$F213,$BN$5=1),0,5-SUMPRODUCT(--(($A$1:$A$5=入户维修!$F213)+$BN$1:$BN$5&gt;0)))</f>
        <v>4</v>
      </c>
      <c r="L213" s="0" t="str">
        <f aca="false">IFERROR(INDEX($A$1:$A$5,MATCH(1,$F213:$J213,0)),IF(1=MAX($F213:$J213)+1,"取消",""))</f>
        <v>李师傅</v>
      </c>
      <c r="M213" s="0" t="str">
        <f aca="false">IFERROR(INDEX($A$1:$A$5,MATCH(2,$F213:$J213,0)),IF(2=MAX($F213:$J213)+1,"取消",""))</f>
        <v>王师傅</v>
      </c>
      <c r="N213" s="0" t="str">
        <f aca="false">IFERROR(INDEX($A$1:$A$5,MATCH(3,$F213:$J213,0)),IF(3=MAX($F213:$J213)+1,"取消",""))</f>
        <v>陈师傅</v>
      </c>
      <c r="O213" s="0" t="str">
        <f aca="false">IFERROR(INDEX($A$1:$A$5,MATCH(4,$F213:$J213,0)),IF(4=MAX($F213:$J213)+1,"取消",""))</f>
        <v>刘师傅</v>
      </c>
      <c r="P213" s="0" t="str">
        <f aca="false">IFERROR(INDEX($A$1:$A$5,MATCH(5,$F213:$J213,0)),IF(5=MAX($F213:$J213)+1,"取消",""))</f>
        <v>取消</v>
      </c>
      <c r="Q213" s="0" t="str">
        <f aca="false">IFERROR(INDEX($A$1:$A$5,MATCH(6,$F213:$J213,0)),IF(6=MAX($F213:$J213)+1,"取消",""))</f>
        <v/>
      </c>
      <c r="S213" s="0" t="n">
        <f aca="false">IF(OR($A$1=入户维修!$F213,$A$1=入户维修!$G213,$BN$1=1),0,1-SUMPRODUCT(--(($A$1=入户维修!$F213)+($A$1=入户维修!$G213)+$BN$1&gt;0)))</f>
        <v>0</v>
      </c>
      <c r="T213" s="0" t="n">
        <f aca="false">IF(OR($A$2=入户维修!$F213,$A$2=入户维修!$G213,$BN$2=1),0,2-SUMPRODUCT(--(($A$1:$A$2=入户维修!$F213)+($A$1:$A$2=入户维修!$G213)+$BN$1:$BN$2&gt;0)))</f>
        <v>1</v>
      </c>
      <c r="U213" s="0" t="n">
        <f aca="false">IF(OR($A$3=入户维修!$F213,$A$3=入户维修!$G213,$BN$3=1),0,3-SUMPRODUCT(--(($A$1:$A$3=入户维修!$F213)+($A$1:$A$3=入户维修!$G213)+$BN$1:$BN$3&gt;0)))</f>
        <v>2</v>
      </c>
      <c r="V213" s="0" t="n">
        <f aca="false">IF(OR($A$4=入户维修!$F213,$A$4=入户维修!$G213,$BN$4=1),0,4-SUMPRODUCT(--(($A$1:$A$4=入户维修!$F213)+($A$1:$A$4=入户维修!$G213)+$BN$1:$BN$4&gt;0)))</f>
        <v>3</v>
      </c>
      <c r="W213" s="0" t="n">
        <f aca="false">IF(OR($A$5=入户维修!$F213,$A$5=入户维修!$G213,$BN$5=1),0,5-SUMPRODUCT(--(($A$1:$A$5=入户维修!$F213)+($A$1:$A$5=入户维修!$G213)+$BN$1:$BN$5&gt;0)))</f>
        <v>4</v>
      </c>
      <c r="Y213" s="0" t="str">
        <f aca="false">IFERROR(INDEX($A$1:$A$5,MATCH(1,$S213:$W213,0)),IF(1=MAX($S213:$W213)+1,"取消",""))</f>
        <v>李师傅</v>
      </c>
      <c r="Z213" s="0" t="str">
        <f aca="false">IFERROR(INDEX($A$1:$A$5,MATCH(2,$S213:$W213,0)),IF(2=MAX($S213:$W213)+1,"取消",""))</f>
        <v>王师傅</v>
      </c>
      <c r="AA213" s="0" t="str">
        <f aca="false">IFERROR(INDEX($A$1:$A$5,MATCH(3,$S213:$W213,0)),IF(3=MAX($S213:$W213)+1,"取消",""))</f>
        <v>陈师傅</v>
      </c>
      <c r="AB213" s="0" t="str">
        <f aca="false">IFERROR(INDEX($A$1:$A$5,MATCH(4,$S213:$W213,0)),IF(4=MAX($S213:$W213)+1,"取消",""))</f>
        <v>刘师傅</v>
      </c>
      <c r="AC213" s="0" t="str">
        <f aca="false">IFERROR(INDEX($A$1:$A$5,MATCH(5,$S213:$W213,0)),IF(5=MAX($S213:$W213)+1,"取消",""))</f>
        <v>取消</v>
      </c>
      <c r="AD213" s="0" t="str">
        <f aca="false">IFERROR(INDEX($A$1:$A$5,MATCH(6,$S213:$W213,0)),IF(6=MAX($S213:$W213)+1,"取消",""))</f>
        <v/>
      </c>
      <c r="AF213" s="0" t="n">
        <f aca="false">IF(OR($A$1=公区维修!$F213,$BN$1=1),0,1-SUMPRODUCT(--(($A$1=公区维修!$F213)+$BN$1&gt;0)))</f>
        <v>0</v>
      </c>
      <c r="AG213" s="0" t="n">
        <f aca="false">IF(OR($A$2=公区维修!$F213,$BN$2=1),0,2-SUMPRODUCT(--(($A$1:$A$2=公区维修!$F213)+$BN$1:$BN$2&gt;0)))</f>
        <v>1</v>
      </c>
      <c r="AH213" s="0" t="n">
        <f aca="false">IF(OR($A$3=公区维修!$F213,$BN$3=1),0,3-SUMPRODUCT(--(($A$1:$A$3=公区维修!$F213)+$BN$1:$BN$3&gt;0)))</f>
        <v>2</v>
      </c>
      <c r="AI213" s="0" t="n">
        <f aca="false">IF(OR($A$4=公区维修!$F213,$BN$4=1),0,4-SUMPRODUCT(--(($A$1:$A$4=公区维修!$F213)+$BN$1:$BN$4&gt;0)))</f>
        <v>3</v>
      </c>
      <c r="AJ213" s="0" t="n">
        <f aca="false">IF(OR($A$5=公区维修!$F213,$BN$5=1),0,5-SUMPRODUCT(--(($A$1:$A$5=公区维修!$F213)+$BN$1:$BN$5&gt;0)))</f>
        <v>4</v>
      </c>
      <c r="AL213" s="0" t="str">
        <f aca="false">IFERROR(INDEX($A$1:$A$5,MATCH(1,$AF213:$AJ213,0)),IF(1=MAX($AF213:$AJ213)+1,"取消",""))</f>
        <v>李师傅</v>
      </c>
      <c r="AM213" s="0" t="str">
        <f aca="false">IFERROR(INDEX($A$1:$A$5,MATCH(2,$AF213:$AJ213,0)),IF(2=MAX($AF213:$AJ213)+1,"取消",""))</f>
        <v>王师傅</v>
      </c>
      <c r="AN213" s="0" t="str">
        <f aca="false">IFERROR(INDEX($A$1:$A$5,MATCH(3,$AF213:$AJ213,0)),IF(3=MAX($AF213:$AJ213)+1,"取消",""))</f>
        <v>陈师傅</v>
      </c>
      <c r="AO213" s="0" t="str">
        <f aca="false">IFERROR(INDEX($A$1:$A$5,MATCH(4,$AF213:$AJ213,0)),IF(4=MAX($AF213:$AJ213)+1,"取消",""))</f>
        <v>刘师傅</v>
      </c>
      <c r="AP213" s="0" t="str">
        <f aca="false">IFERROR(INDEX($A$1:$A$5,MATCH(5,$AF213:$AJ213,0)),IF(5=MAX($AF213:$AJ213)+1,"取消",""))</f>
        <v>取消</v>
      </c>
      <c r="AQ213" s="0" t="str">
        <f aca="false">IFERROR(INDEX($A$1:$A$5,MATCH(6,$AF213:$AJ213,0)),IF(6=MAX($AF213:$AJ213)+1,"取消",""))</f>
        <v/>
      </c>
      <c r="AS213" s="0" t="n">
        <f aca="false">IF(OR($A$1=公区维修!$F213,$A$1=公区维修!$G213,$BN$1=1),0,1-SUMPRODUCT(--(($A$1=公区维修!$F213)+($A$1=公区维修!$G213)+$BN$1&gt;0)))</f>
        <v>0</v>
      </c>
      <c r="AT213" s="0" t="n">
        <f aca="false">IF(OR($A$2=公区维修!$F213,$A$2=公区维修!$G213,$BN$2=1),0,2-SUMPRODUCT(--(($A$1:$A$2=公区维修!$F213)+($A$1:$A$2=公区维修!$G213)+$BN$1:$BN$2&gt;0)))</f>
        <v>1</v>
      </c>
      <c r="AU213" s="0" t="n">
        <f aca="false">IF(OR($A$3=公区维修!$F213,$A$3=公区维修!$G213,$BN$3=1),0,3-SUMPRODUCT(--(($A$1:$A$3=公区维修!$F213)+($A$1:$A$3=公区维修!$G213)+$BN$1:$BN$3&gt;0)))</f>
        <v>2</v>
      </c>
      <c r="AV213" s="0" t="n">
        <f aca="false">IF(OR($A$4=公区维修!$F213,$A$4=公区维修!$G213,$BN$4=1),0,4-SUMPRODUCT(--(($A$1:$A$4=公区维修!$F213)+($A$1:$A$4=公区维修!$G213)+$BN$1:$BN$4&gt;0)))</f>
        <v>3</v>
      </c>
      <c r="AW213" s="0" t="n">
        <f aca="false">IF(OR($A$5=公区维修!$F213,$A$5=公区维修!$G213,$BN$5=1),0,5-SUMPRODUCT(--(($A$1:$A$5=公区维修!$F213)+($A$1:$A$5=公区维修!$G213)+$BN$1:$BN$5&gt;0)))</f>
        <v>4</v>
      </c>
      <c r="AY213" s="0" t="str">
        <f aca="false">IFERROR(INDEX($A$1:$A$5,MATCH(1,$AS213:$AW213,0)),IF(1=MAX($AS213:$AW213)+1,"取消",""))</f>
        <v>李师傅</v>
      </c>
      <c r="AZ213" s="0" t="str">
        <f aca="false">IFERROR(INDEX($A$1:$A$5,MATCH(2,$AS213:$AW213,0)),IF(2=MAX($AS213:$AW213)+1,"取消",""))</f>
        <v>王师傅</v>
      </c>
      <c r="BA213" s="0" t="str">
        <f aca="false">IFERROR(INDEX($A$1:$A$5,MATCH(3,$AS213:$AW213,0)),IF(3=MAX($AS213:$AW213)+1,"取消",""))</f>
        <v>陈师傅</v>
      </c>
      <c r="BB213" s="0" t="str">
        <f aca="false">IFERROR(INDEX($A$1:$A$5,MATCH(4,$AS213:$AW213,0)),IF(4=MAX($AS213:$AW213)+1,"取消",""))</f>
        <v>刘师傅</v>
      </c>
      <c r="BC213" s="0" t="str">
        <f aca="false">IFERROR(INDEX($A$1:$A$5,MATCH(5,$AS213:$AW213,0)),IF(5=MAX($AS213:$AW213)+1,"取消",""))</f>
        <v>取消</v>
      </c>
      <c r="BD213" s="0" t="str">
        <f aca="false">IFERROR(INDEX($A$1:$A$5,MATCH(6,$AS213:$AW213,0)),IF(6=MAX($AS213:$AW213)+1,"取消",""))</f>
        <v/>
      </c>
      <c r="FW213" s="0" t="str">
        <f aca="false">IF(AND(单元查询!$D$3&lt;&gt;"",IF(单元查询!$B$3="公区维修",公区维修!$E213&lt;&gt;"",入户维修!$E213&lt;&gt;""),IF(单元查询!$B$3="公区维修",公区维修!$C213,入户维修!$C213)=单元查询!$D$3,OR(单元查询!$F$3="",IF(单元查询!$B$3="公区维修",公区维修!$D213,入户维修!$D213)&amp;""=(单元查询!$F$3)&amp;"")),MAX($FW$4:$FW212)+1,"")</f>
        <v/>
      </c>
    </row>
    <row r="214" customFormat="false" ht="15" hidden="false" customHeight="true" outlineLevel="0" collapsed="false">
      <c r="F214" s="0" t="n">
        <f aca="false">IF(OR($A$1=入户维修!$F214,$BN$1=1),0,1-SUMPRODUCT(--(($A$1=入户维修!$F214)+$BN$1&gt;0)))</f>
        <v>0</v>
      </c>
      <c r="G214" s="0" t="n">
        <f aca="false">IF(OR($A$2=入户维修!$F214,$BN$2=1),0,2-SUMPRODUCT(--(($A$1:$A$2=入户维修!$F214)+$BN$1:$BN$2&gt;0)))</f>
        <v>1</v>
      </c>
      <c r="H214" s="0" t="n">
        <f aca="false">IF(OR($A$3=入户维修!$F214,$BN$3=1),0,3-SUMPRODUCT(--(($A$1:$A$3=入户维修!$F214)+$BN$1:$BN$3&gt;0)))</f>
        <v>2</v>
      </c>
      <c r="I214" s="0" t="n">
        <f aca="false">IF(OR($A$4=入户维修!$F214,$BN$4=1),0,4-SUMPRODUCT(--(($A$1:$A$4=入户维修!$F214)+$BN$1:$BN$4&gt;0)))</f>
        <v>3</v>
      </c>
      <c r="J214" s="0" t="n">
        <f aca="false">IF(OR($A$5=入户维修!$F214,$BN$5=1),0,5-SUMPRODUCT(--(($A$1:$A$5=入户维修!$F214)+$BN$1:$BN$5&gt;0)))</f>
        <v>4</v>
      </c>
      <c r="L214" s="0" t="str">
        <f aca="false">IFERROR(INDEX($A$1:$A$5,MATCH(1,$F214:$J214,0)),IF(1=MAX($F214:$J214)+1,"取消",""))</f>
        <v>李师傅</v>
      </c>
      <c r="M214" s="0" t="str">
        <f aca="false">IFERROR(INDEX($A$1:$A$5,MATCH(2,$F214:$J214,0)),IF(2=MAX($F214:$J214)+1,"取消",""))</f>
        <v>王师傅</v>
      </c>
      <c r="N214" s="0" t="str">
        <f aca="false">IFERROR(INDEX($A$1:$A$5,MATCH(3,$F214:$J214,0)),IF(3=MAX($F214:$J214)+1,"取消",""))</f>
        <v>陈师傅</v>
      </c>
      <c r="O214" s="0" t="str">
        <f aca="false">IFERROR(INDEX($A$1:$A$5,MATCH(4,$F214:$J214,0)),IF(4=MAX($F214:$J214)+1,"取消",""))</f>
        <v>刘师傅</v>
      </c>
      <c r="P214" s="0" t="str">
        <f aca="false">IFERROR(INDEX($A$1:$A$5,MATCH(5,$F214:$J214,0)),IF(5=MAX($F214:$J214)+1,"取消",""))</f>
        <v>取消</v>
      </c>
      <c r="Q214" s="0" t="str">
        <f aca="false">IFERROR(INDEX($A$1:$A$5,MATCH(6,$F214:$J214,0)),IF(6=MAX($F214:$J214)+1,"取消",""))</f>
        <v/>
      </c>
      <c r="S214" s="0" t="n">
        <f aca="false">IF(OR($A$1=入户维修!$F214,$A$1=入户维修!$G214,$BN$1=1),0,1-SUMPRODUCT(--(($A$1=入户维修!$F214)+($A$1=入户维修!$G214)+$BN$1&gt;0)))</f>
        <v>0</v>
      </c>
      <c r="T214" s="0" t="n">
        <f aca="false">IF(OR($A$2=入户维修!$F214,$A$2=入户维修!$G214,$BN$2=1),0,2-SUMPRODUCT(--(($A$1:$A$2=入户维修!$F214)+($A$1:$A$2=入户维修!$G214)+$BN$1:$BN$2&gt;0)))</f>
        <v>1</v>
      </c>
      <c r="U214" s="0" t="n">
        <f aca="false">IF(OR($A$3=入户维修!$F214,$A$3=入户维修!$G214,$BN$3=1),0,3-SUMPRODUCT(--(($A$1:$A$3=入户维修!$F214)+($A$1:$A$3=入户维修!$G214)+$BN$1:$BN$3&gt;0)))</f>
        <v>2</v>
      </c>
      <c r="V214" s="0" t="n">
        <f aca="false">IF(OR($A$4=入户维修!$F214,$A$4=入户维修!$G214,$BN$4=1),0,4-SUMPRODUCT(--(($A$1:$A$4=入户维修!$F214)+($A$1:$A$4=入户维修!$G214)+$BN$1:$BN$4&gt;0)))</f>
        <v>3</v>
      </c>
      <c r="W214" s="0" t="n">
        <f aca="false">IF(OR($A$5=入户维修!$F214,$A$5=入户维修!$G214,$BN$5=1),0,5-SUMPRODUCT(--(($A$1:$A$5=入户维修!$F214)+($A$1:$A$5=入户维修!$G214)+$BN$1:$BN$5&gt;0)))</f>
        <v>4</v>
      </c>
      <c r="Y214" s="0" t="str">
        <f aca="false">IFERROR(INDEX($A$1:$A$5,MATCH(1,$S214:$W214,0)),IF(1=MAX($S214:$W214)+1,"取消",""))</f>
        <v>李师傅</v>
      </c>
      <c r="Z214" s="0" t="str">
        <f aca="false">IFERROR(INDEX($A$1:$A$5,MATCH(2,$S214:$W214,0)),IF(2=MAX($S214:$W214)+1,"取消",""))</f>
        <v>王师傅</v>
      </c>
      <c r="AA214" s="0" t="str">
        <f aca="false">IFERROR(INDEX($A$1:$A$5,MATCH(3,$S214:$W214,0)),IF(3=MAX($S214:$W214)+1,"取消",""))</f>
        <v>陈师傅</v>
      </c>
      <c r="AB214" s="0" t="str">
        <f aca="false">IFERROR(INDEX($A$1:$A$5,MATCH(4,$S214:$W214,0)),IF(4=MAX($S214:$W214)+1,"取消",""))</f>
        <v>刘师傅</v>
      </c>
      <c r="AC214" s="0" t="str">
        <f aca="false">IFERROR(INDEX($A$1:$A$5,MATCH(5,$S214:$W214,0)),IF(5=MAX($S214:$W214)+1,"取消",""))</f>
        <v>取消</v>
      </c>
      <c r="AD214" s="0" t="str">
        <f aca="false">IFERROR(INDEX($A$1:$A$5,MATCH(6,$S214:$W214,0)),IF(6=MAX($S214:$W214)+1,"取消",""))</f>
        <v/>
      </c>
      <c r="AF214" s="0" t="n">
        <f aca="false">IF(OR($A$1=公区维修!$F214,$BN$1=1),0,1-SUMPRODUCT(--(($A$1=公区维修!$F214)+$BN$1&gt;0)))</f>
        <v>0</v>
      </c>
      <c r="AG214" s="0" t="n">
        <f aca="false">IF(OR($A$2=公区维修!$F214,$BN$2=1),0,2-SUMPRODUCT(--(($A$1:$A$2=公区维修!$F214)+$BN$1:$BN$2&gt;0)))</f>
        <v>1</v>
      </c>
      <c r="AH214" s="0" t="n">
        <f aca="false">IF(OR($A$3=公区维修!$F214,$BN$3=1),0,3-SUMPRODUCT(--(($A$1:$A$3=公区维修!$F214)+$BN$1:$BN$3&gt;0)))</f>
        <v>2</v>
      </c>
      <c r="AI214" s="0" t="n">
        <f aca="false">IF(OR($A$4=公区维修!$F214,$BN$4=1),0,4-SUMPRODUCT(--(($A$1:$A$4=公区维修!$F214)+$BN$1:$BN$4&gt;0)))</f>
        <v>3</v>
      </c>
      <c r="AJ214" s="0" t="n">
        <f aca="false">IF(OR($A$5=公区维修!$F214,$BN$5=1),0,5-SUMPRODUCT(--(($A$1:$A$5=公区维修!$F214)+$BN$1:$BN$5&gt;0)))</f>
        <v>4</v>
      </c>
      <c r="AL214" s="0" t="str">
        <f aca="false">IFERROR(INDEX($A$1:$A$5,MATCH(1,$AF214:$AJ214,0)),IF(1=MAX($AF214:$AJ214)+1,"取消",""))</f>
        <v>李师傅</v>
      </c>
      <c r="AM214" s="0" t="str">
        <f aca="false">IFERROR(INDEX($A$1:$A$5,MATCH(2,$AF214:$AJ214,0)),IF(2=MAX($AF214:$AJ214)+1,"取消",""))</f>
        <v>王师傅</v>
      </c>
      <c r="AN214" s="0" t="str">
        <f aca="false">IFERROR(INDEX($A$1:$A$5,MATCH(3,$AF214:$AJ214,0)),IF(3=MAX($AF214:$AJ214)+1,"取消",""))</f>
        <v>陈师傅</v>
      </c>
      <c r="AO214" s="0" t="str">
        <f aca="false">IFERROR(INDEX($A$1:$A$5,MATCH(4,$AF214:$AJ214,0)),IF(4=MAX($AF214:$AJ214)+1,"取消",""))</f>
        <v>刘师傅</v>
      </c>
      <c r="AP214" s="0" t="str">
        <f aca="false">IFERROR(INDEX($A$1:$A$5,MATCH(5,$AF214:$AJ214,0)),IF(5=MAX($AF214:$AJ214)+1,"取消",""))</f>
        <v>取消</v>
      </c>
      <c r="AQ214" s="0" t="str">
        <f aca="false">IFERROR(INDEX($A$1:$A$5,MATCH(6,$AF214:$AJ214,0)),IF(6=MAX($AF214:$AJ214)+1,"取消",""))</f>
        <v/>
      </c>
      <c r="AS214" s="0" t="n">
        <f aca="false">IF(OR($A$1=公区维修!$F214,$A$1=公区维修!$G214,$BN$1=1),0,1-SUMPRODUCT(--(($A$1=公区维修!$F214)+($A$1=公区维修!$G214)+$BN$1&gt;0)))</f>
        <v>0</v>
      </c>
      <c r="AT214" s="0" t="n">
        <f aca="false">IF(OR($A$2=公区维修!$F214,$A$2=公区维修!$G214,$BN$2=1),0,2-SUMPRODUCT(--(($A$1:$A$2=公区维修!$F214)+($A$1:$A$2=公区维修!$G214)+$BN$1:$BN$2&gt;0)))</f>
        <v>1</v>
      </c>
      <c r="AU214" s="0" t="n">
        <f aca="false">IF(OR($A$3=公区维修!$F214,$A$3=公区维修!$G214,$BN$3=1),0,3-SUMPRODUCT(--(($A$1:$A$3=公区维修!$F214)+($A$1:$A$3=公区维修!$G214)+$BN$1:$BN$3&gt;0)))</f>
        <v>2</v>
      </c>
      <c r="AV214" s="0" t="n">
        <f aca="false">IF(OR($A$4=公区维修!$F214,$A$4=公区维修!$G214,$BN$4=1),0,4-SUMPRODUCT(--(($A$1:$A$4=公区维修!$F214)+($A$1:$A$4=公区维修!$G214)+$BN$1:$BN$4&gt;0)))</f>
        <v>3</v>
      </c>
      <c r="AW214" s="0" t="n">
        <f aca="false">IF(OR($A$5=公区维修!$F214,$A$5=公区维修!$G214,$BN$5=1),0,5-SUMPRODUCT(--(($A$1:$A$5=公区维修!$F214)+($A$1:$A$5=公区维修!$G214)+$BN$1:$BN$5&gt;0)))</f>
        <v>4</v>
      </c>
      <c r="AY214" s="0" t="str">
        <f aca="false">IFERROR(INDEX($A$1:$A$5,MATCH(1,$AS214:$AW214,0)),IF(1=MAX($AS214:$AW214)+1,"取消",""))</f>
        <v>李师傅</v>
      </c>
      <c r="AZ214" s="0" t="str">
        <f aca="false">IFERROR(INDEX($A$1:$A$5,MATCH(2,$AS214:$AW214,0)),IF(2=MAX($AS214:$AW214)+1,"取消",""))</f>
        <v>王师傅</v>
      </c>
      <c r="BA214" s="0" t="str">
        <f aca="false">IFERROR(INDEX($A$1:$A$5,MATCH(3,$AS214:$AW214,0)),IF(3=MAX($AS214:$AW214)+1,"取消",""))</f>
        <v>陈师傅</v>
      </c>
      <c r="BB214" s="0" t="str">
        <f aca="false">IFERROR(INDEX($A$1:$A$5,MATCH(4,$AS214:$AW214,0)),IF(4=MAX($AS214:$AW214)+1,"取消",""))</f>
        <v>刘师傅</v>
      </c>
      <c r="BC214" s="0" t="str">
        <f aca="false">IFERROR(INDEX($A$1:$A$5,MATCH(5,$AS214:$AW214,0)),IF(5=MAX($AS214:$AW214)+1,"取消",""))</f>
        <v>取消</v>
      </c>
      <c r="BD214" s="0" t="str">
        <f aca="false">IFERROR(INDEX($A$1:$A$5,MATCH(6,$AS214:$AW214,0)),IF(6=MAX($AS214:$AW214)+1,"取消",""))</f>
        <v/>
      </c>
      <c r="FW214" s="0" t="str">
        <f aca="false">IF(AND(单元查询!$D$3&lt;&gt;"",IF(单元查询!$B$3="公区维修",公区维修!$E214&lt;&gt;"",入户维修!$E214&lt;&gt;""),IF(单元查询!$B$3="公区维修",公区维修!$C214,入户维修!$C214)=单元查询!$D$3,OR(单元查询!$F$3="",IF(单元查询!$B$3="公区维修",公区维修!$D214,入户维修!$D214)&amp;""=(单元查询!$F$3)&amp;"")),MAX($FW$4:$FW213)+1,"")</f>
        <v/>
      </c>
    </row>
    <row r="215" customFormat="false" ht="15" hidden="false" customHeight="true" outlineLevel="0" collapsed="false">
      <c r="F215" s="0" t="n">
        <f aca="false">IF(OR($A$1=入户维修!$F215,$BN$1=1),0,1-SUMPRODUCT(--(($A$1=入户维修!$F215)+$BN$1&gt;0)))</f>
        <v>0</v>
      </c>
      <c r="G215" s="0" t="n">
        <f aca="false">IF(OR($A$2=入户维修!$F215,$BN$2=1),0,2-SUMPRODUCT(--(($A$1:$A$2=入户维修!$F215)+$BN$1:$BN$2&gt;0)))</f>
        <v>1</v>
      </c>
      <c r="H215" s="0" t="n">
        <f aca="false">IF(OR($A$3=入户维修!$F215,$BN$3=1),0,3-SUMPRODUCT(--(($A$1:$A$3=入户维修!$F215)+$BN$1:$BN$3&gt;0)))</f>
        <v>2</v>
      </c>
      <c r="I215" s="0" t="n">
        <f aca="false">IF(OR($A$4=入户维修!$F215,$BN$4=1),0,4-SUMPRODUCT(--(($A$1:$A$4=入户维修!$F215)+$BN$1:$BN$4&gt;0)))</f>
        <v>3</v>
      </c>
      <c r="J215" s="0" t="n">
        <f aca="false">IF(OR($A$5=入户维修!$F215,$BN$5=1),0,5-SUMPRODUCT(--(($A$1:$A$5=入户维修!$F215)+$BN$1:$BN$5&gt;0)))</f>
        <v>4</v>
      </c>
      <c r="L215" s="0" t="str">
        <f aca="false">IFERROR(INDEX($A$1:$A$5,MATCH(1,$F215:$J215,0)),IF(1=MAX($F215:$J215)+1,"取消",""))</f>
        <v>李师傅</v>
      </c>
      <c r="M215" s="0" t="str">
        <f aca="false">IFERROR(INDEX($A$1:$A$5,MATCH(2,$F215:$J215,0)),IF(2=MAX($F215:$J215)+1,"取消",""))</f>
        <v>王师傅</v>
      </c>
      <c r="N215" s="0" t="str">
        <f aca="false">IFERROR(INDEX($A$1:$A$5,MATCH(3,$F215:$J215,0)),IF(3=MAX($F215:$J215)+1,"取消",""))</f>
        <v>陈师傅</v>
      </c>
      <c r="O215" s="0" t="str">
        <f aca="false">IFERROR(INDEX($A$1:$A$5,MATCH(4,$F215:$J215,0)),IF(4=MAX($F215:$J215)+1,"取消",""))</f>
        <v>刘师傅</v>
      </c>
      <c r="P215" s="0" t="str">
        <f aca="false">IFERROR(INDEX($A$1:$A$5,MATCH(5,$F215:$J215,0)),IF(5=MAX($F215:$J215)+1,"取消",""))</f>
        <v>取消</v>
      </c>
      <c r="Q215" s="0" t="str">
        <f aca="false">IFERROR(INDEX($A$1:$A$5,MATCH(6,$F215:$J215,0)),IF(6=MAX($F215:$J215)+1,"取消",""))</f>
        <v/>
      </c>
      <c r="S215" s="0" t="n">
        <f aca="false">IF(OR($A$1=入户维修!$F215,$A$1=入户维修!$G215,$BN$1=1),0,1-SUMPRODUCT(--(($A$1=入户维修!$F215)+($A$1=入户维修!$G215)+$BN$1&gt;0)))</f>
        <v>0</v>
      </c>
      <c r="T215" s="0" t="n">
        <f aca="false">IF(OR($A$2=入户维修!$F215,$A$2=入户维修!$G215,$BN$2=1),0,2-SUMPRODUCT(--(($A$1:$A$2=入户维修!$F215)+($A$1:$A$2=入户维修!$G215)+$BN$1:$BN$2&gt;0)))</f>
        <v>1</v>
      </c>
      <c r="U215" s="0" t="n">
        <f aca="false">IF(OR($A$3=入户维修!$F215,$A$3=入户维修!$G215,$BN$3=1),0,3-SUMPRODUCT(--(($A$1:$A$3=入户维修!$F215)+($A$1:$A$3=入户维修!$G215)+$BN$1:$BN$3&gt;0)))</f>
        <v>2</v>
      </c>
      <c r="V215" s="0" t="n">
        <f aca="false">IF(OR($A$4=入户维修!$F215,$A$4=入户维修!$G215,$BN$4=1),0,4-SUMPRODUCT(--(($A$1:$A$4=入户维修!$F215)+($A$1:$A$4=入户维修!$G215)+$BN$1:$BN$4&gt;0)))</f>
        <v>3</v>
      </c>
      <c r="W215" s="0" t="n">
        <f aca="false">IF(OR($A$5=入户维修!$F215,$A$5=入户维修!$G215,$BN$5=1),0,5-SUMPRODUCT(--(($A$1:$A$5=入户维修!$F215)+($A$1:$A$5=入户维修!$G215)+$BN$1:$BN$5&gt;0)))</f>
        <v>4</v>
      </c>
      <c r="Y215" s="0" t="str">
        <f aca="false">IFERROR(INDEX($A$1:$A$5,MATCH(1,$S215:$W215,0)),IF(1=MAX($S215:$W215)+1,"取消",""))</f>
        <v>李师傅</v>
      </c>
      <c r="Z215" s="0" t="str">
        <f aca="false">IFERROR(INDEX($A$1:$A$5,MATCH(2,$S215:$W215,0)),IF(2=MAX($S215:$W215)+1,"取消",""))</f>
        <v>王师傅</v>
      </c>
      <c r="AA215" s="0" t="str">
        <f aca="false">IFERROR(INDEX($A$1:$A$5,MATCH(3,$S215:$W215,0)),IF(3=MAX($S215:$W215)+1,"取消",""))</f>
        <v>陈师傅</v>
      </c>
      <c r="AB215" s="0" t="str">
        <f aca="false">IFERROR(INDEX($A$1:$A$5,MATCH(4,$S215:$W215,0)),IF(4=MAX($S215:$W215)+1,"取消",""))</f>
        <v>刘师傅</v>
      </c>
      <c r="AC215" s="0" t="str">
        <f aca="false">IFERROR(INDEX($A$1:$A$5,MATCH(5,$S215:$W215,0)),IF(5=MAX($S215:$W215)+1,"取消",""))</f>
        <v>取消</v>
      </c>
      <c r="AD215" s="0" t="str">
        <f aca="false">IFERROR(INDEX($A$1:$A$5,MATCH(6,$S215:$W215,0)),IF(6=MAX($S215:$W215)+1,"取消",""))</f>
        <v/>
      </c>
      <c r="AF215" s="0" t="n">
        <f aca="false">IF(OR($A$1=公区维修!$F215,$BN$1=1),0,1-SUMPRODUCT(--(($A$1=公区维修!$F215)+$BN$1&gt;0)))</f>
        <v>0</v>
      </c>
      <c r="AG215" s="0" t="n">
        <f aca="false">IF(OR($A$2=公区维修!$F215,$BN$2=1),0,2-SUMPRODUCT(--(($A$1:$A$2=公区维修!$F215)+$BN$1:$BN$2&gt;0)))</f>
        <v>1</v>
      </c>
      <c r="AH215" s="0" t="n">
        <f aca="false">IF(OR($A$3=公区维修!$F215,$BN$3=1),0,3-SUMPRODUCT(--(($A$1:$A$3=公区维修!$F215)+$BN$1:$BN$3&gt;0)))</f>
        <v>2</v>
      </c>
      <c r="AI215" s="0" t="n">
        <f aca="false">IF(OR($A$4=公区维修!$F215,$BN$4=1),0,4-SUMPRODUCT(--(($A$1:$A$4=公区维修!$F215)+$BN$1:$BN$4&gt;0)))</f>
        <v>3</v>
      </c>
      <c r="AJ215" s="0" t="n">
        <f aca="false">IF(OR($A$5=公区维修!$F215,$BN$5=1),0,5-SUMPRODUCT(--(($A$1:$A$5=公区维修!$F215)+$BN$1:$BN$5&gt;0)))</f>
        <v>4</v>
      </c>
      <c r="AL215" s="0" t="str">
        <f aca="false">IFERROR(INDEX($A$1:$A$5,MATCH(1,$AF215:$AJ215,0)),IF(1=MAX($AF215:$AJ215)+1,"取消",""))</f>
        <v>李师傅</v>
      </c>
      <c r="AM215" s="0" t="str">
        <f aca="false">IFERROR(INDEX($A$1:$A$5,MATCH(2,$AF215:$AJ215,0)),IF(2=MAX($AF215:$AJ215)+1,"取消",""))</f>
        <v>王师傅</v>
      </c>
      <c r="AN215" s="0" t="str">
        <f aca="false">IFERROR(INDEX($A$1:$A$5,MATCH(3,$AF215:$AJ215,0)),IF(3=MAX($AF215:$AJ215)+1,"取消",""))</f>
        <v>陈师傅</v>
      </c>
      <c r="AO215" s="0" t="str">
        <f aca="false">IFERROR(INDEX($A$1:$A$5,MATCH(4,$AF215:$AJ215,0)),IF(4=MAX($AF215:$AJ215)+1,"取消",""))</f>
        <v>刘师傅</v>
      </c>
      <c r="AP215" s="0" t="str">
        <f aca="false">IFERROR(INDEX($A$1:$A$5,MATCH(5,$AF215:$AJ215,0)),IF(5=MAX($AF215:$AJ215)+1,"取消",""))</f>
        <v>取消</v>
      </c>
      <c r="AQ215" s="0" t="str">
        <f aca="false">IFERROR(INDEX($A$1:$A$5,MATCH(6,$AF215:$AJ215,0)),IF(6=MAX($AF215:$AJ215)+1,"取消",""))</f>
        <v/>
      </c>
      <c r="AS215" s="0" t="n">
        <f aca="false">IF(OR($A$1=公区维修!$F215,$A$1=公区维修!$G215,$BN$1=1),0,1-SUMPRODUCT(--(($A$1=公区维修!$F215)+($A$1=公区维修!$G215)+$BN$1&gt;0)))</f>
        <v>0</v>
      </c>
      <c r="AT215" s="0" t="n">
        <f aca="false">IF(OR($A$2=公区维修!$F215,$A$2=公区维修!$G215,$BN$2=1),0,2-SUMPRODUCT(--(($A$1:$A$2=公区维修!$F215)+($A$1:$A$2=公区维修!$G215)+$BN$1:$BN$2&gt;0)))</f>
        <v>1</v>
      </c>
      <c r="AU215" s="0" t="n">
        <f aca="false">IF(OR($A$3=公区维修!$F215,$A$3=公区维修!$G215,$BN$3=1),0,3-SUMPRODUCT(--(($A$1:$A$3=公区维修!$F215)+($A$1:$A$3=公区维修!$G215)+$BN$1:$BN$3&gt;0)))</f>
        <v>2</v>
      </c>
      <c r="AV215" s="0" t="n">
        <f aca="false">IF(OR($A$4=公区维修!$F215,$A$4=公区维修!$G215,$BN$4=1),0,4-SUMPRODUCT(--(($A$1:$A$4=公区维修!$F215)+($A$1:$A$4=公区维修!$G215)+$BN$1:$BN$4&gt;0)))</f>
        <v>3</v>
      </c>
      <c r="AW215" s="0" t="n">
        <f aca="false">IF(OR($A$5=公区维修!$F215,$A$5=公区维修!$G215,$BN$5=1),0,5-SUMPRODUCT(--(($A$1:$A$5=公区维修!$F215)+($A$1:$A$5=公区维修!$G215)+$BN$1:$BN$5&gt;0)))</f>
        <v>4</v>
      </c>
      <c r="AY215" s="0" t="str">
        <f aca="false">IFERROR(INDEX($A$1:$A$5,MATCH(1,$AS215:$AW215,0)),IF(1=MAX($AS215:$AW215)+1,"取消",""))</f>
        <v>李师傅</v>
      </c>
      <c r="AZ215" s="0" t="str">
        <f aca="false">IFERROR(INDEX($A$1:$A$5,MATCH(2,$AS215:$AW215,0)),IF(2=MAX($AS215:$AW215)+1,"取消",""))</f>
        <v>王师傅</v>
      </c>
      <c r="BA215" s="0" t="str">
        <f aca="false">IFERROR(INDEX($A$1:$A$5,MATCH(3,$AS215:$AW215,0)),IF(3=MAX($AS215:$AW215)+1,"取消",""))</f>
        <v>陈师傅</v>
      </c>
      <c r="BB215" s="0" t="str">
        <f aca="false">IFERROR(INDEX($A$1:$A$5,MATCH(4,$AS215:$AW215,0)),IF(4=MAX($AS215:$AW215)+1,"取消",""))</f>
        <v>刘师傅</v>
      </c>
      <c r="BC215" s="0" t="str">
        <f aca="false">IFERROR(INDEX($A$1:$A$5,MATCH(5,$AS215:$AW215,0)),IF(5=MAX($AS215:$AW215)+1,"取消",""))</f>
        <v>取消</v>
      </c>
      <c r="BD215" s="0" t="str">
        <f aca="false">IFERROR(INDEX($A$1:$A$5,MATCH(6,$AS215:$AW215,0)),IF(6=MAX($AS215:$AW215)+1,"取消",""))</f>
        <v/>
      </c>
      <c r="FW215" s="0" t="str">
        <f aca="false">IF(AND(单元查询!$D$3&lt;&gt;"",IF(单元查询!$B$3="公区维修",公区维修!$E215&lt;&gt;"",入户维修!$E215&lt;&gt;""),IF(单元查询!$B$3="公区维修",公区维修!$C215,入户维修!$C215)=单元查询!$D$3,OR(单元查询!$F$3="",IF(单元查询!$B$3="公区维修",公区维修!$D215,入户维修!$D215)&amp;""=(单元查询!$F$3)&amp;"")),MAX($FW$4:$FW214)+1,"")</f>
        <v/>
      </c>
    </row>
    <row r="216" customFormat="false" ht="15" hidden="false" customHeight="true" outlineLevel="0" collapsed="false">
      <c r="F216" s="0" t="n">
        <f aca="false">IF(OR($A$1=入户维修!$F216,$BN$1=1),0,1-SUMPRODUCT(--(($A$1=入户维修!$F216)+$BN$1&gt;0)))</f>
        <v>0</v>
      </c>
      <c r="G216" s="0" t="n">
        <f aca="false">IF(OR($A$2=入户维修!$F216,$BN$2=1),0,2-SUMPRODUCT(--(($A$1:$A$2=入户维修!$F216)+$BN$1:$BN$2&gt;0)))</f>
        <v>1</v>
      </c>
      <c r="H216" s="0" t="n">
        <f aca="false">IF(OR($A$3=入户维修!$F216,$BN$3=1),0,3-SUMPRODUCT(--(($A$1:$A$3=入户维修!$F216)+$BN$1:$BN$3&gt;0)))</f>
        <v>2</v>
      </c>
      <c r="I216" s="0" t="n">
        <f aca="false">IF(OR($A$4=入户维修!$F216,$BN$4=1),0,4-SUMPRODUCT(--(($A$1:$A$4=入户维修!$F216)+$BN$1:$BN$4&gt;0)))</f>
        <v>3</v>
      </c>
      <c r="J216" s="0" t="n">
        <f aca="false">IF(OR($A$5=入户维修!$F216,$BN$5=1),0,5-SUMPRODUCT(--(($A$1:$A$5=入户维修!$F216)+$BN$1:$BN$5&gt;0)))</f>
        <v>4</v>
      </c>
      <c r="L216" s="0" t="str">
        <f aca="false">IFERROR(INDEX($A$1:$A$5,MATCH(1,$F216:$J216,0)),IF(1=MAX($F216:$J216)+1,"取消",""))</f>
        <v>李师傅</v>
      </c>
      <c r="M216" s="0" t="str">
        <f aca="false">IFERROR(INDEX($A$1:$A$5,MATCH(2,$F216:$J216,0)),IF(2=MAX($F216:$J216)+1,"取消",""))</f>
        <v>王师傅</v>
      </c>
      <c r="N216" s="0" t="str">
        <f aca="false">IFERROR(INDEX($A$1:$A$5,MATCH(3,$F216:$J216,0)),IF(3=MAX($F216:$J216)+1,"取消",""))</f>
        <v>陈师傅</v>
      </c>
      <c r="O216" s="0" t="str">
        <f aca="false">IFERROR(INDEX($A$1:$A$5,MATCH(4,$F216:$J216,0)),IF(4=MAX($F216:$J216)+1,"取消",""))</f>
        <v>刘师傅</v>
      </c>
      <c r="P216" s="0" t="str">
        <f aca="false">IFERROR(INDEX($A$1:$A$5,MATCH(5,$F216:$J216,0)),IF(5=MAX($F216:$J216)+1,"取消",""))</f>
        <v>取消</v>
      </c>
      <c r="Q216" s="0" t="str">
        <f aca="false">IFERROR(INDEX($A$1:$A$5,MATCH(6,$F216:$J216,0)),IF(6=MAX($F216:$J216)+1,"取消",""))</f>
        <v/>
      </c>
      <c r="S216" s="0" t="n">
        <f aca="false">IF(OR($A$1=入户维修!$F216,$A$1=入户维修!$G216,$BN$1=1),0,1-SUMPRODUCT(--(($A$1=入户维修!$F216)+($A$1=入户维修!$G216)+$BN$1&gt;0)))</f>
        <v>0</v>
      </c>
      <c r="T216" s="0" t="n">
        <f aca="false">IF(OR($A$2=入户维修!$F216,$A$2=入户维修!$G216,$BN$2=1),0,2-SUMPRODUCT(--(($A$1:$A$2=入户维修!$F216)+($A$1:$A$2=入户维修!$G216)+$BN$1:$BN$2&gt;0)))</f>
        <v>1</v>
      </c>
      <c r="U216" s="0" t="n">
        <f aca="false">IF(OR($A$3=入户维修!$F216,$A$3=入户维修!$G216,$BN$3=1),0,3-SUMPRODUCT(--(($A$1:$A$3=入户维修!$F216)+($A$1:$A$3=入户维修!$G216)+$BN$1:$BN$3&gt;0)))</f>
        <v>2</v>
      </c>
      <c r="V216" s="0" t="n">
        <f aca="false">IF(OR($A$4=入户维修!$F216,$A$4=入户维修!$G216,$BN$4=1),0,4-SUMPRODUCT(--(($A$1:$A$4=入户维修!$F216)+($A$1:$A$4=入户维修!$G216)+$BN$1:$BN$4&gt;0)))</f>
        <v>3</v>
      </c>
      <c r="W216" s="0" t="n">
        <f aca="false">IF(OR($A$5=入户维修!$F216,$A$5=入户维修!$G216,$BN$5=1),0,5-SUMPRODUCT(--(($A$1:$A$5=入户维修!$F216)+($A$1:$A$5=入户维修!$G216)+$BN$1:$BN$5&gt;0)))</f>
        <v>4</v>
      </c>
      <c r="Y216" s="0" t="str">
        <f aca="false">IFERROR(INDEX($A$1:$A$5,MATCH(1,$S216:$W216,0)),IF(1=MAX($S216:$W216)+1,"取消",""))</f>
        <v>李师傅</v>
      </c>
      <c r="Z216" s="0" t="str">
        <f aca="false">IFERROR(INDEX($A$1:$A$5,MATCH(2,$S216:$W216,0)),IF(2=MAX($S216:$W216)+1,"取消",""))</f>
        <v>王师傅</v>
      </c>
      <c r="AA216" s="0" t="str">
        <f aca="false">IFERROR(INDEX($A$1:$A$5,MATCH(3,$S216:$W216,0)),IF(3=MAX($S216:$W216)+1,"取消",""))</f>
        <v>陈师傅</v>
      </c>
      <c r="AB216" s="0" t="str">
        <f aca="false">IFERROR(INDEX($A$1:$A$5,MATCH(4,$S216:$W216,0)),IF(4=MAX($S216:$W216)+1,"取消",""))</f>
        <v>刘师傅</v>
      </c>
      <c r="AC216" s="0" t="str">
        <f aca="false">IFERROR(INDEX($A$1:$A$5,MATCH(5,$S216:$W216,0)),IF(5=MAX($S216:$W216)+1,"取消",""))</f>
        <v>取消</v>
      </c>
      <c r="AD216" s="0" t="str">
        <f aca="false">IFERROR(INDEX($A$1:$A$5,MATCH(6,$S216:$W216,0)),IF(6=MAX($S216:$W216)+1,"取消",""))</f>
        <v/>
      </c>
      <c r="AF216" s="0" t="n">
        <f aca="false">IF(OR($A$1=公区维修!$F216,$BN$1=1),0,1-SUMPRODUCT(--(($A$1=公区维修!$F216)+$BN$1&gt;0)))</f>
        <v>0</v>
      </c>
      <c r="AG216" s="0" t="n">
        <f aca="false">IF(OR($A$2=公区维修!$F216,$BN$2=1),0,2-SUMPRODUCT(--(($A$1:$A$2=公区维修!$F216)+$BN$1:$BN$2&gt;0)))</f>
        <v>1</v>
      </c>
      <c r="AH216" s="0" t="n">
        <f aca="false">IF(OR($A$3=公区维修!$F216,$BN$3=1),0,3-SUMPRODUCT(--(($A$1:$A$3=公区维修!$F216)+$BN$1:$BN$3&gt;0)))</f>
        <v>2</v>
      </c>
      <c r="AI216" s="0" t="n">
        <f aca="false">IF(OR($A$4=公区维修!$F216,$BN$4=1),0,4-SUMPRODUCT(--(($A$1:$A$4=公区维修!$F216)+$BN$1:$BN$4&gt;0)))</f>
        <v>3</v>
      </c>
      <c r="AJ216" s="0" t="n">
        <f aca="false">IF(OR($A$5=公区维修!$F216,$BN$5=1),0,5-SUMPRODUCT(--(($A$1:$A$5=公区维修!$F216)+$BN$1:$BN$5&gt;0)))</f>
        <v>4</v>
      </c>
      <c r="AL216" s="0" t="str">
        <f aca="false">IFERROR(INDEX($A$1:$A$5,MATCH(1,$AF216:$AJ216,0)),IF(1=MAX($AF216:$AJ216)+1,"取消",""))</f>
        <v>李师傅</v>
      </c>
      <c r="AM216" s="0" t="str">
        <f aca="false">IFERROR(INDEX($A$1:$A$5,MATCH(2,$AF216:$AJ216,0)),IF(2=MAX($AF216:$AJ216)+1,"取消",""))</f>
        <v>王师傅</v>
      </c>
      <c r="AN216" s="0" t="str">
        <f aca="false">IFERROR(INDEX($A$1:$A$5,MATCH(3,$AF216:$AJ216,0)),IF(3=MAX($AF216:$AJ216)+1,"取消",""))</f>
        <v>陈师傅</v>
      </c>
      <c r="AO216" s="0" t="str">
        <f aca="false">IFERROR(INDEX($A$1:$A$5,MATCH(4,$AF216:$AJ216,0)),IF(4=MAX($AF216:$AJ216)+1,"取消",""))</f>
        <v>刘师傅</v>
      </c>
      <c r="AP216" s="0" t="str">
        <f aca="false">IFERROR(INDEX($A$1:$A$5,MATCH(5,$AF216:$AJ216,0)),IF(5=MAX($AF216:$AJ216)+1,"取消",""))</f>
        <v>取消</v>
      </c>
      <c r="AQ216" s="0" t="str">
        <f aca="false">IFERROR(INDEX($A$1:$A$5,MATCH(6,$AF216:$AJ216,0)),IF(6=MAX($AF216:$AJ216)+1,"取消",""))</f>
        <v/>
      </c>
      <c r="AS216" s="0" t="n">
        <f aca="false">IF(OR($A$1=公区维修!$F216,$A$1=公区维修!$G216,$BN$1=1),0,1-SUMPRODUCT(--(($A$1=公区维修!$F216)+($A$1=公区维修!$G216)+$BN$1&gt;0)))</f>
        <v>0</v>
      </c>
      <c r="AT216" s="0" t="n">
        <f aca="false">IF(OR($A$2=公区维修!$F216,$A$2=公区维修!$G216,$BN$2=1),0,2-SUMPRODUCT(--(($A$1:$A$2=公区维修!$F216)+($A$1:$A$2=公区维修!$G216)+$BN$1:$BN$2&gt;0)))</f>
        <v>1</v>
      </c>
      <c r="AU216" s="0" t="n">
        <f aca="false">IF(OR($A$3=公区维修!$F216,$A$3=公区维修!$G216,$BN$3=1),0,3-SUMPRODUCT(--(($A$1:$A$3=公区维修!$F216)+($A$1:$A$3=公区维修!$G216)+$BN$1:$BN$3&gt;0)))</f>
        <v>2</v>
      </c>
      <c r="AV216" s="0" t="n">
        <f aca="false">IF(OR($A$4=公区维修!$F216,$A$4=公区维修!$G216,$BN$4=1),0,4-SUMPRODUCT(--(($A$1:$A$4=公区维修!$F216)+($A$1:$A$4=公区维修!$G216)+$BN$1:$BN$4&gt;0)))</f>
        <v>3</v>
      </c>
      <c r="AW216" s="0" t="n">
        <f aca="false">IF(OR($A$5=公区维修!$F216,$A$5=公区维修!$G216,$BN$5=1),0,5-SUMPRODUCT(--(($A$1:$A$5=公区维修!$F216)+($A$1:$A$5=公区维修!$G216)+$BN$1:$BN$5&gt;0)))</f>
        <v>4</v>
      </c>
      <c r="AY216" s="0" t="str">
        <f aca="false">IFERROR(INDEX($A$1:$A$5,MATCH(1,$AS216:$AW216,0)),IF(1=MAX($AS216:$AW216)+1,"取消",""))</f>
        <v>李师傅</v>
      </c>
      <c r="AZ216" s="0" t="str">
        <f aca="false">IFERROR(INDEX($A$1:$A$5,MATCH(2,$AS216:$AW216,0)),IF(2=MAX($AS216:$AW216)+1,"取消",""))</f>
        <v>王师傅</v>
      </c>
      <c r="BA216" s="0" t="str">
        <f aca="false">IFERROR(INDEX($A$1:$A$5,MATCH(3,$AS216:$AW216,0)),IF(3=MAX($AS216:$AW216)+1,"取消",""))</f>
        <v>陈师傅</v>
      </c>
      <c r="BB216" s="0" t="str">
        <f aca="false">IFERROR(INDEX($A$1:$A$5,MATCH(4,$AS216:$AW216,0)),IF(4=MAX($AS216:$AW216)+1,"取消",""))</f>
        <v>刘师傅</v>
      </c>
      <c r="BC216" s="0" t="str">
        <f aca="false">IFERROR(INDEX($A$1:$A$5,MATCH(5,$AS216:$AW216,0)),IF(5=MAX($AS216:$AW216)+1,"取消",""))</f>
        <v>取消</v>
      </c>
      <c r="BD216" s="0" t="str">
        <f aca="false">IFERROR(INDEX($A$1:$A$5,MATCH(6,$AS216:$AW216,0)),IF(6=MAX($AS216:$AW216)+1,"取消",""))</f>
        <v/>
      </c>
      <c r="FW216" s="0" t="str">
        <f aca="false">IF(AND(单元查询!$D$3&lt;&gt;"",IF(单元查询!$B$3="公区维修",公区维修!$E216&lt;&gt;"",入户维修!$E216&lt;&gt;""),IF(单元查询!$B$3="公区维修",公区维修!$C216,入户维修!$C216)=单元查询!$D$3,OR(单元查询!$F$3="",IF(单元查询!$B$3="公区维修",公区维修!$D216,入户维修!$D216)&amp;""=(单元查询!$F$3)&amp;"")),MAX($FW$4:$FW215)+1,"")</f>
        <v/>
      </c>
    </row>
    <row r="217" customFormat="false" ht="15" hidden="false" customHeight="true" outlineLevel="0" collapsed="false">
      <c r="F217" s="0" t="n">
        <f aca="false">IF(OR($A$1=入户维修!$F217,$BN$1=1),0,1-SUMPRODUCT(--(($A$1=入户维修!$F217)+$BN$1&gt;0)))</f>
        <v>0</v>
      </c>
      <c r="G217" s="0" t="n">
        <f aca="false">IF(OR($A$2=入户维修!$F217,$BN$2=1),0,2-SUMPRODUCT(--(($A$1:$A$2=入户维修!$F217)+$BN$1:$BN$2&gt;0)))</f>
        <v>1</v>
      </c>
      <c r="H217" s="0" t="n">
        <f aca="false">IF(OR($A$3=入户维修!$F217,$BN$3=1),0,3-SUMPRODUCT(--(($A$1:$A$3=入户维修!$F217)+$BN$1:$BN$3&gt;0)))</f>
        <v>2</v>
      </c>
      <c r="I217" s="0" t="n">
        <f aca="false">IF(OR($A$4=入户维修!$F217,$BN$4=1),0,4-SUMPRODUCT(--(($A$1:$A$4=入户维修!$F217)+$BN$1:$BN$4&gt;0)))</f>
        <v>3</v>
      </c>
      <c r="J217" s="0" t="n">
        <f aca="false">IF(OR($A$5=入户维修!$F217,$BN$5=1),0,5-SUMPRODUCT(--(($A$1:$A$5=入户维修!$F217)+$BN$1:$BN$5&gt;0)))</f>
        <v>4</v>
      </c>
      <c r="L217" s="0" t="str">
        <f aca="false">IFERROR(INDEX($A$1:$A$5,MATCH(1,$F217:$J217,0)),IF(1=MAX($F217:$J217)+1,"取消",""))</f>
        <v>李师傅</v>
      </c>
      <c r="M217" s="0" t="str">
        <f aca="false">IFERROR(INDEX($A$1:$A$5,MATCH(2,$F217:$J217,0)),IF(2=MAX($F217:$J217)+1,"取消",""))</f>
        <v>王师傅</v>
      </c>
      <c r="N217" s="0" t="str">
        <f aca="false">IFERROR(INDEX($A$1:$A$5,MATCH(3,$F217:$J217,0)),IF(3=MAX($F217:$J217)+1,"取消",""))</f>
        <v>陈师傅</v>
      </c>
      <c r="O217" s="0" t="str">
        <f aca="false">IFERROR(INDEX($A$1:$A$5,MATCH(4,$F217:$J217,0)),IF(4=MAX($F217:$J217)+1,"取消",""))</f>
        <v>刘师傅</v>
      </c>
      <c r="P217" s="0" t="str">
        <f aca="false">IFERROR(INDEX($A$1:$A$5,MATCH(5,$F217:$J217,0)),IF(5=MAX($F217:$J217)+1,"取消",""))</f>
        <v>取消</v>
      </c>
      <c r="Q217" s="0" t="str">
        <f aca="false">IFERROR(INDEX($A$1:$A$5,MATCH(6,$F217:$J217,0)),IF(6=MAX($F217:$J217)+1,"取消",""))</f>
        <v/>
      </c>
      <c r="S217" s="0" t="n">
        <f aca="false">IF(OR($A$1=入户维修!$F217,$A$1=入户维修!$G217,$BN$1=1),0,1-SUMPRODUCT(--(($A$1=入户维修!$F217)+($A$1=入户维修!$G217)+$BN$1&gt;0)))</f>
        <v>0</v>
      </c>
      <c r="T217" s="0" t="n">
        <f aca="false">IF(OR($A$2=入户维修!$F217,$A$2=入户维修!$G217,$BN$2=1),0,2-SUMPRODUCT(--(($A$1:$A$2=入户维修!$F217)+($A$1:$A$2=入户维修!$G217)+$BN$1:$BN$2&gt;0)))</f>
        <v>1</v>
      </c>
      <c r="U217" s="0" t="n">
        <f aca="false">IF(OR($A$3=入户维修!$F217,$A$3=入户维修!$G217,$BN$3=1),0,3-SUMPRODUCT(--(($A$1:$A$3=入户维修!$F217)+($A$1:$A$3=入户维修!$G217)+$BN$1:$BN$3&gt;0)))</f>
        <v>2</v>
      </c>
      <c r="V217" s="0" t="n">
        <f aca="false">IF(OR($A$4=入户维修!$F217,$A$4=入户维修!$G217,$BN$4=1),0,4-SUMPRODUCT(--(($A$1:$A$4=入户维修!$F217)+($A$1:$A$4=入户维修!$G217)+$BN$1:$BN$4&gt;0)))</f>
        <v>3</v>
      </c>
      <c r="W217" s="0" t="n">
        <f aca="false">IF(OR($A$5=入户维修!$F217,$A$5=入户维修!$G217,$BN$5=1),0,5-SUMPRODUCT(--(($A$1:$A$5=入户维修!$F217)+($A$1:$A$5=入户维修!$G217)+$BN$1:$BN$5&gt;0)))</f>
        <v>4</v>
      </c>
      <c r="Y217" s="0" t="str">
        <f aca="false">IFERROR(INDEX($A$1:$A$5,MATCH(1,$S217:$W217,0)),IF(1=MAX($S217:$W217)+1,"取消",""))</f>
        <v>李师傅</v>
      </c>
      <c r="Z217" s="0" t="str">
        <f aca="false">IFERROR(INDEX($A$1:$A$5,MATCH(2,$S217:$W217,0)),IF(2=MAX($S217:$W217)+1,"取消",""))</f>
        <v>王师傅</v>
      </c>
      <c r="AA217" s="0" t="str">
        <f aca="false">IFERROR(INDEX($A$1:$A$5,MATCH(3,$S217:$W217,0)),IF(3=MAX($S217:$W217)+1,"取消",""))</f>
        <v>陈师傅</v>
      </c>
      <c r="AB217" s="0" t="str">
        <f aca="false">IFERROR(INDEX($A$1:$A$5,MATCH(4,$S217:$W217,0)),IF(4=MAX($S217:$W217)+1,"取消",""))</f>
        <v>刘师傅</v>
      </c>
      <c r="AC217" s="0" t="str">
        <f aca="false">IFERROR(INDEX($A$1:$A$5,MATCH(5,$S217:$W217,0)),IF(5=MAX($S217:$W217)+1,"取消",""))</f>
        <v>取消</v>
      </c>
      <c r="AD217" s="0" t="str">
        <f aca="false">IFERROR(INDEX($A$1:$A$5,MATCH(6,$S217:$W217,0)),IF(6=MAX($S217:$W217)+1,"取消",""))</f>
        <v/>
      </c>
      <c r="AF217" s="0" t="n">
        <f aca="false">IF(OR($A$1=公区维修!$F217,$BN$1=1),0,1-SUMPRODUCT(--(($A$1=公区维修!$F217)+$BN$1&gt;0)))</f>
        <v>0</v>
      </c>
      <c r="AG217" s="0" t="n">
        <f aca="false">IF(OR($A$2=公区维修!$F217,$BN$2=1),0,2-SUMPRODUCT(--(($A$1:$A$2=公区维修!$F217)+$BN$1:$BN$2&gt;0)))</f>
        <v>1</v>
      </c>
      <c r="AH217" s="0" t="n">
        <f aca="false">IF(OR($A$3=公区维修!$F217,$BN$3=1),0,3-SUMPRODUCT(--(($A$1:$A$3=公区维修!$F217)+$BN$1:$BN$3&gt;0)))</f>
        <v>2</v>
      </c>
      <c r="AI217" s="0" t="n">
        <f aca="false">IF(OR($A$4=公区维修!$F217,$BN$4=1),0,4-SUMPRODUCT(--(($A$1:$A$4=公区维修!$F217)+$BN$1:$BN$4&gt;0)))</f>
        <v>3</v>
      </c>
      <c r="AJ217" s="0" t="n">
        <f aca="false">IF(OR($A$5=公区维修!$F217,$BN$5=1),0,5-SUMPRODUCT(--(($A$1:$A$5=公区维修!$F217)+$BN$1:$BN$5&gt;0)))</f>
        <v>4</v>
      </c>
      <c r="AL217" s="0" t="str">
        <f aca="false">IFERROR(INDEX($A$1:$A$5,MATCH(1,$AF217:$AJ217,0)),IF(1=MAX($AF217:$AJ217)+1,"取消",""))</f>
        <v>李师傅</v>
      </c>
      <c r="AM217" s="0" t="str">
        <f aca="false">IFERROR(INDEX($A$1:$A$5,MATCH(2,$AF217:$AJ217,0)),IF(2=MAX($AF217:$AJ217)+1,"取消",""))</f>
        <v>王师傅</v>
      </c>
      <c r="AN217" s="0" t="str">
        <f aca="false">IFERROR(INDEX($A$1:$A$5,MATCH(3,$AF217:$AJ217,0)),IF(3=MAX($AF217:$AJ217)+1,"取消",""))</f>
        <v>陈师傅</v>
      </c>
      <c r="AO217" s="0" t="str">
        <f aca="false">IFERROR(INDEX($A$1:$A$5,MATCH(4,$AF217:$AJ217,0)),IF(4=MAX($AF217:$AJ217)+1,"取消",""))</f>
        <v>刘师傅</v>
      </c>
      <c r="AP217" s="0" t="str">
        <f aca="false">IFERROR(INDEX($A$1:$A$5,MATCH(5,$AF217:$AJ217,0)),IF(5=MAX($AF217:$AJ217)+1,"取消",""))</f>
        <v>取消</v>
      </c>
      <c r="AQ217" s="0" t="str">
        <f aca="false">IFERROR(INDEX($A$1:$A$5,MATCH(6,$AF217:$AJ217,0)),IF(6=MAX($AF217:$AJ217)+1,"取消",""))</f>
        <v/>
      </c>
      <c r="AS217" s="0" t="n">
        <f aca="false">IF(OR($A$1=公区维修!$F217,$A$1=公区维修!$G217,$BN$1=1),0,1-SUMPRODUCT(--(($A$1=公区维修!$F217)+($A$1=公区维修!$G217)+$BN$1&gt;0)))</f>
        <v>0</v>
      </c>
      <c r="AT217" s="0" t="n">
        <f aca="false">IF(OR($A$2=公区维修!$F217,$A$2=公区维修!$G217,$BN$2=1),0,2-SUMPRODUCT(--(($A$1:$A$2=公区维修!$F217)+($A$1:$A$2=公区维修!$G217)+$BN$1:$BN$2&gt;0)))</f>
        <v>1</v>
      </c>
      <c r="AU217" s="0" t="n">
        <f aca="false">IF(OR($A$3=公区维修!$F217,$A$3=公区维修!$G217,$BN$3=1),0,3-SUMPRODUCT(--(($A$1:$A$3=公区维修!$F217)+($A$1:$A$3=公区维修!$G217)+$BN$1:$BN$3&gt;0)))</f>
        <v>2</v>
      </c>
      <c r="AV217" s="0" t="n">
        <f aca="false">IF(OR($A$4=公区维修!$F217,$A$4=公区维修!$G217,$BN$4=1),0,4-SUMPRODUCT(--(($A$1:$A$4=公区维修!$F217)+($A$1:$A$4=公区维修!$G217)+$BN$1:$BN$4&gt;0)))</f>
        <v>3</v>
      </c>
      <c r="AW217" s="0" t="n">
        <f aca="false">IF(OR($A$5=公区维修!$F217,$A$5=公区维修!$G217,$BN$5=1),0,5-SUMPRODUCT(--(($A$1:$A$5=公区维修!$F217)+($A$1:$A$5=公区维修!$G217)+$BN$1:$BN$5&gt;0)))</f>
        <v>4</v>
      </c>
      <c r="AY217" s="0" t="str">
        <f aca="false">IFERROR(INDEX($A$1:$A$5,MATCH(1,$AS217:$AW217,0)),IF(1=MAX($AS217:$AW217)+1,"取消",""))</f>
        <v>李师傅</v>
      </c>
      <c r="AZ217" s="0" t="str">
        <f aca="false">IFERROR(INDEX($A$1:$A$5,MATCH(2,$AS217:$AW217,0)),IF(2=MAX($AS217:$AW217)+1,"取消",""))</f>
        <v>王师傅</v>
      </c>
      <c r="BA217" s="0" t="str">
        <f aca="false">IFERROR(INDEX($A$1:$A$5,MATCH(3,$AS217:$AW217,0)),IF(3=MAX($AS217:$AW217)+1,"取消",""))</f>
        <v>陈师傅</v>
      </c>
      <c r="BB217" s="0" t="str">
        <f aca="false">IFERROR(INDEX($A$1:$A$5,MATCH(4,$AS217:$AW217,0)),IF(4=MAX($AS217:$AW217)+1,"取消",""))</f>
        <v>刘师傅</v>
      </c>
      <c r="BC217" s="0" t="str">
        <f aca="false">IFERROR(INDEX($A$1:$A$5,MATCH(5,$AS217:$AW217,0)),IF(5=MAX($AS217:$AW217)+1,"取消",""))</f>
        <v>取消</v>
      </c>
      <c r="BD217" s="0" t="str">
        <f aca="false">IFERROR(INDEX($A$1:$A$5,MATCH(6,$AS217:$AW217,0)),IF(6=MAX($AS217:$AW217)+1,"取消",""))</f>
        <v/>
      </c>
      <c r="FW217" s="0" t="str">
        <f aca="false">IF(AND(单元查询!$D$3&lt;&gt;"",IF(单元查询!$B$3="公区维修",公区维修!$E217&lt;&gt;"",入户维修!$E217&lt;&gt;""),IF(单元查询!$B$3="公区维修",公区维修!$C217,入户维修!$C217)=单元查询!$D$3,OR(单元查询!$F$3="",IF(单元查询!$B$3="公区维修",公区维修!$D217,入户维修!$D217)&amp;""=(单元查询!$F$3)&amp;"")),MAX($FW$4:$FW216)+1,"")</f>
        <v/>
      </c>
    </row>
    <row r="218" customFormat="false" ht="15" hidden="false" customHeight="true" outlineLevel="0" collapsed="false">
      <c r="F218" s="0" t="n">
        <f aca="false">IF(OR($A$1=入户维修!$F218,$BN$1=1),0,1-SUMPRODUCT(--(($A$1=入户维修!$F218)+$BN$1&gt;0)))</f>
        <v>0</v>
      </c>
      <c r="G218" s="0" t="n">
        <f aca="false">IF(OR($A$2=入户维修!$F218,$BN$2=1),0,2-SUMPRODUCT(--(($A$1:$A$2=入户维修!$F218)+$BN$1:$BN$2&gt;0)))</f>
        <v>1</v>
      </c>
      <c r="H218" s="0" t="n">
        <f aca="false">IF(OR($A$3=入户维修!$F218,$BN$3=1),0,3-SUMPRODUCT(--(($A$1:$A$3=入户维修!$F218)+$BN$1:$BN$3&gt;0)))</f>
        <v>2</v>
      </c>
      <c r="I218" s="0" t="n">
        <f aca="false">IF(OR($A$4=入户维修!$F218,$BN$4=1),0,4-SUMPRODUCT(--(($A$1:$A$4=入户维修!$F218)+$BN$1:$BN$4&gt;0)))</f>
        <v>3</v>
      </c>
      <c r="J218" s="0" t="n">
        <f aca="false">IF(OR($A$5=入户维修!$F218,$BN$5=1),0,5-SUMPRODUCT(--(($A$1:$A$5=入户维修!$F218)+$BN$1:$BN$5&gt;0)))</f>
        <v>4</v>
      </c>
      <c r="L218" s="0" t="str">
        <f aca="false">IFERROR(INDEX($A$1:$A$5,MATCH(1,$F218:$J218,0)),IF(1=MAX($F218:$J218)+1,"取消",""))</f>
        <v>李师傅</v>
      </c>
      <c r="M218" s="0" t="str">
        <f aca="false">IFERROR(INDEX($A$1:$A$5,MATCH(2,$F218:$J218,0)),IF(2=MAX($F218:$J218)+1,"取消",""))</f>
        <v>王师傅</v>
      </c>
      <c r="N218" s="0" t="str">
        <f aca="false">IFERROR(INDEX($A$1:$A$5,MATCH(3,$F218:$J218,0)),IF(3=MAX($F218:$J218)+1,"取消",""))</f>
        <v>陈师傅</v>
      </c>
      <c r="O218" s="0" t="str">
        <f aca="false">IFERROR(INDEX($A$1:$A$5,MATCH(4,$F218:$J218,0)),IF(4=MAX($F218:$J218)+1,"取消",""))</f>
        <v>刘师傅</v>
      </c>
      <c r="P218" s="0" t="str">
        <f aca="false">IFERROR(INDEX($A$1:$A$5,MATCH(5,$F218:$J218,0)),IF(5=MAX($F218:$J218)+1,"取消",""))</f>
        <v>取消</v>
      </c>
      <c r="Q218" s="0" t="str">
        <f aca="false">IFERROR(INDEX($A$1:$A$5,MATCH(6,$F218:$J218,0)),IF(6=MAX($F218:$J218)+1,"取消",""))</f>
        <v/>
      </c>
      <c r="S218" s="0" t="n">
        <f aca="false">IF(OR($A$1=入户维修!$F218,$A$1=入户维修!$G218,$BN$1=1),0,1-SUMPRODUCT(--(($A$1=入户维修!$F218)+($A$1=入户维修!$G218)+$BN$1&gt;0)))</f>
        <v>0</v>
      </c>
      <c r="T218" s="0" t="n">
        <f aca="false">IF(OR($A$2=入户维修!$F218,$A$2=入户维修!$G218,$BN$2=1),0,2-SUMPRODUCT(--(($A$1:$A$2=入户维修!$F218)+($A$1:$A$2=入户维修!$G218)+$BN$1:$BN$2&gt;0)))</f>
        <v>1</v>
      </c>
      <c r="U218" s="0" t="n">
        <f aca="false">IF(OR($A$3=入户维修!$F218,$A$3=入户维修!$G218,$BN$3=1),0,3-SUMPRODUCT(--(($A$1:$A$3=入户维修!$F218)+($A$1:$A$3=入户维修!$G218)+$BN$1:$BN$3&gt;0)))</f>
        <v>2</v>
      </c>
      <c r="V218" s="0" t="n">
        <f aca="false">IF(OR($A$4=入户维修!$F218,$A$4=入户维修!$G218,$BN$4=1),0,4-SUMPRODUCT(--(($A$1:$A$4=入户维修!$F218)+($A$1:$A$4=入户维修!$G218)+$BN$1:$BN$4&gt;0)))</f>
        <v>3</v>
      </c>
      <c r="W218" s="0" t="n">
        <f aca="false">IF(OR($A$5=入户维修!$F218,$A$5=入户维修!$G218,$BN$5=1),0,5-SUMPRODUCT(--(($A$1:$A$5=入户维修!$F218)+($A$1:$A$5=入户维修!$G218)+$BN$1:$BN$5&gt;0)))</f>
        <v>4</v>
      </c>
      <c r="Y218" s="0" t="str">
        <f aca="false">IFERROR(INDEX($A$1:$A$5,MATCH(1,$S218:$W218,0)),IF(1=MAX($S218:$W218)+1,"取消",""))</f>
        <v>李师傅</v>
      </c>
      <c r="Z218" s="0" t="str">
        <f aca="false">IFERROR(INDEX($A$1:$A$5,MATCH(2,$S218:$W218,0)),IF(2=MAX($S218:$W218)+1,"取消",""))</f>
        <v>王师傅</v>
      </c>
      <c r="AA218" s="0" t="str">
        <f aca="false">IFERROR(INDEX($A$1:$A$5,MATCH(3,$S218:$W218,0)),IF(3=MAX($S218:$W218)+1,"取消",""))</f>
        <v>陈师傅</v>
      </c>
      <c r="AB218" s="0" t="str">
        <f aca="false">IFERROR(INDEX($A$1:$A$5,MATCH(4,$S218:$W218,0)),IF(4=MAX($S218:$W218)+1,"取消",""))</f>
        <v>刘师傅</v>
      </c>
      <c r="AC218" s="0" t="str">
        <f aca="false">IFERROR(INDEX($A$1:$A$5,MATCH(5,$S218:$W218,0)),IF(5=MAX($S218:$W218)+1,"取消",""))</f>
        <v>取消</v>
      </c>
      <c r="AD218" s="0" t="str">
        <f aca="false">IFERROR(INDEX($A$1:$A$5,MATCH(6,$S218:$W218,0)),IF(6=MAX($S218:$W218)+1,"取消",""))</f>
        <v/>
      </c>
      <c r="AF218" s="0" t="n">
        <f aca="false">IF(OR($A$1=公区维修!$F218,$BN$1=1),0,1-SUMPRODUCT(--(($A$1=公区维修!$F218)+$BN$1&gt;0)))</f>
        <v>0</v>
      </c>
      <c r="AG218" s="0" t="n">
        <f aca="false">IF(OR($A$2=公区维修!$F218,$BN$2=1),0,2-SUMPRODUCT(--(($A$1:$A$2=公区维修!$F218)+$BN$1:$BN$2&gt;0)))</f>
        <v>1</v>
      </c>
      <c r="AH218" s="0" t="n">
        <f aca="false">IF(OR($A$3=公区维修!$F218,$BN$3=1),0,3-SUMPRODUCT(--(($A$1:$A$3=公区维修!$F218)+$BN$1:$BN$3&gt;0)))</f>
        <v>2</v>
      </c>
      <c r="AI218" s="0" t="n">
        <f aca="false">IF(OR($A$4=公区维修!$F218,$BN$4=1),0,4-SUMPRODUCT(--(($A$1:$A$4=公区维修!$F218)+$BN$1:$BN$4&gt;0)))</f>
        <v>3</v>
      </c>
      <c r="AJ218" s="0" t="n">
        <f aca="false">IF(OR($A$5=公区维修!$F218,$BN$5=1),0,5-SUMPRODUCT(--(($A$1:$A$5=公区维修!$F218)+$BN$1:$BN$5&gt;0)))</f>
        <v>4</v>
      </c>
      <c r="AL218" s="0" t="str">
        <f aca="false">IFERROR(INDEX($A$1:$A$5,MATCH(1,$AF218:$AJ218,0)),IF(1=MAX($AF218:$AJ218)+1,"取消",""))</f>
        <v>李师傅</v>
      </c>
      <c r="AM218" s="0" t="str">
        <f aca="false">IFERROR(INDEX($A$1:$A$5,MATCH(2,$AF218:$AJ218,0)),IF(2=MAX($AF218:$AJ218)+1,"取消",""))</f>
        <v>王师傅</v>
      </c>
      <c r="AN218" s="0" t="str">
        <f aca="false">IFERROR(INDEX($A$1:$A$5,MATCH(3,$AF218:$AJ218,0)),IF(3=MAX($AF218:$AJ218)+1,"取消",""))</f>
        <v>陈师傅</v>
      </c>
      <c r="AO218" s="0" t="str">
        <f aca="false">IFERROR(INDEX($A$1:$A$5,MATCH(4,$AF218:$AJ218,0)),IF(4=MAX($AF218:$AJ218)+1,"取消",""))</f>
        <v>刘师傅</v>
      </c>
      <c r="AP218" s="0" t="str">
        <f aca="false">IFERROR(INDEX($A$1:$A$5,MATCH(5,$AF218:$AJ218,0)),IF(5=MAX($AF218:$AJ218)+1,"取消",""))</f>
        <v>取消</v>
      </c>
      <c r="AQ218" s="0" t="str">
        <f aca="false">IFERROR(INDEX($A$1:$A$5,MATCH(6,$AF218:$AJ218,0)),IF(6=MAX($AF218:$AJ218)+1,"取消",""))</f>
        <v/>
      </c>
      <c r="AS218" s="0" t="n">
        <f aca="false">IF(OR($A$1=公区维修!$F218,$A$1=公区维修!$G218,$BN$1=1),0,1-SUMPRODUCT(--(($A$1=公区维修!$F218)+($A$1=公区维修!$G218)+$BN$1&gt;0)))</f>
        <v>0</v>
      </c>
      <c r="AT218" s="0" t="n">
        <f aca="false">IF(OR($A$2=公区维修!$F218,$A$2=公区维修!$G218,$BN$2=1),0,2-SUMPRODUCT(--(($A$1:$A$2=公区维修!$F218)+($A$1:$A$2=公区维修!$G218)+$BN$1:$BN$2&gt;0)))</f>
        <v>1</v>
      </c>
      <c r="AU218" s="0" t="n">
        <f aca="false">IF(OR($A$3=公区维修!$F218,$A$3=公区维修!$G218,$BN$3=1),0,3-SUMPRODUCT(--(($A$1:$A$3=公区维修!$F218)+($A$1:$A$3=公区维修!$G218)+$BN$1:$BN$3&gt;0)))</f>
        <v>2</v>
      </c>
      <c r="AV218" s="0" t="n">
        <f aca="false">IF(OR($A$4=公区维修!$F218,$A$4=公区维修!$G218,$BN$4=1),0,4-SUMPRODUCT(--(($A$1:$A$4=公区维修!$F218)+($A$1:$A$4=公区维修!$G218)+$BN$1:$BN$4&gt;0)))</f>
        <v>3</v>
      </c>
      <c r="AW218" s="0" t="n">
        <f aca="false">IF(OR($A$5=公区维修!$F218,$A$5=公区维修!$G218,$BN$5=1),0,5-SUMPRODUCT(--(($A$1:$A$5=公区维修!$F218)+($A$1:$A$5=公区维修!$G218)+$BN$1:$BN$5&gt;0)))</f>
        <v>4</v>
      </c>
      <c r="AY218" s="0" t="str">
        <f aca="false">IFERROR(INDEX($A$1:$A$5,MATCH(1,$AS218:$AW218,0)),IF(1=MAX($AS218:$AW218)+1,"取消",""))</f>
        <v>李师傅</v>
      </c>
      <c r="AZ218" s="0" t="str">
        <f aca="false">IFERROR(INDEX($A$1:$A$5,MATCH(2,$AS218:$AW218,0)),IF(2=MAX($AS218:$AW218)+1,"取消",""))</f>
        <v>王师傅</v>
      </c>
      <c r="BA218" s="0" t="str">
        <f aca="false">IFERROR(INDEX($A$1:$A$5,MATCH(3,$AS218:$AW218,0)),IF(3=MAX($AS218:$AW218)+1,"取消",""))</f>
        <v>陈师傅</v>
      </c>
      <c r="BB218" s="0" t="str">
        <f aca="false">IFERROR(INDEX($A$1:$A$5,MATCH(4,$AS218:$AW218,0)),IF(4=MAX($AS218:$AW218)+1,"取消",""))</f>
        <v>刘师傅</v>
      </c>
      <c r="BC218" s="0" t="str">
        <f aca="false">IFERROR(INDEX($A$1:$A$5,MATCH(5,$AS218:$AW218,0)),IF(5=MAX($AS218:$AW218)+1,"取消",""))</f>
        <v>取消</v>
      </c>
      <c r="BD218" s="0" t="str">
        <f aca="false">IFERROR(INDEX($A$1:$A$5,MATCH(6,$AS218:$AW218,0)),IF(6=MAX($AS218:$AW218)+1,"取消",""))</f>
        <v/>
      </c>
      <c r="FW218" s="0" t="str">
        <f aca="false">IF(AND(单元查询!$D$3&lt;&gt;"",IF(单元查询!$B$3="公区维修",公区维修!$E218&lt;&gt;"",入户维修!$E218&lt;&gt;""),IF(单元查询!$B$3="公区维修",公区维修!$C218,入户维修!$C218)=单元查询!$D$3,OR(单元查询!$F$3="",IF(单元查询!$B$3="公区维修",公区维修!$D218,入户维修!$D218)&amp;""=(单元查询!$F$3)&amp;"")),MAX($FW$4:$FW217)+1,"")</f>
        <v/>
      </c>
    </row>
    <row r="219" customFormat="false" ht="15" hidden="false" customHeight="true" outlineLevel="0" collapsed="false">
      <c r="F219" s="0" t="n">
        <f aca="false">IF(OR($A$1=入户维修!$F219,$BN$1=1),0,1-SUMPRODUCT(--(($A$1=入户维修!$F219)+$BN$1&gt;0)))</f>
        <v>0</v>
      </c>
      <c r="G219" s="0" t="n">
        <f aca="false">IF(OR($A$2=入户维修!$F219,$BN$2=1),0,2-SUMPRODUCT(--(($A$1:$A$2=入户维修!$F219)+$BN$1:$BN$2&gt;0)))</f>
        <v>1</v>
      </c>
      <c r="H219" s="0" t="n">
        <f aca="false">IF(OR($A$3=入户维修!$F219,$BN$3=1),0,3-SUMPRODUCT(--(($A$1:$A$3=入户维修!$F219)+$BN$1:$BN$3&gt;0)))</f>
        <v>2</v>
      </c>
      <c r="I219" s="0" t="n">
        <f aca="false">IF(OR($A$4=入户维修!$F219,$BN$4=1),0,4-SUMPRODUCT(--(($A$1:$A$4=入户维修!$F219)+$BN$1:$BN$4&gt;0)))</f>
        <v>3</v>
      </c>
      <c r="J219" s="0" t="n">
        <f aca="false">IF(OR($A$5=入户维修!$F219,$BN$5=1),0,5-SUMPRODUCT(--(($A$1:$A$5=入户维修!$F219)+$BN$1:$BN$5&gt;0)))</f>
        <v>4</v>
      </c>
      <c r="L219" s="0" t="str">
        <f aca="false">IFERROR(INDEX($A$1:$A$5,MATCH(1,$F219:$J219,0)),IF(1=MAX($F219:$J219)+1,"取消",""))</f>
        <v>李师傅</v>
      </c>
      <c r="M219" s="0" t="str">
        <f aca="false">IFERROR(INDEX($A$1:$A$5,MATCH(2,$F219:$J219,0)),IF(2=MAX($F219:$J219)+1,"取消",""))</f>
        <v>王师傅</v>
      </c>
      <c r="N219" s="0" t="str">
        <f aca="false">IFERROR(INDEX($A$1:$A$5,MATCH(3,$F219:$J219,0)),IF(3=MAX($F219:$J219)+1,"取消",""))</f>
        <v>陈师傅</v>
      </c>
      <c r="O219" s="0" t="str">
        <f aca="false">IFERROR(INDEX($A$1:$A$5,MATCH(4,$F219:$J219,0)),IF(4=MAX($F219:$J219)+1,"取消",""))</f>
        <v>刘师傅</v>
      </c>
      <c r="P219" s="0" t="str">
        <f aca="false">IFERROR(INDEX($A$1:$A$5,MATCH(5,$F219:$J219,0)),IF(5=MAX($F219:$J219)+1,"取消",""))</f>
        <v>取消</v>
      </c>
      <c r="Q219" s="0" t="str">
        <f aca="false">IFERROR(INDEX($A$1:$A$5,MATCH(6,$F219:$J219,0)),IF(6=MAX($F219:$J219)+1,"取消",""))</f>
        <v/>
      </c>
      <c r="S219" s="0" t="n">
        <f aca="false">IF(OR($A$1=入户维修!$F219,$A$1=入户维修!$G219,$BN$1=1),0,1-SUMPRODUCT(--(($A$1=入户维修!$F219)+($A$1=入户维修!$G219)+$BN$1&gt;0)))</f>
        <v>0</v>
      </c>
      <c r="T219" s="0" t="n">
        <f aca="false">IF(OR($A$2=入户维修!$F219,$A$2=入户维修!$G219,$BN$2=1),0,2-SUMPRODUCT(--(($A$1:$A$2=入户维修!$F219)+($A$1:$A$2=入户维修!$G219)+$BN$1:$BN$2&gt;0)))</f>
        <v>1</v>
      </c>
      <c r="U219" s="0" t="n">
        <f aca="false">IF(OR($A$3=入户维修!$F219,$A$3=入户维修!$G219,$BN$3=1),0,3-SUMPRODUCT(--(($A$1:$A$3=入户维修!$F219)+($A$1:$A$3=入户维修!$G219)+$BN$1:$BN$3&gt;0)))</f>
        <v>2</v>
      </c>
      <c r="V219" s="0" t="n">
        <f aca="false">IF(OR($A$4=入户维修!$F219,$A$4=入户维修!$G219,$BN$4=1),0,4-SUMPRODUCT(--(($A$1:$A$4=入户维修!$F219)+($A$1:$A$4=入户维修!$G219)+$BN$1:$BN$4&gt;0)))</f>
        <v>3</v>
      </c>
      <c r="W219" s="0" t="n">
        <f aca="false">IF(OR($A$5=入户维修!$F219,$A$5=入户维修!$G219,$BN$5=1),0,5-SUMPRODUCT(--(($A$1:$A$5=入户维修!$F219)+($A$1:$A$5=入户维修!$G219)+$BN$1:$BN$5&gt;0)))</f>
        <v>4</v>
      </c>
      <c r="Y219" s="0" t="str">
        <f aca="false">IFERROR(INDEX($A$1:$A$5,MATCH(1,$S219:$W219,0)),IF(1=MAX($S219:$W219)+1,"取消",""))</f>
        <v>李师傅</v>
      </c>
      <c r="Z219" s="0" t="str">
        <f aca="false">IFERROR(INDEX($A$1:$A$5,MATCH(2,$S219:$W219,0)),IF(2=MAX($S219:$W219)+1,"取消",""))</f>
        <v>王师傅</v>
      </c>
      <c r="AA219" s="0" t="str">
        <f aca="false">IFERROR(INDEX($A$1:$A$5,MATCH(3,$S219:$W219,0)),IF(3=MAX($S219:$W219)+1,"取消",""))</f>
        <v>陈师傅</v>
      </c>
      <c r="AB219" s="0" t="str">
        <f aca="false">IFERROR(INDEX($A$1:$A$5,MATCH(4,$S219:$W219,0)),IF(4=MAX($S219:$W219)+1,"取消",""))</f>
        <v>刘师傅</v>
      </c>
      <c r="AC219" s="0" t="str">
        <f aca="false">IFERROR(INDEX($A$1:$A$5,MATCH(5,$S219:$W219,0)),IF(5=MAX($S219:$W219)+1,"取消",""))</f>
        <v>取消</v>
      </c>
      <c r="AD219" s="0" t="str">
        <f aca="false">IFERROR(INDEX($A$1:$A$5,MATCH(6,$S219:$W219,0)),IF(6=MAX($S219:$W219)+1,"取消",""))</f>
        <v/>
      </c>
      <c r="AF219" s="0" t="n">
        <f aca="false">IF(OR($A$1=公区维修!$F219,$BN$1=1),0,1-SUMPRODUCT(--(($A$1=公区维修!$F219)+$BN$1&gt;0)))</f>
        <v>0</v>
      </c>
      <c r="AG219" s="0" t="n">
        <f aca="false">IF(OR($A$2=公区维修!$F219,$BN$2=1),0,2-SUMPRODUCT(--(($A$1:$A$2=公区维修!$F219)+$BN$1:$BN$2&gt;0)))</f>
        <v>1</v>
      </c>
      <c r="AH219" s="0" t="n">
        <f aca="false">IF(OR($A$3=公区维修!$F219,$BN$3=1),0,3-SUMPRODUCT(--(($A$1:$A$3=公区维修!$F219)+$BN$1:$BN$3&gt;0)))</f>
        <v>2</v>
      </c>
      <c r="AI219" s="0" t="n">
        <f aca="false">IF(OR($A$4=公区维修!$F219,$BN$4=1),0,4-SUMPRODUCT(--(($A$1:$A$4=公区维修!$F219)+$BN$1:$BN$4&gt;0)))</f>
        <v>3</v>
      </c>
      <c r="AJ219" s="0" t="n">
        <f aca="false">IF(OR($A$5=公区维修!$F219,$BN$5=1),0,5-SUMPRODUCT(--(($A$1:$A$5=公区维修!$F219)+$BN$1:$BN$5&gt;0)))</f>
        <v>4</v>
      </c>
      <c r="AL219" s="0" t="str">
        <f aca="false">IFERROR(INDEX($A$1:$A$5,MATCH(1,$AF219:$AJ219,0)),IF(1=MAX($AF219:$AJ219)+1,"取消",""))</f>
        <v>李师傅</v>
      </c>
      <c r="AM219" s="0" t="str">
        <f aca="false">IFERROR(INDEX($A$1:$A$5,MATCH(2,$AF219:$AJ219,0)),IF(2=MAX($AF219:$AJ219)+1,"取消",""))</f>
        <v>王师傅</v>
      </c>
      <c r="AN219" s="0" t="str">
        <f aca="false">IFERROR(INDEX($A$1:$A$5,MATCH(3,$AF219:$AJ219,0)),IF(3=MAX($AF219:$AJ219)+1,"取消",""))</f>
        <v>陈师傅</v>
      </c>
      <c r="AO219" s="0" t="str">
        <f aca="false">IFERROR(INDEX($A$1:$A$5,MATCH(4,$AF219:$AJ219,0)),IF(4=MAX($AF219:$AJ219)+1,"取消",""))</f>
        <v>刘师傅</v>
      </c>
      <c r="AP219" s="0" t="str">
        <f aca="false">IFERROR(INDEX($A$1:$A$5,MATCH(5,$AF219:$AJ219,0)),IF(5=MAX($AF219:$AJ219)+1,"取消",""))</f>
        <v>取消</v>
      </c>
      <c r="AQ219" s="0" t="str">
        <f aca="false">IFERROR(INDEX($A$1:$A$5,MATCH(6,$AF219:$AJ219,0)),IF(6=MAX($AF219:$AJ219)+1,"取消",""))</f>
        <v/>
      </c>
      <c r="AS219" s="0" t="n">
        <f aca="false">IF(OR($A$1=公区维修!$F219,$A$1=公区维修!$G219,$BN$1=1),0,1-SUMPRODUCT(--(($A$1=公区维修!$F219)+($A$1=公区维修!$G219)+$BN$1&gt;0)))</f>
        <v>0</v>
      </c>
      <c r="AT219" s="0" t="n">
        <f aca="false">IF(OR($A$2=公区维修!$F219,$A$2=公区维修!$G219,$BN$2=1),0,2-SUMPRODUCT(--(($A$1:$A$2=公区维修!$F219)+($A$1:$A$2=公区维修!$G219)+$BN$1:$BN$2&gt;0)))</f>
        <v>1</v>
      </c>
      <c r="AU219" s="0" t="n">
        <f aca="false">IF(OR($A$3=公区维修!$F219,$A$3=公区维修!$G219,$BN$3=1),0,3-SUMPRODUCT(--(($A$1:$A$3=公区维修!$F219)+($A$1:$A$3=公区维修!$G219)+$BN$1:$BN$3&gt;0)))</f>
        <v>2</v>
      </c>
      <c r="AV219" s="0" t="n">
        <f aca="false">IF(OR($A$4=公区维修!$F219,$A$4=公区维修!$G219,$BN$4=1),0,4-SUMPRODUCT(--(($A$1:$A$4=公区维修!$F219)+($A$1:$A$4=公区维修!$G219)+$BN$1:$BN$4&gt;0)))</f>
        <v>3</v>
      </c>
      <c r="AW219" s="0" t="n">
        <f aca="false">IF(OR($A$5=公区维修!$F219,$A$5=公区维修!$G219,$BN$5=1),0,5-SUMPRODUCT(--(($A$1:$A$5=公区维修!$F219)+($A$1:$A$5=公区维修!$G219)+$BN$1:$BN$5&gt;0)))</f>
        <v>4</v>
      </c>
      <c r="AY219" s="0" t="str">
        <f aca="false">IFERROR(INDEX($A$1:$A$5,MATCH(1,$AS219:$AW219,0)),IF(1=MAX($AS219:$AW219)+1,"取消",""))</f>
        <v>李师傅</v>
      </c>
      <c r="AZ219" s="0" t="str">
        <f aca="false">IFERROR(INDEX($A$1:$A$5,MATCH(2,$AS219:$AW219,0)),IF(2=MAX($AS219:$AW219)+1,"取消",""))</f>
        <v>王师傅</v>
      </c>
      <c r="BA219" s="0" t="str">
        <f aca="false">IFERROR(INDEX($A$1:$A$5,MATCH(3,$AS219:$AW219,0)),IF(3=MAX($AS219:$AW219)+1,"取消",""))</f>
        <v>陈师傅</v>
      </c>
      <c r="BB219" s="0" t="str">
        <f aca="false">IFERROR(INDEX($A$1:$A$5,MATCH(4,$AS219:$AW219,0)),IF(4=MAX($AS219:$AW219)+1,"取消",""))</f>
        <v>刘师傅</v>
      </c>
      <c r="BC219" s="0" t="str">
        <f aca="false">IFERROR(INDEX($A$1:$A$5,MATCH(5,$AS219:$AW219,0)),IF(5=MAX($AS219:$AW219)+1,"取消",""))</f>
        <v>取消</v>
      </c>
      <c r="BD219" s="0" t="str">
        <f aca="false">IFERROR(INDEX($A$1:$A$5,MATCH(6,$AS219:$AW219,0)),IF(6=MAX($AS219:$AW219)+1,"取消",""))</f>
        <v/>
      </c>
      <c r="FW219" s="0" t="str">
        <f aca="false">IF(AND(单元查询!$D$3&lt;&gt;"",IF(单元查询!$B$3="公区维修",公区维修!$E219&lt;&gt;"",入户维修!$E219&lt;&gt;""),IF(单元查询!$B$3="公区维修",公区维修!$C219,入户维修!$C219)=单元查询!$D$3,OR(单元查询!$F$3="",IF(单元查询!$B$3="公区维修",公区维修!$D219,入户维修!$D219)&amp;""=(单元查询!$F$3)&amp;"")),MAX($FW$4:$FW218)+1,"")</f>
        <v/>
      </c>
    </row>
    <row r="220" customFormat="false" ht="15" hidden="false" customHeight="true" outlineLevel="0" collapsed="false">
      <c r="F220" s="0" t="n">
        <f aca="false">IF(OR($A$1=入户维修!$F220,$BN$1=1),0,1-SUMPRODUCT(--(($A$1=入户维修!$F220)+$BN$1&gt;0)))</f>
        <v>0</v>
      </c>
      <c r="G220" s="0" t="n">
        <f aca="false">IF(OR($A$2=入户维修!$F220,$BN$2=1),0,2-SUMPRODUCT(--(($A$1:$A$2=入户维修!$F220)+$BN$1:$BN$2&gt;0)))</f>
        <v>1</v>
      </c>
      <c r="H220" s="0" t="n">
        <f aca="false">IF(OR($A$3=入户维修!$F220,$BN$3=1),0,3-SUMPRODUCT(--(($A$1:$A$3=入户维修!$F220)+$BN$1:$BN$3&gt;0)))</f>
        <v>2</v>
      </c>
      <c r="I220" s="0" t="n">
        <f aca="false">IF(OR($A$4=入户维修!$F220,$BN$4=1),0,4-SUMPRODUCT(--(($A$1:$A$4=入户维修!$F220)+$BN$1:$BN$4&gt;0)))</f>
        <v>3</v>
      </c>
      <c r="J220" s="0" t="n">
        <f aca="false">IF(OR($A$5=入户维修!$F220,$BN$5=1),0,5-SUMPRODUCT(--(($A$1:$A$5=入户维修!$F220)+$BN$1:$BN$5&gt;0)))</f>
        <v>4</v>
      </c>
      <c r="L220" s="0" t="str">
        <f aca="false">IFERROR(INDEX($A$1:$A$5,MATCH(1,$F220:$J220,0)),IF(1=MAX($F220:$J220)+1,"取消",""))</f>
        <v>李师傅</v>
      </c>
      <c r="M220" s="0" t="str">
        <f aca="false">IFERROR(INDEX($A$1:$A$5,MATCH(2,$F220:$J220,0)),IF(2=MAX($F220:$J220)+1,"取消",""))</f>
        <v>王师傅</v>
      </c>
      <c r="N220" s="0" t="str">
        <f aca="false">IFERROR(INDEX($A$1:$A$5,MATCH(3,$F220:$J220,0)),IF(3=MAX($F220:$J220)+1,"取消",""))</f>
        <v>陈师傅</v>
      </c>
      <c r="O220" s="0" t="str">
        <f aca="false">IFERROR(INDEX($A$1:$A$5,MATCH(4,$F220:$J220,0)),IF(4=MAX($F220:$J220)+1,"取消",""))</f>
        <v>刘师傅</v>
      </c>
      <c r="P220" s="0" t="str">
        <f aca="false">IFERROR(INDEX($A$1:$A$5,MATCH(5,$F220:$J220,0)),IF(5=MAX($F220:$J220)+1,"取消",""))</f>
        <v>取消</v>
      </c>
      <c r="Q220" s="0" t="str">
        <f aca="false">IFERROR(INDEX($A$1:$A$5,MATCH(6,$F220:$J220,0)),IF(6=MAX($F220:$J220)+1,"取消",""))</f>
        <v/>
      </c>
      <c r="S220" s="0" t="n">
        <f aca="false">IF(OR($A$1=入户维修!$F220,$A$1=入户维修!$G220,$BN$1=1),0,1-SUMPRODUCT(--(($A$1=入户维修!$F220)+($A$1=入户维修!$G220)+$BN$1&gt;0)))</f>
        <v>0</v>
      </c>
      <c r="T220" s="0" t="n">
        <f aca="false">IF(OR($A$2=入户维修!$F220,$A$2=入户维修!$G220,$BN$2=1),0,2-SUMPRODUCT(--(($A$1:$A$2=入户维修!$F220)+($A$1:$A$2=入户维修!$G220)+$BN$1:$BN$2&gt;0)))</f>
        <v>1</v>
      </c>
      <c r="U220" s="0" t="n">
        <f aca="false">IF(OR($A$3=入户维修!$F220,$A$3=入户维修!$G220,$BN$3=1),0,3-SUMPRODUCT(--(($A$1:$A$3=入户维修!$F220)+($A$1:$A$3=入户维修!$G220)+$BN$1:$BN$3&gt;0)))</f>
        <v>2</v>
      </c>
      <c r="V220" s="0" t="n">
        <f aca="false">IF(OR($A$4=入户维修!$F220,$A$4=入户维修!$G220,$BN$4=1),0,4-SUMPRODUCT(--(($A$1:$A$4=入户维修!$F220)+($A$1:$A$4=入户维修!$G220)+$BN$1:$BN$4&gt;0)))</f>
        <v>3</v>
      </c>
      <c r="W220" s="0" t="n">
        <f aca="false">IF(OR($A$5=入户维修!$F220,$A$5=入户维修!$G220,$BN$5=1),0,5-SUMPRODUCT(--(($A$1:$A$5=入户维修!$F220)+($A$1:$A$5=入户维修!$G220)+$BN$1:$BN$5&gt;0)))</f>
        <v>4</v>
      </c>
      <c r="Y220" s="0" t="str">
        <f aca="false">IFERROR(INDEX($A$1:$A$5,MATCH(1,$S220:$W220,0)),IF(1=MAX($S220:$W220)+1,"取消",""))</f>
        <v>李师傅</v>
      </c>
      <c r="Z220" s="0" t="str">
        <f aca="false">IFERROR(INDEX($A$1:$A$5,MATCH(2,$S220:$W220,0)),IF(2=MAX($S220:$W220)+1,"取消",""))</f>
        <v>王师傅</v>
      </c>
      <c r="AA220" s="0" t="str">
        <f aca="false">IFERROR(INDEX($A$1:$A$5,MATCH(3,$S220:$W220,0)),IF(3=MAX($S220:$W220)+1,"取消",""))</f>
        <v>陈师傅</v>
      </c>
      <c r="AB220" s="0" t="str">
        <f aca="false">IFERROR(INDEX($A$1:$A$5,MATCH(4,$S220:$W220,0)),IF(4=MAX($S220:$W220)+1,"取消",""))</f>
        <v>刘师傅</v>
      </c>
      <c r="AC220" s="0" t="str">
        <f aca="false">IFERROR(INDEX($A$1:$A$5,MATCH(5,$S220:$W220,0)),IF(5=MAX($S220:$W220)+1,"取消",""))</f>
        <v>取消</v>
      </c>
      <c r="AD220" s="0" t="str">
        <f aca="false">IFERROR(INDEX($A$1:$A$5,MATCH(6,$S220:$W220,0)),IF(6=MAX($S220:$W220)+1,"取消",""))</f>
        <v/>
      </c>
      <c r="AF220" s="0" t="n">
        <f aca="false">IF(OR($A$1=公区维修!$F220,$BN$1=1),0,1-SUMPRODUCT(--(($A$1=公区维修!$F220)+$BN$1&gt;0)))</f>
        <v>0</v>
      </c>
      <c r="AG220" s="0" t="n">
        <f aca="false">IF(OR($A$2=公区维修!$F220,$BN$2=1),0,2-SUMPRODUCT(--(($A$1:$A$2=公区维修!$F220)+$BN$1:$BN$2&gt;0)))</f>
        <v>1</v>
      </c>
      <c r="AH220" s="0" t="n">
        <f aca="false">IF(OR($A$3=公区维修!$F220,$BN$3=1),0,3-SUMPRODUCT(--(($A$1:$A$3=公区维修!$F220)+$BN$1:$BN$3&gt;0)))</f>
        <v>2</v>
      </c>
      <c r="AI220" s="0" t="n">
        <f aca="false">IF(OR($A$4=公区维修!$F220,$BN$4=1),0,4-SUMPRODUCT(--(($A$1:$A$4=公区维修!$F220)+$BN$1:$BN$4&gt;0)))</f>
        <v>3</v>
      </c>
      <c r="AJ220" s="0" t="n">
        <f aca="false">IF(OR($A$5=公区维修!$F220,$BN$5=1),0,5-SUMPRODUCT(--(($A$1:$A$5=公区维修!$F220)+$BN$1:$BN$5&gt;0)))</f>
        <v>4</v>
      </c>
      <c r="AL220" s="0" t="str">
        <f aca="false">IFERROR(INDEX($A$1:$A$5,MATCH(1,$AF220:$AJ220,0)),IF(1=MAX($AF220:$AJ220)+1,"取消",""))</f>
        <v>李师傅</v>
      </c>
      <c r="AM220" s="0" t="str">
        <f aca="false">IFERROR(INDEX($A$1:$A$5,MATCH(2,$AF220:$AJ220,0)),IF(2=MAX($AF220:$AJ220)+1,"取消",""))</f>
        <v>王师傅</v>
      </c>
      <c r="AN220" s="0" t="str">
        <f aca="false">IFERROR(INDEX($A$1:$A$5,MATCH(3,$AF220:$AJ220,0)),IF(3=MAX($AF220:$AJ220)+1,"取消",""))</f>
        <v>陈师傅</v>
      </c>
      <c r="AO220" s="0" t="str">
        <f aca="false">IFERROR(INDEX($A$1:$A$5,MATCH(4,$AF220:$AJ220,0)),IF(4=MAX($AF220:$AJ220)+1,"取消",""))</f>
        <v>刘师傅</v>
      </c>
      <c r="AP220" s="0" t="str">
        <f aca="false">IFERROR(INDEX($A$1:$A$5,MATCH(5,$AF220:$AJ220,0)),IF(5=MAX($AF220:$AJ220)+1,"取消",""))</f>
        <v>取消</v>
      </c>
      <c r="AQ220" s="0" t="str">
        <f aca="false">IFERROR(INDEX($A$1:$A$5,MATCH(6,$AF220:$AJ220,0)),IF(6=MAX($AF220:$AJ220)+1,"取消",""))</f>
        <v/>
      </c>
      <c r="AS220" s="0" t="n">
        <f aca="false">IF(OR($A$1=公区维修!$F220,$A$1=公区维修!$G220,$BN$1=1),0,1-SUMPRODUCT(--(($A$1=公区维修!$F220)+($A$1=公区维修!$G220)+$BN$1&gt;0)))</f>
        <v>0</v>
      </c>
      <c r="AT220" s="0" t="n">
        <f aca="false">IF(OR($A$2=公区维修!$F220,$A$2=公区维修!$G220,$BN$2=1),0,2-SUMPRODUCT(--(($A$1:$A$2=公区维修!$F220)+($A$1:$A$2=公区维修!$G220)+$BN$1:$BN$2&gt;0)))</f>
        <v>1</v>
      </c>
      <c r="AU220" s="0" t="n">
        <f aca="false">IF(OR($A$3=公区维修!$F220,$A$3=公区维修!$G220,$BN$3=1),0,3-SUMPRODUCT(--(($A$1:$A$3=公区维修!$F220)+($A$1:$A$3=公区维修!$G220)+$BN$1:$BN$3&gt;0)))</f>
        <v>2</v>
      </c>
      <c r="AV220" s="0" t="n">
        <f aca="false">IF(OR($A$4=公区维修!$F220,$A$4=公区维修!$G220,$BN$4=1),0,4-SUMPRODUCT(--(($A$1:$A$4=公区维修!$F220)+($A$1:$A$4=公区维修!$G220)+$BN$1:$BN$4&gt;0)))</f>
        <v>3</v>
      </c>
      <c r="AW220" s="0" t="n">
        <f aca="false">IF(OR($A$5=公区维修!$F220,$A$5=公区维修!$G220,$BN$5=1),0,5-SUMPRODUCT(--(($A$1:$A$5=公区维修!$F220)+($A$1:$A$5=公区维修!$G220)+$BN$1:$BN$5&gt;0)))</f>
        <v>4</v>
      </c>
      <c r="AY220" s="0" t="str">
        <f aca="false">IFERROR(INDEX($A$1:$A$5,MATCH(1,$AS220:$AW220,0)),IF(1=MAX($AS220:$AW220)+1,"取消",""))</f>
        <v>李师傅</v>
      </c>
      <c r="AZ220" s="0" t="str">
        <f aca="false">IFERROR(INDEX($A$1:$A$5,MATCH(2,$AS220:$AW220,0)),IF(2=MAX($AS220:$AW220)+1,"取消",""))</f>
        <v>王师傅</v>
      </c>
      <c r="BA220" s="0" t="str">
        <f aca="false">IFERROR(INDEX($A$1:$A$5,MATCH(3,$AS220:$AW220,0)),IF(3=MAX($AS220:$AW220)+1,"取消",""))</f>
        <v>陈师傅</v>
      </c>
      <c r="BB220" s="0" t="str">
        <f aca="false">IFERROR(INDEX($A$1:$A$5,MATCH(4,$AS220:$AW220,0)),IF(4=MAX($AS220:$AW220)+1,"取消",""))</f>
        <v>刘师傅</v>
      </c>
      <c r="BC220" s="0" t="str">
        <f aca="false">IFERROR(INDEX($A$1:$A$5,MATCH(5,$AS220:$AW220,0)),IF(5=MAX($AS220:$AW220)+1,"取消",""))</f>
        <v>取消</v>
      </c>
      <c r="BD220" s="0" t="str">
        <f aca="false">IFERROR(INDEX($A$1:$A$5,MATCH(6,$AS220:$AW220,0)),IF(6=MAX($AS220:$AW220)+1,"取消",""))</f>
        <v/>
      </c>
      <c r="FW220" s="0" t="str">
        <f aca="false">IF(AND(单元查询!$D$3&lt;&gt;"",IF(单元查询!$B$3="公区维修",公区维修!$E220&lt;&gt;"",入户维修!$E220&lt;&gt;""),IF(单元查询!$B$3="公区维修",公区维修!$C220,入户维修!$C220)=单元查询!$D$3,OR(单元查询!$F$3="",IF(单元查询!$B$3="公区维修",公区维修!$D220,入户维修!$D220)&amp;""=(单元查询!$F$3)&amp;"")),MAX($FW$4:$FW219)+1,"")</f>
        <v/>
      </c>
    </row>
    <row r="221" customFormat="false" ht="15" hidden="false" customHeight="true" outlineLevel="0" collapsed="false">
      <c r="F221" s="0" t="n">
        <f aca="false">IF(OR($A$1=入户维修!$F221,$BN$1=1),0,1-SUMPRODUCT(--(($A$1=入户维修!$F221)+$BN$1&gt;0)))</f>
        <v>0</v>
      </c>
      <c r="G221" s="0" t="n">
        <f aca="false">IF(OR($A$2=入户维修!$F221,$BN$2=1),0,2-SUMPRODUCT(--(($A$1:$A$2=入户维修!$F221)+$BN$1:$BN$2&gt;0)))</f>
        <v>1</v>
      </c>
      <c r="H221" s="0" t="n">
        <f aca="false">IF(OR($A$3=入户维修!$F221,$BN$3=1),0,3-SUMPRODUCT(--(($A$1:$A$3=入户维修!$F221)+$BN$1:$BN$3&gt;0)))</f>
        <v>2</v>
      </c>
      <c r="I221" s="0" t="n">
        <f aca="false">IF(OR($A$4=入户维修!$F221,$BN$4=1),0,4-SUMPRODUCT(--(($A$1:$A$4=入户维修!$F221)+$BN$1:$BN$4&gt;0)))</f>
        <v>3</v>
      </c>
      <c r="J221" s="0" t="n">
        <f aca="false">IF(OR($A$5=入户维修!$F221,$BN$5=1),0,5-SUMPRODUCT(--(($A$1:$A$5=入户维修!$F221)+$BN$1:$BN$5&gt;0)))</f>
        <v>4</v>
      </c>
      <c r="L221" s="0" t="str">
        <f aca="false">IFERROR(INDEX($A$1:$A$5,MATCH(1,$F221:$J221,0)),IF(1=MAX($F221:$J221)+1,"取消",""))</f>
        <v>李师傅</v>
      </c>
      <c r="M221" s="0" t="str">
        <f aca="false">IFERROR(INDEX($A$1:$A$5,MATCH(2,$F221:$J221,0)),IF(2=MAX($F221:$J221)+1,"取消",""))</f>
        <v>王师傅</v>
      </c>
      <c r="N221" s="0" t="str">
        <f aca="false">IFERROR(INDEX($A$1:$A$5,MATCH(3,$F221:$J221,0)),IF(3=MAX($F221:$J221)+1,"取消",""))</f>
        <v>陈师傅</v>
      </c>
      <c r="O221" s="0" t="str">
        <f aca="false">IFERROR(INDEX($A$1:$A$5,MATCH(4,$F221:$J221,0)),IF(4=MAX($F221:$J221)+1,"取消",""))</f>
        <v>刘师傅</v>
      </c>
      <c r="P221" s="0" t="str">
        <f aca="false">IFERROR(INDEX($A$1:$A$5,MATCH(5,$F221:$J221,0)),IF(5=MAX($F221:$J221)+1,"取消",""))</f>
        <v>取消</v>
      </c>
      <c r="Q221" s="0" t="str">
        <f aca="false">IFERROR(INDEX($A$1:$A$5,MATCH(6,$F221:$J221,0)),IF(6=MAX($F221:$J221)+1,"取消",""))</f>
        <v/>
      </c>
      <c r="S221" s="0" t="n">
        <f aca="false">IF(OR($A$1=入户维修!$F221,$A$1=入户维修!$G221,$BN$1=1),0,1-SUMPRODUCT(--(($A$1=入户维修!$F221)+($A$1=入户维修!$G221)+$BN$1&gt;0)))</f>
        <v>0</v>
      </c>
      <c r="T221" s="0" t="n">
        <f aca="false">IF(OR($A$2=入户维修!$F221,$A$2=入户维修!$G221,$BN$2=1),0,2-SUMPRODUCT(--(($A$1:$A$2=入户维修!$F221)+($A$1:$A$2=入户维修!$G221)+$BN$1:$BN$2&gt;0)))</f>
        <v>1</v>
      </c>
      <c r="U221" s="0" t="n">
        <f aca="false">IF(OR($A$3=入户维修!$F221,$A$3=入户维修!$G221,$BN$3=1),0,3-SUMPRODUCT(--(($A$1:$A$3=入户维修!$F221)+($A$1:$A$3=入户维修!$G221)+$BN$1:$BN$3&gt;0)))</f>
        <v>2</v>
      </c>
      <c r="V221" s="0" t="n">
        <f aca="false">IF(OR($A$4=入户维修!$F221,$A$4=入户维修!$G221,$BN$4=1),0,4-SUMPRODUCT(--(($A$1:$A$4=入户维修!$F221)+($A$1:$A$4=入户维修!$G221)+$BN$1:$BN$4&gt;0)))</f>
        <v>3</v>
      </c>
      <c r="W221" s="0" t="n">
        <f aca="false">IF(OR($A$5=入户维修!$F221,$A$5=入户维修!$G221,$BN$5=1),0,5-SUMPRODUCT(--(($A$1:$A$5=入户维修!$F221)+($A$1:$A$5=入户维修!$G221)+$BN$1:$BN$5&gt;0)))</f>
        <v>4</v>
      </c>
      <c r="Y221" s="0" t="str">
        <f aca="false">IFERROR(INDEX($A$1:$A$5,MATCH(1,$S221:$W221,0)),IF(1=MAX($S221:$W221)+1,"取消",""))</f>
        <v>李师傅</v>
      </c>
      <c r="Z221" s="0" t="str">
        <f aca="false">IFERROR(INDEX($A$1:$A$5,MATCH(2,$S221:$W221,0)),IF(2=MAX($S221:$W221)+1,"取消",""))</f>
        <v>王师傅</v>
      </c>
      <c r="AA221" s="0" t="str">
        <f aca="false">IFERROR(INDEX($A$1:$A$5,MATCH(3,$S221:$W221,0)),IF(3=MAX($S221:$W221)+1,"取消",""))</f>
        <v>陈师傅</v>
      </c>
      <c r="AB221" s="0" t="str">
        <f aca="false">IFERROR(INDEX($A$1:$A$5,MATCH(4,$S221:$W221,0)),IF(4=MAX($S221:$W221)+1,"取消",""))</f>
        <v>刘师傅</v>
      </c>
      <c r="AC221" s="0" t="str">
        <f aca="false">IFERROR(INDEX($A$1:$A$5,MATCH(5,$S221:$W221,0)),IF(5=MAX($S221:$W221)+1,"取消",""))</f>
        <v>取消</v>
      </c>
      <c r="AD221" s="0" t="str">
        <f aca="false">IFERROR(INDEX($A$1:$A$5,MATCH(6,$S221:$W221,0)),IF(6=MAX($S221:$W221)+1,"取消",""))</f>
        <v/>
      </c>
      <c r="AF221" s="0" t="n">
        <f aca="false">IF(OR($A$1=公区维修!$F221,$BN$1=1),0,1-SUMPRODUCT(--(($A$1=公区维修!$F221)+$BN$1&gt;0)))</f>
        <v>0</v>
      </c>
      <c r="AG221" s="0" t="n">
        <f aca="false">IF(OR($A$2=公区维修!$F221,$BN$2=1),0,2-SUMPRODUCT(--(($A$1:$A$2=公区维修!$F221)+$BN$1:$BN$2&gt;0)))</f>
        <v>1</v>
      </c>
      <c r="AH221" s="0" t="n">
        <f aca="false">IF(OR($A$3=公区维修!$F221,$BN$3=1),0,3-SUMPRODUCT(--(($A$1:$A$3=公区维修!$F221)+$BN$1:$BN$3&gt;0)))</f>
        <v>2</v>
      </c>
      <c r="AI221" s="0" t="n">
        <f aca="false">IF(OR($A$4=公区维修!$F221,$BN$4=1),0,4-SUMPRODUCT(--(($A$1:$A$4=公区维修!$F221)+$BN$1:$BN$4&gt;0)))</f>
        <v>3</v>
      </c>
      <c r="AJ221" s="0" t="n">
        <f aca="false">IF(OR($A$5=公区维修!$F221,$BN$5=1),0,5-SUMPRODUCT(--(($A$1:$A$5=公区维修!$F221)+$BN$1:$BN$5&gt;0)))</f>
        <v>4</v>
      </c>
      <c r="AL221" s="0" t="str">
        <f aca="false">IFERROR(INDEX($A$1:$A$5,MATCH(1,$AF221:$AJ221,0)),IF(1=MAX($AF221:$AJ221)+1,"取消",""))</f>
        <v>李师傅</v>
      </c>
      <c r="AM221" s="0" t="str">
        <f aca="false">IFERROR(INDEX($A$1:$A$5,MATCH(2,$AF221:$AJ221,0)),IF(2=MAX($AF221:$AJ221)+1,"取消",""))</f>
        <v>王师傅</v>
      </c>
      <c r="AN221" s="0" t="str">
        <f aca="false">IFERROR(INDEX($A$1:$A$5,MATCH(3,$AF221:$AJ221,0)),IF(3=MAX($AF221:$AJ221)+1,"取消",""))</f>
        <v>陈师傅</v>
      </c>
      <c r="AO221" s="0" t="str">
        <f aca="false">IFERROR(INDEX($A$1:$A$5,MATCH(4,$AF221:$AJ221,0)),IF(4=MAX($AF221:$AJ221)+1,"取消",""))</f>
        <v>刘师傅</v>
      </c>
      <c r="AP221" s="0" t="str">
        <f aca="false">IFERROR(INDEX($A$1:$A$5,MATCH(5,$AF221:$AJ221,0)),IF(5=MAX($AF221:$AJ221)+1,"取消",""))</f>
        <v>取消</v>
      </c>
      <c r="AQ221" s="0" t="str">
        <f aca="false">IFERROR(INDEX($A$1:$A$5,MATCH(6,$AF221:$AJ221,0)),IF(6=MAX($AF221:$AJ221)+1,"取消",""))</f>
        <v/>
      </c>
      <c r="AS221" s="0" t="n">
        <f aca="false">IF(OR($A$1=公区维修!$F221,$A$1=公区维修!$G221,$BN$1=1),0,1-SUMPRODUCT(--(($A$1=公区维修!$F221)+($A$1=公区维修!$G221)+$BN$1&gt;0)))</f>
        <v>0</v>
      </c>
      <c r="AT221" s="0" t="n">
        <f aca="false">IF(OR($A$2=公区维修!$F221,$A$2=公区维修!$G221,$BN$2=1),0,2-SUMPRODUCT(--(($A$1:$A$2=公区维修!$F221)+($A$1:$A$2=公区维修!$G221)+$BN$1:$BN$2&gt;0)))</f>
        <v>1</v>
      </c>
      <c r="AU221" s="0" t="n">
        <f aca="false">IF(OR($A$3=公区维修!$F221,$A$3=公区维修!$G221,$BN$3=1),0,3-SUMPRODUCT(--(($A$1:$A$3=公区维修!$F221)+($A$1:$A$3=公区维修!$G221)+$BN$1:$BN$3&gt;0)))</f>
        <v>2</v>
      </c>
      <c r="AV221" s="0" t="n">
        <f aca="false">IF(OR($A$4=公区维修!$F221,$A$4=公区维修!$G221,$BN$4=1),0,4-SUMPRODUCT(--(($A$1:$A$4=公区维修!$F221)+($A$1:$A$4=公区维修!$G221)+$BN$1:$BN$4&gt;0)))</f>
        <v>3</v>
      </c>
      <c r="AW221" s="0" t="n">
        <f aca="false">IF(OR($A$5=公区维修!$F221,$A$5=公区维修!$G221,$BN$5=1),0,5-SUMPRODUCT(--(($A$1:$A$5=公区维修!$F221)+($A$1:$A$5=公区维修!$G221)+$BN$1:$BN$5&gt;0)))</f>
        <v>4</v>
      </c>
      <c r="AY221" s="0" t="str">
        <f aca="false">IFERROR(INDEX($A$1:$A$5,MATCH(1,$AS221:$AW221,0)),IF(1=MAX($AS221:$AW221)+1,"取消",""))</f>
        <v>李师傅</v>
      </c>
      <c r="AZ221" s="0" t="str">
        <f aca="false">IFERROR(INDEX($A$1:$A$5,MATCH(2,$AS221:$AW221,0)),IF(2=MAX($AS221:$AW221)+1,"取消",""))</f>
        <v>王师傅</v>
      </c>
      <c r="BA221" s="0" t="str">
        <f aca="false">IFERROR(INDEX($A$1:$A$5,MATCH(3,$AS221:$AW221,0)),IF(3=MAX($AS221:$AW221)+1,"取消",""))</f>
        <v>陈师傅</v>
      </c>
      <c r="BB221" s="0" t="str">
        <f aca="false">IFERROR(INDEX($A$1:$A$5,MATCH(4,$AS221:$AW221,0)),IF(4=MAX($AS221:$AW221)+1,"取消",""))</f>
        <v>刘师傅</v>
      </c>
      <c r="BC221" s="0" t="str">
        <f aca="false">IFERROR(INDEX($A$1:$A$5,MATCH(5,$AS221:$AW221,0)),IF(5=MAX($AS221:$AW221)+1,"取消",""))</f>
        <v>取消</v>
      </c>
      <c r="BD221" s="0" t="str">
        <f aca="false">IFERROR(INDEX($A$1:$A$5,MATCH(6,$AS221:$AW221,0)),IF(6=MAX($AS221:$AW221)+1,"取消",""))</f>
        <v/>
      </c>
      <c r="FW221" s="0" t="str">
        <f aca="false">IF(AND(单元查询!$D$3&lt;&gt;"",IF(单元查询!$B$3="公区维修",公区维修!$E221&lt;&gt;"",入户维修!$E221&lt;&gt;""),IF(单元查询!$B$3="公区维修",公区维修!$C221,入户维修!$C221)=单元查询!$D$3,OR(单元查询!$F$3="",IF(单元查询!$B$3="公区维修",公区维修!$D221,入户维修!$D221)&amp;""=(单元查询!$F$3)&amp;"")),MAX($FW$4:$FW220)+1,"")</f>
        <v/>
      </c>
    </row>
    <row r="222" customFormat="false" ht="15" hidden="false" customHeight="true" outlineLevel="0" collapsed="false">
      <c r="F222" s="0" t="n">
        <f aca="false">IF(OR($A$1=入户维修!$F222,$BN$1=1),0,1-SUMPRODUCT(--(($A$1=入户维修!$F222)+$BN$1&gt;0)))</f>
        <v>0</v>
      </c>
      <c r="G222" s="0" t="n">
        <f aca="false">IF(OR($A$2=入户维修!$F222,$BN$2=1),0,2-SUMPRODUCT(--(($A$1:$A$2=入户维修!$F222)+$BN$1:$BN$2&gt;0)))</f>
        <v>1</v>
      </c>
      <c r="H222" s="0" t="n">
        <f aca="false">IF(OR($A$3=入户维修!$F222,$BN$3=1),0,3-SUMPRODUCT(--(($A$1:$A$3=入户维修!$F222)+$BN$1:$BN$3&gt;0)))</f>
        <v>2</v>
      </c>
      <c r="I222" s="0" t="n">
        <f aca="false">IF(OR($A$4=入户维修!$F222,$BN$4=1),0,4-SUMPRODUCT(--(($A$1:$A$4=入户维修!$F222)+$BN$1:$BN$4&gt;0)))</f>
        <v>3</v>
      </c>
      <c r="J222" s="0" t="n">
        <f aca="false">IF(OR($A$5=入户维修!$F222,$BN$5=1),0,5-SUMPRODUCT(--(($A$1:$A$5=入户维修!$F222)+$BN$1:$BN$5&gt;0)))</f>
        <v>4</v>
      </c>
      <c r="L222" s="0" t="str">
        <f aca="false">IFERROR(INDEX($A$1:$A$5,MATCH(1,$F222:$J222,0)),IF(1=MAX($F222:$J222)+1,"取消",""))</f>
        <v>李师傅</v>
      </c>
      <c r="M222" s="0" t="str">
        <f aca="false">IFERROR(INDEX($A$1:$A$5,MATCH(2,$F222:$J222,0)),IF(2=MAX($F222:$J222)+1,"取消",""))</f>
        <v>王师傅</v>
      </c>
      <c r="N222" s="0" t="str">
        <f aca="false">IFERROR(INDEX($A$1:$A$5,MATCH(3,$F222:$J222,0)),IF(3=MAX($F222:$J222)+1,"取消",""))</f>
        <v>陈师傅</v>
      </c>
      <c r="O222" s="0" t="str">
        <f aca="false">IFERROR(INDEX($A$1:$A$5,MATCH(4,$F222:$J222,0)),IF(4=MAX($F222:$J222)+1,"取消",""))</f>
        <v>刘师傅</v>
      </c>
      <c r="P222" s="0" t="str">
        <f aca="false">IFERROR(INDEX($A$1:$A$5,MATCH(5,$F222:$J222,0)),IF(5=MAX($F222:$J222)+1,"取消",""))</f>
        <v>取消</v>
      </c>
      <c r="Q222" s="0" t="str">
        <f aca="false">IFERROR(INDEX($A$1:$A$5,MATCH(6,$F222:$J222,0)),IF(6=MAX($F222:$J222)+1,"取消",""))</f>
        <v/>
      </c>
      <c r="S222" s="0" t="n">
        <f aca="false">IF(OR($A$1=入户维修!$F222,$A$1=入户维修!$G222,$BN$1=1),0,1-SUMPRODUCT(--(($A$1=入户维修!$F222)+($A$1=入户维修!$G222)+$BN$1&gt;0)))</f>
        <v>0</v>
      </c>
      <c r="T222" s="0" t="n">
        <f aca="false">IF(OR($A$2=入户维修!$F222,$A$2=入户维修!$G222,$BN$2=1),0,2-SUMPRODUCT(--(($A$1:$A$2=入户维修!$F222)+($A$1:$A$2=入户维修!$G222)+$BN$1:$BN$2&gt;0)))</f>
        <v>1</v>
      </c>
      <c r="U222" s="0" t="n">
        <f aca="false">IF(OR($A$3=入户维修!$F222,$A$3=入户维修!$G222,$BN$3=1),0,3-SUMPRODUCT(--(($A$1:$A$3=入户维修!$F222)+($A$1:$A$3=入户维修!$G222)+$BN$1:$BN$3&gt;0)))</f>
        <v>2</v>
      </c>
      <c r="V222" s="0" t="n">
        <f aca="false">IF(OR($A$4=入户维修!$F222,$A$4=入户维修!$G222,$BN$4=1),0,4-SUMPRODUCT(--(($A$1:$A$4=入户维修!$F222)+($A$1:$A$4=入户维修!$G222)+$BN$1:$BN$4&gt;0)))</f>
        <v>3</v>
      </c>
      <c r="W222" s="0" t="n">
        <f aca="false">IF(OR($A$5=入户维修!$F222,$A$5=入户维修!$G222,$BN$5=1),0,5-SUMPRODUCT(--(($A$1:$A$5=入户维修!$F222)+($A$1:$A$5=入户维修!$G222)+$BN$1:$BN$5&gt;0)))</f>
        <v>4</v>
      </c>
      <c r="Y222" s="0" t="str">
        <f aca="false">IFERROR(INDEX($A$1:$A$5,MATCH(1,$S222:$W222,0)),IF(1=MAX($S222:$W222)+1,"取消",""))</f>
        <v>李师傅</v>
      </c>
      <c r="Z222" s="0" t="str">
        <f aca="false">IFERROR(INDEX($A$1:$A$5,MATCH(2,$S222:$W222,0)),IF(2=MAX($S222:$W222)+1,"取消",""))</f>
        <v>王师傅</v>
      </c>
      <c r="AA222" s="0" t="str">
        <f aca="false">IFERROR(INDEX($A$1:$A$5,MATCH(3,$S222:$W222,0)),IF(3=MAX($S222:$W222)+1,"取消",""))</f>
        <v>陈师傅</v>
      </c>
      <c r="AB222" s="0" t="str">
        <f aca="false">IFERROR(INDEX($A$1:$A$5,MATCH(4,$S222:$W222,0)),IF(4=MAX($S222:$W222)+1,"取消",""))</f>
        <v>刘师傅</v>
      </c>
      <c r="AC222" s="0" t="str">
        <f aca="false">IFERROR(INDEX($A$1:$A$5,MATCH(5,$S222:$W222,0)),IF(5=MAX($S222:$W222)+1,"取消",""))</f>
        <v>取消</v>
      </c>
      <c r="AD222" s="0" t="str">
        <f aca="false">IFERROR(INDEX($A$1:$A$5,MATCH(6,$S222:$W222,0)),IF(6=MAX($S222:$W222)+1,"取消",""))</f>
        <v/>
      </c>
      <c r="AF222" s="0" t="n">
        <f aca="false">IF(OR($A$1=公区维修!$F222,$BN$1=1),0,1-SUMPRODUCT(--(($A$1=公区维修!$F222)+$BN$1&gt;0)))</f>
        <v>0</v>
      </c>
      <c r="AG222" s="0" t="n">
        <f aca="false">IF(OR($A$2=公区维修!$F222,$BN$2=1),0,2-SUMPRODUCT(--(($A$1:$A$2=公区维修!$F222)+$BN$1:$BN$2&gt;0)))</f>
        <v>1</v>
      </c>
      <c r="AH222" s="0" t="n">
        <f aca="false">IF(OR($A$3=公区维修!$F222,$BN$3=1),0,3-SUMPRODUCT(--(($A$1:$A$3=公区维修!$F222)+$BN$1:$BN$3&gt;0)))</f>
        <v>2</v>
      </c>
      <c r="AI222" s="0" t="n">
        <f aca="false">IF(OR($A$4=公区维修!$F222,$BN$4=1),0,4-SUMPRODUCT(--(($A$1:$A$4=公区维修!$F222)+$BN$1:$BN$4&gt;0)))</f>
        <v>3</v>
      </c>
      <c r="AJ222" s="0" t="n">
        <f aca="false">IF(OR($A$5=公区维修!$F222,$BN$5=1),0,5-SUMPRODUCT(--(($A$1:$A$5=公区维修!$F222)+$BN$1:$BN$5&gt;0)))</f>
        <v>4</v>
      </c>
      <c r="AL222" s="0" t="str">
        <f aca="false">IFERROR(INDEX($A$1:$A$5,MATCH(1,$AF222:$AJ222,0)),IF(1=MAX($AF222:$AJ222)+1,"取消",""))</f>
        <v>李师傅</v>
      </c>
      <c r="AM222" s="0" t="str">
        <f aca="false">IFERROR(INDEX($A$1:$A$5,MATCH(2,$AF222:$AJ222,0)),IF(2=MAX($AF222:$AJ222)+1,"取消",""))</f>
        <v>王师傅</v>
      </c>
      <c r="AN222" s="0" t="str">
        <f aca="false">IFERROR(INDEX($A$1:$A$5,MATCH(3,$AF222:$AJ222,0)),IF(3=MAX($AF222:$AJ222)+1,"取消",""))</f>
        <v>陈师傅</v>
      </c>
      <c r="AO222" s="0" t="str">
        <f aca="false">IFERROR(INDEX($A$1:$A$5,MATCH(4,$AF222:$AJ222,0)),IF(4=MAX($AF222:$AJ222)+1,"取消",""))</f>
        <v>刘师傅</v>
      </c>
      <c r="AP222" s="0" t="str">
        <f aca="false">IFERROR(INDEX($A$1:$A$5,MATCH(5,$AF222:$AJ222,0)),IF(5=MAX($AF222:$AJ222)+1,"取消",""))</f>
        <v>取消</v>
      </c>
      <c r="AQ222" s="0" t="str">
        <f aca="false">IFERROR(INDEX($A$1:$A$5,MATCH(6,$AF222:$AJ222,0)),IF(6=MAX($AF222:$AJ222)+1,"取消",""))</f>
        <v/>
      </c>
      <c r="AS222" s="0" t="n">
        <f aca="false">IF(OR($A$1=公区维修!$F222,$A$1=公区维修!$G222,$BN$1=1),0,1-SUMPRODUCT(--(($A$1=公区维修!$F222)+($A$1=公区维修!$G222)+$BN$1&gt;0)))</f>
        <v>0</v>
      </c>
      <c r="AT222" s="0" t="n">
        <f aca="false">IF(OR($A$2=公区维修!$F222,$A$2=公区维修!$G222,$BN$2=1),0,2-SUMPRODUCT(--(($A$1:$A$2=公区维修!$F222)+($A$1:$A$2=公区维修!$G222)+$BN$1:$BN$2&gt;0)))</f>
        <v>1</v>
      </c>
      <c r="AU222" s="0" t="n">
        <f aca="false">IF(OR($A$3=公区维修!$F222,$A$3=公区维修!$G222,$BN$3=1),0,3-SUMPRODUCT(--(($A$1:$A$3=公区维修!$F222)+($A$1:$A$3=公区维修!$G222)+$BN$1:$BN$3&gt;0)))</f>
        <v>2</v>
      </c>
      <c r="AV222" s="0" t="n">
        <f aca="false">IF(OR($A$4=公区维修!$F222,$A$4=公区维修!$G222,$BN$4=1),0,4-SUMPRODUCT(--(($A$1:$A$4=公区维修!$F222)+($A$1:$A$4=公区维修!$G222)+$BN$1:$BN$4&gt;0)))</f>
        <v>3</v>
      </c>
      <c r="AW222" s="0" t="n">
        <f aca="false">IF(OR($A$5=公区维修!$F222,$A$5=公区维修!$G222,$BN$5=1),0,5-SUMPRODUCT(--(($A$1:$A$5=公区维修!$F222)+($A$1:$A$5=公区维修!$G222)+$BN$1:$BN$5&gt;0)))</f>
        <v>4</v>
      </c>
      <c r="AY222" s="0" t="str">
        <f aca="false">IFERROR(INDEX($A$1:$A$5,MATCH(1,$AS222:$AW222,0)),IF(1=MAX($AS222:$AW222)+1,"取消",""))</f>
        <v>李师傅</v>
      </c>
      <c r="AZ222" s="0" t="str">
        <f aca="false">IFERROR(INDEX($A$1:$A$5,MATCH(2,$AS222:$AW222,0)),IF(2=MAX($AS222:$AW222)+1,"取消",""))</f>
        <v>王师傅</v>
      </c>
      <c r="BA222" s="0" t="str">
        <f aca="false">IFERROR(INDEX($A$1:$A$5,MATCH(3,$AS222:$AW222,0)),IF(3=MAX($AS222:$AW222)+1,"取消",""))</f>
        <v>陈师傅</v>
      </c>
      <c r="BB222" s="0" t="str">
        <f aca="false">IFERROR(INDEX($A$1:$A$5,MATCH(4,$AS222:$AW222,0)),IF(4=MAX($AS222:$AW222)+1,"取消",""))</f>
        <v>刘师傅</v>
      </c>
      <c r="BC222" s="0" t="str">
        <f aca="false">IFERROR(INDEX($A$1:$A$5,MATCH(5,$AS222:$AW222,0)),IF(5=MAX($AS222:$AW222)+1,"取消",""))</f>
        <v>取消</v>
      </c>
      <c r="BD222" s="0" t="str">
        <f aca="false">IFERROR(INDEX($A$1:$A$5,MATCH(6,$AS222:$AW222,0)),IF(6=MAX($AS222:$AW222)+1,"取消",""))</f>
        <v/>
      </c>
      <c r="FW222" s="0" t="str">
        <f aca="false">IF(AND(单元查询!$D$3&lt;&gt;"",IF(单元查询!$B$3="公区维修",公区维修!$E222&lt;&gt;"",入户维修!$E222&lt;&gt;""),IF(单元查询!$B$3="公区维修",公区维修!$C222,入户维修!$C222)=单元查询!$D$3,OR(单元查询!$F$3="",IF(单元查询!$B$3="公区维修",公区维修!$D222,入户维修!$D222)&amp;""=(单元查询!$F$3)&amp;"")),MAX($FW$4:$FW221)+1,"")</f>
        <v/>
      </c>
    </row>
    <row r="223" customFormat="false" ht="15" hidden="false" customHeight="true" outlineLevel="0" collapsed="false">
      <c r="F223" s="0" t="n">
        <f aca="false">IF(OR($A$1=入户维修!$F223,$BN$1=1),0,1-SUMPRODUCT(--(($A$1=入户维修!$F223)+$BN$1&gt;0)))</f>
        <v>0</v>
      </c>
      <c r="G223" s="0" t="n">
        <f aca="false">IF(OR($A$2=入户维修!$F223,$BN$2=1),0,2-SUMPRODUCT(--(($A$1:$A$2=入户维修!$F223)+$BN$1:$BN$2&gt;0)))</f>
        <v>1</v>
      </c>
      <c r="H223" s="0" t="n">
        <f aca="false">IF(OR($A$3=入户维修!$F223,$BN$3=1),0,3-SUMPRODUCT(--(($A$1:$A$3=入户维修!$F223)+$BN$1:$BN$3&gt;0)))</f>
        <v>2</v>
      </c>
      <c r="I223" s="0" t="n">
        <f aca="false">IF(OR($A$4=入户维修!$F223,$BN$4=1),0,4-SUMPRODUCT(--(($A$1:$A$4=入户维修!$F223)+$BN$1:$BN$4&gt;0)))</f>
        <v>3</v>
      </c>
      <c r="J223" s="0" t="n">
        <f aca="false">IF(OR($A$5=入户维修!$F223,$BN$5=1),0,5-SUMPRODUCT(--(($A$1:$A$5=入户维修!$F223)+$BN$1:$BN$5&gt;0)))</f>
        <v>4</v>
      </c>
      <c r="L223" s="0" t="str">
        <f aca="false">IFERROR(INDEX($A$1:$A$5,MATCH(1,$F223:$J223,0)),IF(1=MAX($F223:$J223)+1,"取消",""))</f>
        <v>李师傅</v>
      </c>
      <c r="M223" s="0" t="str">
        <f aca="false">IFERROR(INDEX($A$1:$A$5,MATCH(2,$F223:$J223,0)),IF(2=MAX($F223:$J223)+1,"取消",""))</f>
        <v>王师傅</v>
      </c>
      <c r="N223" s="0" t="str">
        <f aca="false">IFERROR(INDEX($A$1:$A$5,MATCH(3,$F223:$J223,0)),IF(3=MAX($F223:$J223)+1,"取消",""))</f>
        <v>陈师傅</v>
      </c>
      <c r="O223" s="0" t="str">
        <f aca="false">IFERROR(INDEX($A$1:$A$5,MATCH(4,$F223:$J223,0)),IF(4=MAX($F223:$J223)+1,"取消",""))</f>
        <v>刘师傅</v>
      </c>
      <c r="P223" s="0" t="str">
        <f aca="false">IFERROR(INDEX($A$1:$A$5,MATCH(5,$F223:$J223,0)),IF(5=MAX($F223:$J223)+1,"取消",""))</f>
        <v>取消</v>
      </c>
      <c r="Q223" s="0" t="str">
        <f aca="false">IFERROR(INDEX($A$1:$A$5,MATCH(6,$F223:$J223,0)),IF(6=MAX($F223:$J223)+1,"取消",""))</f>
        <v/>
      </c>
      <c r="S223" s="0" t="n">
        <f aca="false">IF(OR($A$1=入户维修!$F223,$A$1=入户维修!$G223,$BN$1=1),0,1-SUMPRODUCT(--(($A$1=入户维修!$F223)+($A$1=入户维修!$G223)+$BN$1&gt;0)))</f>
        <v>0</v>
      </c>
      <c r="T223" s="0" t="n">
        <f aca="false">IF(OR($A$2=入户维修!$F223,$A$2=入户维修!$G223,$BN$2=1),0,2-SUMPRODUCT(--(($A$1:$A$2=入户维修!$F223)+($A$1:$A$2=入户维修!$G223)+$BN$1:$BN$2&gt;0)))</f>
        <v>1</v>
      </c>
      <c r="U223" s="0" t="n">
        <f aca="false">IF(OR($A$3=入户维修!$F223,$A$3=入户维修!$G223,$BN$3=1),0,3-SUMPRODUCT(--(($A$1:$A$3=入户维修!$F223)+($A$1:$A$3=入户维修!$G223)+$BN$1:$BN$3&gt;0)))</f>
        <v>2</v>
      </c>
      <c r="V223" s="0" t="n">
        <f aca="false">IF(OR($A$4=入户维修!$F223,$A$4=入户维修!$G223,$BN$4=1),0,4-SUMPRODUCT(--(($A$1:$A$4=入户维修!$F223)+($A$1:$A$4=入户维修!$G223)+$BN$1:$BN$4&gt;0)))</f>
        <v>3</v>
      </c>
      <c r="W223" s="0" t="n">
        <f aca="false">IF(OR($A$5=入户维修!$F223,$A$5=入户维修!$G223,$BN$5=1),0,5-SUMPRODUCT(--(($A$1:$A$5=入户维修!$F223)+($A$1:$A$5=入户维修!$G223)+$BN$1:$BN$5&gt;0)))</f>
        <v>4</v>
      </c>
      <c r="Y223" s="0" t="str">
        <f aca="false">IFERROR(INDEX($A$1:$A$5,MATCH(1,$S223:$W223,0)),IF(1=MAX($S223:$W223)+1,"取消",""))</f>
        <v>李师傅</v>
      </c>
      <c r="Z223" s="0" t="str">
        <f aca="false">IFERROR(INDEX($A$1:$A$5,MATCH(2,$S223:$W223,0)),IF(2=MAX($S223:$W223)+1,"取消",""))</f>
        <v>王师傅</v>
      </c>
      <c r="AA223" s="0" t="str">
        <f aca="false">IFERROR(INDEX($A$1:$A$5,MATCH(3,$S223:$W223,0)),IF(3=MAX($S223:$W223)+1,"取消",""))</f>
        <v>陈师傅</v>
      </c>
      <c r="AB223" s="0" t="str">
        <f aca="false">IFERROR(INDEX($A$1:$A$5,MATCH(4,$S223:$W223,0)),IF(4=MAX($S223:$W223)+1,"取消",""))</f>
        <v>刘师傅</v>
      </c>
      <c r="AC223" s="0" t="str">
        <f aca="false">IFERROR(INDEX($A$1:$A$5,MATCH(5,$S223:$W223,0)),IF(5=MAX($S223:$W223)+1,"取消",""))</f>
        <v>取消</v>
      </c>
      <c r="AD223" s="0" t="str">
        <f aca="false">IFERROR(INDEX($A$1:$A$5,MATCH(6,$S223:$W223,0)),IF(6=MAX($S223:$W223)+1,"取消",""))</f>
        <v/>
      </c>
      <c r="AF223" s="0" t="n">
        <f aca="false">IF(OR($A$1=公区维修!$F223,$BN$1=1),0,1-SUMPRODUCT(--(($A$1=公区维修!$F223)+$BN$1&gt;0)))</f>
        <v>0</v>
      </c>
      <c r="AG223" s="0" t="n">
        <f aca="false">IF(OR($A$2=公区维修!$F223,$BN$2=1),0,2-SUMPRODUCT(--(($A$1:$A$2=公区维修!$F223)+$BN$1:$BN$2&gt;0)))</f>
        <v>1</v>
      </c>
      <c r="AH223" s="0" t="n">
        <f aca="false">IF(OR($A$3=公区维修!$F223,$BN$3=1),0,3-SUMPRODUCT(--(($A$1:$A$3=公区维修!$F223)+$BN$1:$BN$3&gt;0)))</f>
        <v>2</v>
      </c>
      <c r="AI223" s="0" t="n">
        <f aca="false">IF(OR($A$4=公区维修!$F223,$BN$4=1),0,4-SUMPRODUCT(--(($A$1:$A$4=公区维修!$F223)+$BN$1:$BN$4&gt;0)))</f>
        <v>3</v>
      </c>
      <c r="AJ223" s="0" t="n">
        <f aca="false">IF(OR($A$5=公区维修!$F223,$BN$5=1),0,5-SUMPRODUCT(--(($A$1:$A$5=公区维修!$F223)+$BN$1:$BN$5&gt;0)))</f>
        <v>4</v>
      </c>
      <c r="AL223" s="0" t="str">
        <f aca="false">IFERROR(INDEX($A$1:$A$5,MATCH(1,$AF223:$AJ223,0)),IF(1=MAX($AF223:$AJ223)+1,"取消",""))</f>
        <v>李师傅</v>
      </c>
      <c r="AM223" s="0" t="str">
        <f aca="false">IFERROR(INDEX($A$1:$A$5,MATCH(2,$AF223:$AJ223,0)),IF(2=MAX($AF223:$AJ223)+1,"取消",""))</f>
        <v>王师傅</v>
      </c>
      <c r="AN223" s="0" t="str">
        <f aca="false">IFERROR(INDEX($A$1:$A$5,MATCH(3,$AF223:$AJ223,0)),IF(3=MAX($AF223:$AJ223)+1,"取消",""))</f>
        <v>陈师傅</v>
      </c>
      <c r="AO223" s="0" t="str">
        <f aca="false">IFERROR(INDEX($A$1:$A$5,MATCH(4,$AF223:$AJ223,0)),IF(4=MAX($AF223:$AJ223)+1,"取消",""))</f>
        <v>刘师傅</v>
      </c>
      <c r="AP223" s="0" t="str">
        <f aca="false">IFERROR(INDEX($A$1:$A$5,MATCH(5,$AF223:$AJ223,0)),IF(5=MAX($AF223:$AJ223)+1,"取消",""))</f>
        <v>取消</v>
      </c>
      <c r="AQ223" s="0" t="str">
        <f aca="false">IFERROR(INDEX($A$1:$A$5,MATCH(6,$AF223:$AJ223,0)),IF(6=MAX($AF223:$AJ223)+1,"取消",""))</f>
        <v/>
      </c>
      <c r="AS223" s="0" t="n">
        <f aca="false">IF(OR($A$1=公区维修!$F223,$A$1=公区维修!$G223,$BN$1=1),0,1-SUMPRODUCT(--(($A$1=公区维修!$F223)+($A$1=公区维修!$G223)+$BN$1&gt;0)))</f>
        <v>0</v>
      </c>
      <c r="AT223" s="0" t="n">
        <f aca="false">IF(OR($A$2=公区维修!$F223,$A$2=公区维修!$G223,$BN$2=1),0,2-SUMPRODUCT(--(($A$1:$A$2=公区维修!$F223)+($A$1:$A$2=公区维修!$G223)+$BN$1:$BN$2&gt;0)))</f>
        <v>1</v>
      </c>
      <c r="AU223" s="0" t="n">
        <f aca="false">IF(OR($A$3=公区维修!$F223,$A$3=公区维修!$G223,$BN$3=1),0,3-SUMPRODUCT(--(($A$1:$A$3=公区维修!$F223)+($A$1:$A$3=公区维修!$G223)+$BN$1:$BN$3&gt;0)))</f>
        <v>2</v>
      </c>
      <c r="AV223" s="0" t="n">
        <f aca="false">IF(OR($A$4=公区维修!$F223,$A$4=公区维修!$G223,$BN$4=1),0,4-SUMPRODUCT(--(($A$1:$A$4=公区维修!$F223)+($A$1:$A$4=公区维修!$G223)+$BN$1:$BN$4&gt;0)))</f>
        <v>3</v>
      </c>
      <c r="AW223" s="0" t="n">
        <f aca="false">IF(OR($A$5=公区维修!$F223,$A$5=公区维修!$G223,$BN$5=1),0,5-SUMPRODUCT(--(($A$1:$A$5=公区维修!$F223)+($A$1:$A$5=公区维修!$G223)+$BN$1:$BN$5&gt;0)))</f>
        <v>4</v>
      </c>
      <c r="AY223" s="0" t="str">
        <f aca="false">IFERROR(INDEX($A$1:$A$5,MATCH(1,$AS223:$AW223,0)),IF(1=MAX($AS223:$AW223)+1,"取消",""))</f>
        <v>李师傅</v>
      </c>
      <c r="AZ223" s="0" t="str">
        <f aca="false">IFERROR(INDEX($A$1:$A$5,MATCH(2,$AS223:$AW223,0)),IF(2=MAX($AS223:$AW223)+1,"取消",""))</f>
        <v>王师傅</v>
      </c>
      <c r="BA223" s="0" t="str">
        <f aca="false">IFERROR(INDEX($A$1:$A$5,MATCH(3,$AS223:$AW223,0)),IF(3=MAX($AS223:$AW223)+1,"取消",""))</f>
        <v>陈师傅</v>
      </c>
      <c r="BB223" s="0" t="str">
        <f aca="false">IFERROR(INDEX($A$1:$A$5,MATCH(4,$AS223:$AW223,0)),IF(4=MAX($AS223:$AW223)+1,"取消",""))</f>
        <v>刘师傅</v>
      </c>
      <c r="BC223" s="0" t="str">
        <f aca="false">IFERROR(INDEX($A$1:$A$5,MATCH(5,$AS223:$AW223,0)),IF(5=MAX($AS223:$AW223)+1,"取消",""))</f>
        <v>取消</v>
      </c>
      <c r="BD223" s="0" t="str">
        <f aca="false">IFERROR(INDEX($A$1:$A$5,MATCH(6,$AS223:$AW223,0)),IF(6=MAX($AS223:$AW223)+1,"取消",""))</f>
        <v/>
      </c>
      <c r="FW223" s="0" t="str">
        <f aca="false">IF(AND(单元查询!$D$3&lt;&gt;"",IF(单元查询!$B$3="公区维修",公区维修!$E223&lt;&gt;"",入户维修!$E223&lt;&gt;""),IF(单元查询!$B$3="公区维修",公区维修!$C223,入户维修!$C223)=单元查询!$D$3,OR(单元查询!$F$3="",IF(单元查询!$B$3="公区维修",公区维修!$D223,入户维修!$D223)&amp;""=(单元查询!$F$3)&amp;"")),MAX($FW$4:$FW222)+1,"")</f>
        <v/>
      </c>
    </row>
    <row r="224" customFormat="false" ht="15" hidden="false" customHeight="true" outlineLevel="0" collapsed="false">
      <c r="F224" s="0" t="n">
        <f aca="false">IF(OR($A$1=入户维修!$F224,$BN$1=1),0,1-SUMPRODUCT(--(($A$1=入户维修!$F224)+$BN$1&gt;0)))</f>
        <v>0</v>
      </c>
      <c r="G224" s="0" t="n">
        <f aca="false">IF(OR($A$2=入户维修!$F224,$BN$2=1),0,2-SUMPRODUCT(--(($A$1:$A$2=入户维修!$F224)+$BN$1:$BN$2&gt;0)))</f>
        <v>1</v>
      </c>
      <c r="H224" s="0" t="n">
        <f aca="false">IF(OR($A$3=入户维修!$F224,$BN$3=1),0,3-SUMPRODUCT(--(($A$1:$A$3=入户维修!$F224)+$BN$1:$BN$3&gt;0)))</f>
        <v>2</v>
      </c>
      <c r="I224" s="0" t="n">
        <f aca="false">IF(OR($A$4=入户维修!$F224,$BN$4=1),0,4-SUMPRODUCT(--(($A$1:$A$4=入户维修!$F224)+$BN$1:$BN$4&gt;0)))</f>
        <v>3</v>
      </c>
      <c r="J224" s="0" t="n">
        <f aca="false">IF(OR($A$5=入户维修!$F224,$BN$5=1),0,5-SUMPRODUCT(--(($A$1:$A$5=入户维修!$F224)+$BN$1:$BN$5&gt;0)))</f>
        <v>4</v>
      </c>
      <c r="L224" s="0" t="str">
        <f aca="false">IFERROR(INDEX($A$1:$A$5,MATCH(1,$F224:$J224,0)),IF(1=MAX($F224:$J224)+1,"取消",""))</f>
        <v>李师傅</v>
      </c>
      <c r="M224" s="0" t="str">
        <f aca="false">IFERROR(INDEX($A$1:$A$5,MATCH(2,$F224:$J224,0)),IF(2=MAX($F224:$J224)+1,"取消",""))</f>
        <v>王师傅</v>
      </c>
      <c r="N224" s="0" t="str">
        <f aca="false">IFERROR(INDEX($A$1:$A$5,MATCH(3,$F224:$J224,0)),IF(3=MAX($F224:$J224)+1,"取消",""))</f>
        <v>陈师傅</v>
      </c>
      <c r="O224" s="0" t="str">
        <f aca="false">IFERROR(INDEX($A$1:$A$5,MATCH(4,$F224:$J224,0)),IF(4=MAX($F224:$J224)+1,"取消",""))</f>
        <v>刘师傅</v>
      </c>
      <c r="P224" s="0" t="str">
        <f aca="false">IFERROR(INDEX($A$1:$A$5,MATCH(5,$F224:$J224,0)),IF(5=MAX($F224:$J224)+1,"取消",""))</f>
        <v>取消</v>
      </c>
      <c r="Q224" s="0" t="str">
        <f aca="false">IFERROR(INDEX($A$1:$A$5,MATCH(6,$F224:$J224,0)),IF(6=MAX($F224:$J224)+1,"取消",""))</f>
        <v/>
      </c>
      <c r="S224" s="0" t="n">
        <f aca="false">IF(OR($A$1=入户维修!$F224,$A$1=入户维修!$G224,$BN$1=1),0,1-SUMPRODUCT(--(($A$1=入户维修!$F224)+($A$1=入户维修!$G224)+$BN$1&gt;0)))</f>
        <v>0</v>
      </c>
      <c r="T224" s="0" t="n">
        <f aca="false">IF(OR($A$2=入户维修!$F224,$A$2=入户维修!$G224,$BN$2=1),0,2-SUMPRODUCT(--(($A$1:$A$2=入户维修!$F224)+($A$1:$A$2=入户维修!$G224)+$BN$1:$BN$2&gt;0)))</f>
        <v>1</v>
      </c>
      <c r="U224" s="0" t="n">
        <f aca="false">IF(OR($A$3=入户维修!$F224,$A$3=入户维修!$G224,$BN$3=1),0,3-SUMPRODUCT(--(($A$1:$A$3=入户维修!$F224)+($A$1:$A$3=入户维修!$G224)+$BN$1:$BN$3&gt;0)))</f>
        <v>2</v>
      </c>
      <c r="V224" s="0" t="n">
        <f aca="false">IF(OR($A$4=入户维修!$F224,$A$4=入户维修!$G224,$BN$4=1),0,4-SUMPRODUCT(--(($A$1:$A$4=入户维修!$F224)+($A$1:$A$4=入户维修!$G224)+$BN$1:$BN$4&gt;0)))</f>
        <v>3</v>
      </c>
      <c r="W224" s="0" t="n">
        <f aca="false">IF(OR($A$5=入户维修!$F224,$A$5=入户维修!$G224,$BN$5=1),0,5-SUMPRODUCT(--(($A$1:$A$5=入户维修!$F224)+($A$1:$A$5=入户维修!$G224)+$BN$1:$BN$5&gt;0)))</f>
        <v>4</v>
      </c>
      <c r="Y224" s="0" t="str">
        <f aca="false">IFERROR(INDEX($A$1:$A$5,MATCH(1,$S224:$W224,0)),IF(1=MAX($S224:$W224)+1,"取消",""))</f>
        <v>李师傅</v>
      </c>
      <c r="Z224" s="0" t="str">
        <f aca="false">IFERROR(INDEX($A$1:$A$5,MATCH(2,$S224:$W224,0)),IF(2=MAX($S224:$W224)+1,"取消",""))</f>
        <v>王师傅</v>
      </c>
      <c r="AA224" s="0" t="str">
        <f aca="false">IFERROR(INDEX($A$1:$A$5,MATCH(3,$S224:$W224,0)),IF(3=MAX($S224:$W224)+1,"取消",""))</f>
        <v>陈师傅</v>
      </c>
      <c r="AB224" s="0" t="str">
        <f aca="false">IFERROR(INDEX($A$1:$A$5,MATCH(4,$S224:$W224,0)),IF(4=MAX($S224:$W224)+1,"取消",""))</f>
        <v>刘师傅</v>
      </c>
      <c r="AC224" s="0" t="str">
        <f aca="false">IFERROR(INDEX($A$1:$A$5,MATCH(5,$S224:$W224,0)),IF(5=MAX($S224:$W224)+1,"取消",""))</f>
        <v>取消</v>
      </c>
      <c r="AD224" s="0" t="str">
        <f aca="false">IFERROR(INDEX($A$1:$A$5,MATCH(6,$S224:$W224,0)),IF(6=MAX($S224:$W224)+1,"取消",""))</f>
        <v/>
      </c>
      <c r="AF224" s="0" t="n">
        <f aca="false">IF(OR($A$1=公区维修!$F224,$BN$1=1),0,1-SUMPRODUCT(--(($A$1=公区维修!$F224)+$BN$1&gt;0)))</f>
        <v>0</v>
      </c>
      <c r="AG224" s="0" t="n">
        <f aca="false">IF(OR($A$2=公区维修!$F224,$BN$2=1),0,2-SUMPRODUCT(--(($A$1:$A$2=公区维修!$F224)+$BN$1:$BN$2&gt;0)))</f>
        <v>1</v>
      </c>
      <c r="AH224" s="0" t="n">
        <f aca="false">IF(OR($A$3=公区维修!$F224,$BN$3=1),0,3-SUMPRODUCT(--(($A$1:$A$3=公区维修!$F224)+$BN$1:$BN$3&gt;0)))</f>
        <v>2</v>
      </c>
      <c r="AI224" s="0" t="n">
        <f aca="false">IF(OR($A$4=公区维修!$F224,$BN$4=1),0,4-SUMPRODUCT(--(($A$1:$A$4=公区维修!$F224)+$BN$1:$BN$4&gt;0)))</f>
        <v>3</v>
      </c>
      <c r="AJ224" s="0" t="n">
        <f aca="false">IF(OR($A$5=公区维修!$F224,$BN$5=1),0,5-SUMPRODUCT(--(($A$1:$A$5=公区维修!$F224)+$BN$1:$BN$5&gt;0)))</f>
        <v>4</v>
      </c>
      <c r="AL224" s="0" t="str">
        <f aca="false">IFERROR(INDEX($A$1:$A$5,MATCH(1,$AF224:$AJ224,0)),IF(1=MAX($AF224:$AJ224)+1,"取消",""))</f>
        <v>李师傅</v>
      </c>
      <c r="AM224" s="0" t="str">
        <f aca="false">IFERROR(INDEX($A$1:$A$5,MATCH(2,$AF224:$AJ224,0)),IF(2=MAX($AF224:$AJ224)+1,"取消",""))</f>
        <v>王师傅</v>
      </c>
      <c r="AN224" s="0" t="str">
        <f aca="false">IFERROR(INDEX($A$1:$A$5,MATCH(3,$AF224:$AJ224,0)),IF(3=MAX($AF224:$AJ224)+1,"取消",""))</f>
        <v>陈师傅</v>
      </c>
      <c r="AO224" s="0" t="str">
        <f aca="false">IFERROR(INDEX($A$1:$A$5,MATCH(4,$AF224:$AJ224,0)),IF(4=MAX($AF224:$AJ224)+1,"取消",""))</f>
        <v>刘师傅</v>
      </c>
      <c r="AP224" s="0" t="str">
        <f aca="false">IFERROR(INDEX($A$1:$A$5,MATCH(5,$AF224:$AJ224,0)),IF(5=MAX($AF224:$AJ224)+1,"取消",""))</f>
        <v>取消</v>
      </c>
      <c r="AQ224" s="0" t="str">
        <f aca="false">IFERROR(INDEX($A$1:$A$5,MATCH(6,$AF224:$AJ224,0)),IF(6=MAX($AF224:$AJ224)+1,"取消",""))</f>
        <v/>
      </c>
      <c r="AS224" s="0" t="n">
        <f aca="false">IF(OR($A$1=公区维修!$F224,$A$1=公区维修!$G224,$BN$1=1),0,1-SUMPRODUCT(--(($A$1=公区维修!$F224)+($A$1=公区维修!$G224)+$BN$1&gt;0)))</f>
        <v>0</v>
      </c>
      <c r="AT224" s="0" t="n">
        <f aca="false">IF(OR($A$2=公区维修!$F224,$A$2=公区维修!$G224,$BN$2=1),0,2-SUMPRODUCT(--(($A$1:$A$2=公区维修!$F224)+($A$1:$A$2=公区维修!$G224)+$BN$1:$BN$2&gt;0)))</f>
        <v>1</v>
      </c>
      <c r="AU224" s="0" t="n">
        <f aca="false">IF(OR($A$3=公区维修!$F224,$A$3=公区维修!$G224,$BN$3=1),0,3-SUMPRODUCT(--(($A$1:$A$3=公区维修!$F224)+($A$1:$A$3=公区维修!$G224)+$BN$1:$BN$3&gt;0)))</f>
        <v>2</v>
      </c>
      <c r="AV224" s="0" t="n">
        <f aca="false">IF(OR($A$4=公区维修!$F224,$A$4=公区维修!$G224,$BN$4=1),0,4-SUMPRODUCT(--(($A$1:$A$4=公区维修!$F224)+($A$1:$A$4=公区维修!$G224)+$BN$1:$BN$4&gt;0)))</f>
        <v>3</v>
      </c>
      <c r="AW224" s="0" t="n">
        <f aca="false">IF(OR($A$5=公区维修!$F224,$A$5=公区维修!$G224,$BN$5=1),0,5-SUMPRODUCT(--(($A$1:$A$5=公区维修!$F224)+($A$1:$A$5=公区维修!$G224)+$BN$1:$BN$5&gt;0)))</f>
        <v>4</v>
      </c>
      <c r="AY224" s="0" t="str">
        <f aca="false">IFERROR(INDEX($A$1:$A$5,MATCH(1,$AS224:$AW224,0)),IF(1=MAX($AS224:$AW224)+1,"取消",""))</f>
        <v>李师傅</v>
      </c>
      <c r="AZ224" s="0" t="str">
        <f aca="false">IFERROR(INDEX($A$1:$A$5,MATCH(2,$AS224:$AW224,0)),IF(2=MAX($AS224:$AW224)+1,"取消",""))</f>
        <v>王师傅</v>
      </c>
      <c r="BA224" s="0" t="str">
        <f aca="false">IFERROR(INDEX($A$1:$A$5,MATCH(3,$AS224:$AW224,0)),IF(3=MAX($AS224:$AW224)+1,"取消",""))</f>
        <v>陈师傅</v>
      </c>
      <c r="BB224" s="0" t="str">
        <f aca="false">IFERROR(INDEX($A$1:$A$5,MATCH(4,$AS224:$AW224,0)),IF(4=MAX($AS224:$AW224)+1,"取消",""))</f>
        <v>刘师傅</v>
      </c>
      <c r="BC224" s="0" t="str">
        <f aca="false">IFERROR(INDEX($A$1:$A$5,MATCH(5,$AS224:$AW224,0)),IF(5=MAX($AS224:$AW224)+1,"取消",""))</f>
        <v>取消</v>
      </c>
      <c r="BD224" s="0" t="str">
        <f aca="false">IFERROR(INDEX($A$1:$A$5,MATCH(6,$AS224:$AW224,0)),IF(6=MAX($AS224:$AW224)+1,"取消",""))</f>
        <v/>
      </c>
      <c r="FW224" s="0" t="str">
        <f aca="false">IF(AND(单元查询!$D$3&lt;&gt;"",IF(单元查询!$B$3="公区维修",公区维修!$E224&lt;&gt;"",入户维修!$E224&lt;&gt;""),IF(单元查询!$B$3="公区维修",公区维修!$C224,入户维修!$C224)=单元查询!$D$3,OR(单元查询!$F$3="",IF(单元查询!$B$3="公区维修",公区维修!$D224,入户维修!$D224)&amp;""=(单元查询!$F$3)&amp;"")),MAX($FW$4:$FW223)+1,"")</f>
        <v/>
      </c>
    </row>
    <row r="225" customFormat="false" ht="15" hidden="false" customHeight="true" outlineLevel="0" collapsed="false">
      <c r="F225" s="0" t="n">
        <f aca="false">IF(OR($A$1=入户维修!$F225,$BN$1=1),0,1-SUMPRODUCT(--(($A$1=入户维修!$F225)+$BN$1&gt;0)))</f>
        <v>0</v>
      </c>
      <c r="G225" s="0" t="n">
        <f aca="false">IF(OR($A$2=入户维修!$F225,$BN$2=1),0,2-SUMPRODUCT(--(($A$1:$A$2=入户维修!$F225)+$BN$1:$BN$2&gt;0)))</f>
        <v>1</v>
      </c>
      <c r="H225" s="0" t="n">
        <f aca="false">IF(OR($A$3=入户维修!$F225,$BN$3=1),0,3-SUMPRODUCT(--(($A$1:$A$3=入户维修!$F225)+$BN$1:$BN$3&gt;0)))</f>
        <v>2</v>
      </c>
      <c r="I225" s="0" t="n">
        <f aca="false">IF(OR($A$4=入户维修!$F225,$BN$4=1),0,4-SUMPRODUCT(--(($A$1:$A$4=入户维修!$F225)+$BN$1:$BN$4&gt;0)))</f>
        <v>3</v>
      </c>
      <c r="J225" s="0" t="n">
        <f aca="false">IF(OR($A$5=入户维修!$F225,$BN$5=1),0,5-SUMPRODUCT(--(($A$1:$A$5=入户维修!$F225)+$BN$1:$BN$5&gt;0)))</f>
        <v>4</v>
      </c>
      <c r="L225" s="0" t="str">
        <f aca="false">IFERROR(INDEX($A$1:$A$5,MATCH(1,$F225:$J225,0)),IF(1=MAX($F225:$J225)+1,"取消",""))</f>
        <v>李师傅</v>
      </c>
      <c r="M225" s="0" t="str">
        <f aca="false">IFERROR(INDEX($A$1:$A$5,MATCH(2,$F225:$J225,0)),IF(2=MAX($F225:$J225)+1,"取消",""))</f>
        <v>王师傅</v>
      </c>
      <c r="N225" s="0" t="str">
        <f aca="false">IFERROR(INDEX($A$1:$A$5,MATCH(3,$F225:$J225,0)),IF(3=MAX($F225:$J225)+1,"取消",""))</f>
        <v>陈师傅</v>
      </c>
      <c r="O225" s="0" t="str">
        <f aca="false">IFERROR(INDEX($A$1:$A$5,MATCH(4,$F225:$J225,0)),IF(4=MAX($F225:$J225)+1,"取消",""))</f>
        <v>刘师傅</v>
      </c>
      <c r="P225" s="0" t="str">
        <f aca="false">IFERROR(INDEX($A$1:$A$5,MATCH(5,$F225:$J225,0)),IF(5=MAX($F225:$J225)+1,"取消",""))</f>
        <v>取消</v>
      </c>
      <c r="Q225" s="0" t="str">
        <f aca="false">IFERROR(INDEX($A$1:$A$5,MATCH(6,$F225:$J225,0)),IF(6=MAX($F225:$J225)+1,"取消",""))</f>
        <v/>
      </c>
      <c r="S225" s="0" t="n">
        <f aca="false">IF(OR($A$1=入户维修!$F225,$A$1=入户维修!$G225,$BN$1=1),0,1-SUMPRODUCT(--(($A$1=入户维修!$F225)+($A$1=入户维修!$G225)+$BN$1&gt;0)))</f>
        <v>0</v>
      </c>
      <c r="T225" s="0" t="n">
        <f aca="false">IF(OR($A$2=入户维修!$F225,$A$2=入户维修!$G225,$BN$2=1),0,2-SUMPRODUCT(--(($A$1:$A$2=入户维修!$F225)+($A$1:$A$2=入户维修!$G225)+$BN$1:$BN$2&gt;0)))</f>
        <v>1</v>
      </c>
      <c r="U225" s="0" t="n">
        <f aca="false">IF(OR($A$3=入户维修!$F225,$A$3=入户维修!$G225,$BN$3=1),0,3-SUMPRODUCT(--(($A$1:$A$3=入户维修!$F225)+($A$1:$A$3=入户维修!$G225)+$BN$1:$BN$3&gt;0)))</f>
        <v>2</v>
      </c>
      <c r="V225" s="0" t="n">
        <f aca="false">IF(OR($A$4=入户维修!$F225,$A$4=入户维修!$G225,$BN$4=1),0,4-SUMPRODUCT(--(($A$1:$A$4=入户维修!$F225)+($A$1:$A$4=入户维修!$G225)+$BN$1:$BN$4&gt;0)))</f>
        <v>3</v>
      </c>
      <c r="W225" s="0" t="n">
        <f aca="false">IF(OR($A$5=入户维修!$F225,$A$5=入户维修!$G225,$BN$5=1),0,5-SUMPRODUCT(--(($A$1:$A$5=入户维修!$F225)+($A$1:$A$5=入户维修!$G225)+$BN$1:$BN$5&gt;0)))</f>
        <v>4</v>
      </c>
      <c r="Y225" s="0" t="str">
        <f aca="false">IFERROR(INDEX($A$1:$A$5,MATCH(1,$S225:$W225,0)),IF(1=MAX($S225:$W225)+1,"取消",""))</f>
        <v>李师傅</v>
      </c>
      <c r="Z225" s="0" t="str">
        <f aca="false">IFERROR(INDEX($A$1:$A$5,MATCH(2,$S225:$W225,0)),IF(2=MAX($S225:$W225)+1,"取消",""))</f>
        <v>王师傅</v>
      </c>
      <c r="AA225" s="0" t="str">
        <f aca="false">IFERROR(INDEX($A$1:$A$5,MATCH(3,$S225:$W225,0)),IF(3=MAX($S225:$W225)+1,"取消",""))</f>
        <v>陈师傅</v>
      </c>
      <c r="AB225" s="0" t="str">
        <f aca="false">IFERROR(INDEX($A$1:$A$5,MATCH(4,$S225:$W225,0)),IF(4=MAX($S225:$W225)+1,"取消",""))</f>
        <v>刘师傅</v>
      </c>
      <c r="AC225" s="0" t="str">
        <f aca="false">IFERROR(INDEX($A$1:$A$5,MATCH(5,$S225:$W225,0)),IF(5=MAX($S225:$W225)+1,"取消",""))</f>
        <v>取消</v>
      </c>
      <c r="AD225" s="0" t="str">
        <f aca="false">IFERROR(INDEX($A$1:$A$5,MATCH(6,$S225:$W225,0)),IF(6=MAX($S225:$W225)+1,"取消",""))</f>
        <v/>
      </c>
      <c r="AF225" s="0" t="n">
        <f aca="false">IF(OR($A$1=公区维修!$F225,$BN$1=1),0,1-SUMPRODUCT(--(($A$1=公区维修!$F225)+$BN$1&gt;0)))</f>
        <v>0</v>
      </c>
      <c r="AG225" s="0" t="n">
        <f aca="false">IF(OR($A$2=公区维修!$F225,$BN$2=1),0,2-SUMPRODUCT(--(($A$1:$A$2=公区维修!$F225)+$BN$1:$BN$2&gt;0)))</f>
        <v>1</v>
      </c>
      <c r="AH225" s="0" t="n">
        <f aca="false">IF(OR($A$3=公区维修!$F225,$BN$3=1),0,3-SUMPRODUCT(--(($A$1:$A$3=公区维修!$F225)+$BN$1:$BN$3&gt;0)))</f>
        <v>2</v>
      </c>
      <c r="AI225" s="0" t="n">
        <f aca="false">IF(OR($A$4=公区维修!$F225,$BN$4=1),0,4-SUMPRODUCT(--(($A$1:$A$4=公区维修!$F225)+$BN$1:$BN$4&gt;0)))</f>
        <v>3</v>
      </c>
      <c r="AJ225" s="0" t="n">
        <f aca="false">IF(OR($A$5=公区维修!$F225,$BN$5=1),0,5-SUMPRODUCT(--(($A$1:$A$5=公区维修!$F225)+$BN$1:$BN$5&gt;0)))</f>
        <v>4</v>
      </c>
      <c r="AL225" s="0" t="str">
        <f aca="false">IFERROR(INDEX($A$1:$A$5,MATCH(1,$AF225:$AJ225,0)),IF(1=MAX($AF225:$AJ225)+1,"取消",""))</f>
        <v>李师傅</v>
      </c>
      <c r="AM225" s="0" t="str">
        <f aca="false">IFERROR(INDEX($A$1:$A$5,MATCH(2,$AF225:$AJ225,0)),IF(2=MAX($AF225:$AJ225)+1,"取消",""))</f>
        <v>王师傅</v>
      </c>
      <c r="AN225" s="0" t="str">
        <f aca="false">IFERROR(INDEX($A$1:$A$5,MATCH(3,$AF225:$AJ225,0)),IF(3=MAX($AF225:$AJ225)+1,"取消",""))</f>
        <v>陈师傅</v>
      </c>
      <c r="AO225" s="0" t="str">
        <f aca="false">IFERROR(INDEX($A$1:$A$5,MATCH(4,$AF225:$AJ225,0)),IF(4=MAX($AF225:$AJ225)+1,"取消",""))</f>
        <v>刘师傅</v>
      </c>
      <c r="AP225" s="0" t="str">
        <f aca="false">IFERROR(INDEX($A$1:$A$5,MATCH(5,$AF225:$AJ225,0)),IF(5=MAX($AF225:$AJ225)+1,"取消",""))</f>
        <v>取消</v>
      </c>
      <c r="AQ225" s="0" t="str">
        <f aca="false">IFERROR(INDEX($A$1:$A$5,MATCH(6,$AF225:$AJ225,0)),IF(6=MAX($AF225:$AJ225)+1,"取消",""))</f>
        <v/>
      </c>
      <c r="AS225" s="0" t="n">
        <f aca="false">IF(OR($A$1=公区维修!$F225,$A$1=公区维修!$G225,$BN$1=1),0,1-SUMPRODUCT(--(($A$1=公区维修!$F225)+($A$1=公区维修!$G225)+$BN$1&gt;0)))</f>
        <v>0</v>
      </c>
      <c r="AT225" s="0" t="n">
        <f aca="false">IF(OR($A$2=公区维修!$F225,$A$2=公区维修!$G225,$BN$2=1),0,2-SUMPRODUCT(--(($A$1:$A$2=公区维修!$F225)+($A$1:$A$2=公区维修!$G225)+$BN$1:$BN$2&gt;0)))</f>
        <v>1</v>
      </c>
      <c r="AU225" s="0" t="n">
        <f aca="false">IF(OR($A$3=公区维修!$F225,$A$3=公区维修!$G225,$BN$3=1),0,3-SUMPRODUCT(--(($A$1:$A$3=公区维修!$F225)+($A$1:$A$3=公区维修!$G225)+$BN$1:$BN$3&gt;0)))</f>
        <v>2</v>
      </c>
      <c r="AV225" s="0" t="n">
        <f aca="false">IF(OR($A$4=公区维修!$F225,$A$4=公区维修!$G225,$BN$4=1),0,4-SUMPRODUCT(--(($A$1:$A$4=公区维修!$F225)+($A$1:$A$4=公区维修!$G225)+$BN$1:$BN$4&gt;0)))</f>
        <v>3</v>
      </c>
      <c r="AW225" s="0" t="n">
        <f aca="false">IF(OR($A$5=公区维修!$F225,$A$5=公区维修!$G225,$BN$5=1),0,5-SUMPRODUCT(--(($A$1:$A$5=公区维修!$F225)+($A$1:$A$5=公区维修!$G225)+$BN$1:$BN$5&gt;0)))</f>
        <v>4</v>
      </c>
      <c r="AY225" s="0" t="str">
        <f aca="false">IFERROR(INDEX($A$1:$A$5,MATCH(1,$AS225:$AW225,0)),IF(1=MAX($AS225:$AW225)+1,"取消",""))</f>
        <v>李师傅</v>
      </c>
      <c r="AZ225" s="0" t="str">
        <f aca="false">IFERROR(INDEX($A$1:$A$5,MATCH(2,$AS225:$AW225,0)),IF(2=MAX($AS225:$AW225)+1,"取消",""))</f>
        <v>王师傅</v>
      </c>
      <c r="BA225" s="0" t="str">
        <f aca="false">IFERROR(INDEX($A$1:$A$5,MATCH(3,$AS225:$AW225,0)),IF(3=MAX($AS225:$AW225)+1,"取消",""))</f>
        <v>陈师傅</v>
      </c>
      <c r="BB225" s="0" t="str">
        <f aca="false">IFERROR(INDEX($A$1:$A$5,MATCH(4,$AS225:$AW225,0)),IF(4=MAX($AS225:$AW225)+1,"取消",""))</f>
        <v>刘师傅</v>
      </c>
      <c r="BC225" s="0" t="str">
        <f aca="false">IFERROR(INDEX($A$1:$A$5,MATCH(5,$AS225:$AW225,0)),IF(5=MAX($AS225:$AW225)+1,"取消",""))</f>
        <v>取消</v>
      </c>
      <c r="BD225" s="0" t="str">
        <f aca="false">IFERROR(INDEX($A$1:$A$5,MATCH(6,$AS225:$AW225,0)),IF(6=MAX($AS225:$AW225)+1,"取消",""))</f>
        <v/>
      </c>
      <c r="FW225" s="0" t="str">
        <f aca="false">IF(AND(单元查询!$D$3&lt;&gt;"",IF(单元查询!$B$3="公区维修",公区维修!$E225&lt;&gt;"",入户维修!$E225&lt;&gt;""),IF(单元查询!$B$3="公区维修",公区维修!$C225,入户维修!$C225)=单元查询!$D$3,OR(单元查询!$F$3="",IF(单元查询!$B$3="公区维修",公区维修!$D225,入户维修!$D225)&amp;""=(单元查询!$F$3)&amp;"")),MAX($FW$4:$FW224)+1,"")</f>
        <v/>
      </c>
    </row>
    <row r="226" customFormat="false" ht="15" hidden="false" customHeight="true" outlineLevel="0" collapsed="false">
      <c r="F226" s="0" t="n">
        <f aca="false">IF(OR($A$1=入户维修!$F226,$BN$1=1),0,1-SUMPRODUCT(--(($A$1=入户维修!$F226)+$BN$1&gt;0)))</f>
        <v>0</v>
      </c>
      <c r="G226" s="0" t="n">
        <f aca="false">IF(OR($A$2=入户维修!$F226,$BN$2=1),0,2-SUMPRODUCT(--(($A$1:$A$2=入户维修!$F226)+$BN$1:$BN$2&gt;0)))</f>
        <v>1</v>
      </c>
      <c r="H226" s="0" t="n">
        <f aca="false">IF(OR($A$3=入户维修!$F226,$BN$3=1),0,3-SUMPRODUCT(--(($A$1:$A$3=入户维修!$F226)+$BN$1:$BN$3&gt;0)))</f>
        <v>2</v>
      </c>
      <c r="I226" s="0" t="n">
        <f aca="false">IF(OR($A$4=入户维修!$F226,$BN$4=1),0,4-SUMPRODUCT(--(($A$1:$A$4=入户维修!$F226)+$BN$1:$BN$4&gt;0)))</f>
        <v>3</v>
      </c>
      <c r="J226" s="0" t="n">
        <f aca="false">IF(OR($A$5=入户维修!$F226,$BN$5=1),0,5-SUMPRODUCT(--(($A$1:$A$5=入户维修!$F226)+$BN$1:$BN$5&gt;0)))</f>
        <v>4</v>
      </c>
      <c r="L226" s="0" t="str">
        <f aca="false">IFERROR(INDEX($A$1:$A$5,MATCH(1,$F226:$J226,0)),IF(1=MAX($F226:$J226)+1,"取消",""))</f>
        <v>李师傅</v>
      </c>
      <c r="M226" s="0" t="str">
        <f aca="false">IFERROR(INDEX($A$1:$A$5,MATCH(2,$F226:$J226,0)),IF(2=MAX($F226:$J226)+1,"取消",""))</f>
        <v>王师傅</v>
      </c>
      <c r="N226" s="0" t="str">
        <f aca="false">IFERROR(INDEX($A$1:$A$5,MATCH(3,$F226:$J226,0)),IF(3=MAX($F226:$J226)+1,"取消",""))</f>
        <v>陈师傅</v>
      </c>
      <c r="O226" s="0" t="str">
        <f aca="false">IFERROR(INDEX($A$1:$A$5,MATCH(4,$F226:$J226,0)),IF(4=MAX($F226:$J226)+1,"取消",""))</f>
        <v>刘师傅</v>
      </c>
      <c r="P226" s="0" t="str">
        <f aca="false">IFERROR(INDEX($A$1:$A$5,MATCH(5,$F226:$J226,0)),IF(5=MAX($F226:$J226)+1,"取消",""))</f>
        <v>取消</v>
      </c>
      <c r="Q226" s="0" t="str">
        <f aca="false">IFERROR(INDEX($A$1:$A$5,MATCH(6,$F226:$J226,0)),IF(6=MAX($F226:$J226)+1,"取消",""))</f>
        <v/>
      </c>
      <c r="S226" s="0" t="n">
        <f aca="false">IF(OR($A$1=入户维修!$F226,$A$1=入户维修!$G226,$BN$1=1),0,1-SUMPRODUCT(--(($A$1=入户维修!$F226)+($A$1=入户维修!$G226)+$BN$1&gt;0)))</f>
        <v>0</v>
      </c>
      <c r="T226" s="0" t="n">
        <f aca="false">IF(OR($A$2=入户维修!$F226,$A$2=入户维修!$G226,$BN$2=1),0,2-SUMPRODUCT(--(($A$1:$A$2=入户维修!$F226)+($A$1:$A$2=入户维修!$G226)+$BN$1:$BN$2&gt;0)))</f>
        <v>1</v>
      </c>
      <c r="U226" s="0" t="n">
        <f aca="false">IF(OR($A$3=入户维修!$F226,$A$3=入户维修!$G226,$BN$3=1),0,3-SUMPRODUCT(--(($A$1:$A$3=入户维修!$F226)+($A$1:$A$3=入户维修!$G226)+$BN$1:$BN$3&gt;0)))</f>
        <v>2</v>
      </c>
      <c r="V226" s="0" t="n">
        <f aca="false">IF(OR($A$4=入户维修!$F226,$A$4=入户维修!$G226,$BN$4=1),0,4-SUMPRODUCT(--(($A$1:$A$4=入户维修!$F226)+($A$1:$A$4=入户维修!$G226)+$BN$1:$BN$4&gt;0)))</f>
        <v>3</v>
      </c>
      <c r="W226" s="0" t="n">
        <f aca="false">IF(OR($A$5=入户维修!$F226,$A$5=入户维修!$G226,$BN$5=1),0,5-SUMPRODUCT(--(($A$1:$A$5=入户维修!$F226)+($A$1:$A$5=入户维修!$G226)+$BN$1:$BN$5&gt;0)))</f>
        <v>4</v>
      </c>
      <c r="Y226" s="0" t="str">
        <f aca="false">IFERROR(INDEX($A$1:$A$5,MATCH(1,$S226:$W226,0)),IF(1=MAX($S226:$W226)+1,"取消",""))</f>
        <v>李师傅</v>
      </c>
      <c r="Z226" s="0" t="str">
        <f aca="false">IFERROR(INDEX($A$1:$A$5,MATCH(2,$S226:$W226,0)),IF(2=MAX($S226:$W226)+1,"取消",""))</f>
        <v>王师傅</v>
      </c>
      <c r="AA226" s="0" t="str">
        <f aca="false">IFERROR(INDEX($A$1:$A$5,MATCH(3,$S226:$W226,0)),IF(3=MAX($S226:$W226)+1,"取消",""))</f>
        <v>陈师傅</v>
      </c>
      <c r="AB226" s="0" t="str">
        <f aca="false">IFERROR(INDEX($A$1:$A$5,MATCH(4,$S226:$W226,0)),IF(4=MAX($S226:$W226)+1,"取消",""))</f>
        <v>刘师傅</v>
      </c>
      <c r="AC226" s="0" t="str">
        <f aca="false">IFERROR(INDEX($A$1:$A$5,MATCH(5,$S226:$W226,0)),IF(5=MAX($S226:$W226)+1,"取消",""))</f>
        <v>取消</v>
      </c>
      <c r="AD226" s="0" t="str">
        <f aca="false">IFERROR(INDEX($A$1:$A$5,MATCH(6,$S226:$W226,0)),IF(6=MAX($S226:$W226)+1,"取消",""))</f>
        <v/>
      </c>
      <c r="AF226" s="0" t="n">
        <f aca="false">IF(OR($A$1=公区维修!$F226,$BN$1=1),0,1-SUMPRODUCT(--(($A$1=公区维修!$F226)+$BN$1&gt;0)))</f>
        <v>0</v>
      </c>
      <c r="AG226" s="0" t="n">
        <f aca="false">IF(OR($A$2=公区维修!$F226,$BN$2=1),0,2-SUMPRODUCT(--(($A$1:$A$2=公区维修!$F226)+$BN$1:$BN$2&gt;0)))</f>
        <v>1</v>
      </c>
      <c r="AH226" s="0" t="n">
        <f aca="false">IF(OR($A$3=公区维修!$F226,$BN$3=1),0,3-SUMPRODUCT(--(($A$1:$A$3=公区维修!$F226)+$BN$1:$BN$3&gt;0)))</f>
        <v>2</v>
      </c>
      <c r="AI226" s="0" t="n">
        <f aca="false">IF(OR($A$4=公区维修!$F226,$BN$4=1),0,4-SUMPRODUCT(--(($A$1:$A$4=公区维修!$F226)+$BN$1:$BN$4&gt;0)))</f>
        <v>3</v>
      </c>
      <c r="AJ226" s="0" t="n">
        <f aca="false">IF(OR($A$5=公区维修!$F226,$BN$5=1),0,5-SUMPRODUCT(--(($A$1:$A$5=公区维修!$F226)+$BN$1:$BN$5&gt;0)))</f>
        <v>4</v>
      </c>
      <c r="AL226" s="0" t="str">
        <f aca="false">IFERROR(INDEX($A$1:$A$5,MATCH(1,$AF226:$AJ226,0)),IF(1=MAX($AF226:$AJ226)+1,"取消",""))</f>
        <v>李师傅</v>
      </c>
      <c r="AM226" s="0" t="str">
        <f aca="false">IFERROR(INDEX($A$1:$A$5,MATCH(2,$AF226:$AJ226,0)),IF(2=MAX($AF226:$AJ226)+1,"取消",""))</f>
        <v>王师傅</v>
      </c>
      <c r="AN226" s="0" t="str">
        <f aca="false">IFERROR(INDEX($A$1:$A$5,MATCH(3,$AF226:$AJ226,0)),IF(3=MAX($AF226:$AJ226)+1,"取消",""))</f>
        <v>陈师傅</v>
      </c>
      <c r="AO226" s="0" t="str">
        <f aca="false">IFERROR(INDEX($A$1:$A$5,MATCH(4,$AF226:$AJ226,0)),IF(4=MAX($AF226:$AJ226)+1,"取消",""))</f>
        <v>刘师傅</v>
      </c>
      <c r="AP226" s="0" t="str">
        <f aca="false">IFERROR(INDEX($A$1:$A$5,MATCH(5,$AF226:$AJ226,0)),IF(5=MAX($AF226:$AJ226)+1,"取消",""))</f>
        <v>取消</v>
      </c>
      <c r="AQ226" s="0" t="str">
        <f aca="false">IFERROR(INDEX($A$1:$A$5,MATCH(6,$AF226:$AJ226,0)),IF(6=MAX($AF226:$AJ226)+1,"取消",""))</f>
        <v/>
      </c>
      <c r="AS226" s="0" t="n">
        <f aca="false">IF(OR($A$1=公区维修!$F226,$A$1=公区维修!$G226,$BN$1=1),0,1-SUMPRODUCT(--(($A$1=公区维修!$F226)+($A$1=公区维修!$G226)+$BN$1&gt;0)))</f>
        <v>0</v>
      </c>
      <c r="AT226" s="0" t="n">
        <f aca="false">IF(OR($A$2=公区维修!$F226,$A$2=公区维修!$G226,$BN$2=1),0,2-SUMPRODUCT(--(($A$1:$A$2=公区维修!$F226)+($A$1:$A$2=公区维修!$G226)+$BN$1:$BN$2&gt;0)))</f>
        <v>1</v>
      </c>
      <c r="AU226" s="0" t="n">
        <f aca="false">IF(OR($A$3=公区维修!$F226,$A$3=公区维修!$G226,$BN$3=1),0,3-SUMPRODUCT(--(($A$1:$A$3=公区维修!$F226)+($A$1:$A$3=公区维修!$G226)+$BN$1:$BN$3&gt;0)))</f>
        <v>2</v>
      </c>
      <c r="AV226" s="0" t="n">
        <f aca="false">IF(OR($A$4=公区维修!$F226,$A$4=公区维修!$G226,$BN$4=1),0,4-SUMPRODUCT(--(($A$1:$A$4=公区维修!$F226)+($A$1:$A$4=公区维修!$G226)+$BN$1:$BN$4&gt;0)))</f>
        <v>3</v>
      </c>
      <c r="AW226" s="0" t="n">
        <f aca="false">IF(OR($A$5=公区维修!$F226,$A$5=公区维修!$G226,$BN$5=1),0,5-SUMPRODUCT(--(($A$1:$A$5=公区维修!$F226)+($A$1:$A$5=公区维修!$G226)+$BN$1:$BN$5&gt;0)))</f>
        <v>4</v>
      </c>
      <c r="AY226" s="0" t="str">
        <f aca="false">IFERROR(INDEX($A$1:$A$5,MATCH(1,$AS226:$AW226,0)),IF(1=MAX($AS226:$AW226)+1,"取消",""))</f>
        <v>李师傅</v>
      </c>
      <c r="AZ226" s="0" t="str">
        <f aca="false">IFERROR(INDEX($A$1:$A$5,MATCH(2,$AS226:$AW226,0)),IF(2=MAX($AS226:$AW226)+1,"取消",""))</f>
        <v>王师傅</v>
      </c>
      <c r="BA226" s="0" t="str">
        <f aca="false">IFERROR(INDEX($A$1:$A$5,MATCH(3,$AS226:$AW226,0)),IF(3=MAX($AS226:$AW226)+1,"取消",""))</f>
        <v>陈师傅</v>
      </c>
      <c r="BB226" s="0" t="str">
        <f aca="false">IFERROR(INDEX($A$1:$A$5,MATCH(4,$AS226:$AW226,0)),IF(4=MAX($AS226:$AW226)+1,"取消",""))</f>
        <v>刘师傅</v>
      </c>
      <c r="BC226" s="0" t="str">
        <f aca="false">IFERROR(INDEX($A$1:$A$5,MATCH(5,$AS226:$AW226,0)),IF(5=MAX($AS226:$AW226)+1,"取消",""))</f>
        <v>取消</v>
      </c>
      <c r="BD226" s="0" t="str">
        <f aca="false">IFERROR(INDEX($A$1:$A$5,MATCH(6,$AS226:$AW226,0)),IF(6=MAX($AS226:$AW226)+1,"取消",""))</f>
        <v/>
      </c>
      <c r="FW226" s="0" t="str">
        <f aca="false">IF(AND(单元查询!$D$3&lt;&gt;"",IF(单元查询!$B$3="公区维修",公区维修!$E226&lt;&gt;"",入户维修!$E226&lt;&gt;""),IF(单元查询!$B$3="公区维修",公区维修!$C226,入户维修!$C226)=单元查询!$D$3,OR(单元查询!$F$3="",IF(单元查询!$B$3="公区维修",公区维修!$D226,入户维修!$D226)&amp;""=(单元查询!$F$3)&amp;"")),MAX($FW$4:$FW225)+1,"")</f>
        <v/>
      </c>
    </row>
    <row r="227" customFormat="false" ht="15" hidden="false" customHeight="true" outlineLevel="0" collapsed="false">
      <c r="F227" s="0" t="n">
        <f aca="false">IF(OR($A$1=入户维修!$F227,$BN$1=1),0,1-SUMPRODUCT(--(($A$1=入户维修!$F227)+$BN$1&gt;0)))</f>
        <v>0</v>
      </c>
      <c r="G227" s="0" t="n">
        <f aca="false">IF(OR($A$2=入户维修!$F227,$BN$2=1),0,2-SUMPRODUCT(--(($A$1:$A$2=入户维修!$F227)+$BN$1:$BN$2&gt;0)))</f>
        <v>1</v>
      </c>
      <c r="H227" s="0" t="n">
        <f aca="false">IF(OR($A$3=入户维修!$F227,$BN$3=1),0,3-SUMPRODUCT(--(($A$1:$A$3=入户维修!$F227)+$BN$1:$BN$3&gt;0)))</f>
        <v>2</v>
      </c>
      <c r="I227" s="0" t="n">
        <f aca="false">IF(OR($A$4=入户维修!$F227,$BN$4=1),0,4-SUMPRODUCT(--(($A$1:$A$4=入户维修!$F227)+$BN$1:$BN$4&gt;0)))</f>
        <v>3</v>
      </c>
      <c r="J227" s="0" t="n">
        <f aca="false">IF(OR($A$5=入户维修!$F227,$BN$5=1),0,5-SUMPRODUCT(--(($A$1:$A$5=入户维修!$F227)+$BN$1:$BN$5&gt;0)))</f>
        <v>4</v>
      </c>
      <c r="L227" s="0" t="str">
        <f aca="false">IFERROR(INDEX($A$1:$A$5,MATCH(1,$F227:$J227,0)),IF(1=MAX($F227:$J227)+1,"取消",""))</f>
        <v>李师傅</v>
      </c>
      <c r="M227" s="0" t="str">
        <f aca="false">IFERROR(INDEX($A$1:$A$5,MATCH(2,$F227:$J227,0)),IF(2=MAX($F227:$J227)+1,"取消",""))</f>
        <v>王师傅</v>
      </c>
      <c r="N227" s="0" t="str">
        <f aca="false">IFERROR(INDEX($A$1:$A$5,MATCH(3,$F227:$J227,0)),IF(3=MAX($F227:$J227)+1,"取消",""))</f>
        <v>陈师傅</v>
      </c>
      <c r="O227" s="0" t="str">
        <f aca="false">IFERROR(INDEX($A$1:$A$5,MATCH(4,$F227:$J227,0)),IF(4=MAX($F227:$J227)+1,"取消",""))</f>
        <v>刘师傅</v>
      </c>
      <c r="P227" s="0" t="str">
        <f aca="false">IFERROR(INDEX($A$1:$A$5,MATCH(5,$F227:$J227,0)),IF(5=MAX($F227:$J227)+1,"取消",""))</f>
        <v>取消</v>
      </c>
      <c r="Q227" s="0" t="str">
        <f aca="false">IFERROR(INDEX($A$1:$A$5,MATCH(6,$F227:$J227,0)),IF(6=MAX($F227:$J227)+1,"取消",""))</f>
        <v/>
      </c>
      <c r="S227" s="0" t="n">
        <f aca="false">IF(OR($A$1=入户维修!$F227,$A$1=入户维修!$G227,$BN$1=1),0,1-SUMPRODUCT(--(($A$1=入户维修!$F227)+($A$1=入户维修!$G227)+$BN$1&gt;0)))</f>
        <v>0</v>
      </c>
      <c r="T227" s="0" t="n">
        <f aca="false">IF(OR($A$2=入户维修!$F227,$A$2=入户维修!$G227,$BN$2=1),0,2-SUMPRODUCT(--(($A$1:$A$2=入户维修!$F227)+($A$1:$A$2=入户维修!$G227)+$BN$1:$BN$2&gt;0)))</f>
        <v>1</v>
      </c>
      <c r="U227" s="0" t="n">
        <f aca="false">IF(OR($A$3=入户维修!$F227,$A$3=入户维修!$G227,$BN$3=1),0,3-SUMPRODUCT(--(($A$1:$A$3=入户维修!$F227)+($A$1:$A$3=入户维修!$G227)+$BN$1:$BN$3&gt;0)))</f>
        <v>2</v>
      </c>
      <c r="V227" s="0" t="n">
        <f aca="false">IF(OR($A$4=入户维修!$F227,$A$4=入户维修!$G227,$BN$4=1),0,4-SUMPRODUCT(--(($A$1:$A$4=入户维修!$F227)+($A$1:$A$4=入户维修!$G227)+$BN$1:$BN$4&gt;0)))</f>
        <v>3</v>
      </c>
      <c r="W227" s="0" t="n">
        <f aca="false">IF(OR($A$5=入户维修!$F227,$A$5=入户维修!$G227,$BN$5=1),0,5-SUMPRODUCT(--(($A$1:$A$5=入户维修!$F227)+($A$1:$A$5=入户维修!$G227)+$BN$1:$BN$5&gt;0)))</f>
        <v>4</v>
      </c>
      <c r="Y227" s="0" t="str">
        <f aca="false">IFERROR(INDEX($A$1:$A$5,MATCH(1,$S227:$W227,0)),IF(1=MAX($S227:$W227)+1,"取消",""))</f>
        <v>李师傅</v>
      </c>
      <c r="Z227" s="0" t="str">
        <f aca="false">IFERROR(INDEX($A$1:$A$5,MATCH(2,$S227:$W227,0)),IF(2=MAX($S227:$W227)+1,"取消",""))</f>
        <v>王师傅</v>
      </c>
      <c r="AA227" s="0" t="str">
        <f aca="false">IFERROR(INDEX($A$1:$A$5,MATCH(3,$S227:$W227,0)),IF(3=MAX($S227:$W227)+1,"取消",""))</f>
        <v>陈师傅</v>
      </c>
      <c r="AB227" s="0" t="str">
        <f aca="false">IFERROR(INDEX($A$1:$A$5,MATCH(4,$S227:$W227,0)),IF(4=MAX($S227:$W227)+1,"取消",""))</f>
        <v>刘师傅</v>
      </c>
      <c r="AC227" s="0" t="str">
        <f aca="false">IFERROR(INDEX($A$1:$A$5,MATCH(5,$S227:$W227,0)),IF(5=MAX($S227:$W227)+1,"取消",""))</f>
        <v>取消</v>
      </c>
      <c r="AD227" s="0" t="str">
        <f aca="false">IFERROR(INDEX($A$1:$A$5,MATCH(6,$S227:$W227,0)),IF(6=MAX($S227:$W227)+1,"取消",""))</f>
        <v/>
      </c>
      <c r="AF227" s="0" t="n">
        <f aca="false">IF(OR($A$1=公区维修!$F227,$BN$1=1),0,1-SUMPRODUCT(--(($A$1=公区维修!$F227)+$BN$1&gt;0)))</f>
        <v>0</v>
      </c>
      <c r="AG227" s="0" t="n">
        <f aca="false">IF(OR($A$2=公区维修!$F227,$BN$2=1),0,2-SUMPRODUCT(--(($A$1:$A$2=公区维修!$F227)+$BN$1:$BN$2&gt;0)))</f>
        <v>1</v>
      </c>
      <c r="AH227" s="0" t="n">
        <f aca="false">IF(OR($A$3=公区维修!$F227,$BN$3=1),0,3-SUMPRODUCT(--(($A$1:$A$3=公区维修!$F227)+$BN$1:$BN$3&gt;0)))</f>
        <v>2</v>
      </c>
      <c r="AI227" s="0" t="n">
        <f aca="false">IF(OR($A$4=公区维修!$F227,$BN$4=1),0,4-SUMPRODUCT(--(($A$1:$A$4=公区维修!$F227)+$BN$1:$BN$4&gt;0)))</f>
        <v>3</v>
      </c>
      <c r="AJ227" s="0" t="n">
        <f aca="false">IF(OR($A$5=公区维修!$F227,$BN$5=1),0,5-SUMPRODUCT(--(($A$1:$A$5=公区维修!$F227)+$BN$1:$BN$5&gt;0)))</f>
        <v>4</v>
      </c>
      <c r="AL227" s="0" t="str">
        <f aca="false">IFERROR(INDEX($A$1:$A$5,MATCH(1,$AF227:$AJ227,0)),IF(1=MAX($AF227:$AJ227)+1,"取消",""))</f>
        <v>李师傅</v>
      </c>
      <c r="AM227" s="0" t="str">
        <f aca="false">IFERROR(INDEX($A$1:$A$5,MATCH(2,$AF227:$AJ227,0)),IF(2=MAX($AF227:$AJ227)+1,"取消",""))</f>
        <v>王师傅</v>
      </c>
      <c r="AN227" s="0" t="str">
        <f aca="false">IFERROR(INDEX($A$1:$A$5,MATCH(3,$AF227:$AJ227,0)),IF(3=MAX($AF227:$AJ227)+1,"取消",""))</f>
        <v>陈师傅</v>
      </c>
      <c r="AO227" s="0" t="str">
        <f aca="false">IFERROR(INDEX($A$1:$A$5,MATCH(4,$AF227:$AJ227,0)),IF(4=MAX($AF227:$AJ227)+1,"取消",""))</f>
        <v>刘师傅</v>
      </c>
      <c r="AP227" s="0" t="str">
        <f aca="false">IFERROR(INDEX($A$1:$A$5,MATCH(5,$AF227:$AJ227,0)),IF(5=MAX($AF227:$AJ227)+1,"取消",""))</f>
        <v>取消</v>
      </c>
      <c r="AQ227" s="0" t="str">
        <f aca="false">IFERROR(INDEX($A$1:$A$5,MATCH(6,$AF227:$AJ227,0)),IF(6=MAX($AF227:$AJ227)+1,"取消",""))</f>
        <v/>
      </c>
      <c r="AS227" s="0" t="n">
        <f aca="false">IF(OR($A$1=公区维修!$F227,$A$1=公区维修!$G227,$BN$1=1),0,1-SUMPRODUCT(--(($A$1=公区维修!$F227)+($A$1=公区维修!$G227)+$BN$1&gt;0)))</f>
        <v>0</v>
      </c>
      <c r="AT227" s="0" t="n">
        <f aca="false">IF(OR($A$2=公区维修!$F227,$A$2=公区维修!$G227,$BN$2=1),0,2-SUMPRODUCT(--(($A$1:$A$2=公区维修!$F227)+($A$1:$A$2=公区维修!$G227)+$BN$1:$BN$2&gt;0)))</f>
        <v>1</v>
      </c>
      <c r="AU227" s="0" t="n">
        <f aca="false">IF(OR($A$3=公区维修!$F227,$A$3=公区维修!$G227,$BN$3=1),0,3-SUMPRODUCT(--(($A$1:$A$3=公区维修!$F227)+($A$1:$A$3=公区维修!$G227)+$BN$1:$BN$3&gt;0)))</f>
        <v>2</v>
      </c>
      <c r="AV227" s="0" t="n">
        <f aca="false">IF(OR($A$4=公区维修!$F227,$A$4=公区维修!$G227,$BN$4=1),0,4-SUMPRODUCT(--(($A$1:$A$4=公区维修!$F227)+($A$1:$A$4=公区维修!$G227)+$BN$1:$BN$4&gt;0)))</f>
        <v>3</v>
      </c>
      <c r="AW227" s="0" t="n">
        <f aca="false">IF(OR($A$5=公区维修!$F227,$A$5=公区维修!$G227,$BN$5=1),0,5-SUMPRODUCT(--(($A$1:$A$5=公区维修!$F227)+($A$1:$A$5=公区维修!$G227)+$BN$1:$BN$5&gt;0)))</f>
        <v>4</v>
      </c>
      <c r="AY227" s="0" t="str">
        <f aca="false">IFERROR(INDEX($A$1:$A$5,MATCH(1,$AS227:$AW227,0)),IF(1=MAX($AS227:$AW227)+1,"取消",""))</f>
        <v>李师傅</v>
      </c>
      <c r="AZ227" s="0" t="str">
        <f aca="false">IFERROR(INDEX($A$1:$A$5,MATCH(2,$AS227:$AW227,0)),IF(2=MAX($AS227:$AW227)+1,"取消",""))</f>
        <v>王师傅</v>
      </c>
      <c r="BA227" s="0" t="str">
        <f aca="false">IFERROR(INDEX($A$1:$A$5,MATCH(3,$AS227:$AW227,0)),IF(3=MAX($AS227:$AW227)+1,"取消",""))</f>
        <v>陈师傅</v>
      </c>
      <c r="BB227" s="0" t="str">
        <f aca="false">IFERROR(INDEX($A$1:$A$5,MATCH(4,$AS227:$AW227,0)),IF(4=MAX($AS227:$AW227)+1,"取消",""))</f>
        <v>刘师傅</v>
      </c>
      <c r="BC227" s="0" t="str">
        <f aca="false">IFERROR(INDEX($A$1:$A$5,MATCH(5,$AS227:$AW227,0)),IF(5=MAX($AS227:$AW227)+1,"取消",""))</f>
        <v>取消</v>
      </c>
      <c r="BD227" s="0" t="str">
        <f aca="false">IFERROR(INDEX($A$1:$A$5,MATCH(6,$AS227:$AW227,0)),IF(6=MAX($AS227:$AW227)+1,"取消",""))</f>
        <v/>
      </c>
      <c r="FW227" s="0" t="str">
        <f aca="false">IF(AND(单元查询!$D$3&lt;&gt;"",IF(单元查询!$B$3="公区维修",公区维修!$E227&lt;&gt;"",入户维修!$E227&lt;&gt;""),IF(单元查询!$B$3="公区维修",公区维修!$C227,入户维修!$C227)=单元查询!$D$3,OR(单元查询!$F$3="",IF(单元查询!$B$3="公区维修",公区维修!$D227,入户维修!$D227)&amp;""=(单元查询!$F$3)&amp;"")),MAX($FW$4:$FW226)+1,"")</f>
        <v/>
      </c>
    </row>
    <row r="228" customFormat="false" ht="15" hidden="false" customHeight="true" outlineLevel="0" collapsed="false">
      <c r="F228" s="0" t="n">
        <f aca="false">IF(OR($A$1=入户维修!$F228,$BN$1=1),0,1-SUMPRODUCT(--(($A$1=入户维修!$F228)+$BN$1&gt;0)))</f>
        <v>0</v>
      </c>
      <c r="G228" s="0" t="n">
        <f aca="false">IF(OR($A$2=入户维修!$F228,$BN$2=1),0,2-SUMPRODUCT(--(($A$1:$A$2=入户维修!$F228)+$BN$1:$BN$2&gt;0)))</f>
        <v>1</v>
      </c>
      <c r="H228" s="0" t="n">
        <f aca="false">IF(OR($A$3=入户维修!$F228,$BN$3=1),0,3-SUMPRODUCT(--(($A$1:$A$3=入户维修!$F228)+$BN$1:$BN$3&gt;0)))</f>
        <v>2</v>
      </c>
      <c r="I228" s="0" t="n">
        <f aca="false">IF(OR($A$4=入户维修!$F228,$BN$4=1),0,4-SUMPRODUCT(--(($A$1:$A$4=入户维修!$F228)+$BN$1:$BN$4&gt;0)))</f>
        <v>3</v>
      </c>
      <c r="J228" s="0" t="n">
        <f aca="false">IF(OR($A$5=入户维修!$F228,$BN$5=1),0,5-SUMPRODUCT(--(($A$1:$A$5=入户维修!$F228)+$BN$1:$BN$5&gt;0)))</f>
        <v>4</v>
      </c>
      <c r="L228" s="0" t="str">
        <f aca="false">IFERROR(INDEX($A$1:$A$5,MATCH(1,$F228:$J228,0)),IF(1=MAX($F228:$J228)+1,"取消",""))</f>
        <v>李师傅</v>
      </c>
      <c r="M228" s="0" t="str">
        <f aca="false">IFERROR(INDEX($A$1:$A$5,MATCH(2,$F228:$J228,0)),IF(2=MAX($F228:$J228)+1,"取消",""))</f>
        <v>王师傅</v>
      </c>
      <c r="N228" s="0" t="str">
        <f aca="false">IFERROR(INDEX($A$1:$A$5,MATCH(3,$F228:$J228,0)),IF(3=MAX($F228:$J228)+1,"取消",""))</f>
        <v>陈师傅</v>
      </c>
      <c r="O228" s="0" t="str">
        <f aca="false">IFERROR(INDEX($A$1:$A$5,MATCH(4,$F228:$J228,0)),IF(4=MAX($F228:$J228)+1,"取消",""))</f>
        <v>刘师傅</v>
      </c>
      <c r="P228" s="0" t="str">
        <f aca="false">IFERROR(INDEX($A$1:$A$5,MATCH(5,$F228:$J228,0)),IF(5=MAX($F228:$J228)+1,"取消",""))</f>
        <v>取消</v>
      </c>
      <c r="Q228" s="0" t="str">
        <f aca="false">IFERROR(INDEX($A$1:$A$5,MATCH(6,$F228:$J228,0)),IF(6=MAX($F228:$J228)+1,"取消",""))</f>
        <v/>
      </c>
      <c r="S228" s="0" t="n">
        <f aca="false">IF(OR($A$1=入户维修!$F228,$A$1=入户维修!$G228,$BN$1=1),0,1-SUMPRODUCT(--(($A$1=入户维修!$F228)+($A$1=入户维修!$G228)+$BN$1&gt;0)))</f>
        <v>0</v>
      </c>
      <c r="T228" s="0" t="n">
        <f aca="false">IF(OR($A$2=入户维修!$F228,$A$2=入户维修!$G228,$BN$2=1),0,2-SUMPRODUCT(--(($A$1:$A$2=入户维修!$F228)+($A$1:$A$2=入户维修!$G228)+$BN$1:$BN$2&gt;0)))</f>
        <v>1</v>
      </c>
      <c r="U228" s="0" t="n">
        <f aca="false">IF(OR($A$3=入户维修!$F228,$A$3=入户维修!$G228,$BN$3=1),0,3-SUMPRODUCT(--(($A$1:$A$3=入户维修!$F228)+($A$1:$A$3=入户维修!$G228)+$BN$1:$BN$3&gt;0)))</f>
        <v>2</v>
      </c>
      <c r="V228" s="0" t="n">
        <f aca="false">IF(OR($A$4=入户维修!$F228,$A$4=入户维修!$G228,$BN$4=1),0,4-SUMPRODUCT(--(($A$1:$A$4=入户维修!$F228)+($A$1:$A$4=入户维修!$G228)+$BN$1:$BN$4&gt;0)))</f>
        <v>3</v>
      </c>
      <c r="W228" s="0" t="n">
        <f aca="false">IF(OR($A$5=入户维修!$F228,$A$5=入户维修!$G228,$BN$5=1),0,5-SUMPRODUCT(--(($A$1:$A$5=入户维修!$F228)+($A$1:$A$5=入户维修!$G228)+$BN$1:$BN$5&gt;0)))</f>
        <v>4</v>
      </c>
      <c r="Y228" s="0" t="str">
        <f aca="false">IFERROR(INDEX($A$1:$A$5,MATCH(1,$S228:$W228,0)),IF(1=MAX($S228:$W228)+1,"取消",""))</f>
        <v>李师傅</v>
      </c>
      <c r="Z228" s="0" t="str">
        <f aca="false">IFERROR(INDEX($A$1:$A$5,MATCH(2,$S228:$W228,0)),IF(2=MAX($S228:$W228)+1,"取消",""))</f>
        <v>王师傅</v>
      </c>
      <c r="AA228" s="0" t="str">
        <f aca="false">IFERROR(INDEX($A$1:$A$5,MATCH(3,$S228:$W228,0)),IF(3=MAX($S228:$W228)+1,"取消",""))</f>
        <v>陈师傅</v>
      </c>
      <c r="AB228" s="0" t="str">
        <f aca="false">IFERROR(INDEX($A$1:$A$5,MATCH(4,$S228:$W228,0)),IF(4=MAX($S228:$W228)+1,"取消",""))</f>
        <v>刘师傅</v>
      </c>
      <c r="AC228" s="0" t="str">
        <f aca="false">IFERROR(INDEX($A$1:$A$5,MATCH(5,$S228:$W228,0)),IF(5=MAX($S228:$W228)+1,"取消",""))</f>
        <v>取消</v>
      </c>
      <c r="AD228" s="0" t="str">
        <f aca="false">IFERROR(INDEX($A$1:$A$5,MATCH(6,$S228:$W228,0)),IF(6=MAX($S228:$W228)+1,"取消",""))</f>
        <v/>
      </c>
      <c r="AF228" s="0" t="n">
        <f aca="false">IF(OR($A$1=公区维修!$F228,$BN$1=1),0,1-SUMPRODUCT(--(($A$1=公区维修!$F228)+$BN$1&gt;0)))</f>
        <v>0</v>
      </c>
      <c r="AG228" s="0" t="n">
        <f aca="false">IF(OR($A$2=公区维修!$F228,$BN$2=1),0,2-SUMPRODUCT(--(($A$1:$A$2=公区维修!$F228)+$BN$1:$BN$2&gt;0)))</f>
        <v>1</v>
      </c>
      <c r="AH228" s="0" t="n">
        <f aca="false">IF(OR($A$3=公区维修!$F228,$BN$3=1),0,3-SUMPRODUCT(--(($A$1:$A$3=公区维修!$F228)+$BN$1:$BN$3&gt;0)))</f>
        <v>2</v>
      </c>
      <c r="AI228" s="0" t="n">
        <f aca="false">IF(OR($A$4=公区维修!$F228,$BN$4=1),0,4-SUMPRODUCT(--(($A$1:$A$4=公区维修!$F228)+$BN$1:$BN$4&gt;0)))</f>
        <v>3</v>
      </c>
      <c r="AJ228" s="0" t="n">
        <f aca="false">IF(OR($A$5=公区维修!$F228,$BN$5=1),0,5-SUMPRODUCT(--(($A$1:$A$5=公区维修!$F228)+$BN$1:$BN$5&gt;0)))</f>
        <v>4</v>
      </c>
      <c r="AL228" s="0" t="str">
        <f aca="false">IFERROR(INDEX($A$1:$A$5,MATCH(1,$AF228:$AJ228,0)),IF(1=MAX($AF228:$AJ228)+1,"取消",""))</f>
        <v>李师傅</v>
      </c>
      <c r="AM228" s="0" t="str">
        <f aca="false">IFERROR(INDEX($A$1:$A$5,MATCH(2,$AF228:$AJ228,0)),IF(2=MAX($AF228:$AJ228)+1,"取消",""))</f>
        <v>王师傅</v>
      </c>
      <c r="AN228" s="0" t="str">
        <f aca="false">IFERROR(INDEX($A$1:$A$5,MATCH(3,$AF228:$AJ228,0)),IF(3=MAX($AF228:$AJ228)+1,"取消",""))</f>
        <v>陈师傅</v>
      </c>
      <c r="AO228" s="0" t="str">
        <f aca="false">IFERROR(INDEX($A$1:$A$5,MATCH(4,$AF228:$AJ228,0)),IF(4=MAX($AF228:$AJ228)+1,"取消",""))</f>
        <v>刘师傅</v>
      </c>
      <c r="AP228" s="0" t="str">
        <f aca="false">IFERROR(INDEX($A$1:$A$5,MATCH(5,$AF228:$AJ228,0)),IF(5=MAX($AF228:$AJ228)+1,"取消",""))</f>
        <v>取消</v>
      </c>
      <c r="AQ228" s="0" t="str">
        <f aca="false">IFERROR(INDEX($A$1:$A$5,MATCH(6,$AF228:$AJ228,0)),IF(6=MAX($AF228:$AJ228)+1,"取消",""))</f>
        <v/>
      </c>
      <c r="AS228" s="0" t="n">
        <f aca="false">IF(OR($A$1=公区维修!$F228,$A$1=公区维修!$G228,$BN$1=1),0,1-SUMPRODUCT(--(($A$1=公区维修!$F228)+($A$1=公区维修!$G228)+$BN$1&gt;0)))</f>
        <v>0</v>
      </c>
      <c r="AT228" s="0" t="n">
        <f aca="false">IF(OR($A$2=公区维修!$F228,$A$2=公区维修!$G228,$BN$2=1),0,2-SUMPRODUCT(--(($A$1:$A$2=公区维修!$F228)+($A$1:$A$2=公区维修!$G228)+$BN$1:$BN$2&gt;0)))</f>
        <v>1</v>
      </c>
      <c r="AU228" s="0" t="n">
        <f aca="false">IF(OR($A$3=公区维修!$F228,$A$3=公区维修!$G228,$BN$3=1),0,3-SUMPRODUCT(--(($A$1:$A$3=公区维修!$F228)+($A$1:$A$3=公区维修!$G228)+$BN$1:$BN$3&gt;0)))</f>
        <v>2</v>
      </c>
      <c r="AV228" s="0" t="n">
        <f aca="false">IF(OR($A$4=公区维修!$F228,$A$4=公区维修!$G228,$BN$4=1),0,4-SUMPRODUCT(--(($A$1:$A$4=公区维修!$F228)+($A$1:$A$4=公区维修!$G228)+$BN$1:$BN$4&gt;0)))</f>
        <v>3</v>
      </c>
      <c r="AW228" s="0" t="n">
        <f aca="false">IF(OR($A$5=公区维修!$F228,$A$5=公区维修!$G228,$BN$5=1),0,5-SUMPRODUCT(--(($A$1:$A$5=公区维修!$F228)+($A$1:$A$5=公区维修!$G228)+$BN$1:$BN$5&gt;0)))</f>
        <v>4</v>
      </c>
      <c r="AY228" s="0" t="str">
        <f aca="false">IFERROR(INDEX($A$1:$A$5,MATCH(1,$AS228:$AW228,0)),IF(1=MAX($AS228:$AW228)+1,"取消",""))</f>
        <v>李师傅</v>
      </c>
      <c r="AZ228" s="0" t="str">
        <f aca="false">IFERROR(INDEX($A$1:$A$5,MATCH(2,$AS228:$AW228,0)),IF(2=MAX($AS228:$AW228)+1,"取消",""))</f>
        <v>王师傅</v>
      </c>
      <c r="BA228" s="0" t="str">
        <f aca="false">IFERROR(INDEX($A$1:$A$5,MATCH(3,$AS228:$AW228,0)),IF(3=MAX($AS228:$AW228)+1,"取消",""))</f>
        <v>陈师傅</v>
      </c>
      <c r="BB228" s="0" t="str">
        <f aca="false">IFERROR(INDEX($A$1:$A$5,MATCH(4,$AS228:$AW228,0)),IF(4=MAX($AS228:$AW228)+1,"取消",""))</f>
        <v>刘师傅</v>
      </c>
      <c r="BC228" s="0" t="str">
        <f aca="false">IFERROR(INDEX($A$1:$A$5,MATCH(5,$AS228:$AW228,0)),IF(5=MAX($AS228:$AW228)+1,"取消",""))</f>
        <v>取消</v>
      </c>
      <c r="BD228" s="0" t="str">
        <f aca="false">IFERROR(INDEX($A$1:$A$5,MATCH(6,$AS228:$AW228,0)),IF(6=MAX($AS228:$AW228)+1,"取消",""))</f>
        <v/>
      </c>
      <c r="FW228" s="0" t="str">
        <f aca="false">IF(AND(单元查询!$D$3&lt;&gt;"",IF(单元查询!$B$3="公区维修",公区维修!$E228&lt;&gt;"",入户维修!$E228&lt;&gt;""),IF(单元查询!$B$3="公区维修",公区维修!$C228,入户维修!$C228)=单元查询!$D$3,OR(单元查询!$F$3="",IF(单元查询!$B$3="公区维修",公区维修!$D228,入户维修!$D228)&amp;""=(单元查询!$F$3)&amp;"")),MAX($FW$4:$FW227)+1,"")</f>
        <v/>
      </c>
    </row>
    <row r="229" customFormat="false" ht="15" hidden="false" customHeight="true" outlineLevel="0" collapsed="false">
      <c r="F229" s="0" t="n">
        <f aca="false">IF(OR($A$1=入户维修!$F229,$BN$1=1),0,1-SUMPRODUCT(--(($A$1=入户维修!$F229)+$BN$1&gt;0)))</f>
        <v>0</v>
      </c>
      <c r="G229" s="0" t="n">
        <f aca="false">IF(OR($A$2=入户维修!$F229,$BN$2=1),0,2-SUMPRODUCT(--(($A$1:$A$2=入户维修!$F229)+$BN$1:$BN$2&gt;0)))</f>
        <v>1</v>
      </c>
      <c r="H229" s="0" t="n">
        <f aca="false">IF(OR($A$3=入户维修!$F229,$BN$3=1),0,3-SUMPRODUCT(--(($A$1:$A$3=入户维修!$F229)+$BN$1:$BN$3&gt;0)))</f>
        <v>2</v>
      </c>
      <c r="I229" s="0" t="n">
        <f aca="false">IF(OR($A$4=入户维修!$F229,$BN$4=1),0,4-SUMPRODUCT(--(($A$1:$A$4=入户维修!$F229)+$BN$1:$BN$4&gt;0)))</f>
        <v>3</v>
      </c>
      <c r="J229" s="0" t="n">
        <f aca="false">IF(OR($A$5=入户维修!$F229,$BN$5=1),0,5-SUMPRODUCT(--(($A$1:$A$5=入户维修!$F229)+$BN$1:$BN$5&gt;0)))</f>
        <v>4</v>
      </c>
      <c r="L229" s="0" t="str">
        <f aca="false">IFERROR(INDEX($A$1:$A$5,MATCH(1,$F229:$J229,0)),IF(1=MAX($F229:$J229)+1,"取消",""))</f>
        <v>李师傅</v>
      </c>
      <c r="M229" s="0" t="str">
        <f aca="false">IFERROR(INDEX($A$1:$A$5,MATCH(2,$F229:$J229,0)),IF(2=MAX($F229:$J229)+1,"取消",""))</f>
        <v>王师傅</v>
      </c>
      <c r="N229" s="0" t="str">
        <f aca="false">IFERROR(INDEX($A$1:$A$5,MATCH(3,$F229:$J229,0)),IF(3=MAX($F229:$J229)+1,"取消",""))</f>
        <v>陈师傅</v>
      </c>
      <c r="O229" s="0" t="str">
        <f aca="false">IFERROR(INDEX($A$1:$A$5,MATCH(4,$F229:$J229,0)),IF(4=MAX($F229:$J229)+1,"取消",""))</f>
        <v>刘师傅</v>
      </c>
      <c r="P229" s="0" t="str">
        <f aca="false">IFERROR(INDEX($A$1:$A$5,MATCH(5,$F229:$J229,0)),IF(5=MAX($F229:$J229)+1,"取消",""))</f>
        <v>取消</v>
      </c>
      <c r="Q229" s="0" t="str">
        <f aca="false">IFERROR(INDEX($A$1:$A$5,MATCH(6,$F229:$J229,0)),IF(6=MAX($F229:$J229)+1,"取消",""))</f>
        <v/>
      </c>
      <c r="S229" s="0" t="n">
        <f aca="false">IF(OR($A$1=入户维修!$F229,$A$1=入户维修!$G229,$BN$1=1),0,1-SUMPRODUCT(--(($A$1=入户维修!$F229)+($A$1=入户维修!$G229)+$BN$1&gt;0)))</f>
        <v>0</v>
      </c>
      <c r="T229" s="0" t="n">
        <f aca="false">IF(OR($A$2=入户维修!$F229,$A$2=入户维修!$G229,$BN$2=1),0,2-SUMPRODUCT(--(($A$1:$A$2=入户维修!$F229)+($A$1:$A$2=入户维修!$G229)+$BN$1:$BN$2&gt;0)))</f>
        <v>1</v>
      </c>
      <c r="U229" s="0" t="n">
        <f aca="false">IF(OR($A$3=入户维修!$F229,$A$3=入户维修!$G229,$BN$3=1),0,3-SUMPRODUCT(--(($A$1:$A$3=入户维修!$F229)+($A$1:$A$3=入户维修!$G229)+$BN$1:$BN$3&gt;0)))</f>
        <v>2</v>
      </c>
      <c r="V229" s="0" t="n">
        <f aca="false">IF(OR($A$4=入户维修!$F229,$A$4=入户维修!$G229,$BN$4=1),0,4-SUMPRODUCT(--(($A$1:$A$4=入户维修!$F229)+($A$1:$A$4=入户维修!$G229)+$BN$1:$BN$4&gt;0)))</f>
        <v>3</v>
      </c>
      <c r="W229" s="0" t="n">
        <f aca="false">IF(OR($A$5=入户维修!$F229,$A$5=入户维修!$G229,$BN$5=1),0,5-SUMPRODUCT(--(($A$1:$A$5=入户维修!$F229)+($A$1:$A$5=入户维修!$G229)+$BN$1:$BN$5&gt;0)))</f>
        <v>4</v>
      </c>
      <c r="Y229" s="0" t="str">
        <f aca="false">IFERROR(INDEX($A$1:$A$5,MATCH(1,$S229:$W229,0)),IF(1=MAX($S229:$W229)+1,"取消",""))</f>
        <v>李师傅</v>
      </c>
      <c r="Z229" s="0" t="str">
        <f aca="false">IFERROR(INDEX($A$1:$A$5,MATCH(2,$S229:$W229,0)),IF(2=MAX($S229:$W229)+1,"取消",""))</f>
        <v>王师傅</v>
      </c>
      <c r="AA229" s="0" t="str">
        <f aca="false">IFERROR(INDEX($A$1:$A$5,MATCH(3,$S229:$W229,0)),IF(3=MAX($S229:$W229)+1,"取消",""))</f>
        <v>陈师傅</v>
      </c>
      <c r="AB229" s="0" t="str">
        <f aca="false">IFERROR(INDEX($A$1:$A$5,MATCH(4,$S229:$W229,0)),IF(4=MAX($S229:$W229)+1,"取消",""))</f>
        <v>刘师傅</v>
      </c>
      <c r="AC229" s="0" t="str">
        <f aca="false">IFERROR(INDEX($A$1:$A$5,MATCH(5,$S229:$W229,0)),IF(5=MAX($S229:$W229)+1,"取消",""))</f>
        <v>取消</v>
      </c>
      <c r="AD229" s="0" t="str">
        <f aca="false">IFERROR(INDEX($A$1:$A$5,MATCH(6,$S229:$W229,0)),IF(6=MAX($S229:$W229)+1,"取消",""))</f>
        <v/>
      </c>
      <c r="AF229" s="0" t="n">
        <f aca="false">IF(OR($A$1=公区维修!$F229,$BN$1=1),0,1-SUMPRODUCT(--(($A$1=公区维修!$F229)+$BN$1&gt;0)))</f>
        <v>0</v>
      </c>
      <c r="AG229" s="0" t="n">
        <f aca="false">IF(OR($A$2=公区维修!$F229,$BN$2=1),0,2-SUMPRODUCT(--(($A$1:$A$2=公区维修!$F229)+$BN$1:$BN$2&gt;0)))</f>
        <v>1</v>
      </c>
      <c r="AH229" s="0" t="n">
        <f aca="false">IF(OR($A$3=公区维修!$F229,$BN$3=1),0,3-SUMPRODUCT(--(($A$1:$A$3=公区维修!$F229)+$BN$1:$BN$3&gt;0)))</f>
        <v>2</v>
      </c>
      <c r="AI229" s="0" t="n">
        <f aca="false">IF(OR($A$4=公区维修!$F229,$BN$4=1),0,4-SUMPRODUCT(--(($A$1:$A$4=公区维修!$F229)+$BN$1:$BN$4&gt;0)))</f>
        <v>3</v>
      </c>
      <c r="AJ229" s="0" t="n">
        <f aca="false">IF(OR($A$5=公区维修!$F229,$BN$5=1),0,5-SUMPRODUCT(--(($A$1:$A$5=公区维修!$F229)+$BN$1:$BN$5&gt;0)))</f>
        <v>4</v>
      </c>
      <c r="AL229" s="0" t="str">
        <f aca="false">IFERROR(INDEX($A$1:$A$5,MATCH(1,$AF229:$AJ229,0)),IF(1=MAX($AF229:$AJ229)+1,"取消",""))</f>
        <v>李师傅</v>
      </c>
      <c r="AM229" s="0" t="str">
        <f aca="false">IFERROR(INDEX($A$1:$A$5,MATCH(2,$AF229:$AJ229,0)),IF(2=MAX($AF229:$AJ229)+1,"取消",""))</f>
        <v>王师傅</v>
      </c>
      <c r="AN229" s="0" t="str">
        <f aca="false">IFERROR(INDEX($A$1:$A$5,MATCH(3,$AF229:$AJ229,0)),IF(3=MAX($AF229:$AJ229)+1,"取消",""))</f>
        <v>陈师傅</v>
      </c>
      <c r="AO229" s="0" t="str">
        <f aca="false">IFERROR(INDEX($A$1:$A$5,MATCH(4,$AF229:$AJ229,0)),IF(4=MAX($AF229:$AJ229)+1,"取消",""))</f>
        <v>刘师傅</v>
      </c>
      <c r="AP229" s="0" t="str">
        <f aca="false">IFERROR(INDEX($A$1:$A$5,MATCH(5,$AF229:$AJ229,0)),IF(5=MAX($AF229:$AJ229)+1,"取消",""))</f>
        <v>取消</v>
      </c>
      <c r="AQ229" s="0" t="str">
        <f aca="false">IFERROR(INDEX($A$1:$A$5,MATCH(6,$AF229:$AJ229,0)),IF(6=MAX($AF229:$AJ229)+1,"取消",""))</f>
        <v/>
      </c>
      <c r="AS229" s="0" t="n">
        <f aca="false">IF(OR($A$1=公区维修!$F229,$A$1=公区维修!$G229,$BN$1=1),0,1-SUMPRODUCT(--(($A$1=公区维修!$F229)+($A$1=公区维修!$G229)+$BN$1&gt;0)))</f>
        <v>0</v>
      </c>
      <c r="AT229" s="0" t="n">
        <f aca="false">IF(OR($A$2=公区维修!$F229,$A$2=公区维修!$G229,$BN$2=1),0,2-SUMPRODUCT(--(($A$1:$A$2=公区维修!$F229)+($A$1:$A$2=公区维修!$G229)+$BN$1:$BN$2&gt;0)))</f>
        <v>1</v>
      </c>
      <c r="AU229" s="0" t="n">
        <f aca="false">IF(OR($A$3=公区维修!$F229,$A$3=公区维修!$G229,$BN$3=1),0,3-SUMPRODUCT(--(($A$1:$A$3=公区维修!$F229)+($A$1:$A$3=公区维修!$G229)+$BN$1:$BN$3&gt;0)))</f>
        <v>2</v>
      </c>
      <c r="AV229" s="0" t="n">
        <f aca="false">IF(OR($A$4=公区维修!$F229,$A$4=公区维修!$G229,$BN$4=1),0,4-SUMPRODUCT(--(($A$1:$A$4=公区维修!$F229)+($A$1:$A$4=公区维修!$G229)+$BN$1:$BN$4&gt;0)))</f>
        <v>3</v>
      </c>
      <c r="AW229" s="0" t="n">
        <f aca="false">IF(OR($A$5=公区维修!$F229,$A$5=公区维修!$G229,$BN$5=1),0,5-SUMPRODUCT(--(($A$1:$A$5=公区维修!$F229)+($A$1:$A$5=公区维修!$G229)+$BN$1:$BN$5&gt;0)))</f>
        <v>4</v>
      </c>
      <c r="AY229" s="0" t="str">
        <f aca="false">IFERROR(INDEX($A$1:$A$5,MATCH(1,$AS229:$AW229,0)),IF(1=MAX($AS229:$AW229)+1,"取消",""))</f>
        <v>李师傅</v>
      </c>
      <c r="AZ229" s="0" t="str">
        <f aca="false">IFERROR(INDEX($A$1:$A$5,MATCH(2,$AS229:$AW229,0)),IF(2=MAX($AS229:$AW229)+1,"取消",""))</f>
        <v>王师傅</v>
      </c>
      <c r="BA229" s="0" t="str">
        <f aca="false">IFERROR(INDEX($A$1:$A$5,MATCH(3,$AS229:$AW229,0)),IF(3=MAX($AS229:$AW229)+1,"取消",""))</f>
        <v>陈师傅</v>
      </c>
      <c r="BB229" s="0" t="str">
        <f aca="false">IFERROR(INDEX($A$1:$A$5,MATCH(4,$AS229:$AW229,0)),IF(4=MAX($AS229:$AW229)+1,"取消",""))</f>
        <v>刘师傅</v>
      </c>
      <c r="BC229" s="0" t="str">
        <f aca="false">IFERROR(INDEX($A$1:$A$5,MATCH(5,$AS229:$AW229,0)),IF(5=MAX($AS229:$AW229)+1,"取消",""))</f>
        <v>取消</v>
      </c>
      <c r="BD229" s="0" t="str">
        <f aca="false">IFERROR(INDEX($A$1:$A$5,MATCH(6,$AS229:$AW229,0)),IF(6=MAX($AS229:$AW229)+1,"取消",""))</f>
        <v/>
      </c>
      <c r="FW229" s="0" t="str">
        <f aca="false">IF(AND(单元查询!$D$3&lt;&gt;"",IF(单元查询!$B$3="公区维修",公区维修!$E229&lt;&gt;"",入户维修!$E229&lt;&gt;""),IF(单元查询!$B$3="公区维修",公区维修!$C229,入户维修!$C229)=单元查询!$D$3,OR(单元查询!$F$3="",IF(单元查询!$B$3="公区维修",公区维修!$D229,入户维修!$D229)&amp;""=(单元查询!$F$3)&amp;"")),MAX($FW$4:$FW228)+1,"")</f>
        <v/>
      </c>
    </row>
    <row r="230" customFormat="false" ht="15" hidden="false" customHeight="true" outlineLevel="0" collapsed="false">
      <c r="F230" s="0" t="n">
        <f aca="false">IF(OR($A$1=入户维修!$F230,$BN$1=1),0,1-SUMPRODUCT(--(($A$1=入户维修!$F230)+$BN$1&gt;0)))</f>
        <v>0</v>
      </c>
      <c r="G230" s="0" t="n">
        <f aca="false">IF(OR($A$2=入户维修!$F230,$BN$2=1),0,2-SUMPRODUCT(--(($A$1:$A$2=入户维修!$F230)+$BN$1:$BN$2&gt;0)))</f>
        <v>1</v>
      </c>
      <c r="H230" s="0" t="n">
        <f aca="false">IF(OR($A$3=入户维修!$F230,$BN$3=1),0,3-SUMPRODUCT(--(($A$1:$A$3=入户维修!$F230)+$BN$1:$BN$3&gt;0)))</f>
        <v>2</v>
      </c>
      <c r="I230" s="0" t="n">
        <f aca="false">IF(OR($A$4=入户维修!$F230,$BN$4=1),0,4-SUMPRODUCT(--(($A$1:$A$4=入户维修!$F230)+$BN$1:$BN$4&gt;0)))</f>
        <v>3</v>
      </c>
      <c r="J230" s="0" t="n">
        <f aca="false">IF(OR($A$5=入户维修!$F230,$BN$5=1),0,5-SUMPRODUCT(--(($A$1:$A$5=入户维修!$F230)+$BN$1:$BN$5&gt;0)))</f>
        <v>4</v>
      </c>
      <c r="L230" s="0" t="str">
        <f aca="false">IFERROR(INDEX($A$1:$A$5,MATCH(1,$F230:$J230,0)),IF(1=MAX($F230:$J230)+1,"取消",""))</f>
        <v>李师傅</v>
      </c>
      <c r="M230" s="0" t="str">
        <f aca="false">IFERROR(INDEX($A$1:$A$5,MATCH(2,$F230:$J230,0)),IF(2=MAX($F230:$J230)+1,"取消",""))</f>
        <v>王师傅</v>
      </c>
      <c r="N230" s="0" t="str">
        <f aca="false">IFERROR(INDEX($A$1:$A$5,MATCH(3,$F230:$J230,0)),IF(3=MAX($F230:$J230)+1,"取消",""))</f>
        <v>陈师傅</v>
      </c>
      <c r="O230" s="0" t="str">
        <f aca="false">IFERROR(INDEX($A$1:$A$5,MATCH(4,$F230:$J230,0)),IF(4=MAX($F230:$J230)+1,"取消",""))</f>
        <v>刘师傅</v>
      </c>
      <c r="P230" s="0" t="str">
        <f aca="false">IFERROR(INDEX($A$1:$A$5,MATCH(5,$F230:$J230,0)),IF(5=MAX($F230:$J230)+1,"取消",""))</f>
        <v>取消</v>
      </c>
      <c r="Q230" s="0" t="str">
        <f aca="false">IFERROR(INDEX($A$1:$A$5,MATCH(6,$F230:$J230,0)),IF(6=MAX($F230:$J230)+1,"取消",""))</f>
        <v/>
      </c>
      <c r="S230" s="0" t="n">
        <f aca="false">IF(OR($A$1=入户维修!$F230,$A$1=入户维修!$G230,$BN$1=1),0,1-SUMPRODUCT(--(($A$1=入户维修!$F230)+($A$1=入户维修!$G230)+$BN$1&gt;0)))</f>
        <v>0</v>
      </c>
      <c r="T230" s="0" t="n">
        <f aca="false">IF(OR($A$2=入户维修!$F230,$A$2=入户维修!$G230,$BN$2=1),0,2-SUMPRODUCT(--(($A$1:$A$2=入户维修!$F230)+($A$1:$A$2=入户维修!$G230)+$BN$1:$BN$2&gt;0)))</f>
        <v>1</v>
      </c>
      <c r="U230" s="0" t="n">
        <f aca="false">IF(OR($A$3=入户维修!$F230,$A$3=入户维修!$G230,$BN$3=1),0,3-SUMPRODUCT(--(($A$1:$A$3=入户维修!$F230)+($A$1:$A$3=入户维修!$G230)+$BN$1:$BN$3&gt;0)))</f>
        <v>2</v>
      </c>
      <c r="V230" s="0" t="n">
        <f aca="false">IF(OR($A$4=入户维修!$F230,$A$4=入户维修!$G230,$BN$4=1),0,4-SUMPRODUCT(--(($A$1:$A$4=入户维修!$F230)+($A$1:$A$4=入户维修!$G230)+$BN$1:$BN$4&gt;0)))</f>
        <v>3</v>
      </c>
      <c r="W230" s="0" t="n">
        <f aca="false">IF(OR($A$5=入户维修!$F230,$A$5=入户维修!$G230,$BN$5=1),0,5-SUMPRODUCT(--(($A$1:$A$5=入户维修!$F230)+($A$1:$A$5=入户维修!$G230)+$BN$1:$BN$5&gt;0)))</f>
        <v>4</v>
      </c>
      <c r="Y230" s="0" t="str">
        <f aca="false">IFERROR(INDEX($A$1:$A$5,MATCH(1,$S230:$W230,0)),IF(1=MAX($S230:$W230)+1,"取消",""))</f>
        <v>李师傅</v>
      </c>
      <c r="Z230" s="0" t="str">
        <f aca="false">IFERROR(INDEX($A$1:$A$5,MATCH(2,$S230:$W230,0)),IF(2=MAX($S230:$W230)+1,"取消",""))</f>
        <v>王师傅</v>
      </c>
      <c r="AA230" s="0" t="str">
        <f aca="false">IFERROR(INDEX($A$1:$A$5,MATCH(3,$S230:$W230,0)),IF(3=MAX($S230:$W230)+1,"取消",""))</f>
        <v>陈师傅</v>
      </c>
      <c r="AB230" s="0" t="str">
        <f aca="false">IFERROR(INDEX($A$1:$A$5,MATCH(4,$S230:$W230,0)),IF(4=MAX($S230:$W230)+1,"取消",""))</f>
        <v>刘师傅</v>
      </c>
      <c r="AC230" s="0" t="str">
        <f aca="false">IFERROR(INDEX($A$1:$A$5,MATCH(5,$S230:$W230,0)),IF(5=MAX($S230:$W230)+1,"取消",""))</f>
        <v>取消</v>
      </c>
      <c r="AD230" s="0" t="str">
        <f aca="false">IFERROR(INDEX($A$1:$A$5,MATCH(6,$S230:$W230,0)),IF(6=MAX($S230:$W230)+1,"取消",""))</f>
        <v/>
      </c>
      <c r="AF230" s="0" t="n">
        <f aca="false">IF(OR($A$1=公区维修!$F230,$BN$1=1),0,1-SUMPRODUCT(--(($A$1=公区维修!$F230)+$BN$1&gt;0)))</f>
        <v>0</v>
      </c>
      <c r="AG230" s="0" t="n">
        <f aca="false">IF(OR($A$2=公区维修!$F230,$BN$2=1),0,2-SUMPRODUCT(--(($A$1:$A$2=公区维修!$F230)+$BN$1:$BN$2&gt;0)))</f>
        <v>1</v>
      </c>
      <c r="AH230" s="0" t="n">
        <f aca="false">IF(OR($A$3=公区维修!$F230,$BN$3=1),0,3-SUMPRODUCT(--(($A$1:$A$3=公区维修!$F230)+$BN$1:$BN$3&gt;0)))</f>
        <v>2</v>
      </c>
      <c r="AI230" s="0" t="n">
        <f aca="false">IF(OR($A$4=公区维修!$F230,$BN$4=1),0,4-SUMPRODUCT(--(($A$1:$A$4=公区维修!$F230)+$BN$1:$BN$4&gt;0)))</f>
        <v>3</v>
      </c>
      <c r="AJ230" s="0" t="n">
        <f aca="false">IF(OR($A$5=公区维修!$F230,$BN$5=1),0,5-SUMPRODUCT(--(($A$1:$A$5=公区维修!$F230)+$BN$1:$BN$5&gt;0)))</f>
        <v>4</v>
      </c>
      <c r="AL230" s="0" t="str">
        <f aca="false">IFERROR(INDEX($A$1:$A$5,MATCH(1,$AF230:$AJ230,0)),IF(1=MAX($AF230:$AJ230)+1,"取消",""))</f>
        <v>李师傅</v>
      </c>
      <c r="AM230" s="0" t="str">
        <f aca="false">IFERROR(INDEX($A$1:$A$5,MATCH(2,$AF230:$AJ230,0)),IF(2=MAX($AF230:$AJ230)+1,"取消",""))</f>
        <v>王师傅</v>
      </c>
      <c r="AN230" s="0" t="str">
        <f aca="false">IFERROR(INDEX($A$1:$A$5,MATCH(3,$AF230:$AJ230,0)),IF(3=MAX($AF230:$AJ230)+1,"取消",""))</f>
        <v>陈师傅</v>
      </c>
      <c r="AO230" s="0" t="str">
        <f aca="false">IFERROR(INDEX($A$1:$A$5,MATCH(4,$AF230:$AJ230,0)),IF(4=MAX($AF230:$AJ230)+1,"取消",""))</f>
        <v>刘师傅</v>
      </c>
      <c r="AP230" s="0" t="str">
        <f aca="false">IFERROR(INDEX($A$1:$A$5,MATCH(5,$AF230:$AJ230,0)),IF(5=MAX($AF230:$AJ230)+1,"取消",""))</f>
        <v>取消</v>
      </c>
      <c r="AQ230" s="0" t="str">
        <f aca="false">IFERROR(INDEX($A$1:$A$5,MATCH(6,$AF230:$AJ230,0)),IF(6=MAX($AF230:$AJ230)+1,"取消",""))</f>
        <v/>
      </c>
      <c r="AS230" s="0" t="n">
        <f aca="false">IF(OR($A$1=公区维修!$F230,$A$1=公区维修!$G230,$BN$1=1),0,1-SUMPRODUCT(--(($A$1=公区维修!$F230)+($A$1=公区维修!$G230)+$BN$1&gt;0)))</f>
        <v>0</v>
      </c>
      <c r="AT230" s="0" t="n">
        <f aca="false">IF(OR($A$2=公区维修!$F230,$A$2=公区维修!$G230,$BN$2=1),0,2-SUMPRODUCT(--(($A$1:$A$2=公区维修!$F230)+($A$1:$A$2=公区维修!$G230)+$BN$1:$BN$2&gt;0)))</f>
        <v>1</v>
      </c>
      <c r="AU230" s="0" t="n">
        <f aca="false">IF(OR($A$3=公区维修!$F230,$A$3=公区维修!$G230,$BN$3=1),0,3-SUMPRODUCT(--(($A$1:$A$3=公区维修!$F230)+($A$1:$A$3=公区维修!$G230)+$BN$1:$BN$3&gt;0)))</f>
        <v>2</v>
      </c>
      <c r="AV230" s="0" t="n">
        <f aca="false">IF(OR($A$4=公区维修!$F230,$A$4=公区维修!$G230,$BN$4=1),0,4-SUMPRODUCT(--(($A$1:$A$4=公区维修!$F230)+($A$1:$A$4=公区维修!$G230)+$BN$1:$BN$4&gt;0)))</f>
        <v>3</v>
      </c>
      <c r="AW230" s="0" t="n">
        <f aca="false">IF(OR($A$5=公区维修!$F230,$A$5=公区维修!$G230,$BN$5=1),0,5-SUMPRODUCT(--(($A$1:$A$5=公区维修!$F230)+($A$1:$A$5=公区维修!$G230)+$BN$1:$BN$5&gt;0)))</f>
        <v>4</v>
      </c>
      <c r="AY230" s="0" t="str">
        <f aca="false">IFERROR(INDEX($A$1:$A$5,MATCH(1,$AS230:$AW230,0)),IF(1=MAX($AS230:$AW230)+1,"取消",""))</f>
        <v>李师傅</v>
      </c>
      <c r="AZ230" s="0" t="str">
        <f aca="false">IFERROR(INDEX($A$1:$A$5,MATCH(2,$AS230:$AW230,0)),IF(2=MAX($AS230:$AW230)+1,"取消",""))</f>
        <v>王师傅</v>
      </c>
      <c r="BA230" s="0" t="str">
        <f aca="false">IFERROR(INDEX($A$1:$A$5,MATCH(3,$AS230:$AW230,0)),IF(3=MAX($AS230:$AW230)+1,"取消",""))</f>
        <v>陈师傅</v>
      </c>
      <c r="BB230" s="0" t="str">
        <f aca="false">IFERROR(INDEX($A$1:$A$5,MATCH(4,$AS230:$AW230,0)),IF(4=MAX($AS230:$AW230)+1,"取消",""))</f>
        <v>刘师傅</v>
      </c>
      <c r="BC230" s="0" t="str">
        <f aca="false">IFERROR(INDEX($A$1:$A$5,MATCH(5,$AS230:$AW230,0)),IF(5=MAX($AS230:$AW230)+1,"取消",""))</f>
        <v>取消</v>
      </c>
      <c r="BD230" s="0" t="str">
        <f aca="false">IFERROR(INDEX($A$1:$A$5,MATCH(6,$AS230:$AW230,0)),IF(6=MAX($AS230:$AW230)+1,"取消",""))</f>
        <v/>
      </c>
      <c r="FW230" s="0" t="str">
        <f aca="false">IF(AND(单元查询!$D$3&lt;&gt;"",IF(单元查询!$B$3="公区维修",公区维修!$E230&lt;&gt;"",入户维修!$E230&lt;&gt;""),IF(单元查询!$B$3="公区维修",公区维修!$C230,入户维修!$C230)=单元查询!$D$3,OR(单元查询!$F$3="",IF(单元查询!$B$3="公区维修",公区维修!$D230,入户维修!$D230)&amp;""=(单元查询!$F$3)&amp;"")),MAX($FW$4:$FW229)+1,"")</f>
        <v/>
      </c>
    </row>
    <row r="231" customFormat="false" ht="15" hidden="false" customHeight="true" outlineLevel="0" collapsed="false">
      <c r="F231" s="0" t="n">
        <f aca="false">IF(OR($A$1=入户维修!$F231,$BN$1=1),0,1-SUMPRODUCT(--(($A$1=入户维修!$F231)+$BN$1&gt;0)))</f>
        <v>0</v>
      </c>
      <c r="G231" s="0" t="n">
        <f aca="false">IF(OR($A$2=入户维修!$F231,$BN$2=1),0,2-SUMPRODUCT(--(($A$1:$A$2=入户维修!$F231)+$BN$1:$BN$2&gt;0)))</f>
        <v>1</v>
      </c>
      <c r="H231" s="0" t="n">
        <f aca="false">IF(OR($A$3=入户维修!$F231,$BN$3=1),0,3-SUMPRODUCT(--(($A$1:$A$3=入户维修!$F231)+$BN$1:$BN$3&gt;0)))</f>
        <v>2</v>
      </c>
      <c r="I231" s="0" t="n">
        <f aca="false">IF(OR($A$4=入户维修!$F231,$BN$4=1),0,4-SUMPRODUCT(--(($A$1:$A$4=入户维修!$F231)+$BN$1:$BN$4&gt;0)))</f>
        <v>3</v>
      </c>
      <c r="J231" s="0" t="n">
        <f aca="false">IF(OR($A$5=入户维修!$F231,$BN$5=1),0,5-SUMPRODUCT(--(($A$1:$A$5=入户维修!$F231)+$BN$1:$BN$5&gt;0)))</f>
        <v>4</v>
      </c>
      <c r="L231" s="0" t="str">
        <f aca="false">IFERROR(INDEX($A$1:$A$5,MATCH(1,$F231:$J231,0)),IF(1=MAX($F231:$J231)+1,"取消",""))</f>
        <v>李师傅</v>
      </c>
      <c r="M231" s="0" t="str">
        <f aca="false">IFERROR(INDEX($A$1:$A$5,MATCH(2,$F231:$J231,0)),IF(2=MAX($F231:$J231)+1,"取消",""))</f>
        <v>王师傅</v>
      </c>
      <c r="N231" s="0" t="str">
        <f aca="false">IFERROR(INDEX($A$1:$A$5,MATCH(3,$F231:$J231,0)),IF(3=MAX($F231:$J231)+1,"取消",""))</f>
        <v>陈师傅</v>
      </c>
      <c r="O231" s="0" t="str">
        <f aca="false">IFERROR(INDEX($A$1:$A$5,MATCH(4,$F231:$J231,0)),IF(4=MAX($F231:$J231)+1,"取消",""))</f>
        <v>刘师傅</v>
      </c>
      <c r="P231" s="0" t="str">
        <f aca="false">IFERROR(INDEX($A$1:$A$5,MATCH(5,$F231:$J231,0)),IF(5=MAX($F231:$J231)+1,"取消",""))</f>
        <v>取消</v>
      </c>
      <c r="Q231" s="0" t="str">
        <f aca="false">IFERROR(INDEX($A$1:$A$5,MATCH(6,$F231:$J231,0)),IF(6=MAX($F231:$J231)+1,"取消",""))</f>
        <v/>
      </c>
      <c r="S231" s="0" t="n">
        <f aca="false">IF(OR($A$1=入户维修!$F231,$A$1=入户维修!$G231,$BN$1=1),0,1-SUMPRODUCT(--(($A$1=入户维修!$F231)+($A$1=入户维修!$G231)+$BN$1&gt;0)))</f>
        <v>0</v>
      </c>
      <c r="T231" s="0" t="n">
        <f aca="false">IF(OR($A$2=入户维修!$F231,$A$2=入户维修!$G231,$BN$2=1),0,2-SUMPRODUCT(--(($A$1:$A$2=入户维修!$F231)+($A$1:$A$2=入户维修!$G231)+$BN$1:$BN$2&gt;0)))</f>
        <v>1</v>
      </c>
      <c r="U231" s="0" t="n">
        <f aca="false">IF(OR($A$3=入户维修!$F231,$A$3=入户维修!$G231,$BN$3=1),0,3-SUMPRODUCT(--(($A$1:$A$3=入户维修!$F231)+($A$1:$A$3=入户维修!$G231)+$BN$1:$BN$3&gt;0)))</f>
        <v>2</v>
      </c>
      <c r="V231" s="0" t="n">
        <f aca="false">IF(OR($A$4=入户维修!$F231,$A$4=入户维修!$G231,$BN$4=1),0,4-SUMPRODUCT(--(($A$1:$A$4=入户维修!$F231)+($A$1:$A$4=入户维修!$G231)+$BN$1:$BN$4&gt;0)))</f>
        <v>3</v>
      </c>
      <c r="W231" s="0" t="n">
        <f aca="false">IF(OR($A$5=入户维修!$F231,$A$5=入户维修!$G231,$BN$5=1),0,5-SUMPRODUCT(--(($A$1:$A$5=入户维修!$F231)+($A$1:$A$5=入户维修!$G231)+$BN$1:$BN$5&gt;0)))</f>
        <v>4</v>
      </c>
      <c r="Y231" s="0" t="str">
        <f aca="false">IFERROR(INDEX($A$1:$A$5,MATCH(1,$S231:$W231,0)),IF(1=MAX($S231:$W231)+1,"取消",""))</f>
        <v>李师傅</v>
      </c>
      <c r="Z231" s="0" t="str">
        <f aca="false">IFERROR(INDEX($A$1:$A$5,MATCH(2,$S231:$W231,0)),IF(2=MAX($S231:$W231)+1,"取消",""))</f>
        <v>王师傅</v>
      </c>
      <c r="AA231" s="0" t="str">
        <f aca="false">IFERROR(INDEX($A$1:$A$5,MATCH(3,$S231:$W231,0)),IF(3=MAX($S231:$W231)+1,"取消",""))</f>
        <v>陈师傅</v>
      </c>
      <c r="AB231" s="0" t="str">
        <f aca="false">IFERROR(INDEX($A$1:$A$5,MATCH(4,$S231:$W231,0)),IF(4=MAX($S231:$W231)+1,"取消",""))</f>
        <v>刘师傅</v>
      </c>
      <c r="AC231" s="0" t="str">
        <f aca="false">IFERROR(INDEX($A$1:$A$5,MATCH(5,$S231:$W231,0)),IF(5=MAX($S231:$W231)+1,"取消",""))</f>
        <v>取消</v>
      </c>
      <c r="AD231" s="0" t="str">
        <f aca="false">IFERROR(INDEX($A$1:$A$5,MATCH(6,$S231:$W231,0)),IF(6=MAX($S231:$W231)+1,"取消",""))</f>
        <v/>
      </c>
      <c r="AF231" s="0" t="n">
        <f aca="false">IF(OR($A$1=公区维修!$F231,$BN$1=1),0,1-SUMPRODUCT(--(($A$1=公区维修!$F231)+$BN$1&gt;0)))</f>
        <v>0</v>
      </c>
      <c r="AG231" s="0" t="n">
        <f aca="false">IF(OR($A$2=公区维修!$F231,$BN$2=1),0,2-SUMPRODUCT(--(($A$1:$A$2=公区维修!$F231)+$BN$1:$BN$2&gt;0)))</f>
        <v>1</v>
      </c>
      <c r="AH231" s="0" t="n">
        <f aca="false">IF(OR($A$3=公区维修!$F231,$BN$3=1),0,3-SUMPRODUCT(--(($A$1:$A$3=公区维修!$F231)+$BN$1:$BN$3&gt;0)))</f>
        <v>2</v>
      </c>
      <c r="AI231" s="0" t="n">
        <f aca="false">IF(OR($A$4=公区维修!$F231,$BN$4=1),0,4-SUMPRODUCT(--(($A$1:$A$4=公区维修!$F231)+$BN$1:$BN$4&gt;0)))</f>
        <v>3</v>
      </c>
      <c r="AJ231" s="0" t="n">
        <f aca="false">IF(OR($A$5=公区维修!$F231,$BN$5=1),0,5-SUMPRODUCT(--(($A$1:$A$5=公区维修!$F231)+$BN$1:$BN$5&gt;0)))</f>
        <v>4</v>
      </c>
      <c r="AL231" s="0" t="str">
        <f aca="false">IFERROR(INDEX($A$1:$A$5,MATCH(1,$AF231:$AJ231,0)),IF(1=MAX($AF231:$AJ231)+1,"取消",""))</f>
        <v>李师傅</v>
      </c>
      <c r="AM231" s="0" t="str">
        <f aca="false">IFERROR(INDEX($A$1:$A$5,MATCH(2,$AF231:$AJ231,0)),IF(2=MAX($AF231:$AJ231)+1,"取消",""))</f>
        <v>王师傅</v>
      </c>
      <c r="AN231" s="0" t="str">
        <f aca="false">IFERROR(INDEX($A$1:$A$5,MATCH(3,$AF231:$AJ231,0)),IF(3=MAX($AF231:$AJ231)+1,"取消",""))</f>
        <v>陈师傅</v>
      </c>
      <c r="AO231" s="0" t="str">
        <f aca="false">IFERROR(INDEX($A$1:$A$5,MATCH(4,$AF231:$AJ231,0)),IF(4=MAX($AF231:$AJ231)+1,"取消",""))</f>
        <v>刘师傅</v>
      </c>
      <c r="AP231" s="0" t="str">
        <f aca="false">IFERROR(INDEX($A$1:$A$5,MATCH(5,$AF231:$AJ231,0)),IF(5=MAX($AF231:$AJ231)+1,"取消",""))</f>
        <v>取消</v>
      </c>
      <c r="AQ231" s="0" t="str">
        <f aca="false">IFERROR(INDEX($A$1:$A$5,MATCH(6,$AF231:$AJ231,0)),IF(6=MAX($AF231:$AJ231)+1,"取消",""))</f>
        <v/>
      </c>
      <c r="AS231" s="0" t="n">
        <f aca="false">IF(OR($A$1=公区维修!$F231,$A$1=公区维修!$G231,$BN$1=1),0,1-SUMPRODUCT(--(($A$1=公区维修!$F231)+($A$1=公区维修!$G231)+$BN$1&gt;0)))</f>
        <v>0</v>
      </c>
      <c r="AT231" s="0" t="n">
        <f aca="false">IF(OR($A$2=公区维修!$F231,$A$2=公区维修!$G231,$BN$2=1),0,2-SUMPRODUCT(--(($A$1:$A$2=公区维修!$F231)+($A$1:$A$2=公区维修!$G231)+$BN$1:$BN$2&gt;0)))</f>
        <v>1</v>
      </c>
      <c r="AU231" s="0" t="n">
        <f aca="false">IF(OR($A$3=公区维修!$F231,$A$3=公区维修!$G231,$BN$3=1),0,3-SUMPRODUCT(--(($A$1:$A$3=公区维修!$F231)+($A$1:$A$3=公区维修!$G231)+$BN$1:$BN$3&gt;0)))</f>
        <v>2</v>
      </c>
      <c r="AV231" s="0" t="n">
        <f aca="false">IF(OR($A$4=公区维修!$F231,$A$4=公区维修!$G231,$BN$4=1),0,4-SUMPRODUCT(--(($A$1:$A$4=公区维修!$F231)+($A$1:$A$4=公区维修!$G231)+$BN$1:$BN$4&gt;0)))</f>
        <v>3</v>
      </c>
      <c r="AW231" s="0" t="n">
        <f aca="false">IF(OR($A$5=公区维修!$F231,$A$5=公区维修!$G231,$BN$5=1),0,5-SUMPRODUCT(--(($A$1:$A$5=公区维修!$F231)+($A$1:$A$5=公区维修!$G231)+$BN$1:$BN$5&gt;0)))</f>
        <v>4</v>
      </c>
      <c r="AY231" s="0" t="str">
        <f aca="false">IFERROR(INDEX($A$1:$A$5,MATCH(1,$AS231:$AW231,0)),IF(1=MAX($AS231:$AW231)+1,"取消",""))</f>
        <v>李师傅</v>
      </c>
      <c r="AZ231" s="0" t="str">
        <f aca="false">IFERROR(INDEX($A$1:$A$5,MATCH(2,$AS231:$AW231,0)),IF(2=MAX($AS231:$AW231)+1,"取消",""))</f>
        <v>王师傅</v>
      </c>
      <c r="BA231" s="0" t="str">
        <f aca="false">IFERROR(INDEX($A$1:$A$5,MATCH(3,$AS231:$AW231,0)),IF(3=MAX($AS231:$AW231)+1,"取消",""))</f>
        <v>陈师傅</v>
      </c>
      <c r="BB231" s="0" t="str">
        <f aca="false">IFERROR(INDEX($A$1:$A$5,MATCH(4,$AS231:$AW231,0)),IF(4=MAX($AS231:$AW231)+1,"取消",""))</f>
        <v>刘师傅</v>
      </c>
      <c r="BC231" s="0" t="str">
        <f aca="false">IFERROR(INDEX($A$1:$A$5,MATCH(5,$AS231:$AW231,0)),IF(5=MAX($AS231:$AW231)+1,"取消",""))</f>
        <v>取消</v>
      </c>
      <c r="BD231" s="0" t="str">
        <f aca="false">IFERROR(INDEX($A$1:$A$5,MATCH(6,$AS231:$AW231,0)),IF(6=MAX($AS231:$AW231)+1,"取消",""))</f>
        <v/>
      </c>
      <c r="FW231" s="0" t="str">
        <f aca="false">IF(AND(单元查询!$D$3&lt;&gt;"",IF(单元查询!$B$3="公区维修",公区维修!$E231&lt;&gt;"",入户维修!$E231&lt;&gt;""),IF(单元查询!$B$3="公区维修",公区维修!$C231,入户维修!$C231)=单元查询!$D$3,OR(单元查询!$F$3="",IF(单元查询!$B$3="公区维修",公区维修!$D231,入户维修!$D231)&amp;""=(单元查询!$F$3)&amp;"")),MAX($FW$4:$FW230)+1,"")</f>
        <v/>
      </c>
    </row>
    <row r="232" customFormat="false" ht="15" hidden="false" customHeight="true" outlineLevel="0" collapsed="false">
      <c r="F232" s="0" t="n">
        <f aca="false">IF(OR($A$1=入户维修!$F232,$BN$1=1),0,1-SUMPRODUCT(--(($A$1=入户维修!$F232)+$BN$1&gt;0)))</f>
        <v>0</v>
      </c>
      <c r="G232" s="0" t="n">
        <f aca="false">IF(OR($A$2=入户维修!$F232,$BN$2=1),0,2-SUMPRODUCT(--(($A$1:$A$2=入户维修!$F232)+$BN$1:$BN$2&gt;0)))</f>
        <v>1</v>
      </c>
      <c r="H232" s="0" t="n">
        <f aca="false">IF(OR($A$3=入户维修!$F232,$BN$3=1),0,3-SUMPRODUCT(--(($A$1:$A$3=入户维修!$F232)+$BN$1:$BN$3&gt;0)))</f>
        <v>2</v>
      </c>
      <c r="I232" s="0" t="n">
        <f aca="false">IF(OR($A$4=入户维修!$F232,$BN$4=1),0,4-SUMPRODUCT(--(($A$1:$A$4=入户维修!$F232)+$BN$1:$BN$4&gt;0)))</f>
        <v>3</v>
      </c>
      <c r="J232" s="0" t="n">
        <f aca="false">IF(OR($A$5=入户维修!$F232,$BN$5=1),0,5-SUMPRODUCT(--(($A$1:$A$5=入户维修!$F232)+$BN$1:$BN$5&gt;0)))</f>
        <v>4</v>
      </c>
      <c r="L232" s="0" t="str">
        <f aca="false">IFERROR(INDEX($A$1:$A$5,MATCH(1,$F232:$J232,0)),IF(1=MAX($F232:$J232)+1,"取消",""))</f>
        <v>李师傅</v>
      </c>
      <c r="M232" s="0" t="str">
        <f aca="false">IFERROR(INDEX($A$1:$A$5,MATCH(2,$F232:$J232,0)),IF(2=MAX($F232:$J232)+1,"取消",""))</f>
        <v>王师傅</v>
      </c>
      <c r="N232" s="0" t="str">
        <f aca="false">IFERROR(INDEX($A$1:$A$5,MATCH(3,$F232:$J232,0)),IF(3=MAX($F232:$J232)+1,"取消",""))</f>
        <v>陈师傅</v>
      </c>
      <c r="O232" s="0" t="str">
        <f aca="false">IFERROR(INDEX($A$1:$A$5,MATCH(4,$F232:$J232,0)),IF(4=MAX($F232:$J232)+1,"取消",""))</f>
        <v>刘师傅</v>
      </c>
      <c r="P232" s="0" t="str">
        <f aca="false">IFERROR(INDEX($A$1:$A$5,MATCH(5,$F232:$J232,0)),IF(5=MAX($F232:$J232)+1,"取消",""))</f>
        <v>取消</v>
      </c>
      <c r="Q232" s="0" t="str">
        <f aca="false">IFERROR(INDEX($A$1:$A$5,MATCH(6,$F232:$J232,0)),IF(6=MAX($F232:$J232)+1,"取消",""))</f>
        <v/>
      </c>
      <c r="S232" s="0" t="n">
        <f aca="false">IF(OR($A$1=入户维修!$F232,$A$1=入户维修!$G232,$BN$1=1),0,1-SUMPRODUCT(--(($A$1=入户维修!$F232)+($A$1=入户维修!$G232)+$BN$1&gt;0)))</f>
        <v>0</v>
      </c>
      <c r="T232" s="0" t="n">
        <f aca="false">IF(OR($A$2=入户维修!$F232,$A$2=入户维修!$G232,$BN$2=1),0,2-SUMPRODUCT(--(($A$1:$A$2=入户维修!$F232)+($A$1:$A$2=入户维修!$G232)+$BN$1:$BN$2&gt;0)))</f>
        <v>1</v>
      </c>
      <c r="U232" s="0" t="n">
        <f aca="false">IF(OR($A$3=入户维修!$F232,$A$3=入户维修!$G232,$BN$3=1),0,3-SUMPRODUCT(--(($A$1:$A$3=入户维修!$F232)+($A$1:$A$3=入户维修!$G232)+$BN$1:$BN$3&gt;0)))</f>
        <v>2</v>
      </c>
      <c r="V232" s="0" t="n">
        <f aca="false">IF(OR($A$4=入户维修!$F232,$A$4=入户维修!$G232,$BN$4=1),0,4-SUMPRODUCT(--(($A$1:$A$4=入户维修!$F232)+($A$1:$A$4=入户维修!$G232)+$BN$1:$BN$4&gt;0)))</f>
        <v>3</v>
      </c>
      <c r="W232" s="0" t="n">
        <f aca="false">IF(OR($A$5=入户维修!$F232,$A$5=入户维修!$G232,$BN$5=1),0,5-SUMPRODUCT(--(($A$1:$A$5=入户维修!$F232)+($A$1:$A$5=入户维修!$G232)+$BN$1:$BN$5&gt;0)))</f>
        <v>4</v>
      </c>
      <c r="Y232" s="0" t="str">
        <f aca="false">IFERROR(INDEX($A$1:$A$5,MATCH(1,$S232:$W232,0)),IF(1=MAX($S232:$W232)+1,"取消",""))</f>
        <v>李师傅</v>
      </c>
      <c r="Z232" s="0" t="str">
        <f aca="false">IFERROR(INDEX($A$1:$A$5,MATCH(2,$S232:$W232,0)),IF(2=MAX($S232:$W232)+1,"取消",""))</f>
        <v>王师傅</v>
      </c>
      <c r="AA232" s="0" t="str">
        <f aca="false">IFERROR(INDEX($A$1:$A$5,MATCH(3,$S232:$W232,0)),IF(3=MAX($S232:$W232)+1,"取消",""))</f>
        <v>陈师傅</v>
      </c>
      <c r="AB232" s="0" t="str">
        <f aca="false">IFERROR(INDEX($A$1:$A$5,MATCH(4,$S232:$W232,0)),IF(4=MAX($S232:$W232)+1,"取消",""))</f>
        <v>刘师傅</v>
      </c>
      <c r="AC232" s="0" t="str">
        <f aca="false">IFERROR(INDEX($A$1:$A$5,MATCH(5,$S232:$W232,0)),IF(5=MAX($S232:$W232)+1,"取消",""))</f>
        <v>取消</v>
      </c>
      <c r="AD232" s="0" t="str">
        <f aca="false">IFERROR(INDEX($A$1:$A$5,MATCH(6,$S232:$W232,0)),IF(6=MAX($S232:$W232)+1,"取消",""))</f>
        <v/>
      </c>
      <c r="AF232" s="0" t="n">
        <f aca="false">IF(OR($A$1=公区维修!$F232,$BN$1=1),0,1-SUMPRODUCT(--(($A$1=公区维修!$F232)+$BN$1&gt;0)))</f>
        <v>0</v>
      </c>
      <c r="AG232" s="0" t="n">
        <f aca="false">IF(OR($A$2=公区维修!$F232,$BN$2=1),0,2-SUMPRODUCT(--(($A$1:$A$2=公区维修!$F232)+$BN$1:$BN$2&gt;0)))</f>
        <v>1</v>
      </c>
      <c r="AH232" s="0" t="n">
        <f aca="false">IF(OR($A$3=公区维修!$F232,$BN$3=1),0,3-SUMPRODUCT(--(($A$1:$A$3=公区维修!$F232)+$BN$1:$BN$3&gt;0)))</f>
        <v>2</v>
      </c>
      <c r="AI232" s="0" t="n">
        <f aca="false">IF(OR($A$4=公区维修!$F232,$BN$4=1),0,4-SUMPRODUCT(--(($A$1:$A$4=公区维修!$F232)+$BN$1:$BN$4&gt;0)))</f>
        <v>3</v>
      </c>
      <c r="AJ232" s="0" t="n">
        <f aca="false">IF(OR($A$5=公区维修!$F232,$BN$5=1),0,5-SUMPRODUCT(--(($A$1:$A$5=公区维修!$F232)+$BN$1:$BN$5&gt;0)))</f>
        <v>4</v>
      </c>
      <c r="AL232" s="0" t="str">
        <f aca="false">IFERROR(INDEX($A$1:$A$5,MATCH(1,$AF232:$AJ232,0)),IF(1=MAX($AF232:$AJ232)+1,"取消",""))</f>
        <v>李师傅</v>
      </c>
      <c r="AM232" s="0" t="str">
        <f aca="false">IFERROR(INDEX($A$1:$A$5,MATCH(2,$AF232:$AJ232,0)),IF(2=MAX($AF232:$AJ232)+1,"取消",""))</f>
        <v>王师傅</v>
      </c>
      <c r="AN232" s="0" t="str">
        <f aca="false">IFERROR(INDEX($A$1:$A$5,MATCH(3,$AF232:$AJ232,0)),IF(3=MAX($AF232:$AJ232)+1,"取消",""))</f>
        <v>陈师傅</v>
      </c>
      <c r="AO232" s="0" t="str">
        <f aca="false">IFERROR(INDEX($A$1:$A$5,MATCH(4,$AF232:$AJ232,0)),IF(4=MAX($AF232:$AJ232)+1,"取消",""))</f>
        <v>刘师傅</v>
      </c>
      <c r="AP232" s="0" t="str">
        <f aca="false">IFERROR(INDEX($A$1:$A$5,MATCH(5,$AF232:$AJ232,0)),IF(5=MAX($AF232:$AJ232)+1,"取消",""))</f>
        <v>取消</v>
      </c>
      <c r="AQ232" s="0" t="str">
        <f aca="false">IFERROR(INDEX($A$1:$A$5,MATCH(6,$AF232:$AJ232,0)),IF(6=MAX($AF232:$AJ232)+1,"取消",""))</f>
        <v/>
      </c>
      <c r="AS232" s="0" t="n">
        <f aca="false">IF(OR($A$1=公区维修!$F232,$A$1=公区维修!$G232,$BN$1=1),0,1-SUMPRODUCT(--(($A$1=公区维修!$F232)+($A$1=公区维修!$G232)+$BN$1&gt;0)))</f>
        <v>0</v>
      </c>
      <c r="AT232" s="0" t="n">
        <f aca="false">IF(OR($A$2=公区维修!$F232,$A$2=公区维修!$G232,$BN$2=1),0,2-SUMPRODUCT(--(($A$1:$A$2=公区维修!$F232)+($A$1:$A$2=公区维修!$G232)+$BN$1:$BN$2&gt;0)))</f>
        <v>1</v>
      </c>
      <c r="AU232" s="0" t="n">
        <f aca="false">IF(OR($A$3=公区维修!$F232,$A$3=公区维修!$G232,$BN$3=1),0,3-SUMPRODUCT(--(($A$1:$A$3=公区维修!$F232)+($A$1:$A$3=公区维修!$G232)+$BN$1:$BN$3&gt;0)))</f>
        <v>2</v>
      </c>
      <c r="AV232" s="0" t="n">
        <f aca="false">IF(OR($A$4=公区维修!$F232,$A$4=公区维修!$G232,$BN$4=1),0,4-SUMPRODUCT(--(($A$1:$A$4=公区维修!$F232)+($A$1:$A$4=公区维修!$G232)+$BN$1:$BN$4&gt;0)))</f>
        <v>3</v>
      </c>
      <c r="AW232" s="0" t="n">
        <f aca="false">IF(OR($A$5=公区维修!$F232,$A$5=公区维修!$G232,$BN$5=1),0,5-SUMPRODUCT(--(($A$1:$A$5=公区维修!$F232)+($A$1:$A$5=公区维修!$G232)+$BN$1:$BN$5&gt;0)))</f>
        <v>4</v>
      </c>
      <c r="AY232" s="0" t="str">
        <f aca="false">IFERROR(INDEX($A$1:$A$5,MATCH(1,$AS232:$AW232,0)),IF(1=MAX($AS232:$AW232)+1,"取消",""))</f>
        <v>李师傅</v>
      </c>
      <c r="AZ232" s="0" t="str">
        <f aca="false">IFERROR(INDEX($A$1:$A$5,MATCH(2,$AS232:$AW232,0)),IF(2=MAX($AS232:$AW232)+1,"取消",""))</f>
        <v>王师傅</v>
      </c>
      <c r="BA232" s="0" t="str">
        <f aca="false">IFERROR(INDEX($A$1:$A$5,MATCH(3,$AS232:$AW232,0)),IF(3=MAX($AS232:$AW232)+1,"取消",""))</f>
        <v>陈师傅</v>
      </c>
      <c r="BB232" s="0" t="str">
        <f aca="false">IFERROR(INDEX($A$1:$A$5,MATCH(4,$AS232:$AW232,0)),IF(4=MAX($AS232:$AW232)+1,"取消",""))</f>
        <v>刘师傅</v>
      </c>
      <c r="BC232" s="0" t="str">
        <f aca="false">IFERROR(INDEX($A$1:$A$5,MATCH(5,$AS232:$AW232,0)),IF(5=MAX($AS232:$AW232)+1,"取消",""))</f>
        <v>取消</v>
      </c>
      <c r="BD232" s="0" t="str">
        <f aca="false">IFERROR(INDEX($A$1:$A$5,MATCH(6,$AS232:$AW232,0)),IF(6=MAX($AS232:$AW232)+1,"取消",""))</f>
        <v/>
      </c>
      <c r="FW232" s="0" t="str">
        <f aca="false">IF(AND(单元查询!$D$3&lt;&gt;"",IF(单元查询!$B$3="公区维修",公区维修!$E232&lt;&gt;"",入户维修!$E232&lt;&gt;""),IF(单元查询!$B$3="公区维修",公区维修!$C232,入户维修!$C232)=单元查询!$D$3,OR(单元查询!$F$3="",IF(单元查询!$B$3="公区维修",公区维修!$D232,入户维修!$D232)&amp;""=(单元查询!$F$3)&amp;"")),MAX($FW$4:$FW231)+1,"")</f>
        <v/>
      </c>
    </row>
    <row r="233" customFormat="false" ht="15" hidden="false" customHeight="true" outlineLevel="0" collapsed="false">
      <c r="F233" s="0" t="n">
        <f aca="false">IF(OR($A$1=入户维修!$F233,$BN$1=1),0,1-SUMPRODUCT(--(($A$1=入户维修!$F233)+$BN$1&gt;0)))</f>
        <v>0</v>
      </c>
      <c r="G233" s="0" t="n">
        <f aca="false">IF(OR($A$2=入户维修!$F233,$BN$2=1),0,2-SUMPRODUCT(--(($A$1:$A$2=入户维修!$F233)+$BN$1:$BN$2&gt;0)))</f>
        <v>1</v>
      </c>
      <c r="H233" s="0" t="n">
        <f aca="false">IF(OR($A$3=入户维修!$F233,$BN$3=1),0,3-SUMPRODUCT(--(($A$1:$A$3=入户维修!$F233)+$BN$1:$BN$3&gt;0)))</f>
        <v>2</v>
      </c>
      <c r="I233" s="0" t="n">
        <f aca="false">IF(OR($A$4=入户维修!$F233,$BN$4=1),0,4-SUMPRODUCT(--(($A$1:$A$4=入户维修!$F233)+$BN$1:$BN$4&gt;0)))</f>
        <v>3</v>
      </c>
      <c r="J233" s="0" t="n">
        <f aca="false">IF(OR($A$5=入户维修!$F233,$BN$5=1),0,5-SUMPRODUCT(--(($A$1:$A$5=入户维修!$F233)+$BN$1:$BN$5&gt;0)))</f>
        <v>4</v>
      </c>
      <c r="L233" s="0" t="str">
        <f aca="false">IFERROR(INDEX($A$1:$A$5,MATCH(1,$F233:$J233,0)),IF(1=MAX($F233:$J233)+1,"取消",""))</f>
        <v>李师傅</v>
      </c>
      <c r="M233" s="0" t="str">
        <f aca="false">IFERROR(INDEX($A$1:$A$5,MATCH(2,$F233:$J233,0)),IF(2=MAX($F233:$J233)+1,"取消",""))</f>
        <v>王师傅</v>
      </c>
      <c r="N233" s="0" t="str">
        <f aca="false">IFERROR(INDEX($A$1:$A$5,MATCH(3,$F233:$J233,0)),IF(3=MAX($F233:$J233)+1,"取消",""))</f>
        <v>陈师傅</v>
      </c>
      <c r="O233" s="0" t="str">
        <f aca="false">IFERROR(INDEX($A$1:$A$5,MATCH(4,$F233:$J233,0)),IF(4=MAX($F233:$J233)+1,"取消",""))</f>
        <v>刘师傅</v>
      </c>
      <c r="P233" s="0" t="str">
        <f aca="false">IFERROR(INDEX($A$1:$A$5,MATCH(5,$F233:$J233,0)),IF(5=MAX($F233:$J233)+1,"取消",""))</f>
        <v>取消</v>
      </c>
      <c r="Q233" s="0" t="str">
        <f aca="false">IFERROR(INDEX($A$1:$A$5,MATCH(6,$F233:$J233,0)),IF(6=MAX($F233:$J233)+1,"取消",""))</f>
        <v/>
      </c>
      <c r="S233" s="0" t="n">
        <f aca="false">IF(OR($A$1=入户维修!$F233,$A$1=入户维修!$G233,$BN$1=1),0,1-SUMPRODUCT(--(($A$1=入户维修!$F233)+($A$1=入户维修!$G233)+$BN$1&gt;0)))</f>
        <v>0</v>
      </c>
      <c r="T233" s="0" t="n">
        <f aca="false">IF(OR($A$2=入户维修!$F233,$A$2=入户维修!$G233,$BN$2=1),0,2-SUMPRODUCT(--(($A$1:$A$2=入户维修!$F233)+($A$1:$A$2=入户维修!$G233)+$BN$1:$BN$2&gt;0)))</f>
        <v>1</v>
      </c>
      <c r="U233" s="0" t="n">
        <f aca="false">IF(OR($A$3=入户维修!$F233,$A$3=入户维修!$G233,$BN$3=1),0,3-SUMPRODUCT(--(($A$1:$A$3=入户维修!$F233)+($A$1:$A$3=入户维修!$G233)+$BN$1:$BN$3&gt;0)))</f>
        <v>2</v>
      </c>
      <c r="V233" s="0" t="n">
        <f aca="false">IF(OR($A$4=入户维修!$F233,$A$4=入户维修!$G233,$BN$4=1),0,4-SUMPRODUCT(--(($A$1:$A$4=入户维修!$F233)+($A$1:$A$4=入户维修!$G233)+$BN$1:$BN$4&gt;0)))</f>
        <v>3</v>
      </c>
      <c r="W233" s="0" t="n">
        <f aca="false">IF(OR($A$5=入户维修!$F233,$A$5=入户维修!$G233,$BN$5=1),0,5-SUMPRODUCT(--(($A$1:$A$5=入户维修!$F233)+($A$1:$A$5=入户维修!$G233)+$BN$1:$BN$5&gt;0)))</f>
        <v>4</v>
      </c>
      <c r="Y233" s="0" t="str">
        <f aca="false">IFERROR(INDEX($A$1:$A$5,MATCH(1,$S233:$W233,0)),IF(1=MAX($S233:$W233)+1,"取消",""))</f>
        <v>李师傅</v>
      </c>
      <c r="Z233" s="0" t="str">
        <f aca="false">IFERROR(INDEX($A$1:$A$5,MATCH(2,$S233:$W233,0)),IF(2=MAX($S233:$W233)+1,"取消",""))</f>
        <v>王师傅</v>
      </c>
      <c r="AA233" s="0" t="str">
        <f aca="false">IFERROR(INDEX($A$1:$A$5,MATCH(3,$S233:$W233,0)),IF(3=MAX($S233:$W233)+1,"取消",""))</f>
        <v>陈师傅</v>
      </c>
      <c r="AB233" s="0" t="str">
        <f aca="false">IFERROR(INDEX($A$1:$A$5,MATCH(4,$S233:$W233,0)),IF(4=MAX($S233:$W233)+1,"取消",""))</f>
        <v>刘师傅</v>
      </c>
      <c r="AC233" s="0" t="str">
        <f aca="false">IFERROR(INDEX($A$1:$A$5,MATCH(5,$S233:$W233,0)),IF(5=MAX($S233:$W233)+1,"取消",""))</f>
        <v>取消</v>
      </c>
      <c r="AD233" s="0" t="str">
        <f aca="false">IFERROR(INDEX($A$1:$A$5,MATCH(6,$S233:$W233,0)),IF(6=MAX($S233:$W233)+1,"取消",""))</f>
        <v/>
      </c>
      <c r="AF233" s="0" t="n">
        <f aca="false">IF(OR($A$1=公区维修!$F233,$BN$1=1),0,1-SUMPRODUCT(--(($A$1=公区维修!$F233)+$BN$1&gt;0)))</f>
        <v>0</v>
      </c>
      <c r="AG233" s="0" t="n">
        <f aca="false">IF(OR($A$2=公区维修!$F233,$BN$2=1),0,2-SUMPRODUCT(--(($A$1:$A$2=公区维修!$F233)+$BN$1:$BN$2&gt;0)))</f>
        <v>1</v>
      </c>
      <c r="AH233" s="0" t="n">
        <f aca="false">IF(OR($A$3=公区维修!$F233,$BN$3=1),0,3-SUMPRODUCT(--(($A$1:$A$3=公区维修!$F233)+$BN$1:$BN$3&gt;0)))</f>
        <v>2</v>
      </c>
      <c r="AI233" s="0" t="n">
        <f aca="false">IF(OR($A$4=公区维修!$F233,$BN$4=1),0,4-SUMPRODUCT(--(($A$1:$A$4=公区维修!$F233)+$BN$1:$BN$4&gt;0)))</f>
        <v>3</v>
      </c>
      <c r="AJ233" s="0" t="n">
        <f aca="false">IF(OR($A$5=公区维修!$F233,$BN$5=1),0,5-SUMPRODUCT(--(($A$1:$A$5=公区维修!$F233)+$BN$1:$BN$5&gt;0)))</f>
        <v>4</v>
      </c>
      <c r="AL233" s="0" t="str">
        <f aca="false">IFERROR(INDEX($A$1:$A$5,MATCH(1,$AF233:$AJ233,0)),IF(1=MAX($AF233:$AJ233)+1,"取消",""))</f>
        <v>李师傅</v>
      </c>
      <c r="AM233" s="0" t="str">
        <f aca="false">IFERROR(INDEX($A$1:$A$5,MATCH(2,$AF233:$AJ233,0)),IF(2=MAX($AF233:$AJ233)+1,"取消",""))</f>
        <v>王师傅</v>
      </c>
      <c r="AN233" s="0" t="str">
        <f aca="false">IFERROR(INDEX($A$1:$A$5,MATCH(3,$AF233:$AJ233,0)),IF(3=MAX($AF233:$AJ233)+1,"取消",""))</f>
        <v>陈师傅</v>
      </c>
      <c r="AO233" s="0" t="str">
        <f aca="false">IFERROR(INDEX($A$1:$A$5,MATCH(4,$AF233:$AJ233,0)),IF(4=MAX($AF233:$AJ233)+1,"取消",""))</f>
        <v>刘师傅</v>
      </c>
      <c r="AP233" s="0" t="str">
        <f aca="false">IFERROR(INDEX($A$1:$A$5,MATCH(5,$AF233:$AJ233,0)),IF(5=MAX($AF233:$AJ233)+1,"取消",""))</f>
        <v>取消</v>
      </c>
      <c r="AQ233" s="0" t="str">
        <f aca="false">IFERROR(INDEX($A$1:$A$5,MATCH(6,$AF233:$AJ233,0)),IF(6=MAX($AF233:$AJ233)+1,"取消",""))</f>
        <v/>
      </c>
      <c r="AS233" s="0" t="n">
        <f aca="false">IF(OR($A$1=公区维修!$F233,$A$1=公区维修!$G233,$BN$1=1),0,1-SUMPRODUCT(--(($A$1=公区维修!$F233)+($A$1=公区维修!$G233)+$BN$1&gt;0)))</f>
        <v>0</v>
      </c>
      <c r="AT233" s="0" t="n">
        <f aca="false">IF(OR($A$2=公区维修!$F233,$A$2=公区维修!$G233,$BN$2=1),0,2-SUMPRODUCT(--(($A$1:$A$2=公区维修!$F233)+($A$1:$A$2=公区维修!$G233)+$BN$1:$BN$2&gt;0)))</f>
        <v>1</v>
      </c>
      <c r="AU233" s="0" t="n">
        <f aca="false">IF(OR($A$3=公区维修!$F233,$A$3=公区维修!$G233,$BN$3=1),0,3-SUMPRODUCT(--(($A$1:$A$3=公区维修!$F233)+($A$1:$A$3=公区维修!$G233)+$BN$1:$BN$3&gt;0)))</f>
        <v>2</v>
      </c>
      <c r="AV233" s="0" t="n">
        <f aca="false">IF(OR($A$4=公区维修!$F233,$A$4=公区维修!$G233,$BN$4=1),0,4-SUMPRODUCT(--(($A$1:$A$4=公区维修!$F233)+($A$1:$A$4=公区维修!$G233)+$BN$1:$BN$4&gt;0)))</f>
        <v>3</v>
      </c>
      <c r="AW233" s="0" t="n">
        <f aca="false">IF(OR($A$5=公区维修!$F233,$A$5=公区维修!$G233,$BN$5=1),0,5-SUMPRODUCT(--(($A$1:$A$5=公区维修!$F233)+($A$1:$A$5=公区维修!$G233)+$BN$1:$BN$5&gt;0)))</f>
        <v>4</v>
      </c>
      <c r="AY233" s="0" t="str">
        <f aca="false">IFERROR(INDEX($A$1:$A$5,MATCH(1,$AS233:$AW233,0)),IF(1=MAX($AS233:$AW233)+1,"取消",""))</f>
        <v>李师傅</v>
      </c>
      <c r="AZ233" s="0" t="str">
        <f aca="false">IFERROR(INDEX($A$1:$A$5,MATCH(2,$AS233:$AW233,0)),IF(2=MAX($AS233:$AW233)+1,"取消",""))</f>
        <v>王师傅</v>
      </c>
      <c r="BA233" s="0" t="str">
        <f aca="false">IFERROR(INDEX($A$1:$A$5,MATCH(3,$AS233:$AW233,0)),IF(3=MAX($AS233:$AW233)+1,"取消",""))</f>
        <v>陈师傅</v>
      </c>
      <c r="BB233" s="0" t="str">
        <f aca="false">IFERROR(INDEX($A$1:$A$5,MATCH(4,$AS233:$AW233,0)),IF(4=MAX($AS233:$AW233)+1,"取消",""))</f>
        <v>刘师傅</v>
      </c>
      <c r="BC233" s="0" t="str">
        <f aca="false">IFERROR(INDEX($A$1:$A$5,MATCH(5,$AS233:$AW233,0)),IF(5=MAX($AS233:$AW233)+1,"取消",""))</f>
        <v>取消</v>
      </c>
      <c r="BD233" s="0" t="str">
        <f aca="false">IFERROR(INDEX($A$1:$A$5,MATCH(6,$AS233:$AW233,0)),IF(6=MAX($AS233:$AW233)+1,"取消",""))</f>
        <v/>
      </c>
      <c r="FW233" s="0" t="str">
        <f aca="false">IF(AND(单元查询!$D$3&lt;&gt;"",IF(单元查询!$B$3="公区维修",公区维修!$E233&lt;&gt;"",入户维修!$E233&lt;&gt;""),IF(单元查询!$B$3="公区维修",公区维修!$C233,入户维修!$C233)=单元查询!$D$3,OR(单元查询!$F$3="",IF(单元查询!$B$3="公区维修",公区维修!$D233,入户维修!$D233)&amp;""=(单元查询!$F$3)&amp;"")),MAX($FW$4:$FW232)+1,"")</f>
        <v/>
      </c>
    </row>
    <row r="234" customFormat="false" ht="15" hidden="false" customHeight="true" outlineLevel="0" collapsed="false">
      <c r="F234" s="0" t="n">
        <f aca="false">IF(OR($A$1=入户维修!$F234,$BN$1=1),0,1-SUMPRODUCT(--(($A$1=入户维修!$F234)+$BN$1&gt;0)))</f>
        <v>0</v>
      </c>
      <c r="G234" s="0" t="n">
        <f aca="false">IF(OR($A$2=入户维修!$F234,$BN$2=1),0,2-SUMPRODUCT(--(($A$1:$A$2=入户维修!$F234)+$BN$1:$BN$2&gt;0)))</f>
        <v>1</v>
      </c>
      <c r="H234" s="0" t="n">
        <f aca="false">IF(OR($A$3=入户维修!$F234,$BN$3=1),0,3-SUMPRODUCT(--(($A$1:$A$3=入户维修!$F234)+$BN$1:$BN$3&gt;0)))</f>
        <v>2</v>
      </c>
      <c r="I234" s="0" t="n">
        <f aca="false">IF(OR($A$4=入户维修!$F234,$BN$4=1),0,4-SUMPRODUCT(--(($A$1:$A$4=入户维修!$F234)+$BN$1:$BN$4&gt;0)))</f>
        <v>3</v>
      </c>
      <c r="J234" s="0" t="n">
        <f aca="false">IF(OR($A$5=入户维修!$F234,$BN$5=1),0,5-SUMPRODUCT(--(($A$1:$A$5=入户维修!$F234)+$BN$1:$BN$5&gt;0)))</f>
        <v>4</v>
      </c>
      <c r="L234" s="0" t="str">
        <f aca="false">IFERROR(INDEX($A$1:$A$5,MATCH(1,$F234:$J234,0)),IF(1=MAX($F234:$J234)+1,"取消",""))</f>
        <v>李师傅</v>
      </c>
      <c r="M234" s="0" t="str">
        <f aca="false">IFERROR(INDEX($A$1:$A$5,MATCH(2,$F234:$J234,0)),IF(2=MAX($F234:$J234)+1,"取消",""))</f>
        <v>王师傅</v>
      </c>
      <c r="N234" s="0" t="str">
        <f aca="false">IFERROR(INDEX($A$1:$A$5,MATCH(3,$F234:$J234,0)),IF(3=MAX($F234:$J234)+1,"取消",""))</f>
        <v>陈师傅</v>
      </c>
      <c r="O234" s="0" t="str">
        <f aca="false">IFERROR(INDEX($A$1:$A$5,MATCH(4,$F234:$J234,0)),IF(4=MAX($F234:$J234)+1,"取消",""))</f>
        <v>刘师傅</v>
      </c>
      <c r="P234" s="0" t="str">
        <f aca="false">IFERROR(INDEX($A$1:$A$5,MATCH(5,$F234:$J234,0)),IF(5=MAX($F234:$J234)+1,"取消",""))</f>
        <v>取消</v>
      </c>
      <c r="Q234" s="0" t="str">
        <f aca="false">IFERROR(INDEX($A$1:$A$5,MATCH(6,$F234:$J234,0)),IF(6=MAX($F234:$J234)+1,"取消",""))</f>
        <v/>
      </c>
      <c r="S234" s="0" t="n">
        <f aca="false">IF(OR($A$1=入户维修!$F234,$A$1=入户维修!$G234,$BN$1=1),0,1-SUMPRODUCT(--(($A$1=入户维修!$F234)+($A$1=入户维修!$G234)+$BN$1&gt;0)))</f>
        <v>0</v>
      </c>
      <c r="T234" s="0" t="n">
        <f aca="false">IF(OR($A$2=入户维修!$F234,$A$2=入户维修!$G234,$BN$2=1),0,2-SUMPRODUCT(--(($A$1:$A$2=入户维修!$F234)+($A$1:$A$2=入户维修!$G234)+$BN$1:$BN$2&gt;0)))</f>
        <v>1</v>
      </c>
      <c r="U234" s="0" t="n">
        <f aca="false">IF(OR($A$3=入户维修!$F234,$A$3=入户维修!$G234,$BN$3=1),0,3-SUMPRODUCT(--(($A$1:$A$3=入户维修!$F234)+($A$1:$A$3=入户维修!$G234)+$BN$1:$BN$3&gt;0)))</f>
        <v>2</v>
      </c>
      <c r="V234" s="0" t="n">
        <f aca="false">IF(OR($A$4=入户维修!$F234,$A$4=入户维修!$G234,$BN$4=1),0,4-SUMPRODUCT(--(($A$1:$A$4=入户维修!$F234)+($A$1:$A$4=入户维修!$G234)+$BN$1:$BN$4&gt;0)))</f>
        <v>3</v>
      </c>
      <c r="W234" s="0" t="n">
        <f aca="false">IF(OR($A$5=入户维修!$F234,$A$5=入户维修!$G234,$BN$5=1),0,5-SUMPRODUCT(--(($A$1:$A$5=入户维修!$F234)+($A$1:$A$5=入户维修!$G234)+$BN$1:$BN$5&gt;0)))</f>
        <v>4</v>
      </c>
      <c r="Y234" s="0" t="str">
        <f aca="false">IFERROR(INDEX($A$1:$A$5,MATCH(1,$S234:$W234,0)),IF(1=MAX($S234:$W234)+1,"取消",""))</f>
        <v>李师傅</v>
      </c>
      <c r="Z234" s="0" t="str">
        <f aca="false">IFERROR(INDEX($A$1:$A$5,MATCH(2,$S234:$W234,0)),IF(2=MAX($S234:$W234)+1,"取消",""))</f>
        <v>王师傅</v>
      </c>
      <c r="AA234" s="0" t="str">
        <f aca="false">IFERROR(INDEX($A$1:$A$5,MATCH(3,$S234:$W234,0)),IF(3=MAX($S234:$W234)+1,"取消",""))</f>
        <v>陈师傅</v>
      </c>
      <c r="AB234" s="0" t="str">
        <f aca="false">IFERROR(INDEX($A$1:$A$5,MATCH(4,$S234:$W234,0)),IF(4=MAX($S234:$W234)+1,"取消",""))</f>
        <v>刘师傅</v>
      </c>
      <c r="AC234" s="0" t="str">
        <f aca="false">IFERROR(INDEX($A$1:$A$5,MATCH(5,$S234:$W234,0)),IF(5=MAX($S234:$W234)+1,"取消",""))</f>
        <v>取消</v>
      </c>
      <c r="AD234" s="0" t="str">
        <f aca="false">IFERROR(INDEX($A$1:$A$5,MATCH(6,$S234:$W234,0)),IF(6=MAX($S234:$W234)+1,"取消",""))</f>
        <v/>
      </c>
      <c r="AF234" s="0" t="n">
        <f aca="false">IF(OR($A$1=公区维修!$F234,$BN$1=1),0,1-SUMPRODUCT(--(($A$1=公区维修!$F234)+$BN$1&gt;0)))</f>
        <v>0</v>
      </c>
      <c r="AG234" s="0" t="n">
        <f aca="false">IF(OR($A$2=公区维修!$F234,$BN$2=1),0,2-SUMPRODUCT(--(($A$1:$A$2=公区维修!$F234)+$BN$1:$BN$2&gt;0)))</f>
        <v>1</v>
      </c>
      <c r="AH234" s="0" t="n">
        <f aca="false">IF(OR($A$3=公区维修!$F234,$BN$3=1),0,3-SUMPRODUCT(--(($A$1:$A$3=公区维修!$F234)+$BN$1:$BN$3&gt;0)))</f>
        <v>2</v>
      </c>
      <c r="AI234" s="0" t="n">
        <f aca="false">IF(OR($A$4=公区维修!$F234,$BN$4=1),0,4-SUMPRODUCT(--(($A$1:$A$4=公区维修!$F234)+$BN$1:$BN$4&gt;0)))</f>
        <v>3</v>
      </c>
      <c r="AJ234" s="0" t="n">
        <f aca="false">IF(OR($A$5=公区维修!$F234,$BN$5=1),0,5-SUMPRODUCT(--(($A$1:$A$5=公区维修!$F234)+$BN$1:$BN$5&gt;0)))</f>
        <v>4</v>
      </c>
      <c r="AL234" s="0" t="str">
        <f aca="false">IFERROR(INDEX($A$1:$A$5,MATCH(1,$AF234:$AJ234,0)),IF(1=MAX($AF234:$AJ234)+1,"取消",""))</f>
        <v>李师傅</v>
      </c>
      <c r="AM234" s="0" t="str">
        <f aca="false">IFERROR(INDEX($A$1:$A$5,MATCH(2,$AF234:$AJ234,0)),IF(2=MAX($AF234:$AJ234)+1,"取消",""))</f>
        <v>王师傅</v>
      </c>
      <c r="AN234" s="0" t="str">
        <f aca="false">IFERROR(INDEX($A$1:$A$5,MATCH(3,$AF234:$AJ234,0)),IF(3=MAX($AF234:$AJ234)+1,"取消",""))</f>
        <v>陈师傅</v>
      </c>
      <c r="AO234" s="0" t="str">
        <f aca="false">IFERROR(INDEX($A$1:$A$5,MATCH(4,$AF234:$AJ234,0)),IF(4=MAX($AF234:$AJ234)+1,"取消",""))</f>
        <v>刘师傅</v>
      </c>
      <c r="AP234" s="0" t="str">
        <f aca="false">IFERROR(INDEX($A$1:$A$5,MATCH(5,$AF234:$AJ234,0)),IF(5=MAX($AF234:$AJ234)+1,"取消",""))</f>
        <v>取消</v>
      </c>
      <c r="AQ234" s="0" t="str">
        <f aca="false">IFERROR(INDEX($A$1:$A$5,MATCH(6,$AF234:$AJ234,0)),IF(6=MAX($AF234:$AJ234)+1,"取消",""))</f>
        <v/>
      </c>
      <c r="AS234" s="0" t="n">
        <f aca="false">IF(OR($A$1=公区维修!$F234,$A$1=公区维修!$G234,$BN$1=1),0,1-SUMPRODUCT(--(($A$1=公区维修!$F234)+($A$1=公区维修!$G234)+$BN$1&gt;0)))</f>
        <v>0</v>
      </c>
      <c r="AT234" s="0" t="n">
        <f aca="false">IF(OR($A$2=公区维修!$F234,$A$2=公区维修!$G234,$BN$2=1),0,2-SUMPRODUCT(--(($A$1:$A$2=公区维修!$F234)+($A$1:$A$2=公区维修!$G234)+$BN$1:$BN$2&gt;0)))</f>
        <v>1</v>
      </c>
      <c r="AU234" s="0" t="n">
        <f aca="false">IF(OR($A$3=公区维修!$F234,$A$3=公区维修!$G234,$BN$3=1),0,3-SUMPRODUCT(--(($A$1:$A$3=公区维修!$F234)+($A$1:$A$3=公区维修!$G234)+$BN$1:$BN$3&gt;0)))</f>
        <v>2</v>
      </c>
      <c r="AV234" s="0" t="n">
        <f aca="false">IF(OR($A$4=公区维修!$F234,$A$4=公区维修!$G234,$BN$4=1),0,4-SUMPRODUCT(--(($A$1:$A$4=公区维修!$F234)+($A$1:$A$4=公区维修!$G234)+$BN$1:$BN$4&gt;0)))</f>
        <v>3</v>
      </c>
      <c r="AW234" s="0" t="n">
        <f aca="false">IF(OR($A$5=公区维修!$F234,$A$5=公区维修!$G234,$BN$5=1),0,5-SUMPRODUCT(--(($A$1:$A$5=公区维修!$F234)+($A$1:$A$5=公区维修!$G234)+$BN$1:$BN$5&gt;0)))</f>
        <v>4</v>
      </c>
      <c r="AY234" s="0" t="str">
        <f aca="false">IFERROR(INDEX($A$1:$A$5,MATCH(1,$AS234:$AW234,0)),IF(1=MAX($AS234:$AW234)+1,"取消",""))</f>
        <v>李师傅</v>
      </c>
      <c r="AZ234" s="0" t="str">
        <f aca="false">IFERROR(INDEX($A$1:$A$5,MATCH(2,$AS234:$AW234,0)),IF(2=MAX($AS234:$AW234)+1,"取消",""))</f>
        <v>王师傅</v>
      </c>
      <c r="BA234" s="0" t="str">
        <f aca="false">IFERROR(INDEX($A$1:$A$5,MATCH(3,$AS234:$AW234,0)),IF(3=MAX($AS234:$AW234)+1,"取消",""))</f>
        <v>陈师傅</v>
      </c>
      <c r="BB234" s="0" t="str">
        <f aca="false">IFERROR(INDEX($A$1:$A$5,MATCH(4,$AS234:$AW234,0)),IF(4=MAX($AS234:$AW234)+1,"取消",""))</f>
        <v>刘师傅</v>
      </c>
      <c r="BC234" s="0" t="str">
        <f aca="false">IFERROR(INDEX($A$1:$A$5,MATCH(5,$AS234:$AW234,0)),IF(5=MAX($AS234:$AW234)+1,"取消",""))</f>
        <v>取消</v>
      </c>
      <c r="BD234" s="0" t="str">
        <f aca="false">IFERROR(INDEX($A$1:$A$5,MATCH(6,$AS234:$AW234,0)),IF(6=MAX($AS234:$AW234)+1,"取消",""))</f>
        <v/>
      </c>
      <c r="FW234" s="0" t="str">
        <f aca="false">IF(AND(单元查询!$D$3&lt;&gt;"",IF(单元查询!$B$3="公区维修",公区维修!$E234&lt;&gt;"",入户维修!$E234&lt;&gt;""),IF(单元查询!$B$3="公区维修",公区维修!$C234,入户维修!$C234)=单元查询!$D$3,OR(单元查询!$F$3="",IF(单元查询!$B$3="公区维修",公区维修!$D234,入户维修!$D234)&amp;""=(单元查询!$F$3)&amp;"")),MAX($FW$4:$FW233)+1,"")</f>
        <v/>
      </c>
    </row>
    <row r="235" customFormat="false" ht="15" hidden="false" customHeight="true" outlineLevel="0" collapsed="false">
      <c r="F235" s="0" t="n">
        <f aca="false">IF(OR($A$1=入户维修!$F235,$BN$1=1),0,1-SUMPRODUCT(--(($A$1=入户维修!$F235)+$BN$1&gt;0)))</f>
        <v>0</v>
      </c>
      <c r="G235" s="0" t="n">
        <f aca="false">IF(OR($A$2=入户维修!$F235,$BN$2=1),0,2-SUMPRODUCT(--(($A$1:$A$2=入户维修!$F235)+$BN$1:$BN$2&gt;0)))</f>
        <v>1</v>
      </c>
      <c r="H235" s="0" t="n">
        <f aca="false">IF(OR($A$3=入户维修!$F235,$BN$3=1),0,3-SUMPRODUCT(--(($A$1:$A$3=入户维修!$F235)+$BN$1:$BN$3&gt;0)))</f>
        <v>2</v>
      </c>
      <c r="I235" s="0" t="n">
        <f aca="false">IF(OR($A$4=入户维修!$F235,$BN$4=1),0,4-SUMPRODUCT(--(($A$1:$A$4=入户维修!$F235)+$BN$1:$BN$4&gt;0)))</f>
        <v>3</v>
      </c>
      <c r="J235" s="0" t="n">
        <f aca="false">IF(OR($A$5=入户维修!$F235,$BN$5=1),0,5-SUMPRODUCT(--(($A$1:$A$5=入户维修!$F235)+$BN$1:$BN$5&gt;0)))</f>
        <v>4</v>
      </c>
      <c r="L235" s="0" t="str">
        <f aca="false">IFERROR(INDEX($A$1:$A$5,MATCH(1,$F235:$J235,0)),IF(1=MAX($F235:$J235)+1,"取消",""))</f>
        <v>李师傅</v>
      </c>
      <c r="M235" s="0" t="str">
        <f aca="false">IFERROR(INDEX($A$1:$A$5,MATCH(2,$F235:$J235,0)),IF(2=MAX($F235:$J235)+1,"取消",""))</f>
        <v>王师傅</v>
      </c>
      <c r="N235" s="0" t="str">
        <f aca="false">IFERROR(INDEX($A$1:$A$5,MATCH(3,$F235:$J235,0)),IF(3=MAX($F235:$J235)+1,"取消",""))</f>
        <v>陈师傅</v>
      </c>
      <c r="O235" s="0" t="str">
        <f aca="false">IFERROR(INDEX($A$1:$A$5,MATCH(4,$F235:$J235,0)),IF(4=MAX($F235:$J235)+1,"取消",""))</f>
        <v>刘师傅</v>
      </c>
      <c r="P235" s="0" t="str">
        <f aca="false">IFERROR(INDEX($A$1:$A$5,MATCH(5,$F235:$J235,0)),IF(5=MAX($F235:$J235)+1,"取消",""))</f>
        <v>取消</v>
      </c>
      <c r="Q235" s="0" t="str">
        <f aca="false">IFERROR(INDEX($A$1:$A$5,MATCH(6,$F235:$J235,0)),IF(6=MAX($F235:$J235)+1,"取消",""))</f>
        <v/>
      </c>
      <c r="S235" s="0" t="n">
        <f aca="false">IF(OR($A$1=入户维修!$F235,$A$1=入户维修!$G235,$BN$1=1),0,1-SUMPRODUCT(--(($A$1=入户维修!$F235)+($A$1=入户维修!$G235)+$BN$1&gt;0)))</f>
        <v>0</v>
      </c>
      <c r="T235" s="0" t="n">
        <f aca="false">IF(OR($A$2=入户维修!$F235,$A$2=入户维修!$G235,$BN$2=1),0,2-SUMPRODUCT(--(($A$1:$A$2=入户维修!$F235)+($A$1:$A$2=入户维修!$G235)+$BN$1:$BN$2&gt;0)))</f>
        <v>1</v>
      </c>
      <c r="U235" s="0" t="n">
        <f aca="false">IF(OR($A$3=入户维修!$F235,$A$3=入户维修!$G235,$BN$3=1),0,3-SUMPRODUCT(--(($A$1:$A$3=入户维修!$F235)+($A$1:$A$3=入户维修!$G235)+$BN$1:$BN$3&gt;0)))</f>
        <v>2</v>
      </c>
      <c r="V235" s="0" t="n">
        <f aca="false">IF(OR($A$4=入户维修!$F235,$A$4=入户维修!$G235,$BN$4=1),0,4-SUMPRODUCT(--(($A$1:$A$4=入户维修!$F235)+($A$1:$A$4=入户维修!$G235)+$BN$1:$BN$4&gt;0)))</f>
        <v>3</v>
      </c>
      <c r="W235" s="0" t="n">
        <f aca="false">IF(OR($A$5=入户维修!$F235,$A$5=入户维修!$G235,$BN$5=1),0,5-SUMPRODUCT(--(($A$1:$A$5=入户维修!$F235)+($A$1:$A$5=入户维修!$G235)+$BN$1:$BN$5&gt;0)))</f>
        <v>4</v>
      </c>
      <c r="Y235" s="0" t="str">
        <f aca="false">IFERROR(INDEX($A$1:$A$5,MATCH(1,$S235:$W235,0)),IF(1=MAX($S235:$W235)+1,"取消",""))</f>
        <v>李师傅</v>
      </c>
      <c r="Z235" s="0" t="str">
        <f aca="false">IFERROR(INDEX($A$1:$A$5,MATCH(2,$S235:$W235,0)),IF(2=MAX($S235:$W235)+1,"取消",""))</f>
        <v>王师傅</v>
      </c>
      <c r="AA235" s="0" t="str">
        <f aca="false">IFERROR(INDEX($A$1:$A$5,MATCH(3,$S235:$W235,0)),IF(3=MAX($S235:$W235)+1,"取消",""))</f>
        <v>陈师傅</v>
      </c>
      <c r="AB235" s="0" t="str">
        <f aca="false">IFERROR(INDEX($A$1:$A$5,MATCH(4,$S235:$W235,0)),IF(4=MAX($S235:$W235)+1,"取消",""))</f>
        <v>刘师傅</v>
      </c>
      <c r="AC235" s="0" t="str">
        <f aca="false">IFERROR(INDEX($A$1:$A$5,MATCH(5,$S235:$W235,0)),IF(5=MAX($S235:$W235)+1,"取消",""))</f>
        <v>取消</v>
      </c>
      <c r="AD235" s="0" t="str">
        <f aca="false">IFERROR(INDEX($A$1:$A$5,MATCH(6,$S235:$W235,0)),IF(6=MAX($S235:$W235)+1,"取消",""))</f>
        <v/>
      </c>
      <c r="AF235" s="0" t="n">
        <f aca="false">IF(OR($A$1=公区维修!$F235,$BN$1=1),0,1-SUMPRODUCT(--(($A$1=公区维修!$F235)+$BN$1&gt;0)))</f>
        <v>0</v>
      </c>
      <c r="AG235" s="0" t="n">
        <f aca="false">IF(OR($A$2=公区维修!$F235,$BN$2=1),0,2-SUMPRODUCT(--(($A$1:$A$2=公区维修!$F235)+$BN$1:$BN$2&gt;0)))</f>
        <v>1</v>
      </c>
      <c r="AH235" s="0" t="n">
        <f aca="false">IF(OR($A$3=公区维修!$F235,$BN$3=1),0,3-SUMPRODUCT(--(($A$1:$A$3=公区维修!$F235)+$BN$1:$BN$3&gt;0)))</f>
        <v>2</v>
      </c>
      <c r="AI235" s="0" t="n">
        <f aca="false">IF(OR($A$4=公区维修!$F235,$BN$4=1),0,4-SUMPRODUCT(--(($A$1:$A$4=公区维修!$F235)+$BN$1:$BN$4&gt;0)))</f>
        <v>3</v>
      </c>
      <c r="AJ235" s="0" t="n">
        <f aca="false">IF(OR($A$5=公区维修!$F235,$BN$5=1),0,5-SUMPRODUCT(--(($A$1:$A$5=公区维修!$F235)+$BN$1:$BN$5&gt;0)))</f>
        <v>4</v>
      </c>
      <c r="AL235" s="0" t="str">
        <f aca="false">IFERROR(INDEX($A$1:$A$5,MATCH(1,$AF235:$AJ235,0)),IF(1=MAX($AF235:$AJ235)+1,"取消",""))</f>
        <v>李师傅</v>
      </c>
      <c r="AM235" s="0" t="str">
        <f aca="false">IFERROR(INDEX($A$1:$A$5,MATCH(2,$AF235:$AJ235,0)),IF(2=MAX($AF235:$AJ235)+1,"取消",""))</f>
        <v>王师傅</v>
      </c>
      <c r="AN235" s="0" t="str">
        <f aca="false">IFERROR(INDEX($A$1:$A$5,MATCH(3,$AF235:$AJ235,0)),IF(3=MAX($AF235:$AJ235)+1,"取消",""))</f>
        <v>陈师傅</v>
      </c>
      <c r="AO235" s="0" t="str">
        <f aca="false">IFERROR(INDEX($A$1:$A$5,MATCH(4,$AF235:$AJ235,0)),IF(4=MAX($AF235:$AJ235)+1,"取消",""))</f>
        <v>刘师傅</v>
      </c>
      <c r="AP235" s="0" t="str">
        <f aca="false">IFERROR(INDEX($A$1:$A$5,MATCH(5,$AF235:$AJ235,0)),IF(5=MAX($AF235:$AJ235)+1,"取消",""))</f>
        <v>取消</v>
      </c>
      <c r="AQ235" s="0" t="str">
        <f aca="false">IFERROR(INDEX($A$1:$A$5,MATCH(6,$AF235:$AJ235,0)),IF(6=MAX($AF235:$AJ235)+1,"取消",""))</f>
        <v/>
      </c>
      <c r="AS235" s="0" t="n">
        <f aca="false">IF(OR($A$1=公区维修!$F235,$A$1=公区维修!$G235,$BN$1=1),0,1-SUMPRODUCT(--(($A$1=公区维修!$F235)+($A$1=公区维修!$G235)+$BN$1&gt;0)))</f>
        <v>0</v>
      </c>
      <c r="AT235" s="0" t="n">
        <f aca="false">IF(OR($A$2=公区维修!$F235,$A$2=公区维修!$G235,$BN$2=1),0,2-SUMPRODUCT(--(($A$1:$A$2=公区维修!$F235)+($A$1:$A$2=公区维修!$G235)+$BN$1:$BN$2&gt;0)))</f>
        <v>1</v>
      </c>
      <c r="AU235" s="0" t="n">
        <f aca="false">IF(OR($A$3=公区维修!$F235,$A$3=公区维修!$G235,$BN$3=1),0,3-SUMPRODUCT(--(($A$1:$A$3=公区维修!$F235)+($A$1:$A$3=公区维修!$G235)+$BN$1:$BN$3&gt;0)))</f>
        <v>2</v>
      </c>
      <c r="AV235" s="0" t="n">
        <f aca="false">IF(OR($A$4=公区维修!$F235,$A$4=公区维修!$G235,$BN$4=1),0,4-SUMPRODUCT(--(($A$1:$A$4=公区维修!$F235)+($A$1:$A$4=公区维修!$G235)+$BN$1:$BN$4&gt;0)))</f>
        <v>3</v>
      </c>
      <c r="AW235" s="0" t="n">
        <f aca="false">IF(OR($A$5=公区维修!$F235,$A$5=公区维修!$G235,$BN$5=1),0,5-SUMPRODUCT(--(($A$1:$A$5=公区维修!$F235)+($A$1:$A$5=公区维修!$G235)+$BN$1:$BN$5&gt;0)))</f>
        <v>4</v>
      </c>
      <c r="AY235" s="0" t="str">
        <f aca="false">IFERROR(INDEX($A$1:$A$5,MATCH(1,$AS235:$AW235,0)),IF(1=MAX($AS235:$AW235)+1,"取消",""))</f>
        <v>李师傅</v>
      </c>
      <c r="AZ235" s="0" t="str">
        <f aca="false">IFERROR(INDEX($A$1:$A$5,MATCH(2,$AS235:$AW235,0)),IF(2=MAX($AS235:$AW235)+1,"取消",""))</f>
        <v>王师傅</v>
      </c>
      <c r="BA235" s="0" t="str">
        <f aca="false">IFERROR(INDEX($A$1:$A$5,MATCH(3,$AS235:$AW235,0)),IF(3=MAX($AS235:$AW235)+1,"取消",""))</f>
        <v>陈师傅</v>
      </c>
      <c r="BB235" s="0" t="str">
        <f aca="false">IFERROR(INDEX($A$1:$A$5,MATCH(4,$AS235:$AW235,0)),IF(4=MAX($AS235:$AW235)+1,"取消",""))</f>
        <v>刘师傅</v>
      </c>
      <c r="BC235" s="0" t="str">
        <f aca="false">IFERROR(INDEX($A$1:$A$5,MATCH(5,$AS235:$AW235,0)),IF(5=MAX($AS235:$AW235)+1,"取消",""))</f>
        <v>取消</v>
      </c>
      <c r="BD235" s="0" t="str">
        <f aca="false">IFERROR(INDEX($A$1:$A$5,MATCH(6,$AS235:$AW235,0)),IF(6=MAX($AS235:$AW235)+1,"取消",""))</f>
        <v/>
      </c>
      <c r="FW235" s="0" t="str">
        <f aca="false">IF(AND(单元查询!$D$3&lt;&gt;"",IF(单元查询!$B$3="公区维修",公区维修!$E235&lt;&gt;"",入户维修!$E235&lt;&gt;""),IF(单元查询!$B$3="公区维修",公区维修!$C235,入户维修!$C235)=单元查询!$D$3,OR(单元查询!$F$3="",IF(单元查询!$B$3="公区维修",公区维修!$D235,入户维修!$D235)&amp;""=(单元查询!$F$3)&amp;"")),MAX($FW$4:$FW234)+1,"")</f>
        <v/>
      </c>
    </row>
    <row r="236" customFormat="false" ht="15" hidden="false" customHeight="true" outlineLevel="0" collapsed="false">
      <c r="F236" s="0" t="n">
        <f aca="false">IF(OR($A$1=入户维修!$F236,$BN$1=1),0,1-SUMPRODUCT(--(($A$1=入户维修!$F236)+$BN$1&gt;0)))</f>
        <v>0</v>
      </c>
      <c r="G236" s="0" t="n">
        <f aca="false">IF(OR($A$2=入户维修!$F236,$BN$2=1),0,2-SUMPRODUCT(--(($A$1:$A$2=入户维修!$F236)+$BN$1:$BN$2&gt;0)))</f>
        <v>1</v>
      </c>
      <c r="H236" s="0" t="n">
        <f aca="false">IF(OR($A$3=入户维修!$F236,$BN$3=1),0,3-SUMPRODUCT(--(($A$1:$A$3=入户维修!$F236)+$BN$1:$BN$3&gt;0)))</f>
        <v>2</v>
      </c>
      <c r="I236" s="0" t="n">
        <f aca="false">IF(OR($A$4=入户维修!$F236,$BN$4=1),0,4-SUMPRODUCT(--(($A$1:$A$4=入户维修!$F236)+$BN$1:$BN$4&gt;0)))</f>
        <v>3</v>
      </c>
      <c r="J236" s="0" t="n">
        <f aca="false">IF(OR($A$5=入户维修!$F236,$BN$5=1),0,5-SUMPRODUCT(--(($A$1:$A$5=入户维修!$F236)+$BN$1:$BN$5&gt;0)))</f>
        <v>4</v>
      </c>
      <c r="L236" s="0" t="str">
        <f aca="false">IFERROR(INDEX($A$1:$A$5,MATCH(1,$F236:$J236,0)),IF(1=MAX($F236:$J236)+1,"取消",""))</f>
        <v>李师傅</v>
      </c>
      <c r="M236" s="0" t="str">
        <f aca="false">IFERROR(INDEX($A$1:$A$5,MATCH(2,$F236:$J236,0)),IF(2=MAX($F236:$J236)+1,"取消",""))</f>
        <v>王师傅</v>
      </c>
      <c r="N236" s="0" t="str">
        <f aca="false">IFERROR(INDEX($A$1:$A$5,MATCH(3,$F236:$J236,0)),IF(3=MAX($F236:$J236)+1,"取消",""))</f>
        <v>陈师傅</v>
      </c>
      <c r="O236" s="0" t="str">
        <f aca="false">IFERROR(INDEX($A$1:$A$5,MATCH(4,$F236:$J236,0)),IF(4=MAX($F236:$J236)+1,"取消",""))</f>
        <v>刘师傅</v>
      </c>
      <c r="P236" s="0" t="str">
        <f aca="false">IFERROR(INDEX($A$1:$A$5,MATCH(5,$F236:$J236,0)),IF(5=MAX($F236:$J236)+1,"取消",""))</f>
        <v>取消</v>
      </c>
      <c r="Q236" s="0" t="str">
        <f aca="false">IFERROR(INDEX($A$1:$A$5,MATCH(6,$F236:$J236,0)),IF(6=MAX($F236:$J236)+1,"取消",""))</f>
        <v/>
      </c>
      <c r="S236" s="0" t="n">
        <f aca="false">IF(OR($A$1=入户维修!$F236,$A$1=入户维修!$G236,$BN$1=1),0,1-SUMPRODUCT(--(($A$1=入户维修!$F236)+($A$1=入户维修!$G236)+$BN$1&gt;0)))</f>
        <v>0</v>
      </c>
      <c r="T236" s="0" t="n">
        <f aca="false">IF(OR($A$2=入户维修!$F236,$A$2=入户维修!$G236,$BN$2=1),0,2-SUMPRODUCT(--(($A$1:$A$2=入户维修!$F236)+($A$1:$A$2=入户维修!$G236)+$BN$1:$BN$2&gt;0)))</f>
        <v>1</v>
      </c>
      <c r="U236" s="0" t="n">
        <f aca="false">IF(OR($A$3=入户维修!$F236,$A$3=入户维修!$G236,$BN$3=1),0,3-SUMPRODUCT(--(($A$1:$A$3=入户维修!$F236)+($A$1:$A$3=入户维修!$G236)+$BN$1:$BN$3&gt;0)))</f>
        <v>2</v>
      </c>
      <c r="V236" s="0" t="n">
        <f aca="false">IF(OR($A$4=入户维修!$F236,$A$4=入户维修!$G236,$BN$4=1),0,4-SUMPRODUCT(--(($A$1:$A$4=入户维修!$F236)+($A$1:$A$4=入户维修!$G236)+$BN$1:$BN$4&gt;0)))</f>
        <v>3</v>
      </c>
      <c r="W236" s="0" t="n">
        <f aca="false">IF(OR($A$5=入户维修!$F236,$A$5=入户维修!$G236,$BN$5=1),0,5-SUMPRODUCT(--(($A$1:$A$5=入户维修!$F236)+($A$1:$A$5=入户维修!$G236)+$BN$1:$BN$5&gt;0)))</f>
        <v>4</v>
      </c>
      <c r="Y236" s="0" t="str">
        <f aca="false">IFERROR(INDEX($A$1:$A$5,MATCH(1,$S236:$W236,0)),IF(1=MAX($S236:$W236)+1,"取消",""))</f>
        <v>李师傅</v>
      </c>
      <c r="Z236" s="0" t="str">
        <f aca="false">IFERROR(INDEX($A$1:$A$5,MATCH(2,$S236:$W236,0)),IF(2=MAX($S236:$W236)+1,"取消",""))</f>
        <v>王师傅</v>
      </c>
      <c r="AA236" s="0" t="str">
        <f aca="false">IFERROR(INDEX($A$1:$A$5,MATCH(3,$S236:$W236,0)),IF(3=MAX($S236:$W236)+1,"取消",""))</f>
        <v>陈师傅</v>
      </c>
      <c r="AB236" s="0" t="str">
        <f aca="false">IFERROR(INDEX($A$1:$A$5,MATCH(4,$S236:$W236,0)),IF(4=MAX($S236:$W236)+1,"取消",""))</f>
        <v>刘师傅</v>
      </c>
      <c r="AC236" s="0" t="str">
        <f aca="false">IFERROR(INDEX($A$1:$A$5,MATCH(5,$S236:$W236,0)),IF(5=MAX($S236:$W236)+1,"取消",""))</f>
        <v>取消</v>
      </c>
      <c r="AD236" s="0" t="str">
        <f aca="false">IFERROR(INDEX($A$1:$A$5,MATCH(6,$S236:$W236,0)),IF(6=MAX($S236:$W236)+1,"取消",""))</f>
        <v/>
      </c>
      <c r="AF236" s="0" t="n">
        <f aca="false">IF(OR($A$1=公区维修!$F236,$BN$1=1),0,1-SUMPRODUCT(--(($A$1=公区维修!$F236)+$BN$1&gt;0)))</f>
        <v>0</v>
      </c>
      <c r="AG236" s="0" t="n">
        <f aca="false">IF(OR($A$2=公区维修!$F236,$BN$2=1),0,2-SUMPRODUCT(--(($A$1:$A$2=公区维修!$F236)+$BN$1:$BN$2&gt;0)))</f>
        <v>1</v>
      </c>
      <c r="AH236" s="0" t="n">
        <f aca="false">IF(OR($A$3=公区维修!$F236,$BN$3=1),0,3-SUMPRODUCT(--(($A$1:$A$3=公区维修!$F236)+$BN$1:$BN$3&gt;0)))</f>
        <v>2</v>
      </c>
      <c r="AI236" s="0" t="n">
        <f aca="false">IF(OR($A$4=公区维修!$F236,$BN$4=1),0,4-SUMPRODUCT(--(($A$1:$A$4=公区维修!$F236)+$BN$1:$BN$4&gt;0)))</f>
        <v>3</v>
      </c>
      <c r="AJ236" s="0" t="n">
        <f aca="false">IF(OR($A$5=公区维修!$F236,$BN$5=1),0,5-SUMPRODUCT(--(($A$1:$A$5=公区维修!$F236)+$BN$1:$BN$5&gt;0)))</f>
        <v>4</v>
      </c>
      <c r="AL236" s="0" t="str">
        <f aca="false">IFERROR(INDEX($A$1:$A$5,MATCH(1,$AF236:$AJ236,0)),IF(1=MAX($AF236:$AJ236)+1,"取消",""))</f>
        <v>李师傅</v>
      </c>
      <c r="AM236" s="0" t="str">
        <f aca="false">IFERROR(INDEX($A$1:$A$5,MATCH(2,$AF236:$AJ236,0)),IF(2=MAX($AF236:$AJ236)+1,"取消",""))</f>
        <v>王师傅</v>
      </c>
      <c r="AN236" s="0" t="str">
        <f aca="false">IFERROR(INDEX($A$1:$A$5,MATCH(3,$AF236:$AJ236,0)),IF(3=MAX($AF236:$AJ236)+1,"取消",""))</f>
        <v>陈师傅</v>
      </c>
      <c r="AO236" s="0" t="str">
        <f aca="false">IFERROR(INDEX($A$1:$A$5,MATCH(4,$AF236:$AJ236,0)),IF(4=MAX($AF236:$AJ236)+1,"取消",""))</f>
        <v>刘师傅</v>
      </c>
      <c r="AP236" s="0" t="str">
        <f aca="false">IFERROR(INDEX($A$1:$A$5,MATCH(5,$AF236:$AJ236,0)),IF(5=MAX($AF236:$AJ236)+1,"取消",""))</f>
        <v>取消</v>
      </c>
      <c r="AQ236" s="0" t="str">
        <f aca="false">IFERROR(INDEX($A$1:$A$5,MATCH(6,$AF236:$AJ236,0)),IF(6=MAX($AF236:$AJ236)+1,"取消",""))</f>
        <v/>
      </c>
      <c r="AS236" s="0" t="n">
        <f aca="false">IF(OR($A$1=公区维修!$F236,$A$1=公区维修!$G236,$BN$1=1),0,1-SUMPRODUCT(--(($A$1=公区维修!$F236)+($A$1=公区维修!$G236)+$BN$1&gt;0)))</f>
        <v>0</v>
      </c>
      <c r="AT236" s="0" t="n">
        <f aca="false">IF(OR($A$2=公区维修!$F236,$A$2=公区维修!$G236,$BN$2=1),0,2-SUMPRODUCT(--(($A$1:$A$2=公区维修!$F236)+($A$1:$A$2=公区维修!$G236)+$BN$1:$BN$2&gt;0)))</f>
        <v>1</v>
      </c>
      <c r="AU236" s="0" t="n">
        <f aca="false">IF(OR($A$3=公区维修!$F236,$A$3=公区维修!$G236,$BN$3=1),0,3-SUMPRODUCT(--(($A$1:$A$3=公区维修!$F236)+($A$1:$A$3=公区维修!$G236)+$BN$1:$BN$3&gt;0)))</f>
        <v>2</v>
      </c>
      <c r="AV236" s="0" t="n">
        <f aca="false">IF(OR($A$4=公区维修!$F236,$A$4=公区维修!$G236,$BN$4=1),0,4-SUMPRODUCT(--(($A$1:$A$4=公区维修!$F236)+($A$1:$A$4=公区维修!$G236)+$BN$1:$BN$4&gt;0)))</f>
        <v>3</v>
      </c>
      <c r="AW236" s="0" t="n">
        <f aca="false">IF(OR($A$5=公区维修!$F236,$A$5=公区维修!$G236,$BN$5=1),0,5-SUMPRODUCT(--(($A$1:$A$5=公区维修!$F236)+($A$1:$A$5=公区维修!$G236)+$BN$1:$BN$5&gt;0)))</f>
        <v>4</v>
      </c>
      <c r="AY236" s="0" t="str">
        <f aca="false">IFERROR(INDEX($A$1:$A$5,MATCH(1,$AS236:$AW236,0)),IF(1=MAX($AS236:$AW236)+1,"取消",""))</f>
        <v>李师傅</v>
      </c>
      <c r="AZ236" s="0" t="str">
        <f aca="false">IFERROR(INDEX($A$1:$A$5,MATCH(2,$AS236:$AW236,0)),IF(2=MAX($AS236:$AW236)+1,"取消",""))</f>
        <v>王师傅</v>
      </c>
      <c r="BA236" s="0" t="str">
        <f aca="false">IFERROR(INDEX($A$1:$A$5,MATCH(3,$AS236:$AW236,0)),IF(3=MAX($AS236:$AW236)+1,"取消",""))</f>
        <v>陈师傅</v>
      </c>
      <c r="BB236" s="0" t="str">
        <f aca="false">IFERROR(INDEX($A$1:$A$5,MATCH(4,$AS236:$AW236,0)),IF(4=MAX($AS236:$AW236)+1,"取消",""))</f>
        <v>刘师傅</v>
      </c>
      <c r="BC236" s="0" t="str">
        <f aca="false">IFERROR(INDEX($A$1:$A$5,MATCH(5,$AS236:$AW236,0)),IF(5=MAX($AS236:$AW236)+1,"取消",""))</f>
        <v>取消</v>
      </c>
      <c r="BD236" s="0" t="str">
        <f aca="false">IFERROR(INDEX($A$1:$A$5,MATCH(6,$AS236:$AW236,0)),IF(6=MAX($AS236:$AW236)+1,"取消",""))</f>
        <v/>
      </c>
      <c r="FW236" s="0" t="str">
        <f aca="false">IF(AND(单元查询!$D$3&lt;&gt;"",IF(单元查询!$B$3="公区维修",公区维修!$E236&lt;&gt;"",入户维修!$E236&lt;&gt;""),IF(单元查询!$B$3="公区维修",公区维修!$C236,入户维修!$C236)=单元查询!$D$3,OR(单元查询!$F$3="",IF(单元查询!$B$3="公区维修",公区维修!$D236,入户维修!$D236)&amp;""=(单元查询!$F$3)&amp;"")),MAX($FW$4:$FW235)+1,"")</f>
        <v/>
      </c>
    </row>
    <row r="237" customFormat="false" ht="15" hidden="false" customHeight="true" outlineLevel="0" collapsed="false">
      <c r="F237" s="0" t="n">
        <f aca="false">IF(OR($A$1=入户维修!$F237,$BN$1=1),0,1-SUMPRODUCT(--(($A$1=入户维修!$F237)+$BN$1&gt;0)))</f>
        <v>0</v>
      </c>
      <c r="G237" s="0" t="n">
        <f aca="false">IF(OR($A$2=入户维修!$F237,$BN$2=1),0,2-SUMPRODUCT(--(($A$1:$A$2=入户维修!$F237)+$BN$1:$BN$2&gt;0)))</f>
        <v>1</v>
      </c>
      <c r="H237" s="0" t="n">
        <f aca="false">IF(OR($A$3=入户维修!$F237,$BN$3=1),0,3-SUMPRODUCT(--(($A$1:$A$3=入户维修!$F237)+$BN$1:$BN$3&gt;0)))</f>
        <v>2</v>
      </c>
      <c r="I237" s="0" t="n">
        <f aca="false">IF(OR($A$4=入户维修!$F237,$BN$4=1),0,4-SUMPRODUCT(--(($A$1:$A$4=入户维修!$F237)+$BN$1:$BN$4&gt;0)))</f>
        <v>3</v>
      </c>
      <c r="J237" s="0" t="n">
        <f aca="false">IF(OR($A$5=入户维修!$F237,$BN$5=1),0,5-SUMPRODUCT(--(($A$1:$A$5=入户维修!$F237)+$BN$1:$BN$5&gt;0)))</f>
        <v>4</v>
      </c>
      <c r="L237" s="0" t="str">
        <f aca="false">IFERROR(INDEX($A$1:$A$5,MATCH(1,$F237:$J237,0)),IF(1=MAX($F237:$J237)+1,"取消",""))</f>
        <v>李师傅</v>
      </c>
      <c r="M237" s="0" t="str">
        <f aca="false">IFERROR(INDEX($A$1:$A$5,MATCH(2,$F237:$J237,0)),IF(2=MAX($F237:$J237)+1,"取消",""))</f>
        <v>王师傅</v>
      </c>
      <c r="N237" s="0" t="str">
        <f aca="false">IFERROR(INDEX($A$1:$A$5,MATCH(3,$F237:$J237,0)),IF(3=MAX($F237:$J237)+1,"取消",""))</f>
        <v>陈师傅</v>
      </c>
      <c r="O237" s="0" t="str">
        <f aca="false">IFERROR(INDEX($A$1:$A$5,MATCH(4,$F237:$J237,0)),IF(4=MAX($F237:$J237)+1,"取消",""))</f>
        <v>刘师傅</v>
      </c>
      <c r="P237" s="0" t="str">
        <f aca="false">IFERROR(INDEX($A$1:$A$5,MATCH(5,$F237:$J237,0)),IF(5=MAX($F237:$J237)+1,"取消",""))</f>
        <v>取消</v>
      </c>
      <c r="Q237" s="0" t="str">
        <f aca="false">IFERROR(INDEX($A$1:$A$5,MATCH(6,$F237:$J237,0)),IF(6=MAX($F237:$J237)+1,"取消",""))</f>
        <v/>
      </c>
      <c r="S237" s="0" t="n">
        <f aca="false">IF(OR($A$1=入户维修!$F237,$A$1=入户维修!$G237,$BN$1=1),0,1-SUMPRODUCT(--(($A$1=入户维修!$F237)+($A$1=入户维修!$G237)+$BN$1&gt;0)))</f>
        <v>0</v>
      </c>
      <c r="T237" s="0" t="n">
        <f aca="false">IF(OR($A$2=入户维修!$F237,$A$2=入户维修!$G237,$BN$2=1),0,2-SUMPRODUCT(--(($A$1:$A$2=入户维修!$F237)+($A$1:$A$2=入户维修!$G237)+$BN$1:$BN$2&gt;0)))</f>
        <v>1</v>
      </c>
      <c r="U237" s="0" t="n">
        <f aca="false">IF(OR($A$3=入户维修!$F237,$A$3=入户维修!$G237,$BN$3=1),0,3-SUMPRODUCT(--(($A$1:$A$3=入户维修!$F237)+($A$1:$A$3=入户维修!$G237)+$BN$1:$BN$3&gt;0)))</f>
        <v>2</v>
      </c>
      <c r="V237" s="0" t="n">
        <f aca="false">IF(OR($A$4=入户维修!$F237,$A$4=入户维修!$G237,$BN$4=1),0,4-SUMPRODUCT(--(($A$1:$A$4=入户维修!$F237)+($A$1:$A$4=入户维修!$G237)+$BN$1:$BN$4&gt;0)))</f>
        <v>3</v>
      </c>
      <c r="W237" s="0" t="n">
        <f aca="false">IF(OR($A$5=入户维修!$F237,$A$5=入户维修!$G237,$BN$5=1),0,5-SUMPRODUCT(--(($A$1:$A$5=入户维修!$F237)+($A$1:$A$5=入户维修!$G237)+$BN$1:$BN$5&gt;0)))</f>
        <v>4</v>
      </c>
      <c r="Y237" s="0" t="str">
        <f aca="false">IFERROR(INDEX($A$1:$A$5,MATCH(1,$S237:$W237,0)),IF(1=MAX($S237:$W237)+1,"取消",""))</f>
        <v>李师傅</v>
      </c>
      <c r="Z237" s="0" t="str">
        <f aca="false">IFERROR(INDEX($A$1:$A$5,MATCH(2,$S237:$W237,0)),IF(2=MAX($S237:$W237)+1,"取消",""))</f>
        <v>王师傅</v>
      </c>
      <c r="AA237" s="0" t="str">
        <f aca="false">IFERROR(INDEX($A$1:$A$5,MATCH(3,$S237:$W237,0)),IF(3=MAX($S237:$W237)+1,"取消",""))</f>
        <v>陈师傅</v>
      </c>
      <c r="AB237" s="0" t="str">
        <f aca="false">IFERROR(INDEX($A$1:$A$5,MATCH(4,$S237:$W237,0)),IF(4=MAX($S237:$W237)+1,"取消",""))</f>
        <v>刘师傅</v>
      </c>
      <c r="AC237" s="0" t="str">
        <f aca="false">IFERROR(INDEX($A$1:$A$5,MATCH(5,$S237:$W237,0)),IF(5=MAX($S237:$W237)+1,"取消",""))</f>
        <v>取消</v>
      </c>
      <c r="AD237" s="0" t="str">
        <f aca="false">IFERROR(INDEX($A$1:$A$5,MATCH(6,$S237:$W237,0)),IF(6=MAX($S237:$W237)+1,"取消",""))</f>
        <v/>
      </c>
      <c r="AF237" s="0" t="n">
        <f aca="false">IF(OR($A$1=公区维修!$F237,$BN$1=1),0,1-SUMPRODUCT(--(($A$1=公区维修!$F237)+$BN$1&gt;0)))</f>
        <v>0</v>
      </c>
      <c r="AG237" s="0" t="n">
        <f aca="false">IF(OR($A$2=公区维修!$F237,$BN$2=1),0,2-SUMPRODUCT(--(($A$1:$A$2=公区维修!$F237)+$BN$1:$BN$2&gt;0)))</f>
        <v>1</v>
      </c>
      <c r="AH237" s="0" t="n">
        <f aca="false">IF(OR($A$3=公区维修!$F237,$BN$3=1),0,3-SUMPRODUCT(--(($A$1:$A$3=公区维修!$F237)+$BN$1:$BN$3&gt;0)))</f>
        <v>2</v>
      </c>
      <c r="AI237" s="0" t="n">
        <f aca="false">IF(OR($A$4=公区维修!$F237,$BN$4=1),0,4-SUMPRODUCT(--(($A$1:$A$4=公区维修!$F237)+$BN$1:$BN$4&gt;0)))</f>
        <v>3</v>
      </c>
      <c r="AJ237" s="0" t="n">
        <f aca="false">IF(OR($A$5=公区维修!$F237,$BN$5=1),0,5-SUMPRODUCT(--(($A$1:$A$5=公区维修!$F237)+$BN$1:$BN$5&gt;0)))</f>
        <v>4</v>
      </c>
      <c r="AL237" s="0" t="str">
        <f aca="false">IFERROR(INDEX($A$1:$A$5,MATCH(1,$AF237:$AJ237,0)),IF(1=MAX($AF237:$AJ237)+1,"取消",""))</f>
        <v>李师傅</v>
      </c>
      <c r="AM237" s="0" t="str">
        <f aca="false">IFERROR(INDEX($A$1:$A$5,MATCH(2,$AF237:$AJ237,0)),IF(2=MAX($AF237:$AJ237)+1,"取消",""))</f>
        <v>王师傅</v>
      </c>
      <c r="AN237" s="0" t="str">
        <f aca="false">IFERROR(INDEX($A$1:$A$5,MATCH(3,$AF237:$AJ237,0)),IF(3=MAX($AF237:$AJ237)+1,"取消",""))</f>
        <v>陈师傅</v>
      </c>
      <c r="AO237" s="0" t="str">
        <f aca="false">IFERROR(INDEX($A$1:$A$5,MATCH(4,$AF237:$AJ237,0)),IF(4=MAX($AF237:$AJ237)+1,"取消",""))</f>
        <v>刘师傅</v>
      </c>
      <c r="AP237" s="0" t="str">
        <f aca="false">IFERROR(INDEX($A$1:$A$5,MATCH(5,$AF237:$AJ237,0)),IF(5=MAX($AF237:$AJ237)+1,"取消",""))</f>
        <v>取消</v>
      </c>
      <c r="AQ237" s="0" t="str">
        <f aca="false">IFERROR(INDEX($A$1:$A$5,MATCH(6,$AF237:$AJ237,0)),IF(6=MAX($AF237:$AJ237)+1,"取消",""))</f>
        <v/>
      </c>
      <c r="AS237" s="0" t="n">
        <f aca="false">IF(OR($A$1=公区维修!$F237,$A$1=公区维修!$G237,$BN$1=1),0,1-SUMPRODUCT(--(($A$1=公区维修!$F237)+($A$1=公区维修!$G237)+$BN$1&gt;0)))</f>
        <v>0</v>
      </c>
      <c r="AT237" s="0" t="n">
        <f aca="false">IF(OR($A$2=公区维修!$F237,$A$2=公区维修!$G237,$BN$2=1),0,2-SUMPRODUCT(--(($A$1:$A$2=公区维修!$F237)+($A$1:$A$2=公区维修!$G237)+$BN$1:$BN$2&gt;0)))</f>
        <v>1</v>
      </c>
      <c r="AU237" s="0" t="n">
        <f aca="false">IF(OR($A$3=公区维修!$F237,$A$3=公区维修!$G237,$BN$3=1),0,3-SUMPRODUCT(--(($A$1:$A$3=公区维修!$F237)+($A$1:$A$3=公区维修!$G237)+$BN$1:$BN$3&gt;0)))</f>
        <v>2</v>
      </c>
      <c r="AV237" s="0" t="n">
        <f aca="false">IF(OR($A$4=公区维修!$F237,$A$4=公区维修!$G237,$BN$4=1),0,4-SUMPRODUCT(--(($A$1:$A$4=公区维修!$F237)+($A$1:$A$4=公区维修!$G237)+$BN$1:$BN$4&gt;0)))</f>
        <v>3</v>
      </c>
      <c r="AW237" s="0" t="n">
        <f aca="false">IF(OR($A$5=公区维修!$F237,$A$5=公区维修!$G237,$BN$5=1),0,5-SUMPRODUCT(--(($A$1:$A$5=公区维修!$F237)+($A$1:$A$5=公区维修!$G237)+$BN$1:$BN$5&gt;0)))</f>
        <v>4</v>
      </c>
      <c r="AY237" s="0" t="str">
        <f aca="false">IFERROR(INDEX($A$1:$A$5,MATCH(1,$AS237:$AW237,0)),IF(1=MAX($AS237:$AW237)+1,"取消",""))</f>
        <v>李师傅</v>
      </c>
      <c r="AZ237" s="0" t="str">
        <f aca="false">IFERROR(INDEX($A$1:$A$5,MATCH(2,$AS237:$AW237,0)),IF(2=MAX($AS237:$AW237)+1,"取消",""))</f>
        <v>王师傅</v>
      </c>
      <c r="BA237" s="0" t="str">
        <f aca="false">IFERROR(INDEX($A$1:$A$5,MATCH(3,$AS237:$AW237,0)),IF(3=MAX($AS237:$AW237)+1,"取消",""))</f>
        <v>陈师傅</v>
      </c>
      <c r="BB237" s="0" t="str">
        <f aca="false">IFERROR(INDEX($A$1:$A$5,MATCH(4,$AS237:$AW237,0)),IF(4=MAX($AS237:$AW237)+1,"取消",""))</f>
        <v>刘师傅</v>
      </c>
      <c r="BC237" s="0" t="str">
        <f aca="false">IFERROR(INDEX($A$1:$A$5,MATCH(5,$AS237:$AW237,0)),IF(5=MAX($AS237:$AW237)+1,"取消",""))</f>
        <v>取消</v>
      </c>
      <c r="BD237" s="0" t="str">
        <f aca="false">IFERROR(INDEX($A$1:$A$5,MATCH(6,$AS237:$AW237,0)),IF(6=MAX($AS237:$AW237)+1,"取消",""))</f>
        <v/>
      </c>
      <c r="FW237" s="0" t="str">
        <f aca="false">IF(AND(单元查询!$D$3&lt;&gt;"",IF(单元查询!$B$3="公区维修",公区维修!$E237&lt;&gt;"",入户维修!$E237&lt;&gt;""),IF(单元查询!$B$3="公区维修",公区维修!$C237,入户维修!$C237)=单元查询!$D$3,OR(单元查询!$F$3="",IF(单元查询!$B$3="公区维修",公区维修!$D237,入户维修!$D237)&amp;""=(单元查询!$F$3)&amp;"")),MAX($FW$4:$FW236)+1,"")</f>
        <v/>
      </c>
    </row>
    <row r="238" customFormat="false" ht="15" hidden="false" customHeight="true" outlineLevel="0" collapsed="false">
      <c r="F238" s="0" t="n">
        <f aca="false">IF(OR($A$1=入户维修!$F238,$BN$1=1),0,1-SUMPRODUCT(--(($A$1=入户维修!$F238)+$BN$1&gt;0)))</f>
        <v>0</v>
      </c>
      <c r="G238" s="0" t="n">
        <f aca="false">IF(OR($A$2=入户维修!$F238,$BN$2=1),0,2-SUMPRODUCT(--(($A$1:$A$2=入户维修!$F238)+$BN$1:$BN$2&gt;0)))</f>
        <v>1</v>
      </c>
      <c r="H238" s="0" t="n">
        <f aca="false">IF(OR($A$3=入户维修!$F238,$BN$3=1),0,3-SUMPRODUCT(--(($A$1:$A$3=入户维修!$F238)+$BN$1:$BN$3&gt;0)))</f>
        <v>2</v>
      </c>
      <c r="I238" s="0" t="n">
        <f aca="false">IF(OR($A$4=入户维修!$F238,$BN$4=1),0,4-SUMPRODUCT(--(($A$1:$A$4=入户维修!$F238)+$BN$1:$BN$4&gt;0)))</f>
        <v>3</v>
      </c>
      <c r="J238" s="0" t="n">
        <f aca="false">IF(OR($A$5=入户维修!$F238,$BN$5=1),0,5-SUMPRODUCT(--(($A$1:$A$5=入户维修!$F238)+$BN$1:$BN$5&gt;0)))</f>
        <v>4</v>
      </c>
      <c r="L238" s="0" t="str">
        <f aca="false">IFERROR(INDEX($A$1:$A$5,MATCH(1,$F238:$J238,0)),IF(1=MAX($F238:$J238)+1,"取消",""))</f>
        <v>李师傅</v>
      </c>
      <c r="M238" s="0" t="str">
        <f aca="false">IFERROR(INDEX($A$1:$A$5,MATCH(2,$F238:$J238,0)),IF(2=MAX($F238:$J238)+1,"取消",""))</f>
        <v>王师傅</v>
      </c>
      <c r="N238" s="0" t="str">
        <f aca="false">IFERROR(INDEX($A$1:$A$5,MATCH(3,$F238:$J238,0)),IF(3=MAX($F238:$J238)+1,"取消",""))</f>
        <v>陈师傅</v>
      </c>
      <c r="O238" s="0" t="str">
        <f aca="false">IFERROR(INDEX($A$1:$A$5,MATCH(4,$F238:$J238,0)),IF(4=MAX($F238:$J238)+1,"取消",""))</f>
        <v>刘师傅</v>
      </c>
      <c r="P238" s="0" t="str">
        <f aca="false">IFERROR(INDEX($A$1:$A$5,MATCH(5,$F238:$J238,0)),IF(5=MAX($F238:$J238)+1,"取消",""))</f>
        <v>取消</v>
      </c>
      <c r="Q238" s="0" t="str">
        <f aca="false">IFERROR(INDEX($A$1:$A$5,MATCH(6,$F238:$J238,0)),IF(6=MAX($F238:$J238)+1,"取消",""))</f>
        <v/>
      </c>
      <c r="S238" s="0" t="n">
        <f aca="false">IF(OR($A$1=入户维修!$F238,$A$1=入户维修!$G238,$BN$1=1),0,1-SUMPRODUCT(--(($A$1=入户维修!$F238)+($A$1=入户维修!$G238)+$BN$1&gt;0)))</f>
        <v>0</v>
      </c>
      <c r="T238" s="0" t="n">
        <f aca="false">IF(OR($A$2=入户维修!$F238,$A$2=入户维修!$G238,$BN$2=1),0,2-SUMPRODUCT(--(($A$1:$A$2=入户维修!$F238)+($A$1:$A$2=入户维修!$G238)+$BN$1:$BN$2&gt;0)))</f>
        <v>1</v>
      </c>
      <c r="U238" s="0" t="n">
        <f aca="false">IF(OR($A$3=入户维修!$F238,$A$3=入户维修!$G238,$BN$3=1),0,3-SUMPRODUCT(--(($A$1:$A$3=入户维修!$F238)+($A$1:$A$3=入户维修!$G238)+$BN$1:$BN$3&gt;0)))</f>
        <v>2</v>
      </c>
      <c r="V238" s="0" t="n">
        <f aca="false">IF(OR($A$4=入户维修!$F238,$A$4=入户维修!$G238,$BN$4=1),0,4-SUMPRODUCT(--(($A$1:$A$4=入户维修!$F238)+($A$1:$A$4=入户维修!$G238)+$BN$1:$BN$4&gt;0)))</f>
        <v>3</v>
      </c>
      <c r="W238" s="0" t="n">
        <f aca="false">IF(OR($A$5=入户维修!$F238,$A$5=入户维修!$G238,$BN$5=1),0,5-SUMPRODUCT(--(($A$1:$A$5=入户维修!$F238)+($A$1:$A$5=入户维修!$G238)+$BN$1:$BN$5&gt;0)))</f>
        <v>4</v>
      </c>
      <c r="Y238" s="0" t="str">
        <f aca="false">IFERROR(INDEX($A$1:$A$5,MATCH(1,$S238:$W238,0)),IF(1=MAX($S238:$W238)+1,"取消",""))</f>
        <v>李师傅</v>
      </c>
      <c r="Z238" s="0" t="str">
        <f aca="false">IFERROR(INDEX($A$1:$A$5,MATCH(2,$S238:$W238,0)),IF(2=MAX($S238:$W238)+1,"取消",""))</f>
        <v>王师傅</v>
      </c>
      <c r="AA238" s="0" t="str">
        <f aca="false">IFERROR(INDEX($A$1:$A$5,MATCH(3,$S238:$W238,0)),IF(3=MAX($S238:$W238)+1,"取消",""))</f>
        <v>陈师傅</v>
      </c>
      <c r="AB238" s="0" t="str">
        <f aca="false">IFERROR(INDEX($A$1:$A$5,MATCH(4,$S238:$W238,0)),IF(4=MAX($S238:$W238)+1,"取消",""))</f>
        <v>刘师傅</v>
      </c>
      <c r="AC238" s="0" t="str">
        <f aca="false">IFERROR(INDEX($A$1:$A$5,MATCH(5,$S238:$W238,0)),IF(5=MAX($S238:$W238)+1,"取消",""))</f>
        <v>取消</v>
      </c>
      <c r="AD238" s="0" t="str">
        <f aca="false">IFERROR(INDEX($A$1:$A$5,MATCH(6,$S238:$W238,0)),IF(6=MAX($S238:$W238)+1,"取消",""))</f>
        <v/>
      </c>
      <c r="AF238" s="0" t="n">
        <f aca="false">IF(OR($A$1=公区维修!$F238,$BN$1=1),0,1-SUMPRODUCT(--(($A$1=公区维修!$F238)+$BN$1&gt;0)))</f>
        <v>0</v>
      </c>
      <c r="AG238" s="0" t="n">
        <f aca="false">IF(OR($A$2=公区维修!$F238,$BN$2=1),0,2-SUMPRODUCT(--(($A$1:$A$2=公区维修!$F238)+$BN$1:$BN$2&gt;0)))</f>
        <v>1</v>
      </c>
      <c r="AH238" s="0" t="n">
        <f aca="false">IF(OR($A$3=公区维修!$F238,$BN$3=1),0,3-SUMPRODUCT(--(($A$1:$A$3=公区维修!$F238)+$BN$1:$BN$3&gt;0)))</f>
        <v>2</v>
      </c>
      <c r="AI238" s="0" t="n">
        <f aca="false">IF(OR($A$4=公区维修!$F238,$BN$4=1),0,4-SUMPRODUCT(--(($A$1:$A$4=公区维修!$F238)+$BN$1:$BN$4&gt;0)))</f>
        <v>3</v>
      </c>
      <c r="AJ238" s="0" t="n">
        <f aca="false">IF(OR($A$5=公区维修!$F238,$BN$5=1),0,5-SUMPRODUCT(--(($A$1:$A$5=公区维修!$F238)+$BN$1:$BN$5&gt;0)))</f>
        <v>4</v>
      </c>
      <c r="AL238" s="0" t="str">
        <f aca="false">IFERROR(INDEX($A$1:$A$5,MATCH(1,$AF238:$AJ238,0)),IF(1=MAX($AF238:$AJ238)+1,"取消",""))</f>
        <v>李师傅</v>
      </c>
      <c r="AM238" s="0" t="str">
        <f aca="false">IFERROR(INDEX($A$1:$A$5,MATCH(2,$AF238:$AJ238,0)),IF(2=MAX($AF238:$AJ238)+1,"取消",""))</f>
        <v>王师傅</v>
      </c>
      <c r="AN238" s="0" t="str">
        <f aca="false">IFERROR(INDEX($A$1:$A$5,MATCH(3,$AF238:$AJ238,0)),IF(3=MAX($AF238:$AJ238)+1,"取消",""))</f>
        <v>陈师傅</v>
      </c>
      <c r="AO238" s="0" t="str">
        <f aca="false">IFERROR(INDEX($A$1:$A$5,MATCH(4,$AF238:$AJ238,0)),IF(4=MAX($AF238:$AJ238)+1,"取消",""))</f>
        <v>刘师傅</v>
      </c>
      <c r="AP238" s="0" t="str">
        <f aca="false">IFERROR(INDEX($A$1:$A$5,MATCH(5,$AF238:$AJ238,0)),IF(5=MAX($AF238:$AJ238)+1,"取消",""))</f>
        <v>取消</v>
      </c>
      <c r="AQ238" s="0" t="str">
        <f aca="false">IFERROR(INDEX($A$1:$A$5,MATCH(6,$AF238:$AJ238,0)),IF(6=MAX($AF238:$AJ238)+1,"取消",""))</f>
        <v/>
      </c>
      <c r="AS238" s="0" t="n">
        <f aca="false">IF(OR($A$1=公区维修!$F238,$A$1=公区维修!$G238,$BN$1=1),0,1-SUMPRODUCT(--(($A$1=公区维修!$F238)+($A$1=公区维修!$G238)+$BN$1&gt;0)))</f>
        <v>0</v>
      </c>
      <c r="AT238" s="0" t="n">
        <f aca="false">IF(OR($A$2=公区维修!$F238,$A$2=公区维修!$G238,$BN$2=1),0,2-SUMPRODUCT(--(($A$1:$A$2=公区维修!$F238)+($A$1:$A$2=公区维修!$G238)+$BN$1:$BN$2&gt;0)))</f>
        <v>1</v>
      </c>
      <c r="AU238" s="0" t="n">
        <f aca="false">IF(OR($A$3=公区维修!$F238,$A$3=公区维修!$G238,$BN$3=1),0,3-SUMPRODUCT(--(($A$1:$A$3=公区维修!$F238)+($A$1:$A$3=公区维修!$G238)+$BN$1:$BN$3&gt;0)))</f>
        <v>2</v>
      </c>
      <c r="AV238" s="0" t="n">
        <f aca="false">IF(OR($A$4=公区维修!$F238,$A$4=公区维修!$G238,$BN$4=1),0,4-SUMPRODUCT(--(($A$1:$A$4=公区维修!$F238)+($A$1:$A$4=公区维修!$G238)+$BN$1:$BN$4&gt;0)))</f>
        <v>3</v>
      </c>
      <c r="AW238" s="0" t="n">
        <f aca="false">IF(OR($A$5=公区维修!$F238,$A$5=公区维修!$G238,$BN$5=1),0,5-SUMPRODUCT(--(($A$1:$A$5=公区维修!$F238)+($A$1:$A$5=公区维修!$G238)+$BN$1:$BN$5&gt;0)))</f>
        <v>4</v>
      </c>
      <c r="AY238" s="0" t="str">
        <f aca="false">IFERROR(INDEX($A$1:$A$5,MATCH(1,$AS238:$AW238,0)),IF(1=MAX($AS238:$AW238)+1,"取消",""))</f>
        <v>李师傅</v>
      </c>
      <c r="AZ238" s="0" t="str">
        <f aca="false">IFERROR(INDEX($A$1:$A$5,MATCH(2,$AS238:$AW238,0)),IF(2=MAX($AS238:$AW238)+1,"取消",""))</f>
        <v>王师傅</v>
      </c>
      <c r="BA238" s="0" t="str">
        <f aca="false">IFERROR(INDEX($A$1:$A$5,MATCH(3,$AS238:$AW238,0)),IF(3=MAX($AS238:$AW238)+1,"取消",""))</f>
        <v>陈师傅</v>
      </c>
      <c r="BB238" s="0" t="str">
        <f aca="false">IFERROR(INDEX($A$1:$A$5,MATCH(4,$AS238:$AW238,0)),IF(4=MAX($AS238:$AW238)+1,"取消",""))</f>
        <v>刘师傅</v>
      </c>
      <c r="BC238" s="0" t="str">
        <f aca="false">IFERROR(INDEX($A$1:$A$5,MATCH(5,$AS238:$AW238,0)),IF(5=MAX($AS238:$AW238)+1,"取消",""))</f>
        <v>取消</v>
      </c>
      <c r="BD238" s="0" t="str">
        <f aca="false">IFERROR(INDEX($A$1:$A$5,MATCH(6,$AS238:$AW238,0)),IF(6=MAX($AS238:$AW238)+1,"取消",""))</f>
        <v/>
      </c>
      <c r="FW238" s="0" t="str">
        <f aca="false">IF(AND(单元查询!$D$3&lt;&gt;"",IF(单元查询!$B$3="公区维修",公区维修!$E238&lt;&gt;"",入户维修!$E238&lt;&gt;""),IF(单元查询!$B$3="公区维修",公区维修!$C238,入户维修!$C238)=单元查询!$D$3,OR(单元查询!$F$3="",IF(单元查询!$B$3="公区维修",公区维修!$D238,入户维修!$D238)&amp;""=(单元查询!$F$3)&amp;"")),MAX($FW$4:$FW237)+1,"")</f>
        <v/>
      </c>
    </row>
    <row r="239" customFormat="false" ht="15" hidden="false" customHeight="true" outlineLevel="0" collapsed="false">
      <c r="F239" s="0" t="n">
        <f aca="false">IF(OR($A$1=入户维修!$F239,$BN$1=1),0,1-SUMPRODUCT(--(($A$1=入户维修!$F239)+$BN$1&gt;0)))</f>
        <v>0</v>
      </c>
      <c r="G239" s="0" t="n">
        <f aca="false">IF(OR($A$2=入户维修!$F239,$BN$2=1),0,2-SUMPRODUCT(--(($A$1:$A$2=入户维修!$F239)+$BN$1:$BN$2&gt;0)))</f>
        <v>1</v>
      </c>
      <c r="H239" s="0" t="n">
        <f aca="false">IF(OR($A$3=入户维修!$F239,$BN$3=1),0,3-SUMPRODUCT(--(($A$1:$A$3=入户维修!$F239)+$BN$1:$BN$3&gt;0)))</f>
        <v>2</v>
      </c>
      <c r="I239" s="0" t="n">
        <f aca="false">IF(OR($A$4=入户维修!$F239,$BN$4=1),0,4-SUMPRODUCT(--(($A$1:$A$4=入户维修!$F239)+$BN$1:$BN$4&gt;0)))</f>
        <v>3</v>
      </c>
      <c r="J239" s="0" t="n">
        <f aca="false">IF(OR($A$5=入户维修!$F239,$BN$5=1),0,5-SUMPRODUCT(--(($A$1:$A$5=入户维修!$F239)+$BN$1:$BN$5&gt;0)))</f>
        <v>4</v>
      </c>
      <c r="L239" s="0" t="str">
        <f aca="false">IFERROR(INDEX($A$1:$A$5,MATCH(1,$F239:$J239,0)),IF(1=MAX($F239:$J239)+1,"取消",""))</f>
        <v>李师傅</v>
      </c>
      <c r="M239" s="0" t="str">
        <f aca="false">IFERROR(INDEX($A$1:$A$5,MATCH(2,$F239:$J239,0)),IF(2=MAX($F239:$J239)+1,"取消",""))</f>
        <v>王师傅</v>
      </c>
      <c r="N239" s="0" t="str">
        <f aca="false">IFERROR(INDEX($A$1:$A$5,MATCH(3,$F239:$J239,0)),IF(3=MAX($F239:$J239)+1,"取消",""))</f>
        <v>陈师傅</v>
      </c>
      <c r="O239" s="0" t="str">
        <f aca="false">IFERROR(INDEX($A$1:$A$5,MATCH(4,$F239:$J239,0)),IF(4=MAX($F239:$J239)+1,"取消",""))</f>
        <v>刘师傅</v>
      </c>
      <c r="P239" s="0" t="str">
        <f aca="false">IFERROR(INDEX($A$1:$A$5,MATCH(5,$F239:$J239,0)),IF(5=MAX($F239:$J239)+1,"取消",""))</f>
        <v>取消</v>
      </c>
      <c r="Q239" s="0" t="str">
        <f aca="false">IFERROR(INDEX($A$1:$A$5,MATCH(6,$F239:$J239,0)),IF(6=MAX($F239:$J239)+1,"取消",""))</f>
        <v/>
      </c>
      <c r="S239" s="0" t="n">
        <f aca="false">IF(OR($A$1=入户维修!$F239,$A$1=入户维修!$G239,$BN$1=1),0,1-SUMPRODUCT(--(($A$1=入户维修!$F239)+($A$1=入户维修!$G239)+$BN$1&gt;0)))</f>
        <v>0</v>
      </c>
      <c r="T239" s="0" t="n">
        <f aca="false">IF(OR($A$2=入户维修!$F239,$A$2=入户维修!$G239,$BN$2=1),0,2-SUMPRODUCT(--(($A$1:$A$2=入户维修!$F239)+($A$1:$A$2=入户维修!$G239)+$BN$1:$BN$2&gt;0)))</f>
        <v>1</v>
      </c>
      <c r="U239" s="0" t="n">
        <f aca="false">IF(OR($A$3=入户维修!$F239,$A$3=入户维修!$G239,$BN$3=1),0,3-SUMPRODUCT(--(($A$1:$A$3=入户维修!$F239)+($A$1:$A$3=入户维修!$G239)+$BN$1:$BN$3&gt;0)))</f>
        <v>2</v>
      </c>
      <c r="V239" s="0" t="n">
        <f aca="false">IF(OR($A$4=入户维修!$F239,$A$4=入户维修!$G239,$BN$4=1),0,4-SUMPRODUCT(--(($A$1:$A$4=入户维修!$F239)+($A$1:$A$4=入户维修!$G239)+$BN$1:$BN$4&gt;0)))</f>
        <v>3</v>
      </c>
      <c r="W239" s="0" t="n">
        <f aca="false">IF(OR($A$5=入户维修!$F239,$A$5=入户维修!$G239,$BN$5=1),0,5-SUMPRODUCT(--(($A$1:$A$5=入户维修!$F239)+($A$1:$A$5=入户维修!$G239)+$BN$1:$BN$5&gt;0)))</f>
        <v>4</v>
      </c>
      <c r="Y239" s="0" t="str">
        <f aca="false">IFERROR(INDEX($A$1:$A$5,MATCH(1,$S239:$W239,0)),IF(1=MAX($S239:$W239)+1,"取消",""))</f>
        <v>李师傅</v>
      </c>
      <c r="Z239" s="0" t="str">
        <f aca="false">IFERROR(INDEX($A$1:$A$5,MATCH(2,$S239:$W239,0)),IF(2=MAX($S239:$W239)+1,"取消",""))</f>
        <v>王师傅</v>
      </c>
      <c r="AA239" s="0" t="str">
        <f aca="false">IFERROR(INDEX($A$1:$A$5,MATCH(3,$S239:$W239,0)),IF(3=MAX($S239:$W239)+1,"取消",""))</f>
        <v>陈师傅</v>
      </c>
      <c r="AB239" s="0" t="str">
        <f aca="false">IFERROR(INDEX($A$1:$A$5,MATCH(4,$S239:$W239,0)),IF(4=MAX($S239:$W239)+1,"取消",""))</f>
        <v>刘师傅</v>
      </c>
      <c r="AC239" s="0" t="str">
        <f aca="false">IFERROR(INDEX($A$1:$A$5,MATCH(5,$S239:$W239,0)),IF(5=MAX($S239:$W239)+1,"取消",""))</f>
        <v>取消</v>
      </c>
      <c r="AD239" s="0" t="str">
        <f aca="false">IFERROR(INDEX($A$1:$A$5,MATCH(6,$S239:$W239,0)),IF(6=MAX($S239:$W239)+1,"取消",""))</f>
        <v/>
      </c>
      <c r="AF239" s="0" t="n">
        <f aca="false">IF(OR($A$1=公区维修!$F239,$BN$1=1),0,1-SUMPRODUCT(--(($A$1=公区维修!$F239)+$BN$1&gt;0)))</f>
        <v>0</v>
      </c>
      <c r="AG239" s="0" t="n">
        <f aca="false">IF(OR($A$2=公区维修!$F239,$BN$2=1),0,2-SUMPRODUCT(--(($A$1:$A$2=公区维修!$F239)+$BN$1:$BN$2&gt;0)))</f>
        <v>1</v>
      </c>
      <c r="AH239" s="0" t="n">
        <f aca="false">IF(OR($A$3=公区维修!$F239,$BN$3=1),0,3-SUMPRODUCT(--(($A$1:$A$3=公区维修!$F239)+$BN$1:$BN$3&gt;0)))</f>
        <v>2</v>
      </c>
      <c r="AI239" s="0" t="n">
        <f aca="false">IF(OR($A$4=公区维修!$F239,$BN$4=1),0,4-SUMPRODUCT(--(($A$1:$A$4=公区维修!$F239)+$BN$1:$BN$4&gt;0)))</f>
        <v>3</v>
      </c>
      <c r="AJ239" s="0" t="n">
        <f aca="false">IF(OR($A$5=公区维修!$F239,$BN$5=1),0,5-SUMPRODUCT(--(($A$1:$A$5=公区维修!$F239)+$BN$1:$BN$5&gt;0)))</f>
        <v>4</v>
      </c>
      <c r="AL239" s="0" t="str">
        <f aca="false">IFERROR(INDEX($A$1:$A$5,MATCH(1,$AF239:$AJ239,0)),IF(1=MAX($AF239:$AJ239)+1,"取消",""))</f>
        <v>李师傅</v>
      </c>
      <c r="AM239" s="0" t="str">
        <f aca="false">IFERROR(INDEX($A$1:$A$5,MATCH(2,$AF239:$AJ239,0)),IF(2=MAX($AF239:$AJ239)+1,"取消",""))</f>
        <v>王师傅</v>
      </c>
      <c r="AN239" s="0" t="str">
        <f aca="false">IFERROR(INDEX($A$1:$A$5,MATCH(3,$AF239:$AJ239,0)),IF(3=MAX($AF239:$AJ239)+1,"取消",""))</f>
        <v>陈师傅</v>
      </c>
      <c r="AO239" s="0" t="str">
        <f aca="false">IFERROR(INDEX($A$1:$A$5,MATCH(4,$AF239:$AJ239,0)),IF(4=MAX($AF239:$AJ239)+1,"取消",""))</f>
        <v>刘师傅</v>
      </c>
      <c r="AP239" s="0" t="str">
        <f aca="false">IFERROR(INDEX($A$1:$A$5,MATCH(5,$AF239:$AJ239,0)),IF(5=MAX($AF239:$AJ239)+1,"取消",""))</f>
        <v>取消</v>
      </c>
      <c r="AQ239" s="0" t="str">
        <f aca="false">IFERROR(INDEX($A$1:$A$5,MATCH(6,$AF239:$AJ239,0)),IF(6=MAX($AF239:$AJ239)+1,"取消",""))</f>
        <v/>
      </c>
      <c r="AS239" s="0" t="n">
        <f aca="false">IF(OR($A$1=公区维修!$F239,$A$1=公区维修!$G239,$BN$1=1),0,1-SUMPRODUCT(--(($A$1=公区维修!$F239)+($A$1=公区维修!$G239)+$BN$1&gt;0)))</f>
        <v>0</v>
      </c>
      <c r="AT239" s="0" t="n">
        <f aca="false">IF(OR($A$2=公区维修!$F239,$A$2=公区维修!$G239,$BN$2=1),0,2-SUMPRODUCT(--(($A$1:$A$2=公区维修!$F239)+($A$1:$A$2=公区维修!$G239)+$BN$1:$BN$2&gt;0)))</f>
        <v>1</v>
      </c>
      <c r="AU239" s="0" t="n">
        <f aca="false">IF(OR($A$3=公区维修!$F239,$A$3=公区维修!$G239,$BN$3=1),0,3-SUMPRODUCT(--(($A$1:$A$3=公区维修!$F239)+($A$1:$A$3=公区维修!$G239)+$BN$1:$BN$3&gt;0)))</f>
        <v>2</v>
      </c>
      <c r="AV239" s="0" t="n">
        <f aca="false">IF(OR($A$4=公区维修!$F239,$A$4=公区维修!$G239,$BN$4=1),0,4-SUMPRODUCT(--(($A$1:$A$4=公区维修!$F239)+($A$1:$A$4=公区维修!$G239)+$BN$1:$BN$4&gt;0)))</f>
        <v>3</v>
      </c>
      <c r="AW239" s="0" t="n">
        <f aca="false">IF(OR($A$5=公区维修!$F239,$A$5=公区维修!$G239,$BN$5=1),0,5-SUMPRODUCT(--(($A$1:$A$5=公区维修!$F239)+($A$1:$A$5=公区维修!$G239)+$BN$1:$BN$5&gt;0)))</f>
        <v>4</v>
      </c>
      <c r="AY239" s="0" t="str">
        <f aca="false">IFERROR(INDEX($A$1:$A$5,MATCH(1,$AS239:$AW239,0)),IF(1=MAX($AS239:$AW239)+1,"取消",""))</f>
        <v>李师傅</v>
      </c>
      <c r="AZ239" s="0" t="str">
        <f aca="false">IFERROR(INDEX($A$1:$A$5,MATCH(2,$AS239:$AW239,0)),IF(2=MAX($AS239:$AW239)+1,"取消",""))</f>
        <v>王师傅</v>
      </c>
      <c r="BA239" s="0" t="str">
        <f aca="false">IFERROR(INDEX($A$1:$A$5,MATCH(3,$AS239:$AW239,0)),IF(3=MAX($AS239:$AW239)+1,"取消",""))</f>
        <v>陈师傅</v>
      </c>
      <c r="BB239" s="0" t="str">
        <f aca="false">IFERROR(INDEX($A$1:$A$5,MATCH(4,$AS239:$AW239,0)),IF(4=MAX($AS239:$AW239)+1,"取消",""))</f>
        <v>刘师傅</v>
      </c>
      <c r="BC239" s="0" t="str">
        <f aca="false">IFERROR(INDEX($A$1:$A$5,MATCH(5,$AS239:$AW239,0)),IF(5=MAX($AS239:$AW239)+1,"取消",""))</f>
        <v>取消</v>
      </c>
      <c r="BD239" s="0" t="str">
        <f aca="false">IFERROR(INDEX($A$1:$A$5,MATCH(6,$AS239:$AW239,0)),IF(6=MAX($AS239:$AW239)+1,"取消",""))</f>
        <v/>
      </c>
      <c r="FW239" s="0" t="str">
        <f aca="false">IF(AND(单元查询!$D$3&lt;&gt;"",IF(单元查询!$B$3="公区维修",公区维修!$E239&lt;&gt;"",入户维修!$E239&lt;&gt;""),IF(单元查询!$B$3="公区维修",公区维修!$C239,入户维修!$C239)=单元查询!$D$3,OR(单元查询!$F$3="",IF(单元查询!$B$3="公区维修",公区维修!$D239,入户维修!$D239)&amp;""=(单元查询!$F$3)&amp;"")),MAX($FW$4:$FW238)+1,"")</f>
        <v/>
      </c>
    </row>
    <row r="240" customFormat="false" ht="15" hidden="false" customHeight="true" outlineLevel="0" collapsed="false">
      <c r="F240" s="0" t="n">
        <f aca="false">IF(OR($A$1=入户维修!$F240,$BN$1=1),0,1-SUMPRODUCT(--(($A$1=入户维修!$F240)+$BN$1&gt;0)))</f>
        <v>0</v>
      </c>
      <c r="G240" s="0" t="n">
        <f aca="false">IF(OR($A$2=入户维修!$F240,$BN$2=1),0,2-SUMPRODUCT(--(($A$1:$A$2=入户维修!$F240)+$BN$1:$BN$2&gt;0)))</f>
        <v>1</v>
      </c>
      <c r="H240" s="0" t="n">
        <f aca="false">IF(OR($A$3=入户维修!$F240,$BN$3=1),0,3-SUMPRODUCT(--(($A$1:$A$3=入户维修!$F240)+$BN$1:$BN$3&gt;0)))</f>
        <v>2</v>
      </c>
      <c r="I240" s="0" t="n">
        <f aca="false">IF(OR($A$4=入户维修!$F240,$BN$4=1),0,4-SUMPRODUCT(--(($A$1:$A$4=入户维修!$F240)+$BN$1:$BN$4&gt;0)))</f>
        <v>3</v>
      </c>
      <c r="J240" s="0" t="n">
        <f aca="false">IF(OR($A$5=入户维修!$F240,$BN$5=1),0,5-SUMPRODUCT(--(($A$1:$A$5=入户维修!$F240)+$BN$1:$BN$5&gt;0)))</f>
        <v>4</v>
      </c>
      <c r="L240" s="0" t="str">
        <f aca="false">IFERROR(INDEX($A$1:$A$5,MATCH(1,$F240:$J240,0)),IF(1=MAX($F240:$J240)+1,"取消",""))</f>
        <v>李师傅</v>
      </c>
      <c r="M240" s="0" t="str">
        <f aca="false">IFERROR(INDEX($A$1:$A$5,MATCH(2,$F240:$J240,0)),IF(2=MAX($F240:$J240)+1,"取消",""))</f>
        <v>王师傅</v>
      </c>
      <c r="N240" s="0" t="str">
        <f aca="false">IFERROR(INDEX($A$1:$A$5,MATCH(3,$F240:$J240,0)),IF(3=MAX($F240:$J240)+1,"取消",""))</f>
        <v>陈师傅</v>
      </c>
      <c r="O240" s="0" t="str">
        <f aca="false">IFERROR(INDEX($A$1:$A$5,MATCH(4,$F240:$J240,0)),IF(4=MAX($F240:$J240)+1,"取消",""))</f>
        <v>刘师傅</v>
      </c>
      <c r="P240" s="0" t="str">
        <f aca="false">IFERROR(INDEX($A$1:$A$5,MATCH(5,$F240:$J240,0)),IF(5=MAX($F240:$J240)+1,"取消",""))</f>
        <v>取消</v>
      </c>
      <c r="Q240" s="0" t="str">
        <f aca="false">IFERROR(INDEX($A$1:$A$5,MATCH(6,$F240:$J240,0)),IF(6=MAX($F240:$J240)+1,"取消",""))</f>
        <v/>
      </c>
      <c r="S240" s="0" t="n">
        <f aca="false">IF(OR($A$1=入户维修!$F240,$A$1=入户维修!$G240,$BN$1=1),0,1-SUMPRODUCT(--(($A$1=入户维修!$F240)+($A$1=入户维修!$G240)+$BN$1&gt;0)))</f>
        <v>0</v>
      </c>
      <c r="T240" s="0" t="n">
        <f aca="false">IF(OR($A$2=入户维修!$F240,$A$2=入户维修!$G240,$BN$2=1),0,2-SUMPRODUCT(--(($A$1:$A$2=入户维修!$F240)+($A$1:$A$2=入户维修!$G240)+$BN$1:$BN$2&gt;0)))</f>
        <v>1</v>
      </c>
      <c r="U240" s="0" t="n">
        <f aca="false">IF(OR($A$3=入户维修!$F240,$A$3=入户维修!$G240,$BN$3=1),0,3-SUMPRODUCT(--(($A$1:$A$3=入户维修!$F240)+($A$1:$A$3=入户维修!$G240)+$BN$1:$BN$3&gt;0)))</f>
        <v>2</v>
      </c>
      <c r="V240" s="0" t="n">
        <f aca="false">IF(OR($A$4=入户维修!$F240,$A$4=入户维修!$G240,$BN$4=1),0,4-SUMPRODUCT(--(($A$1:$A$4=入户维修!$F240)+($A$1:$A$4=入户维修!$G240)+$BN$1:$BN$4&gt;0)))</f>
        <v>3</v>
      </c>
      <c r="W240" s="0" t="n">
        <f aca="false">IF(OR($A$5=入户维修!$F240,$A$5=入户维修!$G240,$BN$5=1),0,5-SUMPRODUCT(--(($A$1:$A$5=入户维修!$F240)+($A$1:$A$5=入户维修!$G240)+$BN$1:$BN$5&gt;0)))</f>
        <v>4</v>
      </c>
      <c r="Y240" s="0" t="str">
        <f aca="false">IFERROR(INDEX($A$1:$A$5,MATCH(1,$S240:$W240,0)),IF(1=MAX($S240:$W240)+1,"取消",""))</f>
        <v>李师傅</v>
      </c>
      <c r="Z240" s="0" t="str">
        <f aca="false">IFERROR(INDEX($A$1:$A$5,MATCH(2,$S240:$W240,0)),IF(2=MAX($S240:$W240)+1,"取消",""))</f>
        <v>王师傅</v>
      </c>
      <c r="AA240" s="0" t="str">
        <f aca="false">IFERROR(INDEX($A$1:$A$5,MATCH(3,$S240:$W240,0)),IF(3=MAX($S240:$W240)+1,"取消",""))</f>
        <v>陈师傅</v>
      </c>
      <c r="AB240" s="0" t="str">
        <f aca="false">IFERROR(INDEX($A$1:$A$5,MATCH(4,$S240:$W240,0)),IF(4=MAX($S240:$W240)+1,"取消",""))</f>
        <v>刘师傅</v>
      </c>
      <c r="AC240" s="0" t="str">
        <f aca="false">IFERROR(INDEX($A$1:$A$5,MATCH(5,$S240:$W240,0)),IF(5=MAX($S240:$W240)+1,"取消",""))</f>
        <v>取消</v>
      </c>
      <c r="AD240" s="0" t="str">
        <f aca="false">IFERROR(INDEX($A$1:$A$5,MATCH(6,$S240:$W240,0)),IF(6=MAX($S240:$W240)+1,"取消",""))</f>
        <v/>
      </c>
      <c r="AF240" s="0" t="n">
        <f aca="false">IF(OR($A$1=公区维修!$F240,$BN$1=1),0,1-SUMPRODUCT(--(($A$1=公区维修!$F240)+$BN$1&gt;0)))</f>
        <v>0</v>
      </c>
      <c r="AG240" s="0" t="n">
        <f aca="false">IF(OR($A$2=公区维修!$F240,$BN$2=1),0,2-SUMPRODUCT(--(($A$1:$A$2=公区维修!$F240)+$BN$1:$BN$2&gt;0)))</f>
        <v>1</v>
      </c>
      <c r="AH240" s="0" t="n">
        <f aca="false">IF(OR($A$3=公区维修!$F240,$BN$3=1),0,3-SUMPRODUCT(--(($A$1:$A$3=公区维修!$F240)+$BN$1:$BN$3&gt;0)))</f>
        <v>2</v>
      </c>
      <c r="AI240" s="0" t="n">
        <f aca="false">IF(OR($A$4=公区维修!$F240,$BN$4=1),0,4-SUMPRODUCT(--(($A$1:$A$4=公区维修!$F240)+$BN$1:$BN$4&gt;0)))</f>
        <v>3</v>
      </c>
      <c r="AJ240" s="0" t="n">
        <f aca="false">IF(OR($A$5=公区维修!$F240,$BN$5=1),0,5-SUMPRODUCT(--(($A$1:$A$5=公区维修!$F240)+$BN$1:$BN$5&gt;0)))</f>
        <v>4</v>
      </c>
      <c r="AL240" s="0" t="str">
        <f aca="false">IFERROR(INDEX($A$1:$A$5,MATCH(1,$AF240:$AJ240,0)),IF(1=MAX($AF240:$AJ240)+1,"取消",""))</f>
        <v>李师傅</v>
      </c>
      <c r="AM240" s="0" t="str">
        <f aca="false">IFERROR(INDEX($A$1:$A$5,MATCH(2,$AF240:$AJ240,0)),IF(2=MAX($AF240:$AJ240)+1,"取消",""))</f>
        <v>王师傅</v>
      </c>
      <c r="AN240" s="0" t="str">
        <f aca="false">IFERROR(INDEX($A$1:$A$5,MATCH(3,$AF240:$AJ240,0)),IF(3=MAX($AF240:$AJ240)+1,"取消",""))</f>
        <v>陈师傅</v>
      </c>
      <c r="AO240" s="0" t="str">
        <f aca="false">IFERROR(INDEX($A$1:$A$5,MATCH(4,$AF240:$AJ240,0)),IF(4=MAX($AF240:$AJ240)+1,"取消",""))</f>
        <v>刘师傅</v>
      </c>
      <c r="AP240" s="0" t="str">
        <f aca="false">IFERROR(INDEX($A$1:$A$5,MATCH(5,$AF240:$AJ240,0)),IF(5=MAX($AF240:$AJ240)+1,"取消",""))</f>
        <v>取消</v>
      </c>
      <c r="AQ240" s="0" t="str">
        <f aca="false">IFERROR(INDEX($A$1:$A$5,MATCH(6,$AF240:$AJ240,0)),IF(6=MAX($AF240:$AJ240)+1,"取消",""))</f>
        <v/>
      </c>
      <c r="AS240" s="0" t="n">
        <f aca="false">IF(OR($A$1=公区维修!$F240,$A$1=公区维修!$G240,$BN$1=1),0,1-SUMPRODUCT(--(($A$1=公区维修!$F240)+($A$1=公区维修!$G240)+$BN$1&gt;0)))</f>
        <v>0</v>
      </c>
      <c r="AT240" s="0" t="n">
        <f aca="false">IF(OR($A$2=公区维修!$F240,$A$2=公区维修!$G240,$BN$2=1),0,2-SUMPRODUCT(--(($A$1:$A$2=公区维修!$F240)+($A$1:$A$2=公区维修!$G240)+$BN$1:$BN$2&gt;0)))</f>
        <v>1</v>
      </c>
      <c r="AU240" s="0" t="n">
        <f aca="false">IF(OR($A$3=公区维修!$F240,$A$3=公区维修!$G240,$BN$3=1),0,3-SUMPRODUCT(--(($A$1:$A$3=公区维修!$F240)+($A$1:$A$3=公区维修!$G240)+$BN$1:$BN$3&gt;0)))</f>
        <v>2</v>
      </c>
      <c r="AV240" s="0" t="n">
        <f aca="false">IF(OR($A$4=公区维修!$F240,$A$4=公区维修!$G240,$BN$4=1),0,4-SUMPRODUCT(--(($A$1:$A$4=公区维修!$F240)+($A$1:$A$4=公区维修!$G240)+$BN$1:$BN$4&gt;0)))</f>
        <v>3</v>
      </c>
      <c r="AW240" s="0" t="n">
        <f aca="false">IF(OR($A$5=公区维修!$F240,$A$5=公区维修!$G240,$BN$5=1),0,5-SUMPRODUCT(--(($A$1:$A$5=公区维修!$F240)+($A$1:$A$5=公区维修!$G240)+$BN$1:$BN$5&gt;0)))</f>
        <v>4</v>
      </c>
      <c r="AY240" s="0" t="str">
        <f aca="false">IFERROR(INDEX($A$1:$A$5,MATCH(1,$AS240:$AW240,0)),IF(1=MAX($AS240:$AW240)+1,"取消",""))</f>
        <v>李师傅</v>
      </c>
      <c r="AZ240" s="0" t="str">
        <f aca="false">IFERROR(INDEX($A$1:$A$5,MATCH(2,$AS240:$AW240,0)),IF(2=MAX($AS240:$AW240)+1,"取消",""))</f>
        <v>王师傅</v>
      </c>
      <c r="BA240" s="0" t="str">
        <f aca="false">IFERROR(INDEX($A$1:$A$5,MATCH(3,$AS240:$AW240,0)),IF(3=MAX($AS240:$AW240)+1,"取消",""))</f>
        <v>陈师傅</v>
      </c>
      <c r="BB240" s="0" t="str">
        <f aca="false">IFERROR(INDEX($A$1:$A$5,MATCH(4,$AS240:$AW240,0)),IF(4=MAX($AS240:$AW240)+1,"取消",""))</f>
        <v>刘师傅</v>
      </c>
      <c r="BC240" s="0" t="str">
        <f aca="false">IFERROR(INDEX($A$1:$A$5,MATCH(5,$AS240:$AW240,0)),IF(5=MAX($AS240:$AW240)+1,"取消",""))</f>
        <v>取消</v>
      </c>
      <c r="BD240" s="0" t="str">
        <f aca="false">IFERROR(INDEX($A$1:$A$5,MATCH(6,$AS240:$AW240,0)),IF(6=MAX($AS240:$AW240)+1,"取消",""))</f>
        <v/>
      </c>
      <c r="FW240" s="0" t="str">
        <f aca="false">IF(AND(单元查询!$D$3&lt;&gt;"",IF(单元查询!$B$3="公区维修",公区维修!$E240&lt;&gt;"",入户维修!$E240&lt;&gt;""),IF(单元查询!$B$3="公区维修",公区维修!$C240,入户维修!$C240)=单元查询!$D$3,OR(单元查询!$F$3="",IF(单元查询!$B$3="公区维修",公区维修!$D240,入户维修!$D240)&amp;""=(单元查询!$F$3)&amp;"")),MAX($FW$4:$FW239)+1,"")</f>
        <v/>
      </c>
    </row>
    <row r="241" customFormat="false" ht="15" hidden="false" customHeight="true" outlineLevel="0" collapsed="false">
      <c r="F241" s="0" t="n">
        <f aca="false">IF(OR($A$1=入户维修!$F241,$BN$1=1),0,1-SUMPRODUCT(--(($A$1=入户维修!$F241)+$BN$1&gt;0)))</f>
        <v>0</v>
      </c>
      <c r="G241" s="0" t="n">
        <f aca="false">IF(OR($A$2=入户维修!$F241,$BN$2=1),0,2-SUMPRODUCT(--(($A$1:$A$2=入户维修!$F241)+$BN$1:$BN$2&gt;0)))</f>
        <v>1</v>
      </c>
      <c r="H241" s="0" t="n">
        <f aca="false">IF(OR($A$3=入户维修!$F241,$BN$3=1),0,3-SUMPRODUCT(--(($A$1:$A$3=入户维修!$F241)+$BN$1:$BN$3&gt;0)))</f>
        <v>2</v>
      </c>
      <c r="I241" s="0" t="n">
        <f aca="false">IF(OR($A$4=入户维修!$F241,$BN$4=1),0,4-SUMPRODUCT(--(($A$1:$A$4=入户维修!$F241)+$BN$1:$BN$4&gt;0)))</f>
        <v>3</v>
      </c>
      <c r="J241" s="0" t="n">
        <f aca="false">IF(OR($A$5=入户维修!$F241,$BN$5=1),0,5-SUMPRODUCT(--(($A$1:$A$5=入户维修!$F241)+$BN$1:$BN$5&gt;0)))</f>
        <v>4</v>
      </c>
      <c r="L241" s="0" t="str">
        <f aca="false">IFERROR(INDEX($A$1:$A$5,MATCH(1,$F241:$J241,0)),IF(1=MAX($F241:$J241)+1,"取消",""))</f>
        <v>李师傅</v>
      </c>
      <c r="M241" s="0" t="str">
        <f aca="false">IFERROR(INDEX($A$1:$A$5,MATCH(2,$F241:$J241,0)),IF(2=MAX($F241:$J241)+1,"取消",""))</f>
        <v>王师傅</v>
      </c>
      <c r="N241" s="0" t="str">
        <f aca="false">IFERROR(INDEX($A$1:$A$5,MATCH(3,$F241:$J241,0)),IF(3=MAX($F241:$J241)+1,"取消",""))</f>
        <v>陈师傅</v>
      </c>
      <c r="O241" s="0" t="str">
        <f aca="false">IFERROR(INDEX($A$1:$A$5,MATCH(4,$F241:$J241,0)),IF(4=MAX($F241:$J241)+1,"取消",""))</f>
        <v>刘师傅</v>
      </c>
      <c r="P241" s="0" t="str">
        <f aca="false">IFERROR(INDEX($A$1:$A$5,MATCH(5,$F241:$J241,0)),IF(5=MAX($F241:$J241)+1,"取消",""))</f>
        <v>取消</v>
      </c>
      <c r="Q241" s="0" t="str">
        <f aca="false">IFERROR(INDEX($A$1:$A$5,MATCH(6,$F241:$J241,0)),IF(6=MAX($F241:$J241)+1,"取消",""))</f>
        <v/>
      </c>
      <c r="S241" s="0" t="n">
        <f aca="false">IF(OR($A$1=入户维修!$F241,$A$1=入户维修!$G241,$BN$1=1),0,1-SUMPRODUCT(--(($A$1=入户维修!$F241)+($A$1=入户维修!$G241)+$BN$1&gt;0)))</f>
        <v>0</v>
      </c>
      <c r="T241" s="0" t="n">
        <f aca="false">IF(OR($A$2=入户维修!$F241,$A$2=入户维修!$G241,$BN$2=1),0,2-SUMPRODUCT(--(($A$1:$A$2=入户维修!$F241)+($A$1:$A$2=入户维修!$G241)+$BN$1:$BN$2&gt;0)))</f>
        <v>1</v>
      </c>
      <c r="U241" s="0" t="n">
        <f aca="false">IF(OR($A$3=入户维修!$F241,$A$3=入户维修!$G241,$BN$3=1),0,3-SUMPRODUCT(--(($A$1:$A$3=入户维修!$F241)+($A$1:$A$3=入户维修!$G241)+$BN$1:$BN$3&gt;0)))</f>
        <v>2</v>
      </c>
      <c r="V241" s="0" t="n">
        <f aca="false">IF(OR($A$4=入户维修!$F241,$A$4=入户维修!$G241,$BN$4=1),0,4-SUMPRODUCT(--(($A$1:$A$4=入户维修!$F241)+($A$1:$A$4=入户维修!$G241)+$BN$1:$BN$4&gt;0)))</f>
        <v>3</v>
      </c>
      <c r="W241" s="0" t="n">
        <f aca="false">IF(OR($A$5=入户维修!$F241,$A$5=入户维修!$G241,$BN$5=1),0,5-SUMPRODUCT(--(($A$1:$A$5=入户维修!$F241)+($A$1:$A$5=入户维修!$G241)+$BN$1:$BN$5&gt;0)))</f>
        <v>4</v>
      </c>
      <c r="Y241" s="0" t="str">
        <f aca="false">IFERROR(INDEX($A$1:$A$5,MATCH(1,$S241:$W241,0)),IF(1=MAX($S241:$W241)+1,"取消",""))</f>
        <v>李师傅</v>
      </c>
      <c r="Z241" s="0" t="str">
        <f aca="false">IFERROR(INDEX($A$1:$A$5,MATCH(2,$S241:$W241,0)),IF(2=MAX($S241:$W241)+1,"取消",""))</f>
        <v>王师傅</v>
      </c>
      <c r="AA241" s="0" t="str">
        <f aca="false">IFERROR(INDEX($A$1:$A$5,MATCH(3,$S241:$W241,0)),IF(3=MAX($S241:$W241)+1,"取消",""))</f>
        <v>陈师傅</v>
      </c>
      <c r="AB241" s="0" t="str">
        <f aca="false">IFERROR(INDEX($A$1:$A$5,MATCH(4,$S241:$W241,0)),IF(4=MAX($S241:$W241)+1,"取消",""))</f>
        <v>刘师傅</v>
      </c>
      <c r="AC241" s="0" t="str">
        <f aca="false">IFERROR(INDEX($A$1:$A$5,MATCH(5,$S241:$W241,0)),IF(5=MAX($S241:$W241)+1,"取消",""))</f>
        <v>取消</v>
      </c>
      <c r="AD241" s="0" t="str">
        <f aca="false">IFERROR(INDEX($A$1:$A$5,MATCH(6,$S241:$W241,0)),IF(6=MAX($S241:$W241)+1,"取消",""))</f>
        <v/>
      </c>
      <c r="AF241" s="0" t="n">
        <f aca="false">IF(OR($A$1=公区维修!$F241,$BN$1=1),0,1-SUMPRODUCT(--(($A$1=公区维修!$F241)+$BN$1&gt;0)))</f>
        <v>0</v>
      </c>
      <c r="AG241" s="0" t="n">
        <f aca="false">IF(OR($A$2=公区维修!$F241,$BN$2=1),0,2-SUMPRODUCT(--(($A$1:$A$2=公区维修!$F241)+$BN$1:$BN$2&gt;0)))</f>
        <v>1</v>
      </c>
      <c r="AH241" s="0" t="n">
        <f aca="false">IF(OR($A$3=公区维修!$F241,$BN$3=1),0,3-SUMPRODUCT(--(($A$1:$A$3=公区维修!$F241)+$BN$1:$BN$3&gt;0)))</f>
        <v>2</v>
      </c>
      <c r="AI241" s="0" t="n">
        <f aca="false">IF(OR($A$4=公区维修!$F241,$BN$4=1),0,4-SUMPRODUCT(--(($A$1:$A$4=公区维修!$F241)+$BN$1:$BN$4&gt;0)))</f>
        <v>3</v>
      </c>
      <c r="AJ241" s="0" t="n">
        <f aca="false">IF(OR($A$5=公区维修!$F241,$BN$5=1),0,5-SUMPRODUCT(--(($A$1:$A$5=公区维修!$F241)+$BN$1:$BN$5&gt;0)))</f>
        <v>4</v>
      </c>
      <c r="AL241" s="0" t="str">
        <f aca="false">IFERROR(INDEX($A$1:$A$5,MATCH(1,$AF241:$AJ241,0)),IF(1=MAX($AF241:$AJ241)+1,"取消",""))</f>
        <v>李师傅</v>
      </c>
      <c r="AM241" s="0" t="str">
        <f aca="false">IFERROR(INDEX($A$1:$A$5,MATCH(2,$AF241:$AJ241,0)),IF(2=MAX($AF241:$AJ241)+1,"取消",""))</f>
        <v>王师傅</v>
      </c>
      <c r="AN241" s="0" t="str">
        <f aca="false">IFERROR(INDEX($A$1:$A$5,MATCH(3,$AF241:$AJ241,0)),IF(3=MAX($AF241:$AJ241)+1,"取消",""))</f>
        <v>陈师傅</v>
      </c>
      <c r="AO241" s="0" t="str">
        <f aca="false">IFERROR(INDEX($A$1:$A$5,MATCH(4,$AF241:$AJ241,0)),IF(4=MAX($AF241:$AJ241)+1,"取消",""))</f>
        <v>刘师傅</v>
      </c>
      <c r="AP241" s="0" t="str">
        <f aca="false">IFERROR(INDEX($A$1:$A$5,MATCH(5,$AF241:$AJ241,0)),IF(5=MAX($AF241:$AJ241)+1,"取消",""))</f>
        <v>取消</v>
      </c>
      <c r="AQ241" s="0" t="str">
        <f aca="false">IFERROR(INDEX($A$1:$A$5,MATCH(6,$AF241:$AJ241,0)),IF(6=MAX($AF241:$AJ241)+1,"取消",""))</f>
        <v/>
      </c>
      <c r="AS241" s="0" t="n">
        <f aca="false">IF(OR($A$1=公区维修!$F241,$A$1=公区维修!$G241,$BN$1=1),0,1-SUMPRODUCT(--(($A$1=公区维修!$F241)+($A$1=公区维修!$G241)+$BN$1&gt;0)))</f>
        <v>0</v>
      </c>
      <c r="AT241" s="0" t="n">
        <f aca="false">IF(OR($A$2=公区维修!$F241,$A$2=公区维修!$G241,$BN$2=1),0,2-SUMPRODUCT(--(($A$1:$A$2=公区维修!$F241)+($A$1:$A$2=公区维修!$G241)+$BN$1:$BN$2&gt;0)))</f>
        <v>1</v>
      </c>
      <c r="AU241" s="0" t="n">
        <f aca="false">IF(OR($A$3=公区维修!$F241,$A$3=公区维修!$G241,$BN$3=1),0,3-SUMPRODUCT(--(($A$1:$A$3=公区维修!$F241)+($A$1:$A$3=公区维修!$G241)+$BN$1:$BN$3&gt;0)))</f>
        <v>2</v>
      </c>
      <c r="AV241" s="0" t="n">
        <f aca="false">IF(OR($A$4=公区维修!$F241,$A$4=公区维修!$G241,$BN$4=1),0,4-SUMPRODUCT(--(($A$1:$A$4=公区维修!$F241)+($A$1:$A$4=公区维修!$G241)+$BN$1:$BN$4&gt;0)))</f>
        <v>3</v>
      </c>
      <c r="AW241" s="0" t="n">
        <f aca="false">IF(OR($A$5=公区维修!$F241,$A$5=公区维修!$G241,$BN$5=1),0,5-SUMPRODUCT(--(($A$1:$A$5=公区维修!$F241)+($A$1:$A$5=公区维修!$G241)+$BN$1:$BN$5&gt;0)))</f>
        <v>4</v>
      </c>
      <c r="AY241" s="0" t="str">
        <f aca="false">IFERROR(INDEX($A$1:$A$5,MATCH(1,$AS241:$AW241,0)),IF(1=MAX($AS241:$AW241)+1,"取消",""))</f>
        <v>李师傅</v>
      </c>
      <c r="AZ241" s="0" t="str">
        <f aca="false">IFERROR(INDEX($A$1:$A$5,MATCH(2,$AS241:$AW241,0)),IF(2=MAX($AS241:$AW241)+1,"取消",""))</f>
        <v>王师傅</v>
      </c>
      <c r="BA241" s="0" t="str">
        <f aca="false">IFERROR(INDEX($A$1:$A$5,MATCH(3,$AS241:$AW241,0)),IF(3=MAX($AS241:$AW241)+1,"取消",""))</f>
        <v>陈师傅</v>
      </c>
      <c r="BB241" s="0" t="str">
        <f aca="false">IFERROR(INDEX($A$1:$A$5,MATCH(4,$AS241:$AW241,0)),IF(4=MAX($AS241:$AW241)+1,"取消",""))</f>
        <v>刘师傅</v>
      </c>
      <c r="BC241" s="0" t="str">
        <f aca="false">IFERROR(INDEX($A$1:$A$5,MATCH(5,$AS241:$AW241,0)),IF(5=MAX($AS241:$AW241)+1,"取消",""))</f>
        <v>取消</v>
      </c>
      <c r="BD241" s="0" t="str">
        <f aca="false">IFERROR(INDEX($A$1:$A$5,MATCH(6,$AS241:$AW241,0)),IF(6=MAX($AS241:$AW241)+1,"取消",""))</f>
        <v/>
      </c>
      <c r="FW241" s="0" t="str">
        <f aca="false">IF(AND(单元查询!$D$3&lt;&gt;"",IF(单元查询!$B$3="公区维修",公区维修!$E241&lt;&gt;"",入户维修!$E241&lt;&gt;""),IF(单元查询!$B$3="公区维修",公区维修!$C241,入户维修!$C241)=单元查询!$D$3,OR(单元查询!$F$3="",IF(单元查询!$B$3="公区维修",公区维修!$D241,入户维修!$D241)&amp;""=(单元查询!$F$3)&amp;"")),MAX($FW$4:$FW240)+1,"")</f>
        <v/>
      </c>
    </row>
    <row r="242" customFormat="false" ht="15" hidden="false" customHeight="true" outlineLevel="0" collapsed="false">
      <c r="F242" s="0" t="n">
        <f aca="false">IF(OR($A$1=入户维修!$F242,$BN$1=1),0,1-SUMPRODUCT(--(($A$1=入户维修!$F242)+$BN$1&gt;0)))</f>
        <v>0</v>
      </c>
      <c r="G242" s="0" t="n">
        <f aca="false">IF(OR($A$2=入户维修!$F242,$BN$2=1),0,2-SUMPRODUCT(--(($A$1:$A$2=入户维修!$F242)+$BN$1:$BN$2&gt;0)))</f>
        <v>1</v>
      </c>
      <c r="H242" s="0" t="n">
        <f aca="false">IF(OR($A$3=入户维修!$F242,$BN$3=1),0,3-SUMPRODUCT(--(($A$1:$A$3=入户维修!$F242)+$BN$1:$BN$3&gt;0)))</f>
        <v>2</v>
      </c>
      <c r="I242" s="0" t="n">
        <f aca="false">IF(OR($A$4=入户维修!$F242,$BN$4=1),0,4-SUMPRODUCT(--(($A$1:$A$4=入户维修!$F242)+$BN$1:$BN$4&gt;0)))</f>
        <v>3</v>
      </c>
      <c r="J242" s="0" t="n">
        <f aca="false">IF(OR($A$5=入户维修!$F242,$BN$5=1),0,5-SUMPRODUCT(--(($A$1:$A$5=入户维修!$F242)+$BN$1:$BN$5&gt;0)))</f>
        <v>4</v>
      </c>
      <c r="L242" s="0" t="str">
        <f aca="false">IFERROR(INDEX($A$1:$A$5,MATCH(1,$F242:$J242,0)),IF(1=MAX($F242:$J242)+1,"取消",""))</f>
        <v>李师傅</v>
      </c>
      <c r="M242" s="0" t="str">
        <f aca="false">IFERROR(INDEX($A$1:$A$5,MATCH(2,$F242:$J242,0)),IF(2=MAX($F242:$J242)+1,"取消",""))</f>
        <v>王师傅</v>
      </c>
      <c r="N242" s="0" t="str">
        <f aca="false">IFERROR(INDEX($A$1:$A$5,MATCH(3,$F242:$J242,0)),IF(3=MAX($F242:$J242)+1,"取消",""))</f>
        <v>陈师傅</v>
      </c>
      <c r="O242" s="0" t="str">
        <f aca="false">IFERROR(INDEX($A$1:$A$5,MATCH(4,$F242:$J242,0)),IF(4=MAX($F242:$J242)+1,"取消",""))</f>
        <v>刘师傅</v>
      </c>
      <c r="P242" s="0" t="str">
        <f aca="false">IFERROR(INDEX($A$1:$A$5,MATCH(5,$F242:$J242,0)),IF(5=MAX($F242:$J242)+1,"取消",""))</f>
        <v>取消</v>
      </c>
      <c r="Q242" s="0" t="str">
        <f aca="false">IFERROR(INDEX($A$1:$A$5,MATCH(6,$F242:$J242,0)),IF(6=MAX($F242:$J242)+1,"取消",""))</f>
        <v/>
      </c>
      <c r="S242" s="0" t="n">
        <f aca="false">IF(OR($A$1=入户维修!$F242,$A$1=入户维修!$G242,$BN$1=1),0,1-SUMPRODUCT(--(($A$1=入户维修!$F242)+($A$1=入户维修!$G242)+$BN$1&gt;0)))</f>
        <v>0</v>
      </c>
      <c r="T242" s="0" t="n">
        <f aca="false">IF(OR($A$2=入户维修!$F242,$A$2=入户维修!$G242,$BN$2=1),0,2-SUMPRODUCT(--(($A$1:$A$2=入户维修!$F242)+($A$1:$A$2=入户维修!$G242)+$BN$1:$BN$2&gt;0)))</f>
        <v>1</v>
      </c>
      <c r="U242" s="0" t="n">
        <f aca="false">IF(OR($A$3=入户维修!$F242,$A$3=入户维修!$G242,$BN$3=1),0,3-SUMPRODUCT(--(($A$1:$A$3=入户维修!$F242)+($A$1:$A$3=入户维修!$G242)+$BN$1:$BN$3&gt;0)))</f>
        <v>2</v>
      </c>
      <c r="V242" s="0" t="n">
        <f aca="false">IF(OR($A$4=入户维修!$F242,$A$4=入户维修!$G242,$BN$4=1),0,4-SUMPRODUCT(--(($A$1:$A$4=入户维修!$F242)+($A$1:$A$4=入户维修!$G242)+$BN$1:$BN$4&gt;0)))</f>
        <v>3</v>
      </c>
      <c r="W242" s="0" t="n">
        <f aca="false">IF(OR($A$5=入户维修!$F242,$A$5=入户维修!$G242,$BN$5=1),0,5-SUMPRODUCT(--(($A$1:$A$5=入户维修!$F242)+($A$1:$A$5=入户维修!$G242)+$BN$1:$BN$5&gt;0)))</f>
        <v>4</v>
      </c>
      <c r="Y242" s="0" t="str">
        <f aca="false">IFERROR(INDEX($A$1:$A$5,MATCH(1,$S242:$W242,0)),IF(1=MAX($S242:$W242)+1,"取消",""))</f>
        <v>李师傅</v>
      </c>
      <c r="Z242" s="0" t="str">
        <f aca="false">IFERROR(INDEX($A$1:$A$5,MATCH(2,$S242:$W242,0)),IF(2=MAX($S242:$W242)+1,"取消",""))</f>
        <v>王师傅</v>
      </c>
      <c r="AA242" s="0" t="str">
        <f aca="false">IFERROR(INDEX($A$1:$A$5,MATCH(3,$S242:$W242,0)),IF(3=MAX($S242:$W242)+1,"取消",""))</f>
        <v>陈师傅</v>
      </c>
      <c r="AB242" s="0" t="str">
        <f aca="false">IFERROR(INDEX($A$1:$A$5,MATCH(4,$S242:$W242,0)),IF(4=MAX($S242:$W242)+1,"取消",""))</f>
        <v>刘师傅</v>
      </c>
      <c r="AC242" s="0" t="str">
        <f aca="false">IFERROR(INDEX($A$1:$A$5,MATCH(5,$S242:$W242,0)),IF(5=MAX($S242:$W242)+1,"取消",""))</f>
        <v>取消</v>
      </c>
      <c r="AD242" s="0" t="str">
        <f aca="false">IFERROR(INDEX($A$1:$A$5,MATCH(6,$S242:$W242,0)),IF(6=MAX($S242:$W242)+1,"取消",""))</f>
        <v/>
      </c>
      <c r="AF242" s="0" t="n">
        <f aca="false">IF(OR($A$1=公区维修!$F242,$BN$1=1),0,1-SUMPRODUCT(--(($A$1=公区维修!$F242)+$BN$1&gt;0)))</f>
        <v>0</v>
      </c>
      <c r="AG242" s="0" t="n">
        <f aca="false">IF(OR($A$2=公区维修!$F242,$BN$2=1),0,2-SUMPRODUCT(--(($A$1:$A$2=公区维修!$F242)+$BN$1:$BN$2&gt;0)))</f>
        <v>1</v>
      </c>
      <c r="AH242" s="0" t="n">
        <f aca="false">IF(OR($A$3=公区维修!$F242,$BN$3=1),0,3-SUMPRODUCT(--(($A$1:$A$3=公区维修!$F242)+$BN$1:$BN$3&gt;0)))</f>
        <v>2</v>
      </c>
      <c r="AI242" s="0" t="n">
        <f aca="false">IF(OR($A$4=公区维修!$F242,$BN$4=1),0,4-SUMPRODUCT(--(($A$1:$A$4=公区维修!$F242)+$BN$1:$BN$4&gt;0)))</f>
        <v>3</v>
      </c>
      <c r="AJ242" s="0" t="n">
        <f aca="false">IF(OR($A$5=公区维修!$F242,$BN$5=1),0,5-SUMPRODUCT(--(($A$1:$A$5=公区维修!$F242)+$BN$1:$BN$5&gt;0)))</f>
        <v>4</v>
      </c>
      <c r="AL242" s="0" t="str">
        <f aca="false">IFERROR(INDEX($A$1:$A$5,MATCH(1,$AF242:$AJ242,0)),IF(1=MAX($AF242:$AJ242)+1,"取消",""))</f>
        <v>李师傅</v>
      </c>
      <c r="AM242" s="0" t="str">
        <f aca="false">IFERROR(INDEX($A$1:$A$5,MATCH(2,$AF242:$AJ242,0)),IF(2=MAX($AF242:$AJ242)+1,"取消",""))</f>
        <v>王师傅</v>
      </c>
      <c r="AN242" s="0" t="str">
        <f aca="false">IFERROR(INDEX($A$1:$A$5,MATCH(3,$AF242:$AJ242,0)),IF(3=MAX($AF242:$AJ242)+1,"取消",""))</f>
        <v>陈师傅</v>
      </c>
      <c r="AO242" s="0" t="str">
        <f aca="false">IFERROR(INDEX($A$1:$A$5,MATCH(4,$AF242:$AJ242,0)),IF(4=MAX($AF242:$AJ242)+1,"取消",""))</f>
        <v>刘师傅</v>
      </c>
      <c r="AP242" s="0" t="str">
        <f aca="false">IFERROR(INDEX($A$1:$A$5,MATCH(5,$AF242:$AJ242,0)),IF(5=MAX($AF242:$AJ242)+1,"取消",""))</f>
        <v>取消</v>
      </c>
      <c r="AQ242" s="0" t="str">
        <f aca="false">IFERROR(INDEX($A$1:$A$5,MATCH(6,$AF242:$AJ242,0)),IF(6=MAX($AF242:$AJ242)+1,"取消",""))</f>
        <v/>
      </c>
      <c r="AS242" s="0" t="n">
        <f aca="false">IF(OR($A$1=公区维修!$F242,$A$1=公区维修!$G242,$BN$1=1),0,1-SUMPRODUCT(--(($A$1=公区维修!$F242)+($A$1=公区维修!$G242)+$BN$1&gt;0)))</f>
        <v>0</v>
      </c>
      <c r="AT242" s="0" t="n">
        <f aca="false">IF(OR($A$2=公区维修!$F242,$A$2=公区维修!$G242,$BN$2=1),0,2-SUMPRODUCT(--(($A$1:$A$2=公区维修!$F242)+($A$1:$A$2=公区维修!$G242)+$BN$1:$BN$2&gt;0)))</f>
        <v>1</v>
      </c>
      <c r="AU242" s="0" t="n">
        <f aca="false">IF(OR($A$3=公区维修!$F242,$A$3=公区维修!$G242,$BN$3=1),0,3-SUMPRODUCT(--(($A$1:$A$3=公区维修!$F242)+($A$1:$A$3=公区维修!$G242)+$BN$1:$BN$3&gt;0)))</f>
        <v>2</v>
      </c>
      <c r="AV242" s="0" t="n">
        <f aca="false">IF(OR($A$4=公区维修!$F242,$A$4=公区维修!$G242,$BN$4=1),0,4-SUMPRODUCT(--(($A$1:$A$4=公区维修!$F242)+($A$1:$A$4=公区维修!$G242)+$BN$1:$BN$4&gt;0)))</f>
        <v>3</v>
      </c>
      <c r="AW242" s="0" t="n">
        <f aca="false">IF(OR($A$5=公区维修!$F242,$A$5=公区维修!$G242,$BN$5=1),0,5-SUMPRODUCT(--(($A$1:$A$5=公区维修!$F242)+($A$1:$A$5=公区维修!$G242)+$BN$1:$BN$5&gt;0)))</f>
        <v>4</v>
      </c>
      <c r="AY242" s="0" t="str">
        <f aca="false">IFERROR(INDEX($A$1:$A$5,MATCH(1,$AS242:$AW242,0)),IF(1=MAX($AS242:$AW242)+1,"取消",""))</f>
        <v>李师傅</v>
      </c>
      <c r="AZ242" s="0" t="str">
        <f aca="false">IFERROR(INDEX($A$1:$A$5,MATCH(2,$AS242:$AW242,0)),IF(2=MAX($AS242:$AW242)+1,"取消",""))</f>
        <v>王师傅</v>
      </c>
      <c r="BA242" s="0" t="str">
        <f aca="false">IFERROR(INDEX($A$1:$A$5,MATCH(3,$AS242:$AW242,0)),IF(3=MAX($AS242:$AW242)+1,"取消",""))</f>
        <v>陈师傅</v>
      </c>
      <c r="BB242" s="0" t="str">
        <f aca="false">IFERROR(INDEX($A$1:$A$5,MATCH(4,$AS242:$AW242,0)),IF(4=MAX($AS242:$AW242)+1,"取消",""))</f>
        <v>刘师傅</v>
      </c>
      <c r="BC242" s="0" t="str">
        <f aca="false">IFERROR(INDEX($A$1:$A$5,MATCH(5,$AS242:$AW242,0)),IF(5=MAX($AS242:$AW242)+1,"取消",""))</f>
        <v>取消</v>
      </c>
      <c r="BD242" s="0" t="str">
        <f aca="false">IFERROR(INDEX($A$1:$A$5,MATCH(6,$AS242:$AW242,0)),IF(6=MAX($AS242:$AW242)+1,"取消",""))</f>
        <v/>
      </c>
      <c r="FW242" s="0" t="str">
        <f aca="false">IF(AND(单元查询!$D$3&lt;&gt;"",IF(单元查询!$B$3="公区维修",公区维修!$E242&lt;&gt;"",入户维修!$E242&lt;&gt;""),IF(单元查询!$B$3="公区维修",公区维修!$C242,入户维修!$C242)=单元查询!$D$3,OR(单元查询!$F$3="",IF(单元查询!$B$3="公区维修",公区维修!$D242,入户维修!$D242)&amp;""=(单元查询!$F$3)&amp;"")),MAX($FW$4:$FW241)+1,"")</f>
        <v/>
      </c>
    </row>
    <row r="243" customFormat="false" ht="15" hidden="false" customHeight="true" outlineLevel="0" collapsed="false">
      <c r="F243" s="0" t="n">
        <f aca="false">IF(OR($A$1=入户维修!$F243,$BN$1=1),0,1-SUMPRODUCT(--(($A$1=入户维修!$F243)+$BN$1&gt;0)))</f>
        <v>0</v>
      </c>
      <c r="G243" s="0" t="n">
        <f aca="false">IF(OR($A$2=入户维修!$F243,$BN$2=1),0,2-SUMPRODUCT(--(($A$1:$A$2=入户维修!$F243)+$BN$1:$BN$2&gt;0)))</f>
        <v>1</v>
      </c>
      <c r="H243" s="0" t="n">
        <f aca="false">IF(OR($A$3=入户维修!$F243,$BN$3=1),0,3-SUMPRODUCT(--(($A$1:$A$3=入户维修!$F243)+$BN$1:$BN$3&gt;0)))</f>
        <v>2</v>
      </c>
      <c r="I243" s="0" t="n">
        <f aca="false">IF(OR($A$4=入户维修!$F243,$BN$4=1),0,4-SUMPRODUCT(--(($A$1:$A$4=入户维修!$F243)+$BN$1:$BN$4&gt;0)))</f>
        <v>3</v>
      </c>
      <c r="J243" s="0" t="n">
        <f aca="false">IF(OR($A$5=入户维修!$F243,$BN$5=1),0,5-SUMPRODUCT(--(($A$1:$A$5=入户维修!$F243)+$BN$1:$BN$5&gt;0)))</f>
        <v>4</v>
      </c>
      <c r="L243" s="0" t="str">
        <f aca="false">IFERROR(INDEX($A$1:$A$5,MATCH(1,$F243:$J243,0)),IF(1=MAX($F243:$J243)+1,"取消",""))</f>
        <v>李师傅</v>
      </c>
      <c r="M243" s="0" t="str">
        <f aca="false">IFERROR(INDEX($A$1:$A$5,MATCH(2,$F243:$J243,0)),IF(2=MAX($F243:$J243)+1,"取消",""))</f>
        <v>王师傅</v>
      </c>
      <c r="N243" s="0" t="str">
        <f aca="false">IFERROR(INDEX($A$1:$A$5,MATCH(3,$F243:$J243,0)),IF(3=MAX($F243:$J243)+1,"取消",""))</f>
        <v>陈师傅</v>
      </c>
      <c r="O243" s="0" t="str">
        <f aca="false">IFERROR(INDEX($A$1:$A$5,MATCH(4,$F243:$J243,0)),IF(4=MAX($F243:$J243)+1,"取消",""))</f>
        <v>刘师傅</v>
      </c>
      <c r="P243" s="0" t="str">
        <f aca="false">IFERROR(INDEX($A$1:$A$5,MATCH(5,$F243:$J243,0)),IF(5=MAX($F243:$J243)+1,"取消",""))</f>
        <v>取消</v>
      </c>
      <c r="Q243" s="0" t="str">
        <f aca="false">IFERROR(INDEX($A$1:$A$5,MATCH(6,$F243:$J243,0)),IF(6=MAX($F243:$J243)+1,"取消",""))</f>
        <v/>
      </c>
      <c r="S243" s="0" t="n">
        <f aca="false">IF(OR($A$1=入户维修!$F243,$A$1=入户维修!$G243,$BN$1=1),0,1-SUMPRODUCT(--(($A$1=入户维修!$F243)+($A$1=入户维修!$G243)+$BN$1&gt;0)))</f>
        <v>0</v>
      </c>
      <c r="T243" s="0" t="n">
        <f aca="false">IF(OR($A$2=入户维修!$F243,$A$2=入户维修!$G243,$BN$2=1),0,2-SUMPRODUCT(--(($A$1:$A$2=入户维修!$F243)+($A$1:$A$2=入户维修!$G243)+$BN$1:$BN$2&gt;0)))</f>
        <v>1</v>
      </c>
      <c r="U243" s="0" t="n">
        <f aca="false">IF(OR($A$3=入户维修!$F243,$A$3=入户维修!$G243,$BN$3=1),0,3-SUMPRODUCT(--(($A$1:$A$3=入户维修!$F243)+($A$1:$A$3=入户维修!$G243)+$BN$1:$BN$3&gt;0)))</f>
        <v>2</v>
      </c>
      <c r="V243" s="0" t="n">
        <f aca="false">IF(OR($A$4=入户维修!$F243,$A$4=入户维修!$G243,$BN$4=1),0,4-SUMPRODUCT(--(($A$1:$A$4=入户维修!$F243)+($A$1:$A$4=入户维修!$G243)+$BN$1:$BN$4&gt;0)))</f>
        <v>3</v>
      </c>
      <c r="W243" s="0" t="n">
        <f aca="false">IF(OR($A$5=入户维修!$F243,$A$5=入户维修!$G243,$BN$5=1),0,5-SUMPRODUCT(--(($A$1:$A$5=入户维修!$F243)+($A$1:$A$5=入户维修!$G243)+$BN$1:$BN$5&gt;0)))</f>
        <v>4</v>
      </c>
      <c r="Y243" s="0" t="str">
        <f aca="false">IFERROR(INDEX($A$1:$A$5,MATCH(1,$S243:$W243,0)),IF(1=MAX($S243:$W243)+1,"取消",""))</f>
        <v>李师傅</v>
      </c>
      <c r="Z243" s="0" t="str">
        <f aca="false">IFERROR(INDEX($A$1:$A$5,MATCH(2,$S243:$W243,0)),IF(2=MAX($S243:$W243)+1,"取消",""))</f>
        <v>王师傅</v>
      </c>
      <c r="AA243" s="0" t="str">
        <f aca="false">IFERROR(INDEX($A$1:$A$5,MATCH(3,$S243:$W243,0)),IF(3=MAX($S243:$W243)+1,"取消",""))</f>
        <v>陈师傅</v>
      </c>
      <c r="AB243" s="0" t="str">
        <f aca="false">IFERROR(INDEX($A$1:$A$5,MATCH(4,$S243:$W243,0)),IF(4=MAX($S243:$W243)+1,"取消",""))</f>
        <v>刘师傅</v>
      </c>
      <c r="AC243" s="0" t="str">
        <f aca="false">IFERROR(INDEX($A$1:$A$5,MATCH(5,$S243:$W243,0)),IF(5=MAX($S243:$W243)+1,"取消",""))</f>
        <v>取消</v>
      </c>
      <c r="AD243" s="0" t="str">
        <f aca="false">IFERROR(INDEX($A$1:$A$5,MATCH(6,$S243:$W243,0)),IF(6=MAX($S243:$W243)+1,"取消",""))</f>
        <v/>
      </c>
      <c r="AF243" s="0" t="n">
        <f aca="false">IF(OR($A$1=公区维修!$F243,$BN$1=1),0,1-SUMPRODUCT(--(($A$1=公区维修!$F243)+$BN$1&gt;0)))</f>
        <v>0</v>
      </c>
      <c r="AG243" s="0" t="n">
        <f aca="false">IF(OR($A$2=公区维修!$F243,$BN$2=1),0,2-SUMPRODUCT(--(($A$1:$A$2=公区维修!$F243)+$BN$1:$BN$2&gt;0)))</f>
        <v>1</v>
      </c>
      <c r="AH243" s="0" t="n">
        <f aca="false">IF(OR($A$3=公区维修!$F243,$BN$3=1),0,3-SUMPRODUCT(--(($A$1:$A$3=公区维修!$F243)+$BN$1:$BN$3&gt;0)))</f>
        <v>2</v>
      </c>
      <c r="AI243" s="0" t="n">
        <f aca="false">IF(OR($A$4=公区维修!$F243,$BN$4=1),0,4-SUMPRODUCT(--(($A$1:$A$4=公区维修!$F243)+$BN$1:$BN$4&gt;0)))</f>
        <v>3</v>
      </c>
      <c r="AJ243" s="0" t="n">
        <f aca="false">IF(OR($A$5=公区维修!$F243,$BN$5=1),0,5-SUMPRODUCT(--(($A$1:$A$5=公区维修!$F243)+$BN$1:$BN$5&gt;0)))</f>
        <v>4</v>
      </c>
      <c r="AL243" s="0" t="str">
        <f aca="false">IFERROR(INDEX($A$1:$A$5,MATCH(1,$AF243:$AJ243,0)),IF(1=MAX($AF243:$AJ243)+1,"取消",""))</f>
        <v>李师傅</v>
      </c>
      <c r="AM243" s="0" t="str">
        <f aca="false">IFERROR(INDEX($A$1:$A$5,MATCH(2,$AF243:$AJ243,0)),IF(2=MAX($AF243:$AJ243)+1,"取消",""))</f>
        <v>王师傅</v>
      </c>
      <c r="AN243" s="0" t="str">
        <f aca="false">IFERROR(INDEX($A$1:$A$5,MATCH(3,$AF243:$AJ243,0)),IF(3=MAX($AF243:$AJ243)+1,"取消",""))</f>
        <v>陈师傅</v>
      </c>
      <c r="AO243" s="0" t="str">
        <f aca="false">IFERROR(INDEX($A$1:$A$5,MATCH(4,$AF243:$AJ243,0)),IF(4=MAX($AF243:$AJ243)+1,"取消",""))</f>
        <v>刘师傅</v>
      </c>
      <c r="AP243" s="0" t="str">
        <f aca="false">IFERROR(INDEX($A$1:$A$5,MATCH(5,$AF243:$AJ243,0)),IF(5=MAX($AF243:$AJ243)+1,"取消",""))</f>
        <v>取消</v>
      </c>
      <c r="AQ243" s="0" t="str">
        <f aca="false">IFERROR(INDEX($A$1:$A$5,MATCH(6,$AF243:$AJ243,0)),IF(6=MAX($AF243:$AJ243)+1,"取消",""))</f>
        <v/>
      </c>
      <c r="AS243" s="0" t="n">
        <f aca="false">IF(OR($A$1=公区维修!$F243,$A$1=公区维修!$G243,$BN$1=1),0,1-SUMPRODUCT(--(($A$1=公区维修!$F243)+($A$1=公区维修!$G243)+$BN$1&gt;0)))</f>
        <v>0</v>
      </c>
      <c r="AT243" s="0" t="n">
        <f aca="false">IF(OR($A$2=公区维修!$F243,$A$2=公区维修!$G243,$BN$2=1),0,2-SUMPRODUCT(--(($A$1:$A$2=公区维修!$F243)+($A$1:$A$2=公区维修!$G243)+$BN$1:$BN$2&gt;0)))</f>
        <v>1</v>
      </c>
      <c r="AU243" s="0" t="n">
        <f aca="false">IF(OR($A$3=公区维修!$F243,$A$3=公区维修!$G243,$BN$3=1),0,3-SUMPRODUCT(--(($A$1:$A$3=公区维修!$F243)+($A$1:$A$3=公区维修!$G243)+$BN$1:$BN$3&gt;0)))</f>
        <v>2</v>
      </c>
      <c r="AV243" s="0" t="n">
        <f aca="false">IF(OR($A$4=公区维修!$F243,$A$4=公区维修!$G243,$BN$4=1),0,4-SUMPRODUCT(--(($A$1:$A$4=公区维修!$F243)+($A$1:$A$4=公区维修!$G243)+$BN$1:$BN$4&gt;0)))</f>
        <v>3</v>
      </c>
      <c r="AW243" s="0" t="n">
        <f aca="false">IF(OR($A$5=公区维修!$F243,$A$5=公区维修!$G243,$BN$5=1),0,5-SUMPRODUCT(--(($A$1:$A$5=公区维修!$F243)+($A$1:$A$5=公区维修!$G243)+$BN$1:$BN$5&gt;0)))</f>
        <v>4</v>
      </c>
      <c r="AY243" s="0" t="str">
        <f aca="false">IFERROR(INDEX($A$1:$A$5,MATCH(1,$AS243:$AW243,0)),IF(1=MAX($AS243:$AW243)+1,"取消",""))</f>
        <v>李师傅</v>
      </c>
      <c r="AZ243" s="0" t="str">
        <f aca="false">IFERROR(INDEX($A$1:$A$5,MATCH(2,$AS243:$AW243,0)),IF(2=MAX($AS243:$AW243)+1,"取消",""))</f>
        <v>王师傅</v>
      </c>
      <c r="BA243" s="0" t="str">
        <f aca="false">IFERROR(INDEX($A$1:$A$5,MATCH(3,$AS243:$AW243,0)),IF(3=MAX($AS243:$AW243)+1,"取消",""))</f>
        <v>陈师傅</v>
      </c>
      <c r="BB243" s="0" t="str">
        <f aca="false">IFERROR(INDEX($A$1:$A$5,MATCH(4,$AS243:$AW243,0)),IF(4=MAX($AS243:$AW243)+1,"取消",""))</f>
        <v>刘师傅</v>
      </c>
      <c r="BC243" s="0" t="str">
        <f aca="false">IFERROR(INDEX($A$1:$A$5,MATCH(5,$AS243:$AW243,0)),IF(5=MAX($AS243:$AW243)+1,"取消",""))</f>
        <v>取消</v>
      </c>
      <c r="BD243" s="0" t="str">
        <f aca="false">IFERROR(INDEX($A$1:$A$5,MATCH(6,$AS243:$AW243,0)),IF(6=MAX($AS243:$AW243)+1,"取消",""))</f>
        <v/>
      </c>
      <c r="FW243" s="0" t="str">
        <f aca="false">IF(AND(单元查询!$D$3&lt;&gt;"",IF(单元查询!$B$3="公区维修",公区维修!$E243&lt;&gt;"",入户维修!$E243&lt;&gt;""),IF(单元查询!$B$3="公区维修",公区维修!$C243,入户维修!$C243)=单元查询!$D$3,OR(单元查询!$F$3="",IF(单元查询!$B$3="公区维修",公区维修!$D243,入户维修!$D243)&amp;""=(单元查询!$F$3)&amp;"")),MAX($FW$4:$FW242)+1,"")</f>
        <v/>
      </c>
    </row>
    <row r="244" customFormat="false" ht="15" hidden="false" customHeight="true" outlineLevel="0" collapsed="false">
      <c r="F244" s="0" t="n">
        <f aca="false">IF(OR($A$1=入户维修!$F244,$BN$1=1),0,1-SUMPRODUCT(--(($A$1=入户维修!$F244)+$BN$1&gt;0)))</f>
        <v>0</v>
      </c>
      <c r="G244" s="0" t="n">
        <f aca="false">IF(OR($A$2=入户维修!$F244,$BN$2=1),0,2-SUMPRODUCT(--(($A$1:$A$2=入户维修!$F244)+$BN$1:$BN$2&gt;0)))</f>
        <v>1</v>
      </c>
      <c r="H244" s="0" t="n">
        <f aca="false">IF(OR($A$3=入户维修!$F244,$BN$3=1),0,3-SUMPRODUCT(--(($A$1:$A$3=入户维修!$F244)+$BN$1:$BN$3&gt;0)))</f>
        <v>2</v>
      </c>
      <c r="I244" s="0" t="n">
        <f aca="false">IF(OR($A$4=入户维修!$F244,$BN$4=1),0,4-SUMPRODUCT(--(($A$1:$A$4=入户维修!$F244)+$BN$1:$BN$4&gt;0)))</f>
        <v>3</v>
      </c>
      <c r="J244" s="0" t="n">
        <f aca="false">IF(OR($A$5=入户维修!$F244,$BN$5=1),0,5-SUMPRODUCT(--(($A$1:$A$5=入户维修!$F244)+$BN$1:$BN$5&gt;0)))</f>
        <v>4</v>
      </c>
      <c r="L244" s="0" t="str">
        <f aca="false">IFERROR(INDEX($A$1:$A$5,MATCH(1,$F244:$J244,0)),IF(1=MAX($F244:$J244)+1,"取消",""))</f>
        <v>李师傅</v>
      </c>
      <c r="M244" s="0" t="str">
        <f aca="false">IFERROR(INDEX($A$1:$A$5,MATCH(2,$F244:$J244,0)),IF(2=MAX($F244:$J244)+1,"取消",""))</f>
        <v>王师傅</v>
      </c>
      <c r="N244" s="0" t="str">
        <f aca="false">IFERROR(INDEX($A$1:$A$5,MATCH(3,$F244:$J244,0)),IF(3=MAX($F244:$J244)+1,"取消",""))</f>
        <v>陈师傅</v>
      </c>
      <c r="O244" s="0" t="str">
        <f aca="false">IFERROR(INDEX($A$1:$A$5,MATCH(4,$F244:$J244,0)),IF(4=MAX($F244:$J244)+1,"取消",""))</f>
        <v>刘师傅</v>
      </c>
      <c r="P244" s="0" t="str">
        <f aca="false">IFERROR(INDEX($A$1:$A$5,MATCH(5,$F244:$J244,0)),IF(5=MAX($F244:$J244)+1,"取消",""))</f>
        <v>取消</v>
      </c>
      <c r="Q244" s="0" t="str">
        <f aca="false">IFERROR(INDEX($A$1:$A$5,MATCH(6,$F244:$J244,0)),IF(6=MAX($F244:$J244)+1,"取消",""))</f>
        <v/>
      </c>
      <c r="S244" s="0" t="n">
        <f aca="false">IF(OR($A$1=入户维修!$F244,$A$1=入户维修!$G244,$BN$1=1),0,1-SUMPRODUCT(--(($A$1=入户维修!$F244)+($A$1=入户维修!$G244)+$BN$1&gt;0)))</f>
        <v>0</v>
      </c>
      <c r="T244" s="0" t="n">
        <f aca="false">IF(OR($A$2=入户维修!$F244,$A$2=入户维修!$G244,$BN$2=1),0,2-SUMPRODUCT(--(($A$1:$A$2=入户维修!$F244)+($A$1:$A$2=入户维修!$G244)+$BN$1:$BN$2&gt;0)))</f>
        <v>1</v>
      </c>
      <c r="U244" s="0" t="n">
        <f aca="false">IF(OR($A$3=入户维修!$F244,$A$3=入户维修!$G244,$BN$3=1),0,3-SUMPRODUCT(--(($A$1:$A$3=入户维修!$F244)+($A$1:$A$3=入户维修!$G244)+$BN$1:$BN$3&gt;0)))</f>
        <v>2</v>
      </c>
      <c r="V244" s="0" t="n">
        <f aca="false">IF(OR($A$4=入户维修!$F244,$A$4=入户维修!$G244,$BN$4=1),0,4-SUMPRODUCT(--(($A$1:$A$4=入户维修!$F244)+($A$1:$A$4=入户维修!$G244)+$BN$1:$BN$4&gt;0)))</f>
        <v>3</v>
      </c>
      <c r="W244" s="0" t="n">
        <f aca="false">IF(OR($A$5=入户维修!$F244,$A$5=入户维修!$G244,$BN$5=1),0,5-SUMPRODUCT(--(($A$1:$A$5=入户维修!$F244)+($A$1:$A$5=入户维修!$G244)+$BN$1:$BN$5&gt;0)))</f>
        <v>4</v>
      </c>
      <c r="Y244" s="0" t="str">
        <f aca="false">IFERROR(INDEX($A$1:$A$5,MATCH(1,$S244:$W244,0)),IF(1=MAX($S244:$W244)+1,"取消",""))</f>
        <v>李师傅</v>
      </c>
      <c r="Z244" s="0" t="str">
        <f aca="false">IFERROR(INDEX($A$1:$A$5,MATCH(2,$S244:$W244,0)),IF(2=MAX($S244:$W244)+1,"取消",""))</f>
        <v>王师傅</v>
      </c>
      <c r="AA244" s="0" t="str">
        <f aca="false">IFERROR(INDEX($A$1:$A$5,MATCH(3,$S244:$W244,0)),IF(3=MAX($S244:$W244)+1,"取消",""))</f>
        <v>陈师傅</v>
      </c>
      <c r="AB244" s="0" t="str">
        <f aca="false">IFERROR(INDEX($A$1:$A$5,MATCH(4,$S244:$W244,0)),IF(4=MAX($S244:$W244)+1,"取消",""))</f>
        <v>刘师傅</v>
      </c>
      <c r="AC244" s="0" t="str">
        <f aca="false">IFERROR(INDEX($A$1:$A$5,MATCH(5,$S244:$W244,0)),IF(5=MAX($S244:$W244)+1,"取消",""))</f>
        <v>取消</v>
      </c>
      <c r="AD244" s="0" t="str">
        <f aca="false">IFERROR(INDEX($A$1:$A$5,MATCH(6,$S244:$W244,0)),IF(6=MAX($S244:$W244)+1,"取消",""))</f>
        <v/>
      </c>
      <c r="AF244" s="0" t="n">
        <f aca="false">IF(OR($A$1=公区维修!$F244,$BN$1=1),0,1-SUMPRODUCT(--(($A$1=公区维修!$F244)+$BN$1&gt;0)))</f>
        <v>0</v>
      </c>
      <c r="AG244" s="0" t="n">
        <f aca="false">IF(OR($A$2=公区维修!$F244,$BN$2=1),0,2-SUMPRODUCT(--(($A$1:$A$2=公区维修!$F244)+$BN$1:$BN$2&gt;0)))</f>
        <v>1</v>
      </c>
      <c r="AH244" s="0" t="n">
        <f aca="false">IF(OR($A$3=公区维修!$F244,$BN$3=1),0,3-SUMPRODUCT(--(($A$1:$A$3=公区维修!$F244)+$BN$1:$BN$3&gt;0)))</f>
        <v>2</v>
      </c>
      <c r="AI244" s="0" t="n">
        <f aca="false">IF(OR($A$4=公区维修!$F244,$BN$4=1),0,4-SUMPRODUCT(--(($A$1:$A$4=公区维修!$F244)+$BN$1:$BN$4&gt;0)))</f>
        <v>3</v>
      </c>
      <c r="AJ244" s="0" t="n">
        <f aca="false">IF(OR($A$5=公区维修!$F244,$BN$5=1),0,5-SUMPRODUCT(--(($A$1:$A$5=公区维修!$F244)+$BN$1:$BN$5&gt;0)))</f>
        <v>4</v>
      </c>
      <c r="AL244" s="0" t="str">
        <f aca="false">IFERROR(INDEX($A$1:$A$5,MATCH(1,$AF244:$AJ244,0)),IF(1=MAX($AF244:$AJ244)+1,"取消",""))</f>
        <v>李师傅</v>
      </c>
      <c r="AM244" s="0" t="str">
        <f aca="false">IFERROR(INDEX($A$1:$A$5,MATCH(2,$AF244:$AJ244,0)),IF(2=MAX($AF244:$AJ244)+1,"取消",""))</f>
        <v>王师傅</v>
      </c>
      <c r="AN244" s="0" t="str">
        <f aca="false">IFERROR(INDEX($A$1:$A$5,MATCH(3,$AF244:$AJ244,0)),IF(3=MAX($AF244:$AJ244)+1,"取消",""))</f>
        <v>陈师傅</v>
      </c>
      <c r="AO244" s="0" t="str">
        <f aca="false">IFERROR(INDEX($A$1:$A$5,MATCH(4,$AF244:$AJ244,0)),IF(4=MAX($AF244:$AJ244)+1,"取消",""))</f>
        <v>刘师傅</v>
      </c>
      <c r="AP244" s="0" t="str">
        <f aca="false">IFERROR(INDEX($A$1:$A$5,MATCH(5,$AF244:$AJ244,0)),IF(5=MAX($AF244:$AJ244)+1,"取消",""))</f>
        <v>取消</v>
      </c>
      <c r="AQ244" s="0" t="str">
        <f aca="false">IFERROR(INDEX($A$1:$A$5,MATCH(6,$AF244:$AJ244,0)),IF(6=MAX($AF244:$AJ244)+1,"取消",""))</f>
        <v/>
      </c>
      <c r="AS244" s="0" t="n">
        <f aca="false">IF(OR($A$1=公区维修!$F244,$A$1=公区维修!$G244,$BN$1=1),0,1-SUMPRODUCT(--(($A$1=公区维修!$F244)+($A$1=公区维修!$G244)+$BN$1&gt;0)))</f>
        <v>0</v>
      </c>
      <c r="AT244" s="0" t="n">
        <f aca="false">IF(OR($A$2=公区维修!$F244,$A$2=公区维修!$G244,$BN$2=1),0,2-SUMPRODUCT(--(($A$1:$A$2=公区维修!$F244)+($A$1:$A$2=公区维修!$G244)+$BN$1:$BN$2&gt;0)))</f>
        <v>1</v>
      </c>
      <c r="AU244" s="0" t="n">
        <f aca="false">IF(OR($A$3=公区维修!$F244,$A$3=公区维修!$G244,$BN$3=1),0,3-SUMPRODUCT(--(($A$1:$A$3=公区维修!$F244)+($A$1:$A$3=公区维修!$G244)+$BN$1:$BN$3&gt;0)))</f>
        <v>2</v>
      </c>
      <c r="AV244" s="0" t="n">
        <f aca="false">IF(OR($A$4=公区维修!$F244,$A$4=公区维修!$G244,$BN$4=1),0,4-SUMPRODUCT(--(($A$1:$A$4=公区维修!$F244)+($A$1:$A$4=公区维修!$G244)+$BN$1:$BN$4&gt;0)))</f>
        <v>3</v>
      </c>
      <c r="AW244" s="0" t="n">
        <f aca="false">IF(OR($A$5=公区维修!$F244,$A$5=公区维修!$G244,$BN$5=1),0,5-SUMPRODUCT(--(($A$1:$A$5=公区维修!$F244)+($A$1:$A$5=公区维修!$G244)+$BN$1:$BN$5&gt;0)))</f>
        <v>4</v>
      </c>
      <c r="AY244" s="0" t="str">
        <f aca="false">IFERROR(INDEX($A$1:$A$5,MATCH(1,$AS244:$AW244,0)),IF(1=MAX($AS244:$AW244)+1,"取消",""))</f>
        <v>李师傅</v>
      </c>
      <c r="AZ244" s="0" t="str">
        <f aca="false">IFERROR(INDEX($A$1:$A$5,MATCH(2,$AS244:$AW244,0)),IF(2=MAX($AS244:$AW244)+1,"取消",""))</f>
        <v>王师傅</v>
      </c>
      <c r="BA244" s="0" t="str">
        <f aca="false">IFERROR(INDEX($A$1:$A$5,MATCH(3,$AS244:$AW244,0)),IF(3=MAX($AS244:$AW244)+1,"取消",""))</f>
        <v>陈师傅</v>
      </c>
      <c r="BB244" s="0" t="str">
        <f aca="false">IFERROR(INDEX($A$1:$A$5,MATCH(4,$AS244:$AW244,0)),IF(4=MAX($AS244:$AW244)+1,"取消",""))</f>
        <v>刘师傅</v>
      </c>
      <c r="BC244" s="0" t="str">
        <f aca="false">IFERROR(INDEX($A$1:$A$5,MATCH(5,$AS244:$AW244,0)),IF(5=MAX($AS244:$AW244)+1,"取消",""))</f>
        <v>取消</v>
      </c>
      <c r="BD244" s="0" t="str">
        <f aca="false">IFERROR(INDEX($A$1:$A$5,MATCH(6,$AS244:$AW244,0)),IF(6=MAX($AS244:$AW244)+1,"取消",""))</f>
        <v/>
      </c>
      <c r="FW244" s="0" t="str">
        <f aca="false">IF(AND(单元查询!$D$3&lt;&gt;"",IF(单元查询!$B$3="公区维修",公区维修!$E244&lt;&gt;"",入户维修!$E244&lt;&gt;""),IF(单元查询!$B$3="公区维修",公区维修!$C244,入户维修!$C244)=单元查询!$D$3,OR(单元查询!$F$3="",IF(单元查询!$B$3="公区维修",公区维修!$D244,入户维修!$D244)&amp;""=(单元查询!$F$3)&amp;"")),MAX($FW$4:$FW243)+1,"")</f>
        <v/>
      </c>
    </row>
    <row r="245" customFormat="false" ht="15" hidden="false" customHeight="true" outlineLevel="0" collapsed="false">
      <c r="F245" s="0" t="n">
        <f aca="false">IF(OR($A$1=入户维修!$F245,$BN$1=1),0,1-SUMPRODUCT(--(($A$1=入户维修!$F245)+$BN$1&gt;0)))</f>
        <v>0</v>
      </c>
      <c r="G245" s="0" t="n">
        <f aca="false">IF(OR($A$2=入户维修!$F245,$BN$2=1),0,2-SUMPRODUCT(--(($A$1:$A$2=入户维修!$F245)+$BN$1:$BN$2&gt;0)))</f>
        <v>1</v>
      </c>
      <c r="H245" s="0" t="n">
        <f aca="false">IF(OR($A$3=入户维修!$F245,$BN$3=1),0,3-SUMPRODUCT(--(($A$1:$A$3=入户维修!$F245)+$BN$1:$BN$3&gt;0)))</f>
        <v>2</v>
      </c>
      <c r="I245" s="0" t="n">
        <f aca="false">IF(OR($A$4=入户维修!$F245,$BN$4=1),0,4-SUMPRODUCT(--(($A$1:$A$4=入户维修!$F245)+$BN$1:$BN$4&gt;0)))</f>
        <v>3</v>
      </c>
      <c r="J245" s="0" t="n">
        <f aca="false">IF(OR($A$5=入户维修!$F245,$BN$5=1),0,5-SUMPRODUCT(--(($A$1:$A$5=入户维修!$F245)+$BN$1:$BN$5&gt;0)))</f>
        <v>4</v>
      </c>
      <c r="L245" s="0" t="str">
        <f aca="false">IFERROR(INDEX($A$1:$A$5,MATCH(1,$F245:$J245,0)),IF(1=MAX($F245:$J245)+1,"取消",""))</f>
        <v>李师傅</v>
      </c>
      <c r="M245" s="0" t="str">
        <f aca="false">IFERROR(INDEX($A$1:$A$5,MATCH(2,$F245:$J245,0)),IF(2=MAX($F245:$J245)+1,"取消",""))</f>
        <v>王师傅</v>
      </c>
      <c r="N245" s="0" t="str">
        <f aca="false">IFERROR(INDEX($A$1:$A$5,MATCH(3,$F245:$J245,0)),IF(3=MAX($F245:$J245)+1,"取消",""))</f>
        <v>陈师傅</v>
      </c>
      <c r="O245" s="0" t="str">
        <f aca="false">IFERROR(INDEX($A$1:$A$5,MATCH(4,$F245:$J245,0)),IF(4=MAX($F245:$J245)+1,"取消",""))</f>
        <v>刘师傅</v>
      </c>
      <c r="P245" s="0" t="str">
        <f aca="false">IFERROR(INDEX($A$1:$A$5,MATCH(5,$F245:$J245,0)),IF(5=MAX($F245:$J245)+1,"取消",""))</f>
        <v>取消</v>
      </c>
      <c r="Q245" s="0" t="str">
        <f aca="false">IFERROR(INDEX($A$1:$A$5,MATCH(6,$F245:$J245,0)),IF(6=MAX($F245:$J245)+1,"取消",""))</f>
        <v/>
      </c>
      <c r="S245" s="0" t="n">
        <f aca="false">IF(OR($A$1=入户维修!$F245,$A$1=入户维修!$G245,$BN$1=1),0,1-SUMPRODUCT(--(($A$1=入户维修!$F245)+($A$1=入户维修!$G245)+$BN$1&gt;0)))</f>
        <v>0</v>
      </c>
      <c r="T245" s="0" t="n">
        <f aca="false">IF(OR($A$2=入户维修!$F245,$A$2=入户维修!$G245,$BN$2=1),0,2-SUMPRODUCT(--(($A$1:$A$2=入户维修!$F245)+($A$1:$A$2=入户维修!$G245)+$BN$1:$BN$2&gt;0)))</f>
        <v>1</v>
      </c>
      <c r="U245" s="0" t="n">
        <f aca="false">IF(OR($A$3=入户维修!$F245,$A$3=入户维修!$G245,$BN$3=1),0,3-SUMPRODUCT(--(($A$1:$A$3=入户维修!$F245)+($A$1:$A$3=入户维修!$G245)+$BN$1:$BN$3&gt;0)))</f>
        <v>2</v>
      </c>
      <c r="V245" s="0" t="n">
        <f aca="false">IF(OR($A$4=入户维修!$F245,$A$4=入户维修!$G245,$BN$4=1),0,4-SUMPRODUCT(--(($A$1:$A$4=入户维修!$F245)+($A$1:$A$4=入户维修!$G245)+$BN$1:$BN$4&gt;0)))</f>
        <v>3</v>
      </c>
      <c r="W245" s="0" t="n">
        <f aca="false">IF(OR($A$5=入户维修!$F245,$A$5=入户维修!$G245,$BN$5=1),0,5-SUMPRODUCT(--(($A$1:$A$5=入户维修!$F245)+($A$1:$A$5=入户维修!$G245)+$BN$1:$BN$5&gt;0)))</f>
        <v>4</v>
      </c>
      <c r="Y245" s="0" t="str">
        <f aca="false">IFERROR(INDEX($A$1:$A$5,MATCH(1,$S245:$W245,0)),IF(1=MAX($S245:$W245)+1,"取消",""))</f>
        <v>李师傅</v>
      </c>
      <c r="Z245" s="0" t="str">
        <f aca="false">IFERROR(INDEX($A$1:$A$5,MATCH(2,$S245:$W245,0)),IF(2=MAX($S245:$W245)+1,"取消",""))</f>
        <v>王师傅</v>
      </c>
      <c r="AA245" s="0" t="str">
        <f aca="false">IFERROR(INDEX($A$1:$A$5,MATCH(3,$S245:$W245,0)),IF(3=MAX($S245:$W245)+1,"取消",""))</f>
        <v>陈师傅</v>
      </c>
      <c r="AB245" s="0" t="str">
        <f aca="false">IFERROR(INDEX($A$1:$A$5,MATCH(4,$S245:$W245,0)),IF(4=MAX($S245:$W245)+1,"取消",""))</f>
        <v>刘师傅</v>
      </c>
      <c r="AC245" s="0" t="str">
        <f aca="false">IFERROR(INDEX($A$1:$A$5,MATCH(5,$S245:$W245,0)),IF(5=MAX($S245:$W245)+1,"取消",""))</f>
        <v>取消</v>
      </c>
      <c r="AD245" s="0" t="str">
        <f aca="false">IFERROR(INDEX($A$1:$A$5,MATCH(6,$S245:$W245,0)),IF(6=MAX($S245:$W245)+1,"取消",""))</f>
        <v/>
      </c>
      <c r="AF245" s="0" t="n">
        <f aca="false">IF(OR($A$1=公区维修!$F245,$BN$1=1),0,1-SUMPRODUCT(--(($A$1=公区维修!$F245)+$BN$1&gt;0)))</f>
        <v>0</v>
      </c>
      <c r="AG245" s="0" t="n">
        <f aca="false">IF(OR($A$2=公区维修!$F245,$BN$2=1),0,2-SUMPRODUCT(--(($A$1:$A$2=公区维修!$F245)+$BN$1:$BN$2&gt;0)))</f>
        <v>1</v>
      </c>
      <c r="AH245" s="0" t="n">
        <f aca="false">IF(OR($A$3=公区维修!$F245,$BN$3=1),0,3-SUMPRODUCT(--(($A$1:$A$3=公区维修!$F245)+$BN$1:$BN$3&gt;0)))</f>
        <v>2</v>
      </c>
      <c r="AI245" s="0" t="n">
        <f aca="false">IF(OR($A$4=公区维修!$F245,$BN$4=1),0,4-SUMPRODUCT(--(($A$1:$A$4=公区维修!$F245)+$BN$1:$BN$4&gt;0)))</f>
        <v>3</v>
      </c>
      <c r="AJ245" s="0" t="n">
        <f aca="false">IF(OR($A$5=公区维修!$F245,$BN$5=1),0,5-SUMPRODUCT(--(($A$1:$A$5=公区维修!$F245)+$BN$1:$BN$5&gt;0)))</f>
        <v>4</v>
      </c>
      <c r="AL245" s="0" t="str">
        <f aca="false">IFERROR(INDEX($A$1:$A$5,MATCH(1,$AF245:$AJ245,0)),IF(1=MAX($AF245:$AJ245)+1,"取消",""))</f>
        <v>李师傅</v>
      </c>
      <c r="AM245" s="0" t="str">
        <f aca="false">IFERROR(INDEX($A$1:$A$5,MATCH(2,$AF245:$AJ245,0)),IF(2=MAX($AF245:$AJ245)+1,"取消",""))</f>
        <v>王师傅</v>
      </c>
      <c r="AN245" s="0" t="str">
        <f aca="false">IFERROR(INDEX($A$1:$A$5,MATCH(3,$AF245:$AJ245,0)),IF(3=MAX($AF245:$AJ245)+1,"取消",""))</f>
        <v>陈师傅</v>
      </c>
      <c r="AO245" s="0" t="str">
        <f aca="false">IFERROR(INDEX($A$1:$A$5,MATCH(4,$AF245:$AJ245,0)),IF(4=MAX($AF245:$AJ245)+1,"取消",""))</f>
        <v>刘师傅</v>
      </c>
      <c r="AP245" s="0" t="str">
        <f aca="false">IFERROR(INDEX($A$1:$A$5,MATCH(5,$AF245:$AJ245,0)),IF(5=MAX($AF245:$AJ245)+1,"取消",""))</f>
        <v>取消</v>
      </c>
      <c r="AQ245" s="0" t="str">
        <f aca="false">IFERROR(INDEX($A$1:$A$5,MATCH(6,$AF245:$AJ245,0)),IF(6=MAX($AF245:$AJ245)+1,"取消",""))</f>
        <v/>
      </c>
      <c r="AS245" s="0" t="n">
        <f aca="false">IF(OR($A$1=公区维修!$F245,$A$1=公区维修!$G245,$BN$1=1),0,1-SUMPRODUCT(--(($A$1=公区维修!$F245)+($A$1=公区维修!$G245)+$BN$1&gt;0)))</f>
        <v>0</v>
      </c>
      <c r="AT245" s="0" t="n">
        <f aca="false">IF(OR($A$2=公区维修!$F245,$A$2=公区维修!$G245,$BN$2=1),0,2-SUMPRODUCT(--(($A$1:$A$2=公区维修!$F245)+($A$1:$A$2=公区维修!$G245)+$BN$1:$BN$2&gt;0)))</f>
        <v>1</v>
      </c>
      <c r="AU245" s="0" t="n">
        <f aca="false">IF(OR($A$3=公区维修!$F245,$A$3=公区维修!$G245,$BN$3=1),0,3-SUMPRODUCT(--(($A$1:$A$3=公区维修!$F245)+($A$1:$A$3=公区维修!$G245)+$BN$1:$BN$3&gt;0)))</f>
        <v>2</v>
      </c>
      <c r="AV245" s="0" t="n">
        <f aca="false">IF(OR($A$4=公区维修!$F245,$A$4=公区维修!$G245,$BN$4=1),0,4-SUMPRODUCT(--(($A$1:$A$4=公区维修!$F245)+($A$1:$A$4=公区维修!$G245)+$BN$1:$BN$4&gt;0)))</f>
        <v>3</v>
      </c>
      <c r="AW245" s="0" t="n">
        <f aca="false">IF(OR($A$5=公区维修!$F245,$A$5=公区维修!$G245,$BN$5=1),0,5-SUMPRODUCT(--(($A$1:$A$5=公区维修!$F245)+($A$1:$A$5=公区维修!$G245)+$BN$1:$BN$5&gt;0)))</f>
        <v>4</v>
      </c>
      <c r="AY245" s="0" t="str">
        <f aca="false">IFERROR(INDEX($A$1:$A$5,MATCH(1,$AS245:$AW245,0)),IF(1=MAX($AS245:$AW245)+1,"取消",""))</f>
        <v>李师傅</v>
      </c>
      <c r="AZ245" s="0" t="str">
        <f aca="false">IFERROR(INDEX($A$1:$A$5,MATCH(2,$AS245:$AW245,0)),IF(2=MAX($AS245:$AW245)+1,"取消",""))</f>
        <v>王师傅</v>
      </c>
      <c r="BA245" s="0" t="str">
        <f aca="false">IFERROR(INDEX($A$1:$A$5,MATCH(3,$AS245:$AW245,0)),IF(3=MAX($AS245:$AW245)+1,"取消",""))</f>
        <v>陈师傅</v>
      </c>
      <c r="BB245" s="0" t="str">
        <f aca="false">IFERROR(INDEX($A$1:$A$5,MATCH(4,$AS245:$AW245,0)),IF(4=MAX($AS245:$AW245)+1,"取消",""))</f>
        <v>刘师傅</v>
      </c>
      <c r="BC245" s="0" t="str">
        <f aca="false">IFERROR(INDEX($A$1:$A$5,MATCH(5,$AS245:$AW245,0)),IF(5=MAX($AS245:$AW245)+1,"取消",""))</f>
        <v>取消</v>
      </c>
      <c r="BD245" s="0" t="str">
        <f aca="false">IFERROR(INDEX($A$1:$A$5,MATCH(6,$AS245:$AW245,0)),IF(6=MAX($AS245:$AW245)+1,"取消",""))</f>
        <v/>
      </c>
      <c r="FW245" s="0" t="str">
        <f aca="false">IF(AND(单元查询!$D$3&lt;&gt;"",IF(单元查询!$B$3="公区维修",公区维修!$E245&lt;&gt;"",入户维修!$E245&lt;&gt;""),IF(单元查询!$B$3="公区维修",公区维修!$C245,入户维修!$C245)=单元查询!$D$3,OR(单元查询!$F$3="",IF(单元查询!$B$3="公区维修",公区维修!$D245,入户维修!$D245)&amp;""=(单元查询!$F$3)&amp;"")),MAX($FW$4:$FW244)+1,"")</f>
        <v/>
      </c>
    </row>
    <row r="246" customFormat="false" ht="15" hidden="false" customHeight="true" outlineLevel="0" collapsed="false">
      <c r="F246" s="0" t="n">
        <f aca="false">IF(OR($A$1=入户维修!$F246,$BN$1=1),0,1-SUMPRODUCT(--(($A$1=入户维修!$F246)+$BN$1&gt;0)))</f>
        <v>0</v>
      </c>
      <c r="G246" s="0" t="n">
        <f aca="false">IF(OR($A$2=入户维修!$F246,$BN$2=1),0,2-SUMPRODUCT(--(($A$1:$A$2=入户维修!$F246)+$BN$1:$BN$2&gt;0)))</f>
        <v>1</v>
      </c>
      <c r="H246" s="0" t="n">
        <f aca="false">IF(OR($A$3=入户维修!$F246,$BN$3=1),0,3-SUMPRODUCT(--(($A$1:$A$3=入户维修!$F246)+$BN$1:$BN$3&gt;0)))</f>
        <v>2</v>
      </c>
      <c r="I246" s="0" t="n">
        <f aca="false">IF(OR($A$4=入户维修!$F246,$BN$4=1),0,4-SUMPRODUCT(--(($A$1:$A$4=入户维修!$F246)+$BN$1:$BN$4&gt;0)))</f>
        <v>3</v>
      </c>
      <c r="J246" s="0" t="n">
        <f aca="false">IF(OR($A$5=入户维修!$F246,$BN$5=1),0,5-SUMPRODUCT(--(($A$1:$A$5=入户维修!$F246)+$BN$1:$BN$5&gt;0)))</f>
        <v>4</v>
      </c>
      <c r="L246" s="0" t="str">
        <f aca="false">IFERROR(INDEX($A$1:$A$5,MATCH(1,$F246:$J246,0)),IF(1=MAX($F246:$J246)+1,"取消",""))</f>
        <v>李师傅</v>
      </c>
      <c r="M246" s="0" t="str">
        <f aca="false">IFERROR(INDEX($A$1:$A$5,MATCH(2,$F246:$J246,0)),IF(2=MAX($F246:$J246)+1,"取消",""))</f>
        <v>王师傅</v>
      </c>
      <c r="N246" s="0" t="str">
        <f aca="false">IFERROR(INDEX($A$1:$A$5,MATCH(3,$F246:$J246,0)),IF(3=MAX($F246:$J246)+1,"取消",""))</f>
        <v>陈师傅</v>
      </c>
      <c r="O246" s="0" t="str">
        <f aca="false">IFERROR(INDEX($A$1:$A$5,MATCH(4,$F246:$J246,0)),IF(4=MAX($F246:$J246)+1,"取消",""))</f>
        <v>刘师傅</v>
      </c>
      <c r="P246" s="0" t="str">
        <f aca="false">IFERROR(INDEX($A$1:$A$5,MATCH(5,$F246:$J246,0)),IF(5=MAX($F246:$J246)+1,"取消",""))</f>
        <v>取消</v>
      </c>
      <c r="Q246" s="0" t="str">
        <f aca="false">IFERROR(INDEX($A$1:$A$5,MATCH(6,$F246:$J246,0)),IF(6=MAX($F246:$J246)+1,"取消",""))</f>
        <v/>
      </c>
      <c r="S246" s="0" t="n">
        <f aca="false">IF(OR($A$1=入户维修!$F246,$A$1=入户维修!$G246,$BN$1=1),0,1-SUMPRODUCT(--(($A$1=入户维修!$F246)+($A$1=入户维修!$G246)+$BN$1&gt;0)))</f>
        <v>0</v>
      </c>
      <c r="T246" s="0" t="n">
        <f aca="false">IF(OR($A$2=入户维修!$F246,$A$2=入户维修!$G246,$BN$2=1),0,2-SUMPRODUCT(--(($A$1:$A$2=入户维修!$F246)+($A$1:$A$2=入户维修!$G246)+$BN$1:$BN$2&gt;0)))</f>
        <v>1</v>
      </c>
      <c r="U246" s="0" t="n">
        <f aca="false">IF(OR($A$3=入户维修!$F246,$A$3=入户维修!$G246,$BN$3=1),0,3-SUMPRODUCT(--(($A$1:$A$3=入户维修!$F246)+($A$1:$A$3=入户维修!$G246)+$BN$1:$BN$3&gt;0)))</f>
        <v>2</v>
      </c>
      <c r="V246" s="0" t="n">
        <f aca="false">IF(OR($A$4=入户维修!$F246,$A$4=入户维修!$G246,$BN$4=1),0,4-SUMPRODUCT(--(($A$1:$A$4=入户维修!$F246)+($A$1:$A$4=入户维修!$G246)+$BN$1:$BN$4&gt;0)))</f>
        <v>3</v>
      </c>
      <c r="W246" s="0" t="n">
        <f aca="false">IF(OR($A$5=入户维修!$F246,$A$5=入户维修!$G246,$BN$5=1),0,5-SUMPRODUCT(--(($A$1:$A$5=入户维修!$F246)+($A$1:$A$5=入户维修!$G246)+$BN$1:$BN$5&gt;0)))</f>
        <v>4</v>
      </c>
      <c r="Y246" s="0" t="str">
        <f aca="false">IFERROR(INDEX($A$1:$A$5,MATCH(1,$S246:$W246,0)),IF(1=MAX($S246:$W246)+1,"取消",""))</f>
        <v>李师傅</v>
      </c>
      <c r="Z246" s="0" t="str">
        <f aca="false">IFERROR(INDEX($A$1:$A$5,MATCH(2,$S246:$W246,0)),IF(2=MAX($S246:$W246)+1,"取消",""))</f>
        <v>王师傅</v>
      </c>
      <c r="AA246" s="0" t="str">
        <f aca="false">IFERROR(INDEX($A$1:$A$5,MATCH(3,$S246:$W246,0)),IF(3=MAX($S246:$W246)+1,"取消",""))</f>
        <v>陈师傅</v>
      </c>
      <c r="AB246" s="0" t="str">
        <f aca="false">IFERROR(INDEX($A$1:$A$5,MATCH(4,$S246:$W246,0)),IF(4=MAX($S246:$W246)+1,"取消",""))</f>
        <v>刘师傅</v>
      </c>
      <c r="AC246" s="0" t="str">
        <f aca="false">IFERROR(INDEX($A$1:$A$5,MATCH(5,$S246:$W246,0)),IF(5=MAX($S246:$W246)+1,"取消",""))</f>
        <v>取消</v>
      </c>
      <c r="AD246" s="0" t="str">
        <f aca="false">IFERROR(INDEX($A$1:$A$5,MATCH(6,$S246:$W246,0)),IF(6=MAX($S246:$W246)+1,"取消",""))</f>
        <v/>
      </c>
      <c r="AF246" s="0" t="n">
        <f aca="false">IF(OR($A$1=公区维修!$F246,$BN$1=1),0,1-SUMPRODUCT(--(($A$1=公区维修!$F246)+$BN$1&gt;0)))</f>
        <v>0</v>
      </c>
      <c r="AG246" s="0" t="n">
        <f aca="false">IF(OR($A$2=公区维修!$F246,$BN$2=1),0,2-SUMPRODUCT(--(($A$1:$A$2=公区维修!$F246)+$BN$1:$BN$2&gt;0)))</f>
        <v>1</v>
      </c>
      <c r="AH246" s="0" t="n">
        <f aca="false">IF(OR($A$3=公区维修!$F246,$BN$3=1),0,3-SUMPRODUCT(--(($A$1:$A$3=公区维修!$F246)+$BN$1:$BN$3&gt;0)))</f>
        <v>2</v>
      </c>
      <c r="AI246" s="0" t="n">
        <f aca="false">IF(OR($A$4=公区维修!$F246,$BN$4=1),0,4-SUMPRODUCT(--(($A$1:$A$4=公区维修!$F246)+$BN$1:$BN$4&gt;0)))</f>
        <v>3</v>
      </c>
      <c r="AJ246" s="0" t="n">
        <f aca="false">IF(OR($A$5=公区维修!$F246,$BN$5=1),0,5-SUMPRODUCT(--(($A$1:$A$5=公区维修!$F246)+$BN$1:$BN$5&gt;0)))</f>
        <v>4</v>
      </c>
      <c r="AL246" s="0" t="str">
        <f aca="false">IFERROR(INDEX($A$1:$A$5,MATCH(1,$AF246:$AJ246,0)),IF(1=MAX($AF246:$AJ246)+1,"取消",""))</f>
        <v>李师傅</v>
      </c>
      <c r="AM246" s="0" t="str">
        <f aca="false">IFERROR(INDEX($A$1:$A$5,MATCH(2,$AF246:$AJ246,0)),IF(2=MAX($AF246:$AJ246)+1,"取消",""))</f>
        <v>王师傅</v>
      </c>
      <c r="AN246" s="0" t="str">
        <f aca="false">IFERROR(INDEX($A$1:$A$5,MATCH(3,$AF246:$AJ246,0)),IF(3=MAX($AF246:$AJ246)+1,"取消",""))</f>
        <v>陈师傅</v>
      </c>
      <c r="AO246" s="0" t="str">
        <f aca="false">IFERROR(INDEX($A$1:$A$5,MATCH(4,$AF246:$AJ246,0)),IF(4=MAX($AF246:$AJ246)+1,"取消",""))</f>
        <v>刘师傅</v>
      </c>
      <c r="AP246" s="0" t="str">
        <f aca="false">IFERROR(INDEX($A$1:$A$5,MATCH(5,$AF246:$AJ246,0)),IF(5=MAX($AF246:$AJ246)+1,"取消",""))</f>
        <v>取消</v>
      </c>
      <c r="AQ246" s="0" t="str">
        <f aca="false">IFERROR(INDEX($A$1:$A$5,MATCH(6,$AF246:$AJ246,0)),IF(6=MAX($AF246:$AJ246)+1,"取消",""))</f>
        <v/>
      </c>
      <c r="AS246" s="0" t="n">
        <f aca="false">IF(OR($A$1=公区维修!$F246,$A$1=公区维修!$G246,$BN$1=1),0,1-SUMPRODUCT(--(($A$1=公区维修!$F246)+($A$1=公区维修!$G246)+$BN$1&gt;0)))</f>
        <v>0</v>
      </c>
      <c r="AT246" s="0" t="n">
        <f aca="false">IF(OR($A$2=公区维修!$F246,$A$2=公区维修!$G246,$BN$2=1),0,2-SUMPRODUCT(--(($A$1:$A$2=公区维修!$F246)+($A$1:$A$2=公区维修!$G246)+$BN$1:$BN$2&gt;0)))</f>
        <v>1</v>
      </c>
      <c r="AU246" s="0" t="n">
        <f aca="false">IF(OR($A$3=公区维修!$F246,$A$3=公区维修!$G246,$BN$3=1),0,3-SUMPRODUCT(--(($A$1:$A$3=公区维修!$F246)+($A$1:$A$3=公区维修!$G246)+$BN$1:$BN$3&gt;0)))</f>
        <v>2</v>
      </c>
      <c r="AV246" s="0" t="n">
        <f aca="false">IF(OR($A$4=公区维修!$F246,$A$4=公区维修!$G246,$BN$4=1),0,4-SUMPRODUCT(--(($A$1:$A$4=公区维修!$F246)+($A$1:$A$4=公区维修!$G246)+$BN$1:$BN$4&gt;0)))</f>
        <v>3</v>
      </c>
      <c r="AW246" s="0" t="n">
        <f aca="false">IF(OR($A$5=公区维修!$F246,$A$5=公区维修!$G246,$BN$5=1),0,5-SUMPRODUCT(--(($A$1:$A$5=公区维修!$F246)+($A$1:$A$5=公区维修!$G246)+$BN$1:$BN$5&gt;0)))</f>
        <v>4</v>
      </c>
      <c r="AY246" s="0" t="str">
        <f aca="false">IFERROR(INDEX($A$1:$A$5,MATCH(1,$AS246:$AW246,0)),IF(1=MAX($AS246:$AW246)+1,"取消",""))</f>
        <v>李师傅</v>
      </c>
      <c r="AZ246" s="0" t="str">
        <f aca="false">IFERROR(INDEX($A$1:$A$5,MATCH(2,$AS246:$AW246,0)),IF(2=MAX($AS246:$AW246)+1,"取消",""))</f>
        <v>王师傅</v>
      </c>
      <c r="BA246" s="0" t="str">
        <f aca="false">IFERROR(INDEX($A$1:$A$5,MATCH(3,$AS246:$AW246,0)),IF(3=MAX($AS246:$AW246)+1,"取消",""))</f>
        <v>陈师傅</v>
      </c>
      <c r="BB246" s="0" t="str">
        <f aca="false">IFERROR(INDEX($A$1:$A$5,MATCH(4,$AS246:$AW246,0)),IF(4=MAX($AS246:$AW246)+1,"取消",""))</f>
        <v>刘师傅</v>
      </c>
      <c r="BC246" s="0" t="str">
        <f aca="false">IFERROR(INDEX($A$1:$A$5,MATCH(5,$AS246:$AW246,0)),IF(5=MAX($AS246:$AW246)+1,"取消",""))</f>
        <v>取消</v>
      </c>
      <c r="BD246" s="0" t="str">
        <f aca="false">IFERROR(INDEX($A$1:$A$5,MATCH(6,$AS246:$AW246,0)),IF(6=MAX($AS246:$AW246)+1,"取消",""))</f>
        <v/>
      </c>
      <c r="FW246" s="0" t="str">
        <f aca="false">IF(AND(单元查询!$D$3&lt;&gt;"",IF(单元查询!$B$3="公区维修",公区维修!$E246&lt;&gt;"",入户维修!$E246&lt;&gt;""),IF(单元查询!$B$3="公区维修",公区维修!$C246,入户维修!$C246)=单元查询!$D$3,OR(单元查询!$F$3="",IF(单元查询!$B$3="公区维修",公区维修!$D246,入户维修!$D246)&amp;""=(单元查询!$F$3)&amp;"")),MAX($FW$4:$FW245)+1,"")</f>
        <v/>
      </c>
    </row>
    <row r="247" customFormat="false" ht="15" hidden="false" customHeight="true" outlineLevel="0" collapsed="false">
      <c r="F247" s="0" t="n">
        <f aca="false">IF(OR($A$1=入户维修!$F247,$BN$1=1),0,1-SUMPRODUCT(--(($A$1=入户维修!$F247)+$BN$1&gt;0)))</f>
        <v>0</v>
      </c>
      <c r="G247" s="0" t="n">
        <f aca="false">IF(OR($A$2=入户维修!$F247,$BN$2=1),0,2-SUMPRODUCT(--(($A$1:$A$2=入户维修!$F247)+$BN$1:$BN$2&gt;0)))</f>
        <v>1</v>
      </c>
      <c r="H247" s="0" t="n">
        <f aca="false">IF(OR($A$3=入户维修!$F247,$BN$3=1),0,3-SUMPRODUCT(--(($A$1:$A$3=入户维修!$F247)+$BN$1:$BN$3&gt;0)))</f>
        <v>2</v>
      </c>
      <c r="I247" s="0" t="n">
        <f aca="false">IF(OR($A$4=入户维修!$F247,$BN$4=1),0,4-SUMPRODUCT(--(($A$1:$A$4=入户维修!$F247)+$BN$1:$BN$4&gt;0)))</f>
        <v>3</v>
      </c>
      <c r="J247" s="0" t="n">
        <f aca="false">IF(OR($A$5=入户维修!$F247,$BN$5=1),0,5-SUMPRODUCT(--(($A$1:$A$5=入户维修!$F247)+$BN$1:$BN$5&gt;0)))</f>
        <v>4</v>
      </c>
      <c r="L247" s="0" t="str">
        <f aca="false">IFERROR(INDEX($A$1:$A$5,MATCH(1,$F247:$J247,0)),IF(1=MAX($F247:$J247)+1,"取消",""))</f>
        <v>李师傅</v>
      </c>
      <c r="M247" s="0" t="str">
        <f aca="false">IFERROR(INDEX($A$1:$A$5,MATCH(2,$F247:$J247,0)),IF(2=MAX($F247:$J247)+1,"取消",""))</f>
        <v>王师傅</v>
      </c>
      <c r="N247" s="0" t="str">
        <f aca="false">IFERROR(INDEX($A$1:$A$5,MATCH(3,$F247:$J247,0)),IF(3=MAX($F247:$J247)+1,"取消",""))</f>
        <v>陈师傅</v>
      </c>
      <c r="O247" s="0" t="str">
        <f aca="false">IFERROR(INDEX($A$1:$A$5,MATCH(4,$F247:$J247,0)),IF(4=MAX($F247:$J247)+1,"取消",""))</f>
        <v>刘师傅</v>
      </c>
      <c r="P247" s="0" t="str">
        <f aca="false">IFERROR(INDEX($A$1:$A$5,MATCH(5,$F247:$J247,0)),IF(5=MAX($F247:$J247)+1,"取消",""))</f>
        <v>取消</v>
      </c>
      <c r="Q247" s="0" t="str">
        <f aca="false">IFERROR(INDEX($A$1:$A$5,MATCH(6,$F247:$J247,0)),IF(6=MAX($F247:$J247)+1,"取消",""))</f>
        <v/>
      </c>
      <c r="S247" s="0" t="n">
        <f aca="false">IF(OR($A$1=入户维修!$F247,$A$1=入户维修!$G247,$BN$1=1),0,1-SUMPRODUCT(--(($A$1=入户维修!$F247)+($A$1=入户维修!$G247)+$BN$1&gt;0)))</f>
        <v>0</v>
      </c>
      <c r="T247" s="0" t="n">
        <f aca="false">IF(OR($A$2=入户维修!$F247,$A$2=入户维修!$G247,$BN$2=1),0,2-SUMPRODUCT(--(($A$1:$A$2=入户维修!$F247)+($A$1:$A$2=入户维修!$G247)+$BN$1:$BN$2&gt;0)))</f>
        <v>1</v>
      </c>
      <c r="U247" s="0" t="n">
        <f aca="false">IF(OR($A$3=入户维修!$F247,$A$3=入户维修!$G247,$BN$3=1),0,3-SUMPRODUCT(--(($A$1:$A$3=入户维修!$F247)+($A$1:$A$3=入户维修!$G247)+$BN$1:$BN$3&gt;0)))</f>
        <v>2</v>
      </c>
      <c r="V247" s="0" t="n">
        <f aca="false">IF(OR($A$4=入户维修!$F247,$A$4=入户维修!$G247,$BN$4=1),0,4-SUMPRODUCT(--(($A$1:$A$4=入户维修!$F247)+($A$1:$A$4=入户维修!$G247)+$BN$1:$BN$4&gt;0)))</f>
        <v>3</v>
      </c>
      <c r="W247" s="0" t="n">
        <f aca="false">IF(OR($A$5=入户维修!$F247,$A$5=入户维修!$G247,$BN$5=1),0,5-SUMPRODUCT(--(($A$1:$A$5=入户维修!$F247)+($A$1:$A$5=入户维修!$G247)+$BN$1:$BN$5&gt;0)))</f>
        <v>4</v>
      </c>
      <c r="Y247" s="0" t="str">
        <f aca="false">IFERROR(INDEX($A$1:$A$5,MATCH(1,$S247:$W247,0)),IF(1=MAX($S247:$W247)+1,"取消",""))</f>
        <v>李师傅</v>
      </c>
      <c r="Z247" s="0" t="str">
        <f aca="false">IFERROR(INDEX($A$1:$A$5,MATCH(2,$S247:$W247,0)),IF(2=MAX($S247:$W247)+1,"取消",""))</f>
        <v>王师傅</v>
      </c>
      <c r="AA247" s="0" t="str">
        <f aca="false">IFERROR(INDEX($A$1:$A$5,MATCH(3,$S247:$W247,0)),IF(3=MAX($S247:$W247)+1,"取消",""))</f>
        <v>陈师傅</v>
      </c>
      <c r="AB247" s="0" t="str">
        <f aca="false">IFERROR(INDEX($A$1:$A$5,MATCH(4,$S247:$W247,0)),IF(4=MAX($S247:$W247)+1,"取消",""))</f>
        <v>刘师傅</v>
      </c>
      <c r="AC247" s="0" t="str">
        <f aca="false">IFERROR(INDEX($A$1:$A$5,MATCH(5,$S247:$W247,0)),IF(5=MAX($S247:$W247)+1,"取消",""))</f>
        <v>取消</v>
      </c>
      <c r="AD247" s="0" t="str">
        <f aca="false">IFERROR(INDEX($A$1:$A$5,MATCH(6,$S247:$W247,0)),IF(6=MAX($S247:$W247)+1,"取消",""))</f>
        <v/>
      </c>
      <c r="AF247" s="0" t="n">
        <f aca="false">IF(OR($A$1=公区维修!$F247,$BN$1=1),0,1-SUMPRODUCT(--(($A$1=公区维修!$F247)+$BN$1&gt;0)))</f>
        <v>0</v>
      </c>
      <c r="AG247" s="0" t="n">
        <f aca="false">IF(OR($A$2=公区维修!$F247,$BN$2=1),0,2-SUMPRODUCT(--(($A$1:$A$2=公区维修!$F247)+$BN$1:$BN$2&gt;0)))</f>
        <v>1</v>
      </c>
      <c r="AH247" s="0" t="n">
        <f aca="false">IF(OR($A$3=公区维修!$F247,$BN$3=1),0,3-SUMPRODUCT(--(($A$1:$A$3=公区维修!$F247)+$BN$1:$BN$3&gt;0)))</f>
        <v>2</v>
      </c>
      <c r="AI247" s="0" t="n">
        <f aca="false">IF(OR($A$4=公区维修!$F247,$BN$4=1),0,4-SUMPRODUCT(--(($A$1:$A$4=公区维修!$F247)+$BN$1:$BN$4&gt;0)))</f>
        <v>3</v>
      </c>
      <c r="AJ247" s="0" t="n">
        <f aca="false">IF(OR($A$5=公区维修!$F247,$BN$5=1),0,5-SUMPRODUCT(--(($A$1:$A$5=公区维修!$F247)+$BN$1:$BN$5&gt;0)))</f>
        <v>4</v>
      </c>
      <c r="AL247" s="0" t="str">
        <f aca="false">IFERROR(INDEX($A$1:$A$5,MATCH(1,$AF247:$AJ247,0)),IF(1=MAX($AF247:$AJ247)+1,"取消",""))</f>
        <v>李师傅</v>
      </c>
      <c r="AM247" s="0" t="str">
        <f aca="false">IFERROR(INDEX($A$1:$A$5,MATCH(2,$AF247:$AJ247,0)),IF(2=MAX($AF247:$AJ247)+1,"取消",""))</f>
        <v>王师傅</v>
      </c>
      <c r="AN247" s="0" t="str">
        <f aca="false">IFERROR(INDEX($A$1:$A$5,MATCH(3,$AF247:$AJ247,0)),IF(3=MAX($AF247:$AJ247)+1,"取消",""))</f>
        <v>陈师傅</v>
      </c>
      <c r="AO247" s="0" t="str">
        <f aca="false">IFERROR(INDEX($A$1:$A$5,MATCH(4,$AF247:$AJ247,0)),IF(4=MAX($AF247:$AJ247)+1,"取消",""))</f>
        <v>刘师傅</v>
      </c>
      <c r="AP247" s="0" t="str">
        <f aca="false">IFERROR(INDEX($A$1:$A$5,MATCH(5,$AF247:$AJ247,0)),IF(5=MAX($AF247:$AJ247)+1,"取消",""))</f>
        <v>取消</v>
      </c>
      <c r="AQ247" s="0" t="str">
        <f aca="false">IFERROR(INDEX($A$1:$A$5,MATCH(6,$AF247:$AJ247,0)),IF(6=MAX($AF247:$AJ247)+1,"取消",""))</f>
        <v/>
      </c>
      <c r="AS247" s="0" t="n">
        <f aca="false">IF(OR($A$1=公区维修!$F247,$A$1=公区维修!$G247,$BN$1=1),0,1-SUMPRODUCT(--(($A$1=公区维修!$F247)+($A$1=公区维修!$G247)+$BN$1&gt;0)))</f>
        <v>0</v>
      </c>
      <c r="AT247" s="0" t="n">
        <f aca="false">IF(OR($A$2=公区维修!$F247,$A$2=公区维修!$G247,$BN$2=1),0,2-SUMPRODUCT(--(($A$1:$A$2=公区维修!$F247)+($A$1:$A$2=公区维修!$G247)+$BN$1:$BN$2&gt;0)))</f>
        <v>1</v>
      </c>
      <c r="AU247" s="0" t="n">
        <f aca="false">IF(OR($A$3=公区维修!$F247,$A$3=公区维修!$G247,$BN$3=1),0,3-SUMPRODUCT(--(($A$1:$A$3=公区维修!$F247)+($A$1:$A$3=公区维修!$G247)+$BN$1:$BN$3&gt;0)))</f>
        <v>2</v>
      </c>
      <c r="AV247" s="0" t="n">
        <f aca="false">IF(OR($A$4=公区维修!$F247,$A$4=公区维修!$G247,$BN$4=1),0,4-SUMPRODUCT(--(($A$1:$A$4=公区维修!$F247)+($A$1:$A$4=公区维修!$G247)+$BN$1:$BN$4&gt;0)))</f>
        <v>3</v>
      </c>
      <c r="AW247" s="0" t="n">
        <f aca="false">IF(OR($A$5=公区维修!$F247,$A$5=公区维修!$G247,$BN$5=1),0,5-SUMPRODUCT(--(($A$1:$A$5=公区维修!$F247)+($A$1:$A$5=公区维修!$G247)+$BN$1:$BN$5&gt;0)))</f>
        <v>4</v>
      </c>
      <c r="AY247" s="0" t="str">
        <f aca="false">IFERROR(INDEX($A$1:$A$5,MATCH(1,$AS247:$AW247,0)),IF(1=MAX($AS247:$AW247)+1,"取消",""))</f>
        <v>李师傅</v>
      </c>
      <c r="AZ247" s="0" t="str">
        <f aca="false">IFERROR(INDEX($A$1:$A$5,MATCH(2,$AS247:$AW247,0)),IF(2=MAX($AS247:$AW247)+1,"取消",""))</f>
        <v>王师傅</v>
      </c>
      <c r="BA247" s="0" t="str">
        <f aca="false">IFERROR(INDEX($A$1:$A$5,MATCH(3,$AS247:$AW247,0)),IF(3=MAX($AS247:$AW247)+1,"取消",""))</f>
        <v>陈师傅</v>
      </c>
      <c r="BB247" s="0" t="str">
        <f aca="false">IFERROR(INDEX($A$1:$A$5,MATCH(4,$AS247:$AW247,0)),IF(4=MAX($AS247:$AW247)+1,"取消",""))</f>
        <v>刘师傅</v>
      </c>
      <c r="BC247" s="0" t="str">
        <f aca="false">IFERROR(INDEX($A$1:$A$5,MATCH(5,$AS247:$AW247,0)),IF(5=MAX($AS247:$AW247)+1,"取消",""))</f>
        <v>取消</v>
      </c>
      <c r="BD247" s="0" t="str">
        <f aca="false">IFERROR(INDEX($A$1:$A$5,MATCH(6,$AS247:$AW247,0)),IF(6=MAX($AS247:$AW247)+1,"取消",""))</f>
        <v/>
      </c>
      <c r="FW247" s="0" t="str">
        <f aca="false">IF(AND(单元查询!$D$3&lt;&gt;"",IF(单元查询!$B$3="公区维修",公区维修!$E247&lt;&gt;"",入户维修!$E247&lt;&gt;""),IF(单元查询!$B$3="公区维修",公区维修!$C247,入户维修!$C247)=单元查询!$D$3,OR(单元查询!$F$3="",IF(单元查询!$B$3="公区维修",公区维修!$D247,入户维修!$D247)&amp;""=(单元查询!$F$3)&amp;"")),MAX($FW$4:$FW246)+1,"")</f>
        <v/>
      </c>
    </row>
    <row r="248" customFormat="false" ht="15" hidden="false" customHeight="true" outlineLevel="0" collapsed="false">
      <c r="F248" s="0" t="n">
        <f aca="false">IF(OR($A$1=入户维修!$F248,$BN$1=1),0,1-SUMPRODUCT(--(($A$1=入户维修!$F248)+$BN$1&gt;0)))</f>
        <v>0</v>
      </c>
      <c r="G248" s="0" t="n">
        <f aca="false">IF(OR($A$2=入户维修!$F248,$BN$2=1),0,2-SUMPRODUCT(--(($A$1:$A$2=入户维修!$F248)+$BN$1:$BN$2&gt;0)))</f>
        <v>1</v>
      </c>
      <c r="H248" s="0" t="n">
        <f aca="false">IF(OR($A$3=入户维修!$F248,$BN$3=1),0,3-SUMPRODUCT(--(($A$1:$A$3=入户维修!$F248)+$BN$1:$BN$3&gt;0)))</f>
        <v>2</v>
      </c>
      <c r="I248" s="0" t="n">
        <f aca="false">IF(OR($A$4=入户维修!$F248,$BN$4=1),0,4-SUMPRODUCT(--(($A$1:$A$4=入户维修!$F248)+$BN$1:$BN$4&gt;0)))</f>
        <v>3</v>
      </c>
      <c r="J248" s="0" t="n">
        <f aca="false">IF(OR($A$5=入户维修!$F248,$BN$5=1),0,5-SUMPRODUCT(--(($A$1:$A$5=入户维修!$F248)+$BN$1:$BN$5&gt;0)))</f>
        <v>4</v>
      </c>
      <c r="L248" s="0" t="str">
        <f aca="false">IFERROR(INDEX($A$1:$A$5,MATCH(1,$F248:$J248,0)),IF(1=MAX($F248:$J248)+1,"取消",""))</f>
        <v>李师傅</v>
      </c>
      <c r="M248" s="0" t="str">
        <f aca="false">IFERROR(INDEX($A$1:$A$5,MATCH(2,$F248:$J248,0)),IF(2=MAX($F248:$J248)+1,"取消",""))</f>
        <v>王师傅</v>
      </c>
      <c r="N248" s="0" t="str">
        <f aca="false">IFERROR(INDEX($A$1:$A$5,MATCH(3,$F248:$J248,0)),IF(3=MAX($F248:$J248)+1,"取消",""))</f>
        <v>陈师傅</v>
      </c>
      <c r="O248" s="0" t="str">
        <f aca="false">IFERROR(INDEX($A$1:$A$5,MATCH(4,$F248:$J248,0)),IF(4=MAX($F248:$J248)+1,"取消",""))</f>
        <v>刘师傅</v>
      </c>
      <c r="P248" s="0" t="str">
        <f aca="false">IFERROR(INDEX($A$1:$A$5,MATCH(5,$F248:$J248,0)),IF(5=MAX($F248:$J248)+1,"取消",""))</f>
        <v>取消</v>
      </c>
      <c r="Q248" s="0" t="str">
        <f aca="false">IFERROR(INDEX($A$1:$A$5,MATCH(6,$F248:$J248,0)),IF(6=MAX($F248:$J248)+1,"取消",""))</f>
        <v/>
      </c>
      <c r="S248" s="0" t="n">
        <f aca="false">IF(OR($A$1=入户维修!$F248,$A$1=入户维修!$G248,$BN$1=1),0,1-SUMPRODUCT(--(($A$1=入户维修!$F248)+($A$1=入户维修!$G248)+$BN$1&gt;0)))</f>
        <v>0</v>
      </c>
      <c r="T248" s="0" t="n">
        <f aca="false">IF(OR($A$2=入户维修!$F248,$A$2=入户维修!$G248,$BN$2=1),0,2-SUMPRODUCT(--(($A$1:$A$2=入户维修!$F248)+($A$1:$A$2=入户维修!$G248)+$BN$1:$BN$2&gt;0)))</f>
        <v>1</v>
      </c>
      <c r="U248" s="0" t="n">
        <f aca="false">IF(OR($A$3=入户维修!$F248,$A$3=入户维修!$G248,$BN$3=1),0,3-SUMPRODUCT(--(($A$1:$A$3=入户维修!$F248)+($A$1:$A$3=入户维修!$G248)+$BN$1:$BN$3&gt;0)))</f>
        <v>2</v>
      </c>
      <c r="V248" s="0" t="n">
        <f aca="false">IF(OR($A$4=入户维修!$F248,$A$4=入户维修!$G248,$BN$4=1),0,4-SUMPRODUCT(--(($A$1:$A$4=入户维修!$F248)+($A$1:$A$4=入户维修!$G248)+$BN$1:$BN$4&gt;0)))</f>
        <v>3</v>
      </c>
      <c r="W248" s="0" t="n">
        <f aca="false">IF(OR($A$5=入户维修!$F248,$A$5=入户维修!$G248,$BN$5=1),0,5-SUMPRODUCT(--(($A$1:$A$5=入户维修!$F248)+($A$1:$A$5=入户维修!$G248)+$BN$1:$BN$5&gt;0)))</f>
        <v>4</v>
      </c>
      <c r="Y248" s="0" t="str">
        <f aca="false">IFERROR(INDEX($A$1:$A$5,MATCH(1,$S248:$W248,0)),IF(1=MAX($S248:$W248)+1,"取消",""))</f>
        <v>李师傅</v>
      </c>
      <c r="Z248" s="0" t="str">
        <f aca="false">IFERROR(INDEX($A$1:$A$5,MATCH(2,$S248:$W248,0)),IF(2=MAX($S248:$W248)+1,"取消",""))</f>
        <v>王师傅</v>
      </c>
      <c r="AA248" s="0" t="str">
        <f aca="false">IFERROR(INDEX($A$1:$A$5,MATCH(3,$S248:$W248,0)),IF(3=MAX($S248:$W248)+1,"取消",""))</f>
        <v>陈师傅</v>
      </c>
      <c r="AB248" s="0" t="str">
        <f aca="false">IFERROR(INDEX($A$1:$A$5,MATCH(4,$S248:$W248,0)),IF(4=MAX($S248:$W248)+1,"取消",""))</f>
        <v>刘师傅</v>
      </c>
      <c r="AC248" s="0" t="str">
        <f aca="false">IFERROR(INDEX($A$1:$A$5,MATCH(5,$S248:$W248,0)),IF(5=MAX($S248:$W248)+1,"取消",""))</f>
        <v>取消</v>
      </c>
      <c r="AD248" s="0" t="str">
        <f aca="false">IFERROR(INDEX($A$1:$A$5,MATCH(6,$S248:$W248,0)),IF(6=MAX($S248:$W248)+1,"取消",""))</f>
        <v/>
      </c>
      <c r="AF248" s="0" t="n">
        <f aca="false">IF(OR($A$1=公区维修!$F248,$BN$1=1),0,1-SUMPRODUCT(--(($A$1=公区维修!$F248)+$BN$1&gt;0)))</f>
        <v>0</v>
      </c>
      <c r="AG248" s="0" t="n">
        <f aca="false">IF(OR($A$2=公区维修!$F248,$BN$2=1),0,2-SUMPRODUCT(--(($A$1:$A$2=公区维修!$F248)+$BN$1:$BN$2&gt;0)))</f>
        <v>1</v>
      </c>
      <c r="AH248" s="0" t="n">
        <f aca="false">IF(OR($A$3=公区维修!$F248,$BN$3=1),0,3-SUMPRODUCT(--(($A$1:$A$3=公区维修!$F248)+$BN$1:$BN$3&gt;0)))</f>
        <v>2</v>
      </c>
      <c r="AI248" s="0" t="n">
        <f aca="false">IF(OR($A$4=公区维修!$F248,$BN$4=1),0,4-SUMPRODUCT(--(($A$1:$A$4=公区维修!$F248)+$BN$1:$BN$4&gt;0)))</f>
        <v>3</v>
      </c>
      <c r="AJ248" s="0" t="n">
        <f aca="false">IF(OR($A$5=公区维修!$F248,$BN$5=1),0,5-SUMPRODUCT(--(($A$1:$A$5=公区维修!$F248)+$BN$1:$BN$5&gt;0)))</f>
        <v>4</v>
      </c>
      <c r="AL248" s="0" t="str">
        <f aca="false">IFERROR(INDEX($A$1:$A$5,MATCH(1,$AF248:$AJ248,0)),IF(1=MAX($AF248:$AJ248)+1,"取消",""))</f>
        <v>李师傅</v>
      </c>
      <c r="AM248" s="0" t="str">
        <f aca="false">IFERROR(INDEX($A$1:$A$5,MATCH(2,$AF248:$AJ248,0)),IF(2=MAX($AF248:$AJ248)+1,"取消",""))</f>
        <v>王师傅</v>
      </c>
      <c r="AN248" s="0" t="str">
        <f aca="false">IFERROR(INDEX($A$1:$A$5,MATCH(3,$AF248:$AJ248,0)),IF(3=MAX($AF248:$AJ248)+1,"取消",""))</f>
        <v>陈师傅</v>
      </c>
      <c r="AO248" s="0" t="str">
        <f aca="false">IFERROR(INDEX($A$1:$A$5,MATCH(4,$AF248:$AJ248,0)),IF(4=MAX($AF248:$AJ248)+1,"取消",""))</f>
        <v>刘师傅</v>
      </c>
      <c r="AP248" s="0" t="str">
        <f aca="false">IFERROR(INDEX($A$1:$A$5,MATCH(5,$AF248:$AJ248,0)),IF(5=MAX($AF248:$AJ248)+1,"取消",""))</f>
        <v>取消</v>
      </c>
      <c r="AQ248" s="0" t="str">
        <f aca="false">IFERROR(INDEX($A$1:$A$5,MATCH(6,$AF248:$AJ248,0)),IF(6=MAX($AF248:$AJ248)+1,"取消",""))</f>
        <v/>
      </c>
      <c r="AS248" s="0" t="n">
        <f aca="false">IF(OR($A$1=公区维修!$F248,$A$1=公区维修!$G248,$BN$1=1),0,1-SUMPRODUCT(--(($A$1=公区维修!$F248)+($A$1=公区维修!$G248)+$BN$1&gt;0)))</f>
        <v>0</v>
      </c>
      <c r="AT248" s="0" t="n">
        <f aca="false">IF(OR($A$2=公区维修!$F248,$A$2=公区维修!$G248,$BN$2=1),0,2-SUMPRODUCT(--(($A$1:$A$2=公区维修!$F248)+($A$1:$A$2=公区维修!$G248)+$BN$1:$BN$2&gt;0)))</f>
        <v>1</v>
      </c>
      <c r="AU248" s="0" t="n">
        <f aca="false">IF(OR($A$3=公区维修!$F248,$A$3=公区维修!$G248,$BN$3=1),0,3-SUMPRODUCT(--(($A$1:$A$3=公区维修!$F248)+($A$1:$A$3=公区维修!$G248)+$BN$1:$BN$3&gt;0)))</f>
        <v>2</v>
      </c>
      <c r="AV248" s="0" t="n">
        <f aca="false">IF(OR($A$4=公区维修!$F248,$A$4=公区维修!$G248,$BN$4=1),0,4-SUMPRODUCT(--(($A$1:$A$4=公区维修!$F248)+($A$1:$A$4=公区维修!$G248)+$BN$1:$BN$4&gt;0)))</f>
        <v>3</v>
      </c>
      <c r="AW248" s="0" t="n">
        <f aca="false">IF(OR($A$5=公区维修!$F248,$A$5=公区维修!$G248,$BN$5=1),0,5-SUMPRODUCT(--(($A$1:$A$5=公区维修!$F248)+($A$1:$A$5=公区维修!$G248)+$BN$1:$BN$5&gt;0)))</f>
        <v>4</v>
      </c>
      <c r="AY248" s="0" t="str">
        <f aca="false">IFERROR(INDEX($A$1:$A$5,MATCH(1,$AS248:$AW248,0)),IF(1=MAX($AS248:$AW248)+1,"取消",""))</f>
        <v>李师傅</v>
      </c>
      <c r="AZ248" s="0" t="str">
        <f aca="false">IFERROR(INDEX($A$1:$A$5,MATCH(2,$AS248:$AW248,0)),IF(2=MAX($AS248:$AW248)+1,"取消",""))</f>
        <v>王师傅</v>
      </c>
      <c r="BA248" s="0" t="str">
        <f aca="false">IFERROR(INDEX($A$1:$A$5,MATCH(3,$AS248:$AW248,0)),IF(3=MAX($AS248:$AW248)+1,"取消",""))</f>
        <v>陈师傅</v>
      </c>
      <c r="BB248" s="0" t="str">
        <f aca="false">IFERROR(INDEX($A$1:$A$5,MATCH(4,$AS248:$AW248,0)),IF(4=MAX($AS248:$AW248)+1,"取消",""))</f>
        <v>刘师傅</v>
      </c>
      <c r="BC248" s="0" t="str">
        <f aca="false">IFERROR(INDEX($A$1:$A$5,MATCH(5,$AS248:$AW248,0)),IF(5=MAX($AS248:$AW248)+1,"取消",""))</f>
        <v>取消</v>
      </c>
      <c r="BD248" s="0" t="str">
        <f aca="false">IFERROR(INDEX($A$1:$A$5,MATCH(6,$AS248:$AW248,0)),IF(6=MAX($AS248:$AW248)+1,"取消",""))</f>
        <v/>
      </c>
      <c r="FW248" s="0" t="str">
        <f aca="false">IF(AND(单元查询!$D$3&lt;&gt;"",IF(单元查询!$B$3="公区维修",公区维修!$E248&lt;&gt;"",入户维修!$E248&lt;&gt;""),IF(单元查询!$B$3="公区维修",公区维修!$C248,入户维修!$C248)=单元查询!$D$3,OR(单元查询!$F$3="",IF(单元查询!$B$3="公区维修",公区维修!$D248,入户维修!$D248)&amp;""=(单元查询!$F$3)&amp;"")),MAX($FW$4:$FW247)+1,"")</f>
        <v/>
      </c>
    </row>
    <row r="249" customFormat="false" ht="15" hidden="false" customHeight="true" outlineLevel="0" collapsed="false">
      <c r="F249" s="0" t="n">
        <f aca="false">IF(OR($A$1=入户维修!$F249,$BN$1=1),0,1-SUMPRODUCT(--(($A$1=入户维修!$F249)+$BN$1&gt;0)))</f>
        <v>0</v>
      </c>
      <c r="G249" s="0" t="n">
        <f aca="false">IF(OR($A$2=入户维修!$F249,$BN$2=1),0,2-SUMPRODUCT(--(($A$1:$A$2=入户维修!$F249)+$BN$1:$BN$2&gt;0)))</f>
        <v>1</v>
      </c>
      <c r="H249" s="0" t="n">
        <f aca="false">IF(OR($A$3=入户维修!$F249,$BN$3=1),0,3-SUMPRODUCT(--(($A$1:$A$3=入户维修!$F249)+$BN$1:$BN$3&gt;0)))</f>
        <v>2</v>
      </c>
      <c r="I249" s="0" t="n">
        <f aca="false">IF(OR($A$4=入户维修!$F249,$BN$4=1),0,4-SUMPRODUCT(--(($A$1:$A$4=入户维修!$F249)+$BN$1:$BN$4&gt;0)))</f>
        <v>3</v>
      </c>
      <c r="J249" s="0" t="n">
        <f aca="false">IF(OR($A$5=入户维修!$F249,$BN$5=1),0,5-SUMPRODUCT(--(($A$1:$A$5=入户维修!$F249)+$BN$1:$BN$5&gt;0)))</f>
        <v>4</v>
      </c>
      <c r="L249" s="0" t="str">
        <f aca="false">IFERROR(INDEX($A$1:$A$5,MATCH(1,$F249:$J249,0)),IF(1=MAX($F249:$J249)+1,"取消",""))</f>
        <v>李师傅</v>
      </c>
      <c r="M249" s="0" t="str">
        <f aca="false">IFERROR(INDEX($A$1:$A$5,MATCH(2,$F249:$J249,0)),IF(2=MAX($F249:$J249)+1,"取消",""))</f>
        <v>王师傅</v>
      </c>
      <c r="N249" s="0" t="str">
        <f aca="false">IFERROR(INDEX($A$1:$A$5,MATCH(3,$F249:$J249,0)),IF(3=MAX($F249:$J249)+1,"取消",""))</f>
        <v>陈师傅</v>
      </c>
      <c r="O249" s="0" t="str">
        <f aca="false">IFERROR(INDEX($A$1:$A$5,MATCH(4,$F249:$J249,0)),IF(4=MAX($F249:$J249)+1,"取消",""))</f>
        <v>刘师傅</v>
      </c>
      <c r="P249" s="0" t="str">
        <f aca="false">IFERROR(INDEX($A$1:$A$5,MATCH(5,$F249:$J249,0)),IF(5=MAX($F249:$J249)+1,"取消",""))</f>
        <v>取消</v>
      </c>
      <c r="Q249" s="0" t="str">
        <f aca="false">IFERROR(INDEX($A$1:$A$5,MATCH(6,$F249:$J249,0)),IF(6=MAX($F249:$J249)+1,"取消",""))</f>
        <v/>
      </c>
      <c r="S249" s="0" t="n">
        <f aca="false">IF(OR($A$1=入户维修!$F249,$A$1=入户维修!$G249,$BN$1=1),0,1-SUMPRODUCT(--(($A$1=入户维修!$F249)+($A$1=入户维修!$G249)+$BN$1&gt;0)))</f>
        <v>0</v>
      </c>
      <c r="T249" s="0" t="n">
        <f aca="false">IF(OR($A$2=入户维修!$F249,$A$2=入户维修!$G249,$BN$2=1),0,2-SUMPRODUCT(--(($A$1:$A$2=入户维修!$F249)+($A$1:$A$2=入户维修!$G249)+$BN$1:$BN$2&gt;0)))</f>
        <v>1</v>
      </c>
      <c r="U249" s="0" t="n">
        <f aca="false">IF(OR($A$3=入户维修!$F249,$A$3=入户维修!$G249,$BN$3=1),0,3-SUMPRODUCT(--(($A$1:$A$3=入户维修!$F249)+($A$1:$A$3=入户维修!$G249)+$BN$1:$BN$3&gt;0)))</f>
        <v>2</v>
      </c>
      <c r="V249" s="0" t="n">
        <f aca="false">IF(OR($A$4=入户维修!$F249,$A$4=入户维修!$G249,$BN$4=1),0,4-SUMPRODUCT(--(($A$1:$A$4=入户维修!$F249)+($A$1:$A$4=入户维修!$G249)+$BN$1:$BN$4&gt;0)))</f>
        <v>3</v>
      </c>
      <c r="W249" s="0" t="n">
        <f aca="false">IF(OR($A$5=入户维修!$F249,$A$5=入户维修!$G249,$BN$5=1),0,5-SUMPRODUCT(--(($A$1:$A$5=入户维修!$F249)+($A$1:$A$5=入户维修!$G249)+$BN$1:$BN$5&gt;0)))</f>
        <v>4</v>
      </c>
      <c r="Y249" s="0" t="str">
        <f aca="false">IFERROR(INDEX($A$1:$A$5,MATCH(1,$S249:$W249,0)),IF(1=MAX($S249:$W249)+1,"取消",""))</f>
        <v>李师傅</v>
      </c>
      <c r="Z249" s="0" t="str">
        <f aca="false">IFERROR(INDEX($A$1:$A$5,MATCH(2,$S249:$W249,0)),IF(2=MAX($S249:$W249)+1,"取消",""))</f>
        <v>王师傅</v>
      </c>
      <c r="AA249" s="0" t="str">
        <f aca="false">IFERROR(INDEX($A$1:$A$5,MATCH(3,$S249:$W249,0)),IF(3=MAX($S249:$W249)+1,"取消",""))</f>
        <v>陈师傅</v>
      </c>
      <c r="AB249" s="0" t="str">
        <f aca="false">IFERROR(INDEX($A$1:$A$5,MATCH(4,$S249:$W249,0)),IF(4=MAX($S249:$W249)+1,"取消",""))</f>
        <v>刘师傅</v>
      </c>
      <c r="AC249" s="0" t="str">
        <f aca="false">IFERROR(INDEX($A$1:$A$5,MATCH(5,$S249:$W249,0)),IF(5=MAX($S249:$W249)+1,"取消",""))</f>
        <v>取消</v>
      </c>
      <c r="AD249" s="0" t="str">
        <f aca="false">IFERROR(INDEX($A$1:$A$5,MATCH(6,$S249:$W249,0)),IF(6=MAX($S249:$W249)+1,"取消",""))</f>
        <v/>
      </c>
      <c r="AF249" s="0" t="n">
        <f aca="false">IF(OR($A$1=公区维修!$F249,$BN$1=1),0,1-SUMPRODUCT(--(($A$1=公区维修!$F249)+$BN$1&gt;0)))</f>
        <v>0</v>
      </c>
      <c r="AG249" s="0" t="n">
        <f aca="false">IF(OR($A$2=公区维修!$F249,$BN$2=1),0,2-SUMPRODUCT(--(($A$1:$A$2=公区维修!$F249)+$BN$1:$BN$2&gt;0)))</f>
        <v>1</v>
      </c>
      <c r="AH249" s="0" t="n">
        <f aca="false">IF(OR($A$3=公区维修!$F249,$BN$3=1),0,3-SUMPRODUCT(--(($A$1:$A$3=公区维修!$F249)+$BN$1:$BN$3&gt;0)))</f>
        <v>2</v>
      </c>
      <c r="AI249" s="0" t="n">
        <f aca="false">IF(OR($A$4=公区维修!$F249,$BN$4=1),0,4-SUMPRODUCT(--(($A$1:$A$4=公区维修!$F249)+$BN$1:$BN$4&gt;0)))</f>
        <v>3</v>
      </c>
      <c r="AJ249" s="0" t="n">
        <f aca="false">IF(OR($A$5=公区维修!$F249,$BN$5=1),0,5-SUMPRODUCT(--(($A$1:$A$5=公区维修!$F249)+$BN$1:$BN$5&gt;0)))</f>
        <v>4</v>
      </c>
      <c r="AL249" s="0" t="str">
        <f aca="false">IFERROR(INDEX($A$1:$A$5,MATCH(1,$AF249:$AJ249,0)),IF(1=MAX($AF249:$AJ249)+1,"取消",""))</f>
        <v>李师傅</v>
      </c>
      <c r="AM249" s="0" t="str">
        <f aca="false">IFERROR(INDEX($A$1:$A$5,MATCH(2,$AF249:$AJ249,0)),IF(2=MAX($AF249:$AJ249)+1,"取消",""))</f>
        <v>王师傅</v>
      </c>
      <c r="AN249" s="0" t="str">
        <f aca="false">IFERROR(INDEX($A$1:$A$5,MATCH(3,$AF249:$AJ249,0)),IF(3=MAX($AF249:$AJ249)+1,"取消",""))</f>
        <v>陈师傅</v>
      </c>
      <c r="AO249" s="0" t="str">
        <f aca="false">IFERROR(INDEX($A$1:$A$5,MATCH(4,$AF249:$AJ249,0)),IF(4=MAX($AF249:$AJ249)+1,"取消",""))</f>
        <v>刘师傅</v>
      </c>
      <c r="AP249" s="0" t="str">
        <f aca="false">IFERROR(INDEX($A$1:$A$5,MATCH(5,$AF249:$AJ249,0)),IF(5=MAX($AF249:$AJ249)+1,"取消",""))</f>
        <v>取消</v>
      </c>
      <c r="AQ249" s="0" t="str">
        <f aca="false">IFERROR(INDEX($A$1:$A$5,MATCH(6,$AF249:$AJ249,0)),IF(6=MAX($AF249:$AJ249)+1,"取消",""))</f>
        <v/>
      </c>
      <c r="AS249" s="0" t="n">
        <f aca="false">IF(OR($A$1=公区维修!$F249,$A$1=公区维修!$G249,$BN$1=1),0,1-SUMPRODUCT(--(($A$1=公区维修!$F249)+($A$1=公区维修!$G249)+$BN$1&gt;0)))</f>
        <v>0</v>
      </c>
      <c r="AT249" s="0" t="n">
        <f aca="false">IF(OR($A$2=公区维修!$F249,$A$2=公区维修!$G249,$BN$2=1),0,2-SUMPRODUCT(--(($A$1:$A$2=公区维修!$F249)+($A$1:$A$2=公区维修!$G249)+$BN$1:$BN$2&gt;0)))</f>
        <v>1</v>
      </c>
      <c r="AU249" s="0" t="n">
        <f aca="false">IF(OR($A$3=公区维修!$F249,$A$3=公区维修!$G249,$BN$3=1),0,3-SUMPRODUCT(--(($A$1:$A$3=公区维修!$F249)+($A$1:$A$3=公区维修!$G249)+$BN$1:$BN$3&gt;0)))</f>
        <v>2</v>
      </c>
      <c r="AV249" s="0" t="n">
        <f aca="false">IF(OR($A$4=公区维修!$F249,$A$4=公区维修!$G249,$BN$4=1),0,4-SUMPRODUCT(--(($A$1:$A$4=公区维修!$F249)+($A$1:$A$4=公区维修!$G249)+$BN$1:$BN$4&gt;0)))</f>
        <v>3</v>
      </c>
      <c r="AW249" s="0" t="n">
        <f aca="false">IF(OR($A$5=公区维修!$F249,$A$5=公区维修!$G249,$BN$5=1),0,5-SUMPRODUCT(--(($A$1:$A$5=公区维修!$F249)+($A$1:$A$5=公区维修!$G249)+$BN$1:$BN$5&gt;0)))</f>
        <v>4</v>
      </c>
      <c r="AY249" s="0" t="str">
        <f aca="false">IFERROR(INDEX($A$1:$A$5,MATCH(1,$AS249:$AW249,0)),IF(1=MAX($AS249:$AW249)+1,"取消",""))</f>
        <v>李师傅</v>
      </c>
      <c r="AZ249" s="0" t="str">
        <f aca="false">IFERROR(INDEX($A$1:$A$5,MATCH(2,$AS249:$AW249,0)),IF(2=MAX($AS249:$AW249)+1,"取消",""))</f>
        <v>王师傅</v>
      </c>
      <c r="BA249" s="0" t="str">
        <f aca="false">IFERROR(INDEX($A$1:$A$5,MATCH(3,$AS249:$AW249,0)),IF(3=MAX($AS249:$AW249)+1,"取消",""))</f>
        <v>陈师傅</v>
      </c>
      <c r="BB249" s="0" t="str">
        <f aca="false">IFERROR(INDEX($A$1:$A$5,MATCH(4,$AS249:$AW249,0)),IF(4=MAX($AS249:$AW249)+1,"取消",""))</f>
        <v>刘师傅</v>
      </c>
      <c r="BC249" s="0" t="str">
        <f aca="false">IFERROR(INDEX($A$1:$A$5,MATCH(5,$AS249:$AW249,0)),IF(5=MAX($AS249:$AW249)+1,"取消",""))</f>
        <v>取消</v>
      </c>
      <c r="BD249" s="0" t="str">
        <f aca="false">IFERROR(INDEX($A$1:$A$5,MATCH(6,$AS249:$AW249,0)),IF(6=MAX($AS249:$AW249)+1,"取消",""))</f>
        <v/>
      </c>
      <c r="FW249" s="0" t="str">
        <f aca="false">IF(AND(单元查询!$D$3&lt;&gt;"",IF(单元查询!$B$3="公区维修",公区维修!$E249&lt;&gt;"",入户维修!$E249&lt;&gt;""),IF(单元查询!$B$3="公区维修",公区维修!$C249,入户维修!$C249)=单元查询!$D$3,OR(单元查询!$F$3="",IF(单元查询!$B$3="公区维修",公区维修!$D249,入户维修!$D249)&amp;""=(单元查询!$F$3)&amp;"")),MAX($FW$4:$FW248)+1,"")</f>
        <v/>
      </c>
    </row>
    <row r="250" customFormat="false" ht="15" hidden="false" customHeight="true" outlineLevel="0" collapsed="false">
      <c r="F250" s="0" t="n">
        <f aca="false">IF(OR($A$1=入户维修!$F250,$BN$1=1),0,1-SUMPRODUCT(--(($A$1=入户维修!$F250)+$BN$1&gt;0)))</f>
        <v>0</v>
      </c>
      <c r="G250" s="0" t="n">
        <f aca="false">IF(OR($A$2=入户维修!$F250,$BN$2=1),0,2-SUMPRODUCT(--(($A$1:$A$2=入户维修!$F250)+$BN$1:$BN$2&gt;0)))</f>
        <v>1</v>
      </c>
      <c r="H250" s="0" t="n">
        <f aca="false">IF(OR($A$3=入户维修!$F250,$BN$3=1),0,3-SUMPRODUCT(--(($A$1:$A$3=入户维修!$F250)+$BN$1:$BN$3&gt;0)))</f>
        <v>2</v>
      </c>
      <c r="I250" s="0" t="n">
        <f aca="false">IF(OR($A$4=入户维修!$F250,$BN$4=1),0,4-SUMPRODUCT(--(($A$1:$A$4=入户维修!$F250)+$BN$1:$BN$4&gt;0)))</f>
        <v>3</v>
      </c>
      <c r="J250" s="0" t="n">
        <f aca="false">IF(OR($A$5=入户维修!$F250,$BN$5=1),0,5-SUMPRODUCT(--(($A$1:$A$5=入户维修!$F250)+$BN$1:$BN$5&gt;0)))</f>
        <v>4</v>
      </c>
      <c r="L250" s="0" t="str">
        <f aca="false">IFERROR(INDEX($A$1:$A$5,MATCH(1,$F250:$J250,0)),IF(1=MAX($F250:$J250)+1,"取消",""))</f>
        <v>李师傅</v>
      </c>
      <c r="M250" s="0" t="str">
        <f aca="false">IFERROR(INDEX($A$1:$A$5,MATCH(2,$F250:$J250,0)),IF(2=MAX($F250:$J250)+1,"取消",""))</f>
        <v>王师傅</v>
      </c>
      <c r="N250" s="0" t="str">
        <f aca="false">IFERROR(INDEX($A$1:$A$5,MATCH(3,$F250:$J250,0)),IF(3=MAX($F250:$J250)+1,"取消",""))</f>
        <v>陈师傅</v>
      </c>
      <c r="O250" s="0" t="str">
        <f aca="false">IFERROR(INDEX($A$1:$A$5,MATCH(4,$F250:$J250,0)),IF(4=MAX($F250:$J250)+1,"取消",""))</f>
        <v>刘师傅</v>
      </c>
      <c r="P250" s="0" t="str">
        <f aca="false">IFERROR(INDEX($A$1:$A$5,MATCH(5,$F250:$J250,0)),IF(5=MAX($F250:$J250)+1,"取消",""))</f>
        <v>取消</v>
      </c>
      <c r="Q250" s="0" t="str">
        <f aca="false">IFERROR(INDEX($A$1:$A$5,MATCH(6,$F250:$J250,0)),IF(6=MAX($F250:$J250)+1,"取消",""))</f>
        <v/>
      </c>
      <c r="S250" s="0" t="n">
        <f aca="false">IF(OR($A$1=入户维修!$F250,$A$1=入户维修!$G250,$BN$1=1),0,1-SUMPRODUCT(--(($A$1=入户维修!$F250)+($A$1=入户维修!$G250)+$BN$1&gt;0)))</f>
        <v>0</v>
      </c>
      <c r="T250" s="0" t="n">
        <f aca="false">IF(OR($A$2=入户维修!$F250,$A$2=入户维修!$G250,$BN$2=1),0,2-SUMPRODUCT(--(($A$1:$A$2=入户维修!$F250)+($A$1:$A$2=入户维修!$G250)+$BN$1:$BN$2&gt;0)))</f>
        <v>1</v>
      </c>
      <c r="U250" s="0" t="n">
        <f aca="false">IF(OR($A$3=入户维修!$F250,$A$3=入户维修!$G250,$BN$3=1),0,3-SUMPRODUCT(--(($A$1:$A$3=入户维修!$F250)+($A$1:$A$3=入户维修!$G250)+$BN$1:$BN$3&gt;0)))</f>
        <v>2</v>
      </c>
      <c r="V250" s="0" t="n">
        <f aca="false">IF(OR($A$4=入户维修!$F250,$A$4=入户维修!$G250,$BN$4=1),0,4-SUMPRODUCT(--(($A$1:$A$4=入户维修!$F250)+($A$1:$A$4=入户维修!$G250)+$BN$1:$BN$4&gt;0)))</f>
        <v>3</v>
      </c>
      <c r="W250" s="0" t="n">
        <f aca="false">IF(OR($A$5=入户维修!$F250,$A$5=入户维修!$G250,$BN$5=1),0,5-SUMPRODUCT(--(($A$1:$A$5=入户维修!$F250)+($A$1:$A$5=入户维修!$G250)+$BN$1:$BN$5&gt;0)))</f>
        <v>4</v>
      </c>
      <c r="Y250" s="0" t="str">
        <f aca="false">IFERROR(INDEX($A$1:$A$5,MATCH(1,$S250:$W250,0)),IF(1=MAX($S250:$W250)+1,"取消",""))</f>
        <v>李师傅</v>
      </c>
      <c r="Z250" s="0" t="str">
        <f aca="false">IFERROR(INDEX($A$1:$A$5,MATCH(2,$S250:$W250,0)),IF(2=MAX($S250:$W250)+1,"取消",""))</f>
        <v>王师傅</v>
      </c>
      <c r="AA250" s="0" t="str">
        <f aca="false">IFERROR(INDEX($A$1:$A$5,MATCH(3,$S250:$W250,0)),IF(3=MAX($S250:$W250)+1,"取消",""))</f>
        <v>陈师傅</v>
      </c>
      <c r="AB250" s="0" t="str">
        <f aca="false">IFERROR(INDEX($A$1:$A$5,MATCH(4,$S250:$W250,0)),IF(4=MAX($S250:$W250)+1,"取消",""))</f>
        <v>刘师傅</v>
      </c>
      <c r="AC250" s="0" t="str">
        <f aca="false">IFERROR(INDEX($A$1:$A$5,MATCH(5,$S250:$W250,0)),IF(5=MAX($S250:$W250)+1,"取消",""))</f>
        <v>取消</v>
      </c>
      <c r="AD250" s="0" t="str">
        <f aca="false">IFERROR(INDEX($A$1:$A$5,MATCH(6,$S250:$W250,0)),IF(6=MAX($S250:$W250)+1,"取消",""))</f>
        <v/>
      </c>
      <c r="AF250" s="0" t="n">
        <f aca="false">IF(OR($A$1=公区维修!$F250,$BN$1=1),0,1-SUMPRODUCT(--(($A$1=公区维修!$F250)+$BN$1&gt;0)))</f>
        <v>0</v>
      </c>
      <c r="AG250" s="0" t="n">
        <f aca="false">IF(OR($A$2=公区维修!$F250,$BN$2=1),0,2-SUMPRODUCT(--(($A$1:$A$2=公区维修!$F250)+$BN$1:$BN$2&gt;0)))</f>
        <v>1</v>
      </c>
      <c r="AH250" s="0" t="n">
        <f aca="false">IF(OR($A$3=公区维修!$F250,$BN$3=1),0,3-SUMPRODUCT(--(($A$1:$A$3=公区维修!$F250)+$BN$1:$BN$3&gt;0)))</f>
        <v>2</v>
      </c>
      <c r="AI250" s="0" t="n">
        <f aca="false">IF(OR($A$4=公区维修!$F250,$BN$4=1),0,4-SUMPRODUCT(--(($A$1:$A$4=公区维修!$F250)+$BN$1:$BN$4&gt;0)))</f>
        <v>3</v>
      </c>
      <c r="AJ250" s="0" t="n">
        <f aca="false">IF(OR($A$5=公区维修!$F250,$BN$5=1),0,5-SUMPRODUCT(--(($A$1:$A$5=公区维修!$F250)+$BN$1:$BN$5&gt;0)))</f>
        <v>4</v>
      </c>
      <c r="AL250" s="0" t="str">
        <f aca="false">IFERROR(INDEX($A$1:$A$5,MATCH(1,$AF250:$AJ250,0)),IF(1=MAX($AF250:$AJ250)+1,"取消",""))</f>
        <v>李师傅</v>
      </c>
      <c r="AM250" s="0" t="str">
        <f aca="false">IFERROR(INDEX($A$1:$A$5,MATCH(2,$AF250:$AJ250,0)),IF(2=MAX($AF250:$AJ250)+1,"取消",""))</f>
        <v>王师傅</v>
      </c>
      <c r="AN250" s="0" t="str">
        <f aca="false">IFERROR(INDEX($A$1:$A$5,MATCH(3,$AF250:$AJ250,0)),IF(3=MAX($AF250:$AJ250)+1,"取消",""))</f>
        <v>陈师傅</v>
      </c>
      <c r="AO250" s="0" t="str">
        <f aca="false">IFERROR(INDEX($A$1:$A$5,MATCH(4,$AF250:$AJ250,0)),IF(4=MAX($AF250:$AJ250)+1,"取消",""))</f>
        <v>刘师傅</v>
      </c>
      <c r="AP250" s="0" t="str">
        <f aca="false">IFERROR(INDEX($A$1:$A$5,MATCH(5,$AF250:$AJ250,0)),IF(5=MAX($AF250:$AJ250)+1,"取消",""))</f>
        <v>取消</v>
      </c>
      <c r="AQ250" s="0" t="str">
        <f aca="false">IFERROR(INDEX($A$1:$A$5,MATCH(6,$AF250:$AJ250,0)),IF(6=MAX($AF250:$AJ250)+1,"取消",""))</f>
        <v/>
      </c>
      <c r="AS250" s="0" t="n">
        <f aca="false">IF(OR($A$1=公区维修!$F250,$A$1=公区维修!$G250,$BN$1=1),0,1-SUMPRODUCT(--(($A$1=公区维修!$F250)+($A$1=公区维修!$G250)+$BN$1&gt;0)))</f>
        <v>0</v>
      </c>
      <c r="AT250" s="0" t="n">
        <f aca="false">IF(OR($A$2=公区维修!$F250,$A$2=公区维修!$G250,$BN$2=1),0,2-SUMPRODUCT(--(($A$1:$A$2=公区维修!$F250)+($A$1:$A$2=公区维修!$G250)+$BN$1:$BN$2&gt;0)))</f>
        <v>1</v>
      </c>
      <c r="AU250" s="0" t="n">
        <f aca="false">IF(OR($A$3=公区维修!$F250,$A$3=公区维修!$G250,$BN$3=1),0,3-SUMPRODUCT(--(($A$1:$A$3=公区维修!$F250)+($A$1:$A$3=公区维修!$G250)+$BN$1:$BN$3&gt;0)))</f>
        <v>2</v>
      </c>
      <c r="AV250" s="0" t="n">
        <f aca="false">IF(OR($A$4=公区维修!$F250,$A$4=公区维修!$G250,$BN$4=1),0,4-SUMPRODUCT(--(($A$1:$A$4=公区维修!$F250)+($A$1:$A$4=公区维修!$G250)+$BN$1:$BN$4&gt;0)))</f>
        <v>3</v>
      </c>
      <c r="AW250" s="0" t="n">
        <f aca="false">IF(OR($A$5=公区维修!$F250,$A$5=公区维修!$G250,$BN$5=1),0,5-SUMPRODUCT(--(($A$1:$A$5=公区维修!$F250)+($A$1:$A$5=公区维修!$G250)+$BN$1:$BN$5&gt;0)))</f>
        <v>4</v>
      </c>
      <c r="AY250" s="0" t="str">
        <f aca="false">IFERROR(INDEX($A$1:$A$5,MATCH(1,$AS250:$AW250,0)),IF(1=MAX($AS250:$AW250)+1,"取消",""))</f>
        <v>李师傅</v>
      </c>
      <c r="AZ250" s="0" t="str">
        <f aca="false">IFERROR(INDEX($A$1:$A$5,MATCH(2,$AS250:$AW250,0)),IF(2=MAX($AS250:$AW250)+1,"取消",""))</f>
        <v>王师傅</v>
      </c>
      <c r="BA250" s="0" t="str">
        <f aca="false">IFERROR(INDEX($A$1:$A$5,MATCH(3,$AS250:$AW250,0)),IF(3=MAX($AS250:$AW250)+1,"取消",""))</f>
        <v>陈师傅</v>
      </c>
      <c r="BB250" s="0" t="str">
        <f aca="false">IFERROR(INDEX($A$1:$A$5,MATCH(4,$AS250:$AW250,0)),IF(4=MAX($AS250:$AW250)+1,"取消",""))</f>
        <v>刘师傅</v>
      </c>
      <c r="BC250" s="0" t="str">
        <f aca="false">IFERROR(INDEX($A$1:$A$5,MATCH(5,$AS250:$AW250,0)),IF(5=MAX($AS250:$AW250)+1,"取消",""))</f>
        <v>取消</v>
      </c>
      <c r="BD250" s="0" t="str">
        <f aca="false">IFERROR(INDEX($A$1:$A$5,MATCH(6,$AS250:$AW250,0)),IF(6=MAX($AS250:$AW250)+1,"取消",""))</f>
        <v/>
      </c>
      <c r="FW250" s="0" t="str">
        <f aca="false">IF(AND(单元查询!$D$3&lt;&gt;"",IF(单元查询!$B$3="公区维修",公区维修!$E250&lt;&gt;"",入户维修!$E250&lt;&gt;""),IF(单元查询!$B$3="公区维修",公区维修!$C250,入户维修!$C250)=单元查询!$D$3,OR(单元查询!$F$3="",IF(单元查询!$B$3="公区维修",公区维修!$D250,入户维修!$D250)&amp;""=(单元查询!$F$3)&amp;"")),MAX($FW$4:$FW249)+1,"")</f>
        <v/>
      </c>
    </row>
    <row r="251" customFormat="false" ht="15" hidden="false" customHeight="true" outlineLevel="0" collapsed="false">
      <c r="F251" s="0" t="n">
        <f aca="false">IF(OR($A$1=入户维修!$F251,$BN$1=1),0,1-SUMPRODUCT(--(($A$1=入户维修!$F251)+$BN$1&gt;0)))</f>
        <v>0</v>
      </c>
      <c r="G251" s="0" t="n">
        <f aca="false">IF(OR($A$2=入户维修!$F251,$BN$2=1),0,2-SUMPRODUCT(--(($A$1:$A$2=入户维修!$F251)+$BN$1:$BN$2&gt;0)))</f>
        <v>1</v>
      </c>
      <c r="H251" s="0" t="n">
        <f aca="false">IF(OR($A$3=入户维修!$F251,$BN$3=1),0,3-SUMPRODUCT(--(($A$1:$A$3=入户维修!$F251)+$BN$1:$BN$3&gt;0)))</f>
        <v>2</v>
      </c>
      <c r="I251" s="0" t="n">
        <f aca="false">IF(OR($A$4=入户维修!$F251,$BN$4=1),0,4-SUMPRODUCT(--(($A$1:$A$4=入户维修!$F251)+$BN$1:$BN$4&gt;0)))</f>
        <v>3</v>
      </c>
      <c r="J251" s="0" t="n">
        <f aca="false">IF(OR($A$5=入户维修!$F251,$BN$5=1),0,5-SUMPRODUCT(--(($A$1:$A$5=入户维修!$F251)+$BN$1:$BN$5&gt;0)))</f>
        <v>4</v>
      </c>
      <c r="L251" s="0" t="str">
        <f aca="false">IFERROR(INDEX($A$1:$A$5,MATCH(1,$F251:$J251,0)),IF(1=MAX($F251:$J251)+1,"取消",""))</f>
        <v>李师傅</v>
      </c>
      <c r="M251" s="0" t="str">
        <f aca="false">IFERROR(INDEX($A$1:$A$5,MATCH(2,$F251:$J251,0)),IF(2=MAX($F251:$J251)+1,"取消",""))</f>
        <v>王师傅</v>
      </c>
      <c r="N251" s="0" t="str">
        <f aca="false">IFERROR(INDEX($A$1:$A$5,MATCH(3,$F251:$J251,0)),IF(3=MAX($F251:$J251)+1,"取消",""))</f>
        <v>陈师傅</v>
      </c>
      <c r="O251" s="0" t="str">
        <f aca="false">IFERROR(INDEX($A$1:$A$5,MATCH(4,$F251:$J251,0)),IF(4=MAX($F251:$J251)+1,"取消",""))</f>
        <v>刘师傅</v>
      </c>
      <c r="P251" s="0" t="str">
        <f aca="false">IFERROR(INDEX($A$1:$A$5,MATCH(5,$F251:$J251,0)),IF(5=MAX($F251:$J251)+1,"取消",""))</f>
        <v>取消</v>
      </c>
      <c r="Q251" s="0" t="str">
        <f aca="false">IFERROR(INDEX($A$1:$A$5,MATCH(6,$F251:$J251,0)),IF(6=MAX($F251:$J251)+1,"取消",""))</f>
        <v/>
      </c>
      <c r="S251" s="0" t="n">
        <f aca="false">IF(OR($A$1=入户维修!$F251,$A$1=入户维修!$G251,$BN$1=1),0,1-SUMPRODUCT(--(($A$1=入户维修!$F251)+($A$1=入户维修!$G251)+$BN$1&gt;0)))</f>
        <v>0</v>
      </c>
      <c r="T251" s="0" t="n">
        <f aca="false">IF(OR($A$2=入户维修!$F251,$A$2=入户维修!$G251,$BN$2=1),0,2-SUMPRODUCT(--(($A$1:$A$2=入户维修!$F251)+($A$1:$A$2=入户维修!$G251)+$BN$1:$BN$2&gt;0)))</f>
        <v>1</v>
      </c>
      <c r="U251" s="0" t="n">
        <f aca="false">IF(OR($A$3=入户维修!$F251,$A$3=入户维修!$G251,$BN$3=1),0,3-SUMPRODUCT(--(($A$1:$A$3=入户维修!$F251)+($A$1:$A$3=入户维修!$G251)+$BN$1:$BN$3&gt;0)))</f>
        <v>2</v>
      </c>
      <c r="V251" s="0" t="n">
        <f aca="false">IF(OR($A$4=入户维修!$F251,$A$4=入户维修!$G251,$BN$4=1),0,4-SUMPRODUCT(--(($A$1:$A$4=入户维修!$F251)+($A$1:$A$4=入户维修!$G251)+$BN$1:$BN$4&gt;0)))</f>
        <v>3</v>
      </c>
      <c r="W251" s="0" t="n">
        <f aca="false">IF(OR($A$5=入户维修!$F251,$A$5=入户维修!$G251,$BN$5=1),0,5-SUMPRODUCT(--(($A$1:$A$5=入户维修!$F251)+($A$1:$A$5=入户维修!$G251)+$BN$1:$BN$5&gt;0)))</f>
        <v>4</v>
      </c>
      <c r="Y251" s="0" t="str">
        <f aca="false">IFERROR(INDEX($A$1:$A$5,MATCH(1,$S251:$W251,0)),IF(1=MAX($S251:$W251)+1,"取消",""))</f>
        <v>李师傅</v>
      </c>
      <c r="Z251" s="0" t="str">
        <f aca="false">IFERROR(INDEX($A$1:$A$5,MATCH(2,$S251:$W251,0)),IF(2=MAX($S251:$W251)+1,"取消",""))</f>
        <v>王师傅</v>
      </c>
      <c r="AA251" s="0" t="str">
        <f aca="false">IFERROR(INDEX($A$1:$A$5,MATCH(3,$S251:$W251,0)),IF(3=MAX($S251:$W251)+1,"取消",""))</f>
        <v>陈师傅</v>
      </c>
      <c r="AB251" s="0" t="str">
        <f aca="false">IFERROR(INDEX($A$1:$A$5,MATCH(4,$S251:$W251,0)),IF(4=MAX($S251:$W251)+1,"取消",""))</f>
        <v>刘师傅</v>
      </c>
      <c r="AC251" s="0" t="str">
        <f aca="false">IFERROR(INDEX($A$1:$A$5,MATCH(5,$S251:$W251,0)),IF(5=MAX($S251:$W251)+1,"取消",""))</f>
        <v>取消</v>
      </c>
      <c r="AD251" s="0" t="str">
        <f aca="false">IFERROR(INDEX($A$1:$A$5,MATCH(6,$S251:$W251,0)),IF(6=MAX($S251:$W251)+1,"取消",""))</f>
        <v/>
      </c>
      <c r="AF251" s="0" t="n">
        <f aca="false">IF(OR($A$1=公区维修!$F251,$BN$1=1),0,1-SUMPRODUCT(--(($A$1=公区维修!$F251)+$BN$1&gt;0)))</f>
        <v>0</v>
      </c>
      <c r="AG251" s="0" t="n">
        <f aca="false">IF(OR($A$2=公区维修!$F251,$BN$2=1),0,2-SUMPRODUCT(--(($A$1:$A$2=公区维修!$F251)+$BN$1:$BN$2&gt;0)))</f>
        <v>1</v>
      </c>
      <c r="AH251" s="0" t="n">
        <f aca="false">IF(OR($A$3=公区维修!$F251,$BN$3=1),0,3-SUMPRODUCT(--(($A$1:$A$3=公区维修!$F251)+$BN$1:$BN$3&gt;0)))</f>
        <v>2</v>
      </c>
      <c r="AI251" s="0" t="n">
        <f aca="false">IF(OR($A$4=公区维修!$F251,$BN$4=1),0,4-SUMPRODUCT(--(($A$1:$A$4=公区维修!$F251)+$BN$1:$BN$4&gt;0)))</f>
        <v>3</v>
      </c>
      <c r="AJ251" s="0" t="n">
        <f aca="false">IF(OR($A$5=公区维修!$F251,$BN$5=1),0,5-SUMPRODUCT(--(($A$1:$A$5=公区维修!$F251)+$BN$1:$BN$5&gt;0)))</f>
        <v>4</v>
      </c>
      <c r="AL251" s="0" t="str">
        <f aca="false">IFERROR(INDEX($A$1:$A$5,MATCH(1,$AF251:$AJ251,0)),IF(1=MAX($AF251:$AJ251)+1,"取消",""))</f>
        <v>李师傅</v>
      </c>
      <c r="AM251" s="0" t="str">
        <f aca="false">IFERROR(INDEX($A$1:$A$5,MATCH(2,$AF251:$AJ251,0)),IF(2=MAX($AF251:$AJ251)+1,"取消",""))</f>
        <v>王师傅</v>
      </c>
      <c r="AN251" s="0" t="str">
        <f aca="false">IFERROR(INDEX($A$1:$A$5,MATCH(3,$AF251:$AJ251,0)),IF(3=MAX($AF251:$AJ251)+1,"取消",""))</f>
        <v>陈师傅</v>
      </c>
      <c r="AO251" s="0" t="str">
        <f aca="false">IFERROR(INDEX($A$1:$A$5,MATCH(4,$AF251:$AJ251,0)),IF(4=MAX($AF251:$AJ251)+1,"取消",""))</f>
        <v>刘师傅</v>
      </c>
      <c r="AP251" s="0" t="str">
        <f aca="false">IFERROR(INDEX($A$1:$A$5,MATCH(5,$AF251:$AJ251,0)),IF(5=MAX($AF251:$AJ251)+1,"取消",""))</f>
        <v>取消</v>
      </c>
      <c r="AQ251" s="0" t="str">
        <f aca="false">IFERROR(INDEX($A$1:$A$5,MATCH(6,$AF251:$AJ251,0)),IF(6=MAX($AF251:$AJ251)+1,"取消",""))</f>
        <v/>
      </c>
      <c r="AS251" s="0" t="n">
        <f aca="false">IF(OR($A$1=公区维修!$F251,$A$1=公区维修!$G251,$BN$1=1),0,1-SUMPRODUCT(--(($A$1=公区维修!$F251)+($A$1=公区维修!$G251)+$BN$1&gt;0)))</f>
        <v>0</v>
      </c>
      <c r="AT251" s="0" t="n">
        <f aca="false">IF(OR($A$2=公区维修!$F251,$A$2=公区维修!$G251,$BN$2=1),0,2-SUMPRODUCT(--(($A$1:$A$2=公区维修!$F251)+($A$1:$A$2=公区维修!$G251)+$BN$1:$BN$2&gt;0)))</f>
        <v>1</v>
      </c>
      <c r="AU251" s="0" t="n">
        <f aca="false">IF(OR($A$3=公区维修!$F251,$A$3=公区维修!$G251,$BN$3=1),0,3-SUMPRODUCT(--(($A$1:$A$3=公区维修!$F251)+($A$1:$A$3=公区维修!$G251)+$BN$1:$BN$3&gt;0)))</f>
        <v>2</v>
      </c>
      <c r="AV251" s="0" t="n">
        <f aca="false">IF(OR($A$4=公区维修!$F251,$A$4=公区维修!$G251,$BN$4=1),0,4-SUMPRODUCT(--(($A$1:$A$4=公区维修!$F251)+($A$1:$A$4=公区维修!$G251)+$BN$1:$BN$4&gt;0)))</f>
        <v>3</v>
      </c>
      <c r="AW251" s="0" t="n">
        <f aca="false">IF(OR($A$5=公区维修!$F251,$A$5=公区维修!$G251,$BN$5=1),0,5-SUMPRODUCT(--(($A$1:$A$5=公区维修!$F251)+($A$1:$A$5=公区维修!$G251)+$BN$1:$BN$5&gt;0)))</f>
        <v>4</v>
      </c>
      <c r="AY251" s="0" t="str">
        <f aca="false">IFERROR(INDEX($A$1:$A$5,MATCH(1,$AS251:$AW251,0)),IF(1=MAX($AS251:$AW251)+1,"取消",""))</f>
        <v>李师傅</v>
      </c>
      <c r="AZ251" s="0" t="str">
        <f aca="false">IFERROR(INDEX($A$1:$A$5,MATCH(2,$AS251:$AW251,0)),IF(2=MAX($AS251:$AW251)+1,"取消",""))</f>
        <v>王师傅</v>
      </c>
      <c r="BA251" s="0" t="str">
        <f aca="false">IFERROR(INDEX($A$1:$A$5,MATCH(3,$AS251:$AW251,0)),IF(3=MAX($AS251:$AW251)+1,"取消",""))</f>
        <v>陈师傅</v>
      </c>
      <c r="BB251" s="0" t="str">
        <f aca="false">IFERROR(INDEX($A$1:$A$5,MATCH(4,$AS251:$AW251,0)),IF(4=MAX($AS251:$AW251)+1,"取消",""))</f>
        <v>刘师傅</v>
      </c>
      <c r="BC251" s="0" t="str">
        <f aca="false">IFERROR(INDEX($A$1:$A$5,MATCH(5,$AS251:$AW251,0)),IF(5=MAX($AS251:$AW251)+1,"取消",""))</f>
        <v>取消</v>
      </c>
      <c r="BD251" s="0" t="str">
        <f aca="false">IFERROR(INDEX($A$1:$A$5,MATCH(6,$AS251:$AW251,0)),IF(6=MAX($AS251:$AW251)+1,"取消",""))</f>
        <v/>
      </c>
      <c r="FW251" s="0" t="str">
        <f aca="false">IF(AND(单元查询!$D$3&lt;&gt;"",IF(单元查询!$B$3="公区维修",公区维修!$E251&lt;&gt;"",入户维修!$E251&lt;&gt;""),IF(单元查询!$B$3="公区维修",公区维修!$C251,入户维修!$C251)=单元查询!$D$3,OR(单元查询!$F$3="",IF(单元查询!$B$3="公区维修",公区维修!$D251,入户维修!$D251)&amp;""=(单元查询!$F$3)&amp;"")),MAX($FW$4:$FW250)+1,"")</f>
        <v/>
      </c>
    </row>
    <row r="252" customFormat="false" ht="15" hidden="false" customHeight="true" outlineLevel="0" collapsed="false">
      <c r="F252" s="0" t="n">
        <f aca="false">IF(OR($A$1=入户维修!$F252,$BN$1=1),0,1-SUMPRODUCT(--(($A$1=入户维修!$F252)+$BN$1&gt;0)))</f>
        <v>0</v>
      </c>
      <c r="G252" s="0" t="n">
        <f aca="false">IF(OR($A$2=入户维修!$F252,$BN$2=1),0,2-SUMPRODUCT(--(($A$1:$A$2=入户维修!$F252)+$BN$1:$BN$2&gt;0)))</f>
        <v>1</v>
      </c>
      <c r="H252" s="0" t="n">
        <f aca="false">IF(OR($A$3=入户维修!$F252,$BN$3=1),0,3-SUMPRODUCT(--(($A$1:$A$3=入户维修!$F252)+$BN$1:$BN$3&gt;0)))</f>
        <v>2</v>
      </c>
      <c r="I252" s="0" t="n">
        <f aca="false">IF(OR($A$4=入户维修!$F252,$BN$4=1),0,4-SUMPRODUCT(--(($A$1:$A$4=入户维修!$F252)+$BN$1:$BN$4&gt;0)))</f>
        <v>3</v>
      </c>
      <c r="J252" s="0" t="n">
        <f aca="false">IF(OR($A$5=入户维修!$F252,$BN$5=1),0,5-SUMPRODUCT(--(($A$1:$A$5=入户维修!$F252)+$BN$1:$BN$5&gt;0)))</f>
        <v>4</v>
      </c>
      <c r="L252" s="0" t="str">
        <f aca="false">IFERROR(INDEX($A$1:$A$5,MATCH(1,$F252:$J252,0)),IF(1=MAX($F252:$J252)+1,"取消",""))</f>
        <v>李师傅</v>
      </c>
      <c r="M252" s="0" t="str">
        <f aca="false">IFERROR(INDEX($A$1:$A$5,MATCH(2,$F252:$J252,0)),IF(2=MAX($F252:$J252)+1,"取消",""))</f>
        <v>王师傅</v>
      </c>
      <c r="N252" s="0" t="str">
        <f aca="false">IFERROR(INDEX($A$1:$A$5,MATCH(3,$F252:$J252,0)),IF(3=MAX($F252:$J252)+1,"取消",""))</f>
        <v>陈师傅</v>
      </c>
      <c r="O252" s="0" t="str">
        <f aca="false">IFERROR(INDEX($A$1:$A$5,MATCH(4,$F252:$J252,0)),IF(4=MAX($F252:$J252)+1,"取消",""))</f>
        <v>刘师傅</v>
      </c>
      <c r="P252" s="0" t="str">
        <f aca="false">IFERROR(INDEX($A$1:$A$5,MATCH(5,$F252:$J252,0)),IF(5=MAX($F252:$J252)+1,"取消",""))</f>
        <v>取消</v>
      </c>
      <c r="Q252" s="0" t="str">
        <f aca="false">IFERROR(INDEX($A$1:$A$5,MATCH(6,$F252:$J252,0)),IF(6=MAX($F252:$J252)+1,"取消",""))</f>
        <v/>
      </c>
      <c r="S252" s="0" t="n">
        <f aca="false">IF(OR($A$1=入户维修!$F252,$A$1=入户维修!$G252,$BN$1=1),0,1-SUMPRODUCT(--(($A$1=入户维修!$F252)+($A$1=入户维修!$G252)+$BN$1&gt;0)))</f>
        <v>0</v>
      </c>
      <c r="T252" s="0" t="n">
        <f aca="false">IF(OR($A$2=入户维修!$F252,$A$2=入户维修!$G252,$BN$2=1),0,2-SUMPRODUCT(--(($A$1:$A$2=入户维修!$F252)+($A$1:$A$2=入户维修!$G252)+$BN$1:$BN$2&gt;0)))</f>
        <v>1</v>
      </c>
      <c r="U252" s="0" t="n">
        <f aca="false">IF(OR($A$3=入户维修!$F252,$A$3=入户维修!$G252,$BN$3=1),0,3-SUMPRODUCT(--(($A$1:$A$3=入户维修!$F252)+($A$1:$A$3=入户维修!$G252)+$BN$1:$BN$3&gt;0)))</f>
        <v>2</v>
      </c>
      <c r="V252" s="0" t="n">
        <f aca="false">IF(OR($A$4=入户维修!$F252,$A$4=入户维修!$G252,$BN$4=1),0,4-SUMPRODUCT(--(($A$1:$A$4=入户维修!$F252)+($A$1:$A$4=入户维修!$G252)+$BN$1:$BN$4&gt;0)))</f>
        <v>3</v>
      </c>
      <c r="W252" s="0" t="n">
        <f aca="false">IF(OR($A$5=入户维修!$F252,$A$5=入户维修!$G252,$BN$5=1),0,5-SUMPRODUCT(--(($A$1:$A$5=入户维修!$F252)+($A$1:$A$5=入户维修!$G252)+$BN$1:$BN$5&gt;0)))</f>
        <v>4</v>
      </c>
      <c r="Y252" s="0" t="str">
        <f aca="false">IFERROR(INDEX($A$1:$A$5,MATCH(1,$S252:$W252,0)),IF(1=MAX($S252:$W252)+1,"取消",""))</f>
        <v>李师傅</v>
      </c>
      <c r="Z252" s="0" t="str">
        <f aca="false">IFERROR(INDEX($A$1:$A$5,MATCH(2,$S252:$W252,0)),IF(2=MAX($S252:$W252)+1,"取消",""))</f>
        <v>王师傅</v>
      </c>
      <c r="AA252" s="0" t="str">
        <f aca="false">IFERROR(INDEX($A$1:$A$5,MATCH(3,$S252:$W252,0)),IF(3=MAX($S252:$W252)+1,"取消",""))</f>
        <v>陈师傅</v>
      </c>
      <c r="AB252" s="0" t="str">
        <f aca="false">IFERROR(INDEX($A$1:$A$5,MATCH(4,$S252:$W252,0)),IF(4=MAX($S252:$W252)+1,"取消",""))</f>
        <v>刘师傅</v>
      </c>
      <c r="AC252" s="0" t="str">
        <f aca="false">IFERROR(INDEX($A$1:$A$5,MATCH(5,$S252:$W252,0)),IF(5=MAX($S252:$W252)+1,"取消",""))</f>
        <v>取消</v>
      </c>
      <c r="AD252" s="0" t="str">
        <f aca="false">IFERROR(INDEX($A$1:$A$5,MATCH(6,$S252:$W252,0)),IF(6=MAX($S252:$W252)+1,"取消",""))</f>
        <v/>
      </c>
      <c r="AF252" s="0" t="n">
        <f aca="false">IF(OR($A$1=公区维修!$F252,$BN$1=1),0,1-SUMPRODUCT(--(($A$1=公区维修!$F252)+$BN$1&gt;0)))</f>
        <v>0</v>
      </c>
      <c r="AG252" s="0" t="n">
        <f aca="false">IF(OR($A$2=公区维修!$F252,$BN$2=1),0,2-SUMPRODUCT(--(($A$1:$A$2=公区维修!$F252)+$BN$1:$BN$2&gt;0)))</f>
        <v>1</v>
      </c>
      <c r="AH252" s="0" t="n">
        <f aca="false">IF(OR($A$3=公区维修!$F252,$BN$3=1),0,3-SUMPRODUCT(--(($A$1:$A$3=公区维修!$F252)+$BN$1:$BN$3&gt;0)))</f>
        <v>2</v>
      </c>
      <c r="AI252" s="0" t="n">
        <f aca="false">IF(OR($A$4=公区维修!$F252,$BN$4=1),0,4-SUMPRODUCT(--(($A$1:$A$4=公区维修!$F252)+$BN$1:$BN$4&gt;0)))</f>
        <v>3</v>
      </c>
      <c r="AJ252" s="0" t="n">
        <f aca="false">IF(OR($A$5=公区维修!$F252,$BN$5=1),0,5-SUMPRODUCT(--(($A$1:$A$5=公区维修!$F252)+$BN$1:$BN$5&gt;0)))</f>
        <v>4</v>
      </c>
      <c r="AL252" s="0" t="str">
        <f aca="false">IFERROR(INDEX($A$1:$A$5,MATCH(1,$AF252:$AJ252,0)),IF(1=MAX($AF252:$AJ252)+1,"取消",""))</f>
        <v>李师傅</v>
      </c>
      <c r="AM252" s="0" t="str">
        <f aca="false">IFERROR(INDEX($A$1:$A$5,MATCH(2,$AF252:$AJ252,0)),IF(2=MAX($AF252:$AJ252)+1,"取消",""))</f>
        <v>王师傅</v>
      </c>
      <c r="AN252" s="0" t="str">
        <f aca="false">IFERROR(INDEX($A$1:$A$5,MATCH(3,$AF252:$AJ252,0)),IF(3=MAX($AF252:$AJ252)+1,"取消",""))</f>
        <v>陈师傅</v>
      </c>
      <c r="AO252" s="0" t="str">
        <f aca="false">IFERROR(INDEX($A$1:$A$5,MATCH(4,$AF252:$AJ252,0)),IF(4=MAX($AF252:$AJ252)+1,"取消",""))</f>
        <v>刘师傅</v>
      </c>
      <c r="AP252" s="0" t="str">
        <f aca="false">IFERROR(INDEX($A$1:$A$5,MATCH(5,$AF252:$AJ252,0)),IF(5=MAX($AF252:$AJ252)+1,"取消",""))</f>
        <v>取消</v>
      </c>
      <c r="AQ252" s="0" t="str">
        <f aca="false">IFERROR(INDEX($A$1:$A$5,MATCH(6,$AF252:$AJ252,0)),IF(6=MAX($AF252:$AJ252)+1,"取消",""))</f>
        <v/>
      </c>
      <c r="AS252" s="0" t="n">
        <f aca="false">IF(OR($A$1=公区维修!$F252,$A$1=公区维修!$G252,$BN$1=1),0,1-SUMPRODUCT(--(($A$1=公区维修!$F252)+($A$1=公区维修!$G252)+$BN$1&gt;0)))</f>
        <v>0</v>
      </c>
      <c r="AT252" s="0" t="n">
        <f aca="false">IF(OR($A$2=公区维修!$F252,$A$2=公区维修!$G252,$BN$2=1),0,2-SUMPRODUCT(--(($A$1:$A$2=公区维修!$F252)+($A$1:$A$2=公区维修!$G252)+$BN$1:$BN$2&gt;0)))</f>
        <v>1</v>
      </c>
      <c r="AU252" s="0" t="n">
        <f aca="false">IF(OR($A$3=公区维修!$F252,$A$3=公区维修!$G252,$BN$3=1),0,3-SUMPRODUCT(--(($A$1:$A$3=公区维修!$F252)+($A$1:$A$3=公区维修!$G252)+$BN$1:$BN$3&gt;0)))</f>
        <v>2</v>
      </c>
      <c r="AV252" s="0" t="n">
        <f aca="false">IF(OR($A$4=公区维修!$F252,$A$4=公区维修!$G252,$BN$4=1),0,4-SUMPRODUCT(--(($A$1:$A$4=公区维修!$F252)+($A$1:$A$4=公区维修!$G252)+$BN$1:$BN$4&gt;0)))</f>
        <v>3</v>
      </c>
      <c r="AW252" s="0" t="n">
        <f aca="false">IF(OR($A$5=公区维修!$F252,$A$5=公区维修!$G252,$BN$5=1),0,5-SUMPRODUCT(--(($A$1:$A$5=公区维修!$F252)+($A$1:$A$5=公区维修!$G252)+$BN$1:$BN$5&gt;0)))</f>
        <v>4</v>
      </c>
      <c r="AY252" s="0" t="str">
        <f aca="false">IFERROR(INDEX($A$1:$A$5,MATCH(1,$AS252:$AW252,0)),IF(1=MAX($AS252:$AW252)+1,"取消",""))</f>
        <v>李师傅</v>
      </c>
      <c r="AZ252" s="0" t="str">
        <f aca="false">IFERROR(INDEX($A$1:$A$5,MATCH(2,$AS252:$AW252,0)),IF(2=MAX($AS252:$AW252)+1,"取消",""))</f>
        <v>王师傅</v>
      </c>
      <c r="BA252" s="0" t="str">
        <f aca="false">IFERROR(INDEX($A$1:$A$5,MATCH(3,$AS252:$AW252,0)),IF(3=MAX($AS252:$AW252)+1,"取消",""))</f>
        <v>陈师傅</v>
      </c>
      <c r="BB252" s="0" t="str">
        <f aca="false">IFERROR(INDEX($A$1:$A$5,MATCH(4,$AS252:$AW252,0)),IF(4=MAX($AS252:$AW252)+1,"取消",""))</f>
        <v>刘师傅</v>
      </c>
      <c r="BC252" s="0" t="str">
        <f aca="false">IFERROR(INDEX($A$1:$A$5,MATCH(5,$AS252:$AW252,0)),IF(5=MAX($AS252:$AW252)+1,"取消",""))</f>
        <v>取消</v>
      </c>
      <c r="BD252" s="0" t="str">
        <f aca="false">IFERROR(INDEX($A$1:$A$5,MATCH(6,$AS252:$AW252,0)),IF(6=MAX($AS252:$AW252)+1,"取消",""))</f>
        <v/>
      </c>
      <c r="FW252" s="0" t="str">
        <f aca="false">IF(AND(单元查询!$D$3&lt;&gt;"",IF(单元查询!$B$3="公区维修",公区维修!$E252&lt;&gt;"",入户维修!$E252&lt;&gt;""),IF(单元查询!$B$3="公区维修",公区维修!$C252,入户维修!$C252)=单元查询!$D$3,OR(单元查询!$F$3="",IF(单元查询!$B$3="公区维修",公区维修!$D252,入户维修!$D252)&amp;""=(单元查询!$F$3)&amp;"")),MAX($FW$4:$FW251)+1,"")</f>
        <v/>
      </c>
    </row>
    <row r="253" customFormat="false" ht="15" hidden="false" customHeight="true" outlineLevel="0" collapsed="false">
      <c r="F253" s="0" t="n">
        <f aca="false">IF(OR($A$1=入户维修!$F253,$BN$1=1),0,1-SUMPRODUCT(--(($A$1=入户维修!$F253)+$BN$1&gt;0)))</f>
        <v>0</v>
      </c>
      <c r="G253" s="0" t="n">
        <f aca="false">IF(OR($A$2=入户维修!$F253,$BN$2=1),0,2-SUMPRODUCT(--(($A$1:$A$2=入户维修!$F253)+$BN$1:$BN$2&gt;0)))</f>
        <v>1</v>
      </c>
      <c r="H253" s="0" t="n">
        <f aca="false">IF(OR($A$3=入户维修!$F253,$BN$3=1),0,3-SUMPRODUCT(--(($A$1:$A$3=入户维修!$F253)+$BN$1:$BN$3&gt;0)))</f>
        <v>2</v>
      </c>
      <c r="I253" s="0" t="n">
        <f aca="false">IF(OR($A$4=入户维修!$F253,$BN$4=1),0,4-SUMPRODUCT(--(($A$1:$A$4=入户维修!$F253)+$BN$1:$BN$4&gt;0)))</f>
        <v>3</v>
      </c>
      <c r="J253" s="0" t="n">
        <f aca="false">IF(OR($A$5=入户维修!$F253,$BN$5=1),0,5-SUMPRODUCT(--(($A$1:$A$5=入户维修!$F253)+$BN$1:$BN$5&gt;0)))</f>
        <v>4</v>
      </c>
      <c r="L253" s="0" t="str">
        <f aca="false">IFERROR(INDEX($A$1:$A$5,MATCH(1,$F253:$J253,0)),IF(1=MAX($F253:$J253)+1,"取消",""))</f>
        <v>李师傅</v>
      </c>
      <c r="M253" s="0" t="str">
        <f aca="false">IFERROR(INDEX($A$1:$A$5,MATCH(2,$F253:$J253,0)),IF(2=MAX($F253:$J253)+1,"取消",""))</f>
        <v>王师傅</v>
      </c>
      <c r="N253" s="0" t="str">
        <f aca="false">IFERROR(INDEX($A$1:$A$5,MATCH(3,$F253:$J253,0)),IF(3=MAX($F253:$J253)+1,"取消",""))</f>
        <v>陈师傅</v>
      </c>
      <c r="O253" s="0" t="str">
        <f aca="false">IFERROR(INDEX($A$1:$A$5,MATCH(4,$F253:$J253,0)),IF(4=MAX($F253:$J253)+1,"取消",""))</f>
        <v>刘师傅</v>
      </c>
      <c r="P253" s="0" t="str">
        <f aca="false">IFERROR(INDEX($A$1:$A$5,MATCH(5,$F253:$J253,0)),IF(5=MAX($F253:$J253)+1,"取消",""))</f>
        <v>取消</v>
      </c>
      <c r="Q253" s="0" t="str">
        <f aca="false">IFERROR(INDEX($A$1:$A$5,MATCH(6,$F253:$J253,0)),IF(6=MAX($F253:$J253)+1,"取消",""))</f>
        <v/>
      </c>
      <c r="S253" s="0" t="n">
        <f aca="false">IF(OR($A$1=入户维修!$F253,$A$1=入户维修!$G253,$BN$1=1),0,1-SUMPRODUCT(--(($A$1=入户维修!$F253)+($A$1=入户维修!$G253)+$BN$1&gt;0)))</f>
        <v>0</v>
      </c>
      <c r="T253" s="0" t="n">
        <f aca="false">IF(OR($A$2=入户维修!$F253,$A$2=入户维修!$G253,$BN$2=1),0,2-SUMPRODUCT(--(($A$1:$A$2=入户维修!$F253)+($A$1:$A$2=入户维修!$G253)+$BN$1:$BN$2&gt;0)))</f>
        <v>1</v>
      </c>
      <c r="U253" s="0" t="n">
        <f aca="false">IF(OR($A$3=入户维修!$F253,$A$3=入户维修!$G253,$BN$3=1),0,3-SUMPRODUCT(--(($A$1:$A$3=入户维修!$F253)+($A$1:$A$3=入户维修!$G253)+$BN$1:$BN$3&gt;0)))</f>
        <v>2</v>
      </c>
      <c r="V253" s="0" t="n">
        <f aca="false">IF(OR($A$4=入户维修!$F253,$A$4=入户维修!$G253,$BN$4=1),0,4-SUMPRODUCT(--(($A$1:$A$4=入户维修!$F253)+($A$1:$A$4=入户维修!$G253)+$BN$1:$BN$4&gt;0)))</f>
        <v>3</v>
      </c>
      <c r="W253" s="0" t="n">
        <f aca="false">IF(OR($A$5=入户维修!$F253,$A$5=入户维修!$G253,$BN$5=1),0,5-SUMPRODUCT(--(($A$1:$A$5=入户维修!$F253)+($A$1:$A$5=入户维修!$G253)+$BN$1:$BN$5&gt;0)))</f>
        <v>4</v>
      </c>
      <c r="Y253" s="0" t="str">
        <f aca="false">IFERROR(INDEX($A$1:$A$5,MATCH(1,$S253:$W253,0)),IF(1=MAX($S253:$W253)+1,"取消",""))</f>
        <v>李师傅</v>
      </c>
      <c r="Z253" s="0" t="str">
        <f aca="false">IFERROR(INDEX($A$1:$A$5,MATCH(2,$S253:$W253,0)),IF(2=MAX($S253:$W253)+1,"取消",""))</f>
        <v>王师傅</v>
      </c>
      <c r="AA253" s="0" t="str">
        <f aca="false">IFERROR(INDEX($A$1:$A$5,MATCH(3,$S253:$W253,0)),IF(3=MAX($S253:$W253)+1,"取消",""))</f>
        <v>陈师傅</v>
      </c>
      <c r="AB253" s="0" t="str">
        <f aca="false">IFERROR(INDEX($A$1:$A$5,MATCH(4,$S253:$W253,0)),IF(4=MAX($S253:$W253)+1,"取消",""))</f>
        <v>刘师傅</v>
      </c>
      <c r="AC253" s="0" t="str">
        <f aca="false">IFERROR(INDEX($A$1:$A$5,MATCH(5,$S253:$W253,0)),IF(5=MAX($S253:$W253)+1,"取消",""))</f>
        <v>取消</v>
      </c>
      <c r="AD253" s="0" t="str">
        <f aca="false">IFERROR(INDEX($A$1:$A$5,MATCH(6,$S253:$W253,0)),IF(6=MAX($S253:$W253)+1,"取消",""))</f>
        <v/>
      </c>
      <c r="AF253" s="0" t="n">
        <f aca="false">IF(OR($A$1=公区维修!$F253,$BN$1=1),0,1-SUMPRODUCT(--(($A$1=公区维修!$F253)+$BN$1&gt;0)))</f>
        <v>0</v>
      </c>
      <c r="AG253" s="0" t="n">
        <f aca="false">IF(OR($A$2=公区维修!$F253,$BN$2=1),0,2-SUMPRODUCT(--(($A$1:$A$2=公区维修!$F253)+$BN$1:$BN$2&gt;0)))</f>
        <v>1</v>
      </c>
      <c r="AH253" s="0" t="n">
        <f aca="false">IF(OR($A$3=公区维修!$F253,$BN$3=1),0,3-SUMPRODUCT(--(($A$1:$A$3=公区维修!$F253)+$BN$1:$BN$3&gt;0)))</f>
        <v>2</v>
      </c>
      <c r="AI253" s="0" t="n">
        <f aca="false">IF(OR($A$4=公区维修!$F253,$BN$4=1),0,4-SUMPRODUCT(--(($A$1:$A$4=公区维修!$F253)+$BN$1:$BN$4&gt;0)))</f>
        <v>3</v>
      </c>
      <c r="AJ253" s="0" t="n">
        <f aca="false">IF(OR($A$5=公区维修!$F253,$BN$5=1),0,5-SUMPRODUCT(--(($A$1:$A$5=公区维修!$F253)+$BN$1:$BN$5&gt;0)))</f>
        <v>4</v>
      </c>
      <c r="AL253" s="0" t="str">
        <f aca="false">IFERROR(INDEX($A$1:$A$5,MATCH(1,$AF253:$AJ253,0)),IF(1=MAX($AF253:$AJ253)+1,"取消",""))</f>
        <v>李师傅</v>
      </c>
      <c r="AM253" s="0" t="str">
        <f aca="false">IFERROR(INDEX($A$1:$A$5,MATCH(2,$AF253:$AJ253,0)),IF(2=MAX($AF253:$AJ253)+1,"取消",""))</f>
        <v>王师傅</v>
      </c>
      <c r="AN253" s="0" t="str">
        <f aca="false">IFERROR(INDEX($A$1:$A$5,MATCH(3,$AF253:$AJ253,0)),IF(3=MAX($AF253:$AJ253)+1,"取消",""))</f>
        <v>陈师傅</v>
      </c>
      <c r="AO253" s="0" t="str">
        <f aca="false">IFERROR(INDEX($A$1:$A$5,MATCH(4,$AF253:$AJ253,0)),IF(4=MAX($AF253:$AJ253)+1,"取消",""))</f>
        <v>刘师傅</v>
      </c>
      <c r="AP253" s="0" t="str">
        <f aca="false">IFERROR(INDEX($A$1:$A$5,MATCH(5,$AF253:$AJ253,0)),IF(5=MAX($AF253:$AJ253)+1,"取消",""))</f>
        <v>取消</v>
      </c>
      <c r="AQ253" s="0" t="str">
        <f aca="false">IFERROR(INDEX($A$1:$A$5,MATCH(6,$AF253:$AJ253,0)),IF(6=MAX($AF253:$AJ253)+1,"取消",""))</f>
        <v/>
      </c>
      <c r="AS253" s="0" t="n">
        <f aca="false">IF(OR($A$1=公区维修!$F253,$A$1=公区维修!$G253,$BN$1=1),0,1-SUMPRODUCT(--(($A$1=公区维修!$F253)+($A$1=公区维修!$G253)+$BN$1&gt;0)))</f>
        <v>0</v>
      </c>
      <c r="AT253" s="0" t="n">
        <f aca="false">IF(OR($A$2=公区维修!$F253,$A$2=公区维修!$G253,$BN$2=1),0,2-SUMPRODUCT(--(($A$1:$A$2=公区维修!$F253)+($A$1:$A$2=公区维修!$G253)+$BN$1:$BN$2&gt;0)))</f>
        <v>1</v>
      </c>
      <c r="AU253" s="0" t="n">
        <f aca="false">IF(OR($A$3=公区维修!$F253,$A$3=公区维修!$G253,$BN$3=1),0,3-SUMPRODUCT(--(($A$1:$A$3=公区维修!$F253)+($A$1:$A$3=公区维修!$G253)+$BN$1:$BN$3&gt;0)))</f>
        <v>2</v>
      </c>
      <c r="AV253" s="0" t="n">
        <f aca="false">IF(OR($A$4=公区维修!$F253,$A$4=公区维修!$G253,$BN$4=1),0,4-SUMPRODUCT(--(($A$1:$A$4=公区维修!$F253)+($A$1:$A$4=公区维修!$G253)+$BN$1:$BN$4&gt;0)))</f>
        <v>3</v>
      </c>
      <c r="AW253" s="0" t="n">
        <f aca="false">IF(OR($A$5=公区维修!$F253,$A$5=公区维修!$G253,$BN$5=1),0,5-SUMPRODUCT(--(($A$1:$A$5=公区维修!$F253)+($A$1:$A$5=公区维修!$G253)+$BN$1:$BN$5&gt;0)))</f>
        <v>4</v>
      </c>
      <c r="AY253" s="0" t="str">
        <f aca="false">IFERROR(INDEX($A$1:$A$5,MATCH(1,$AS253:$AW253,0)),IF(1=MAX($AS253:$AW253)+1,"取消",""))</f>
        <v>李师傅</v>
      </c>
      <c r="AZ253" s="0" t="str">
        <f aca="false">IFERROR(INDEX($A$1:$A$5,MATCH(2,$AS253:$AW253,0)),IF(2=MAX($AS253:$AW253)+1,"取消",""))</f>
        <v>王师傅</v>
      </c>
      <c r="BA253" s="0" t="str">
        <f aca="false">IFERROR(INDEX($A$1:$A$5,MATCH(3,$AS253:$AW253,0)),IF(3=MAX($AS253:$AW253)+1,"取消",""))</f>
        <v>陈师傅</v>
      </c>
      <c r="BB253" s="0" t="str">
        <f aca="false">IFERROR(INDEX($A$1:$A$5,MATCH(4,$AS253:$AW253,0)),IF(4=MAX($AS253:$AW253)+1,"取消",""))</f>
        <v>刘师傅</v>
      </c>
      <c r="BC253" s="0" t="str">
        <f aca="false">IFERROR(INDEX($A$1:$A$5,MATCH(5,$AS253:$AW253,0)),IF(5=MAX($AS253:$AW253)+1,"取消",""))</f>
        <v>取消</v>
      </c>
      <c r="BD253" s="0" t="str">
        <f aca="false">IFERROR(INDEX($A$1:$A$5,MATCH(6,$AS253:$AW253,0)),IF(6=MAX($AS253:$AW253)+1,"取消",""))</f>
        <v/>
      </c>
      <c r="FW253" s="0" t="str">
        <f aca="false">IF(AND(单元查询!$D$3&lt;&gt;"",IF(单元查询!$B$3="公区维修",公区维修!$E253&lt;&gt;"",入户维修!$E253&lt;&gt;""),IF(单元查询!$B$3="公区维修",公区维修!$C253,入户维修!$C253)=单元查询!$D$3,OR(单元查询!$F$3="",IF(单元查询!$B$3="公区维修",公区维修!$D253,入户维修!$D253)&amp;""=(单元查询!$F$3)&amp;"")),MAX($FW$4:$FW252)+1,"")</f>
        <v/>
      </c>
    </row>
    <row r="254" customFormat="false" ht="15" hidden="false" customHeight="true" outlineLevel="0" collapsed="false">
      <c r="F254" s="0" t="n">
        <f aca="false">IF(OR($A$1=入户维修!$F254,$BN$1=1),0,1-SUMPRODUCT(--(($A$1=入户维修!$F254)+$BN$1&gt;0)))</f>
        <v>0</v>
      </c>
      <c r="G254" s="0" t="n">
        <f aca="false">IF(OR($A$2=入户维修!$F254,$BN$2=1),0,2-SUMPRODUCT(--(($A$1:$A$2=入户维修!$F254)+$BN$1:$BN$2&gt;0)))</f>
        <v>1</v>
      </c>
      <c r="H254" s="0" t="n">
        <f aca="false">IF(OR($A$3=入户维修!$F254,$BN$3=1),0,3-SUMPRODUCT(--(($A$1:$A$3=入户维修!$F254)+$BN$1:$BN$3&gt;0)))</f>
        <v>2</v>
      </c>
      <c r="I254" s="0" t="n">
        <f aca="false">IF(OR($A$4=入户维修!$F254,$BN$4=1),0,4-SUMPRODUCT(--(($A$1:$A$4=入户维修!$F254)+$BN$1:$BN$4&gt;0)))</f>
        <v>3</v>
      </c>
      <c r="J254" s="0" t="n">
        <f aca="false">IF(OR($A$5=入户维修!$F254,$BN$5=1),0,5-SUMPRODUCT(--(($A$1:$A$5=入户维修!$F254)+$BN$1:$BN$5&gt;0)))</f>
        <v>4</v>
      </c>
      <c r="L254" s="0" t="str">
        <f aca="false">IFERROR(INDEX($A$1:$A$5,MATCH(1,$F254:$J254,0)),IF(1=MAX($F254:$J254)+1,"取消",""))</f>
        <v>李师傅</v>
      </c>
      <c r="M254" s="0" t="str">
        <f aca="false">IFERROR(INDEX($A$1:$A$5,MATCH(2,$F254:$J254,0)),IF(2=MAX($F254:$J254)+1,"取消",""))</f>
        <v>王师傅</v>
      </c>
      <c r="N254" s="0" t="str">
        <f aca="false">IFERROR(INDEX($A$1:$A$5,MATCH(3,$F254:$J254,0)),IF(3=MAX($F254:$J254)+1,"取消",""))</f>
        <v>陈师傅</v>
      </c>
      <c r="O254" s="0" t="str">
        <f aca="false">IFERROR(INDEX($A$1:$A$5,MATCH(4,$F254:$J254,0)),IF(4=MAX($F254:$J254)+1,"取消",""))</f>
        <v>刘师傅</v>
      </c>
      <c r="P254" s="0" t="str">
        <f aca="false">IFERROR(INDEX($A$1:$A$5,MATCH(5,$F254:$J254,0)),IF(5=MAX($F254:$J254)+1,"取消",""))</f>
        <v>取消</v>
      </c>
      <c r="Q254" s="0" t="str">
        <f aca="false">IFERROR(INDEX($A$1:$A$5,MATCH(6,$F254:$J254,0)),IF(6=MAX($F254:$J254)+1,"取消",""))</f>
        <v/>
      </c>
      <c r="S254" s="0" t="n">
        <f aca="false">IF(OR($A$1=入户维修!$F254,$A$1=入户维修!$G254,$BN$1=1),0,1-SUMPRODUCT(--(($A$1=入户维修!$F254)+($A$1=入户维修!$G254)+$BN$1&gt;0)))</f>
        <v>0</v>
      </c>
      <c r="T254" s="0" t="n">
        <f aca="false">IF(OR($A$2=入户维修!$F254,$A$2=入户维修!$G254,$BN$2=1),0,2-SUMPRODUCT(--(($A$1:$A$2=入户维修!$F254)+($A$1:$A$2=入户维修!$G254)+$BN$1:$BN$2&gt;0)))</f>
        <v>1</v>
      </c>
      <c r="U254" s="0" t="n">
        <f aca="false">IF(OR($A$3=入户维修!$F254,$A$3=入户维修!$G254,$BN$3=1),0,3-SUMPRODUCT(--(($A$1:$A$3=入户维修!$F254)+($A$1:$A$3=入户维修!$G254)+$BN$1:$BN$3&gt;0)))</f>
        <v>2</v>
      </c>
      <c r="V254" s="0" t="n">
        <f aca="false">IF(OR($A$4=入户维修!$F254,$A$4=入户维修!$G254,$BN$4=1),0,4-SUMPRODUCT(--(($A$1:$A$4=入户维修!$F254)+($A$1:$A$4=入户维修!$G254)+$BN$1:$BN$4&gt;0)))</f>
        <v>3</v>
      </c>
      <c r="W254" s="0" t="n">
        <f aca="false">IF(OR($A$5=入户维修!$F254,$A$5=入户维修!$G254,$BN$5=1),0,5-SUMPRODUCT(--(($A$1:$A$5=入户维修!$F254)+($A$1:$A$5=入户维修!$G254)+$BN$1:$BN$5&gt;0)))</f>
        <v>4</v>
      </c>
      <c r="Y254" s="0" t="str">
        <f aca="false">IFERROR(INDEX($A$1:$A$5,MATCH(1,$S254:$W254,0)),IF(1=MAX($S254:$W254)+1,"取消",""))</f>
        <v>李师傅</v>
      </c>
      <c r="Z254" s="0" t="str">
        <f aca="false">IFERROR(INDEX($A$1:$A$5,MATCH(2,$S254:$W254,0)),IF(2=MAX($S254:$W254)+1,"取消",""))</f>
        <v>王师傅</v>
      </c>
      <c r="AA254" s="0" t="str">
        <f aca="false">IFERROR(INDEX($A$1:$A$5,MATCH(3,$S254:$W254,0)),IF(3=MAX($S254:$W254)+1,"取消",""))</f>
        <v>陈师傅</v>
      </c>
      <c r="AB254" s="0" t="str">
        <f aca="false">IFERROR(INDEX($A$1:$A$5,MATCH(4,$S254:$W254,0)),IF(4=MAX($S254:$W254)+1,"取消",""))</f>
        <v>刘师傅</v>
      </c>
      <c r="AC254" s="0" t="str">
        <f aca="false">IFERROR(INDEX($A$1:$A$5,MATCH(5,$S254:$W254,0)),IF(5=MAX($S254:$W254)+1,"取消",""))</f>
        <v>取消</v>
      </c>
      <c r="AD254" s="0" t="str">
        <f aca="false">IFERROR(INDEX($A$1:$A$5,MATCH(6,$S254:$W254,0)),IF(6=MAX($S254:$W254)+1,"取消",""))</f>
        <v/>
      </c>
      <c r="AF254" s="0" t="n">
        <f aca="false">IF(OR($A$1=公区维修!$F254,$BN$1=1),0,1-SUMPRODUCT(--(($A$1=公区维修!$F254)+$BN$1&gt;0)))</f>
        <v>0</v>
      </c>
      <c r="AG254" s="0" t="n">
        <f aca="false">IF(OR($A$2=公区维修!$F254,$BN$2=1),0,2-SUMPRODUCT(--(($A$1:$A$2=公区维修!$F254)+$BN$1:$BN$2&gt;0)))</f>
        <v>1</v>
      </c>
      <c r="AH254" s="0" t="n">
        <f aca="false">IF(OR($A$3=公区维修!$F254,$BN$3=1),0,3-SUMPRODUCT(--(($A$1:$A$3=公区维修!$F254)+$BN$1:$BN$3&gt;0)))</f>
        <v>2</v>
      </c>
      <c r="AI254" s="0" t="n">
        <f aca="false">IF(OR($A$4=公区维修!$F254,$BN$4=1),0,4-SUMPRODUCT(--(($A$1:$A$4=公区维修!$F254)+$BN$1:$BN$4&gt;0)))</f>
        <v>3</v>
      </c>
      <c r="AJ254" s="0" t="n">
        <f aca="false">IF(OR($A$5=公区维修!$F254,$BN$5=1),0,5-SUMPRODUCT(--(($A$1:$A$5=公区维修!$F254)+$BN$1:$BN$5&gt;0)))</f>
        <v>4</v>
      </c>
      <c r="AL254" s="0" t="str">
        <f aca="false">IFERROR(INDEX($A$1:$A$5,MATCH(1,$AF254:$AJ254,0)),IF(1=MAX($AF254:$AJ254)+1,"取消",""))</f>
        <v>李师傅</v>
      </c>
      <c r="AM254" s="0" t="str">
        <f aca="false">IFERROR(INDEX($A$1:$A$5,MATCH(2,$AF254:$AJ254,0)),IF(2=MAX($AF254:$AJ254)+1,"取消",""))</f>
        <v>王师傅</v>
      </c>
      <c r="AN254" s="0" t="str">
        <f aca="false">IFERROR(INDEX($A$1:$A$5,MATCH(3,$AF254:$AJ254,0)),IF(3=MAX($AF254:$AJ254)+1,"取消",""))</f>
        <v>陈师傅</v>
      </c>
      <c r="AO254" s="0" t="str">
        <f aca="false">IFERROR(INDEX($A$1:$A$5,MATCH(4,$AF254:$AJ254,0)),IF(4=MAX($AF254:$AJ254)+1,"取消",""))</f>
        <v>刘师傅</v>
      </c>
      <c r="AP254" s="0" t="str">
        <f aca="false">IFERROR(INDEX($A$1:$A$5,MATCH(5,$AF254:$AJ254,0)),IF(5=MAX($AF254:$AJ254)+1,"取消",""))</f>
        <v>取消</v>
      </c>
      <c r="AQ254" s="0" t="str">
        <f aca="false">IFERROR(INDEX($A$1:$A$5,MATCH(6,$AF254:$AJ254,0)),IF(6=MAX($AF254:$AJ254)+1,"取消",""))</f>
        <v/>
      </c>
      <c r="AS254" s="0" t="n">
        <f aca="false">IF(OR($A$1=公区维修!$F254,$A$1=公区维修!$G254,$BN$1=1),0,1-SUMPRODUCT(--(($A$1=公区维修!$F254)+($A$1=公区维修!$G254)+$BN$1&gt;0)))</f>
        <v>0</v>
      </c>
      <c r="AT254" s="0" t="n">
        <f aca="false">IF(OR($A$2=公区维修!$F254,$A$2=公区维修!$G254,$BN$2=1),0,2-SUMPRODUCT(--(($A$1:$A$2=公区维修!$F254)+($A$1:$A$2=公区维修!$G254)+$BN$1:$BN$2&gt;0)))</f>
        <v>1</v>
      </c>
      <c r="AU254" s="0" t="n">
        <f aca="false">IF(OR($A$3=公区维修!$F254,$A$3=公区维修!$G254,$BN$3=1),0,3-SUMPRODUCT(--(($A$1:$A$3=公区维修!$F254)+($A$1:$A$3=公区维修!$G254)+$BN$1:$BN$3&gt;0)))</f>
        <v>2</v>
      </c>
      <c r="AV254" s="0" t="n">
        <f aca="false">IF(OR($A$4=公区维修!$F254,$A$4=公区维修!$G254,$BN$4=1),0,4-SUMPRODUCT(--(($A$1:$A$4=公区维修!$F254)+($A$1:$A$4=公区维修!$G254)+$BN$1:$BN$4&gt;0)))</f>
        <v>3</v>
      </c>
      <c r="AW254" s="0" t="n">
        <f aca="false">IF(OR($A$5=公区维修!$F254,$A$5=公区维修!$G254,$BN$5=1),0,5-SUMPRODUCT(--(($A$1:$A$5=公区维修!$F254)+($A$1:$A$5=公区维修!$G254)+$BN$1:$BN$5&gt;0)))</f>
        <v>4</v>
      </c>
      <c r="AY254" s="0" t="str">
        <f aca="false">IFERROR(INDEX($A$1:$A$5,MATCH(1,$AS254:$AW254,0)),IF(1=MAX($AS254:$AW254)+1,"取消",""))</f>
        <v>李师傅</v>
      </c>
      <c r="AZ254" s="0" t="str">
        <f aca="false">IFERROR(INDEX($A$1:$A$5,MATCH(2,$AS254:$AW254,0)),IF(2=MAX($AS254:$AW254)+1,"取消",""))</f>
        <v>王师傅</v>
      </c>
      <c r="BA254" s="0" t="str">
        <f aca="false">IFERROR(INDEX($A$1:$A$5,MATCH(3,$AS254:$AW254,0)),IF(3=MAX($AS254:$AW254)+1,"取消",""))</f>
        <v>陈师傅</v>
      </c>
      <c r="BB254" s="0" t="str">
        <f aca="false">IFERROR(INDEX($A$1:$A$5,MATCH(4,$AS254:$AW254,0)),IF(4=MAX($AS254:$AW254)+1,"取消",""))</f>
        <v>刘师傅</v>
      </c>
      <c r="BC254" s="0" t="str">
        <f aca="false">IFERROR(INDEX($A$1:$A$5,MATCH(5,$AS254:$AW254,0)),IF(5=MAX($AS254:$AW254)+1,"取消",""))</f>
        <v>取消</v>
      </c>
      <c r="BD254" s="0" t="str">
        <f aca="false">IFERROR(INDEX($A$1:$A$5,MATCH(6,$AS254:$AW254,0)),IF(6=MAX($AS254:$AW254)+1,"取消",""))</f>
        <v/>
      </c>
      <c r="FW254" s="0" t="str">
        <f aca="false">IF(AND(单元查询!$D$3&lt;&gt;"",IF(单元查询!$B$3="公区维修",公区维修!$E254&lt;&gt;"",入户维修!$E254&lt;&gt;""),IF(单元查询!$B$3="公区维修",公区维修!$C254,入户维修!$C254)=单元查询!$D$3,OR(单元查询!$F$3="",IF(单元查询!$B$3="公区维修",公区维修!$D254,入户维修!$D254)&amp;""=(单元查询!$F$3)&amp;"")),MAX($FW$4:$FW253)+1,"")</f>
        <v/>
      </c>
    </row>
    <row r="255" customFormat="false" ht="15" hidden="false" customHeight="true" outlineLevel="0" collapsed="false">
      <c r="F255" s="0" t="n">
        <f aca="false">IF(OR($A$1=入户维修!$F255,$BN$1=1),0,1-SUMPRODUCT(--(($A$1=入户维修!$F255)+$BN$1&gt;0)))</f>
        <v>0</v>
      </c>
      <c r="G255" s="0" t="n">
        <f aca="false">IF(OR($A$2=入户维修!$F255,$BN$2=1),0,2-SUMPRODUCT(--(($A$1:$A$2=入户维修!$F255)+$BN$1:$BN$2&gt;0)))</f>
        <v>1</v>
      </c>
      <c r="H255" s="0" t="n">
        <f aca="false">IF(OR($A$3=入户维修!$F255,$BN$3=1),0,3-SUMPRODUCT(--(($A$1:$A$3=入户维修!$F255)+$BN$1:$BN$3&gt;0)))</f>
        <v>2</v>
      </c>
      <c r="I255" s="0" t="n">
        <f aca="false">IF(OR($A$4=入户维修!$F255,$BN$4=1),0,4-SUMPRODUCT(--(($A$1:$A$4=入户维修!$F255)+$BN$1:$BN$4&gt;0)))</f>
        <v>3</v>
      </c>
      <c r="J255" s="0" t="n">
        <f aca="false">IF(OR($A$5=入户维修!$F255,$BN$5=1),0,5-SUMPRODUCT(--(($A$1:$A$5=入户维修!$F255)+$BN$1:$BN$5&gt;0)))</f>
        <v>4</v>
      </c>
      <c r="L255" s="0" t="str">
        <f aca="false">IFERROR(INDEX($A$1:$A$5,MATCH(1,$F255:$J255,0)),IF(1=MAX($F255:$J255)+1,"取消",""))</f>
        <v>李师傅</v>
      </c>
      <c r="M255" s="0" t="str">
        <f aca="false">IFERROR(INDEX($A$1:$A$5,MATCH(2,$F255:$J255,0)),IF(2=MAX($F255:$J255)+1,"取消",""))</f>
        <v>王师傅</v>
      </c>
      <c r="N255" s="0" t="str">
        <f aca="false">IFERROR(INDEX($A$1:$A$5,MATCH(3,$F255:$J255,0)),IF(3=MAX($F255:$J255)+1,"取消",""))</f>
        <v>陈师傅</v>
      </c>
      <c r="O255" s="0" t="str">
        <f aca="false">IFERROR(INDEX($A$1:$A$5,MATCH(4,$F255:$J255,0)),IF(4=MAX($F255:$J255)+1,"取消",""))</f>
        <v>刘师傅</v>
      </c>
      <c r="P255" s="0" t="str">
        <f aca="false">IFERROR(INDEX($A$1:$A$5,MATCH(5,$F255:$J255,0)),IF(5=MAX($F255:$J255)+1,"取消",""))</f>
        <v>取消</v>
      </c>
      <c r="Q255" s="0" t="str">
        <f aca="false">IFERROR(INDEX($A$1:$A$5,MATCH(6,$F255:$J255,0)),IF(6=MAX($F255:$J255)+1,"取消",""))</f>
        <v/>
      </c>
      <c r="S255" s="0" t="n">
        <f aca="false">IF(OR($A$1=入户维修!$F255,$A$1=入户维修!$G255,$BN$1=1),0,1-SUMPRODUCT(--(($A$1=入户维修!$F255)+($A$1=入户维修!$G255)+$BN$1&gt;0)))</f>
        <v>0</v>
      </c>
      <c r="T255" s="0" t="n">
        <f aca="false">IF(OR($A$2=入户维修!$F255,$A$2=入户维修!$G255,$BN$2=1),0,2-SUMPRODUCT(--(($A$1:$A$2=入户维修!$F255)+($A$1:$A$2=入户维修!$G255)+$BN$1:$BN$2&gt;0)))</f>
        <v>1</v>
      </c>
      <c r="U255" s="0" t="n">
        <f aca="false">IF(OR($A$3=入户维修!$F255,$A$3=入户维修!$G255,$BN$3=1),0,3-SUMPRODUCT(--(($A$1:$A$3=入户维修!$F255)+($A$1:$A$3=入户维修!$G255)+$BN$1:$BN$3&gt;0)))</f>
        <v>2</v>
      </c>
      <c r="V255" s="0" t="n">
        <f aca="false">IF(OR($A$4=入户维修!$F255,$A$4=入户维修!$G255,$BN$4=1),0,4-SUMPRODUCT(--(($A$1:$A$4=入户维修!$F255)+($A$1:$A$4=入户维修!$G255)+$BN$1:$BN$4&gt;0)))</f>
        <v>3</v>
      </c>
      <c r="W255" s="0" t="n">
        <f aca="false">IF(OR($A$5=入户维修!$F255,$A$5=入户维修!$G255,$BN$5=1),0,5-SUMPRODUCT(--(($A$1:$A$5=入户维修!$F255)+($A$1:$A$5=入户维修!$G255)+$BN$1:$BN$5&gt;0)))</f>
        <v>4</v>
      </c>
      <c r="Y255" s="0" t="str">
        <f aca="false">IFERROR(INDEX($A$1:$A$5,MATCH(1,$S255:$W255,0)),IF(1=MAX($S255:$W255)+1,"取消",""))</f>
        <v>李师傅</v>
      </c>
      <c r="Z255" s="0" t="str">
        <f aca="false">IFERROR(INDEX($A$1:$A$5,MATCH(2,$S255:$W255,0)),IF(2=MAX($S255:$W255)+1,"取消",""))</f>
        <v>王师傅</v>
      </c>
      <c r="AA255" s="0" t="str">
        <f aca="false">IFERROR(INDEX($A$1:$A$5,MATCH(3,$S255:$W255,0)),IF(3=MAX($S255:$W255)+1,"取消",""))</f>
        <v>陈师傅</v>
      </c>
      <c r="AB255" s="0" t="str">
        <f aca="false">IFERROR(INDEX($A$1:$A$5,MATCH(4,$S255:$W255,0)),IF(4=MAX($S255:$W255)+1,"取消",""))</f>
        <v>刘师傅</v>
      </c>
      <c r="AC255" s="0" t="str">
        <f aca="false">IFERROR(INDEX($A$1:$A$5,MATCH(5,$S255:$W255,0)),IF(5=MAX($S255:$W255)+1,"取消",""))</f>
        <v>取消</v>
      </c>
      <c r="AD255" s="0" t="str">
        <f aca="false">IFERROR(INDEX($A$1:$A$5,MATCH(6,$S255:$W255,0)),IF(6=MAX($S255:$W255)+1,"取消",""))</f>
        <v/>
      </c>
      <c r="AF255" s="0" t="n">
        <f aca="false">IF(OR($A$1=公区维修!$F255,$BN$1=1),0,1-SUMPRODUCT(--(($A$1=公区维修!$F255)+$BN$1&gt;0)))</f>
        <v>0</v>
      </c>
      <c r="AG255" s="0" t="n">
        <f aca="false">IF(OR($A$2=公区维修!$F255,$BN$2=1),0,2-SUMPRODUCT(--(($A$1:$A$2=公区维修!$F255)+$BN$1:$BN$2&gt;0)))</f>
        <v>1</v>
      </c>
      <c r="AH255" s="0" t="n">
        <f aca="false">IF(OR($A$3=公区维修!$F255,$BN$3=1),0,3-SUMPRODUCT(--(($A$1:$A$3=公区维修!$F255)+$BN$1:$BN$3&gt;0)))</f>
        <v>2</v>
      </c>
      <c r="AI255" s="0" t="n">
        <f aca="false">IF(OR($A$4=公区维修!$F255,$BN$4=1),0,4-SUMPRODUCT(--(($A$1:$A$4=公区维修!$F255)+$BN$1:$BN$4&gt;0)))</f>
        <v>3</v>
      </c>
      <c r="AJ255" s="0" t="n">
        <f aca="false">IF(OR($A$5=公区维修!$F255,$BN$5=1),0,5-SUMPRODUCT(--(($A$1:$A$5=公区维修!$F255)+$BN$1:$BN$5&gt;0)))</f>
        <v>4</v>
      </c>
      <c r="AL255" s="0" t="str">
        <f aca="false">IFERROR(INDEX($A$1:$A$5,MATCH(1,$AF255:$AJ255,0)),IF(1=MAX($AF255:$AJ255)+1,"取消",""))</f>
        <v>李师傅</v>
      </c>
      <c r="AM255" s="0" t="str">
        <f aca="false">IFERROR(INDEX($A$1:$A$5,MATCH(2,$AF255:$AJ255,0)),IF(2=MAX($AF255:$AJ255)+1,"取消",""))</f>
        <v>王师傅</v>
      </c>
      <c r="AN255" s="0" t="str">
        <f aca="false">IFERROR(INDEX($A$1:$A$5,MATCH(3,$AF255:$AJ255,0)),IF(3=MAX($AF255:$AJ255)+1,"取消",""))</f>
        <v>陈师傅</v>
      </c>
      <c r="AO255" s="0" t="str">
        <f aca="false">IFERROR(INDEX($A$1:$A$5,MATCH(4,$AF255:$AJ255,0)),IF(4=MAX($AF255:$AJ255)+1,"取消",""))</f>
        <v>刘师傅</v>
      </c>
      <c r="AP255" s="0" t="str">
        <f aca="false">IFERROR(INDEX($A$1:$A$5,MATCH(5,$AF255:$AJ255,0)),IF(5=MAX($AF255:$AJ255)+1,"取消",""))</f>
        <v>取消</v>
      </c>
      <c r="AQ255" s="0" t="str">
        <f aca="false">IFERROR(INDEX($A$1:$A$5,MATCH(6,$AF255:$AJ255,0)),IF(6=MAX($AF255:$AJ255)+1,"取消",""))</f>
        <v/>
      </c>
      <c r="AS255" s="0" t="n">
        <f aca="false">IF(OR($A$1=公区维修!$F255,$A$1=公区维修!$G255,$BN$1=1),0,1-SUMPRODUCT(--(($A$1=公区维修!$F255)+($A$1=公区维修!$G255)+$BN$1&gt;0)))</f>
        <v>0</v>
      </c>
      <c r="AT255" s="0" t="n">
        <f aca="false">IF(OR($A$2=公区维修!$F255,$A$2=公区维修!$G255,$BN$2=1),0,2-SUMPRODUCT(--(($A$1:$A$2=公区维修!$F255)+($A$1:$A$2=公区维修!$G255)+$BN$1:$BN$2&gt;0)))</f>
        <v>1</v>
      </c>
      <c r="AU255" s="0" t="n">
        <f aca="false">IF(OR($A$3=公区维修!$F255,$A$3=公区维修!$G255,$BN$3=1),0,3-SUMPRODUCT(--(($A$1:$A$3=公区维修!$F255)+($A$1:$A$3=公区维修!$G255)+$BN$1:$BN$3&gt;0)))</f>
        <v>2</v>
      </c>
      <c r="AV255" s="0" t="n">
        <f aca="false">IF(OR($A$4=公区维修!$F255,$A$4=公区维修!$G255,$BN$4=1),0,4-SUMPRODUCT(--(($A$1:$A$4=公区维修!$F255)+($A$1:$A$4=公区维修!$G255)+$BN$1:$BN$4&gt;0)))</f>
        <v>3</v>
      </c>
      <c r="AW255" s="0" t="n">
        <f aca="false">IF(OR($A$5=公区维修!$F255,$A$5=公区维修!$G255,$BN$5=1),0,5-SUMPRODUCT(--(($A$1:$A$5=公区维修!$F255)+($A$1:$A$5=公区维修!$G255)+$BN$1:$BN$5&gt;0)))</f>
        <v>4</v>
      </c>
      <c r="AY255" s="0" t="str">
        <f aca="false">IFERROR(INDEX($A$1:$A$5,MATCH(1,$AS255:$AW255,0)),IF(1=MAX($AS255:$AW255)+1,"取消",""))</f>
        <v>李师傅</v>
      </c>
      <c r="AZ255" s="0" t="str">
        <f aca="false">IFERROR(INDEX($A$1:$A$5,MATCH(2,$AS255:$AW255,0)),IF(2=MAX($AS255:$AW255)+1,"取消",""))</f>
        <v>王师傅</v>
      </c>
      <c r="BA255" s="0" t="str">
        <f aca="false">IFERROR(INDEX($A$1:$A$5,MATCH(3,$AS255:$AW255,0)),IF(3=MAX($AS255:$AW255)+1,"取消",""))</f>
        <v>陈师傅</v>
      </c>
      <c r="BB255" s="0" t="str">
        <f aca="false">IFERROR(INDEX($A$1:$A$5,MATCH(4,$AS255:$AW255,0)),IF(4=MAX($AS255:$AW255)+1,"取消",""))</f>
        <v>刘师傅</v>
      </c>
      <c r="BC255" s="0" t="str">
        <f aca="false">IFERROR(INDEX($A$1:$A$5,MATCH(5,$AS255:$AW255,0)),IF(5=MAX($AS255:$AW255)+1,"取消",""))</f>
        <v>取消</v>
      </c>
      <c r="BD255" s="0" t="str">
        <f aca="false">IFERROR(INDEX($A$1:$A$5,MATCH(6,$AS255:$AW255,0)),IF(6=MAX($AS255:$AW255)+1,"取消",""))</f>
        <v/>
      </c>
      <c r="FW255" s="0" t="str">
        <f aca="false">IF(AND(单元查询!$D$3&lt;&gt;"",IF(单元查询!$B$3="公区维修",公区维修!$E255&lt;&gt;"",入户维修!$E255&lt;&gt;""),IF(单元查询!$B$3="公区维修",公区维修!$C255,入户维修!$C255)=单元查询!$D$3,OR(单元查询!$F$3="",IF(单元查询!$B$3="公区维修",公区维修!$D255,入户维修!$D255)&amp;""=(单元查询!$F$3)&amp;"")),MAX($FW$4:$FW254)+1,"")</f>
        <v/>
      </c>
    </row>
    <row r="256" customFormat="false" ht="15" hidden="false" customHeight="true" outlineLevel="0" collapsed="false">
      <c r="F256" s="0" t="n">
        <f aca="false">IF(OR($A$1=入户维修!$F256,$BN$1=1),0,1-SUMPRODUCT(--(($A$1=入户维修!$F256)+$BN$1&gt;0)))</f>
        <v>0</v>
      </c>
      <c r="G256" s="0" t="n">
        <f aca="false">IF(OR($A$2=入户维修!$F256,$BN$2=1),0,2-SUMPRODUCT(--(($A$1:$A$2=入户维修!$F256)+$BN$1:$BN$2&gt;0)))</f>
        <v>1</v>
      </c>
      <c r="H256" s="0" t="n">
        <f aca="false">IF(OR($A$3=入户维修!$F256,$BN$3=1),0,3-SUMPRODUCT(--(($A$1:$A$3=入户维修!$F256)+$BN$1:$BN$3&gt;0)))</f>
        <v>2</v>
      </c>
      <c r="I256" s="0" t="n">
        <f aca="false">IF(OR($A$4=入户维修!$F256,$BN$4=1),0,4-SUMPRODUCT(--(($A$1:$A$4=入户维修!$F256)+$BN$1:$BN$4&gt;0)))</f>
        <v>3</v>
      </c>
      <c r="J256" s="0" t="n">
        <f aca="false">IF(OR($A$5=入户维修!$F256,$BN$5=1),0,5-SUMPRODUCT(--(($A$1:$A$5=入户维修!$F256)+$BN$1:$BN$5&gt;0)))</f>
        <v>4</v>
      </c>
      <c r="L256" s="0" t="str">
        <f aca="false">IFERROR(INDEX($A$1:$A$5,MATCH(1,$F256:$J256,0)),IF(1=MAX($F256:$J256)+1,"取消",""))</f>
        <v>李师傅</v>
      </c>
      <c r="M256" s="0" t="str">
        <f aca="false">IFERROR(INDEX($A$1:$A$5,MATCH(2,$F256:$J256,0)),IF(2=MAX($F256:$J256)+1,"取消",""))</f>
        <v>王师傅</v>
      </c>
      <c r="N256" s="0" t="str">
        <f aca="false">IFERROR(INDEX($A$1:$A$5,MATCH(3,$F256:$J256,0)),IF(3=MAX($F256:$J256)+1,"取消",""))</f>
        <v>陈师傅</v>
      </c>
      <c r="O256" s="0" t="str">
        <f aca="false">IFERROR(INDEX($A$1:$A$5,MATCH(4,$F256:$J256,0)),IF(4=MAX($F256:$J256)+1,"取消",""))</f>
        <v>刘师傅</v>
      </c>
      <c r="P256" s="0" t="str">
        <f aca="false">IFERROR(INDEX($A$1:$A$5,MATCH(5,$F256:$J256,0)),IF(5=MAX($F256:$J256)+1,"取消",""))</f>
        <v>取消</v>
      </c>
      <c r="Q256" s="0" t="str">
        <f aca="false">IFERROR(INDEX($A$1:$A$5,MATCH(6,$F256:$J256,0)),IF(6=MAX($F256:$J256)+1,"取消",""))</f>
        <v/>
      </c>
      <c r="S256" s="0" t="n">
        <f aca="false">IF(OR($A$1=入户维修!$F256,$A$1=入户维修!$G256,$BN$1=1),0,1-SUMPRODUCT(--(($A$1=入户维修!$F256)+($A$1=入户维修!$G256)+$BN$1&gt;0)))</f>
        <v>0</v>
      </c>
      <c r="T256" s="0" t="n">
        <f aca="false">IF(OR($A$2=入户维修!$F256,$A$2=入户维修!$G256,$BN$2=1),0,2-SUMPRODUCT(--(($A$1:$A$2=入户维修!$F256)+($A$1:$A$2=入户维修!$G256)+$BN$1:$BN$2&gt;0)))</f>
        <v>1</v>
      </c>
      <c r="U256" s="0" t="n">
        <f aca="false">IF(OR($A$3=入户维修!$F256,$A$3=入户维修!$G256,$BN$3=1),0,3-SUMPRODUCT(--(($A$1:$A$3=入户维修!$F256)+($A$1:$A$3=入户维修!$G256)+$BN$1:$BN$3&gt;0)))</f>
        <v>2</v>
      </c>
      <c r="V256" s="0" t="n">
        <f aca="false">IF(OR($A$4=入户维修!$F256,$A$4=入户维修!$G256,$BN$4=1),0,4-SUMPRODUCT(--(($A$1:$A$4=入户维修!$F256)+($A$1:$A$4=入户维修!$G256)+$BN$1:$BN$4&gt;0)))</f>
        <v>3</v>
      </c>
      <c r="W256" s="0" t="n">
        <f aca="false">IF(OR($A$5=入户维修!$F256,$A$5=入户维修!$G256,$BN$5=1),0,5-SUMPRODUCT(--(($A$1:$A$5=入户维修!$F256)+($A$1:$A$5=入户维修!$G256)+$BN$1:$BN$5&gt;0)))</f>
        <v>4</v>
      </c>
      <c r="Y256" s="0" t="str">
        <f aca="false">IFERROR(INDEX($A$1:$A$5,MATCH(1,$S256:$W256,0)),IF(1=MAX($S256:$W256)+1,"取消",""))</f>
        <v>李师傅</v>
      </c>
      <c r="Z256" s="0" t="str">
        <f aca="false">IFERROR(INDEX($A$1:$A$5,MATCH(2,$S256:$W256,0)),IF(2=MAX($S256:$W256)+1,"取消",""))</f>
        <v>王师傅</v>
      </c>
      <c r="AA256" s="0" t="str">
        <f aca="false">IFERROR(INDEX($A$1:$A$5,MATCH(3,$S256:$W256,0)),IF(3=MAX($S256:$W256)+1,"取消",""))</f>
        <v>陈师傅</v>
      </c>
      <c r="AB256" s="0" t="str">
        <f aca="false">IFERROR(INDEX($A$1:$A$5,MATCH(4,$S256:$W256,0)),IF(4=MAX($S256:$W256)+1,"取消",""))</f>
        <v>刘师傅</v>
      </c>
      <c r="AC256" s="0" t="str">
        <f aca="false">IFERROR(INDEX($A$1:$A$5,MATCH(5,$S256:$W256,0)),IF(5=MAX($S256:$W256)+1,"取消",""))</f>
        <v>取消</v>
      </c>
      <c r="AD256" s="0" t="str">
        <f aca="false">IFERROR(INDEX($A$1:$A$5,MATCH(6,$S256:$W256,0)),IF(6=MAX($S256:$W256)+1,"取消",""))</f>
        <v/>
      </c>
      <c r="AF256" s="0" t="n">
        <f aca="false">IF(OR($A$1=公区维修!$F256,$BN$1=1),0,1-SUMPRODUCT(--(($A$1=公区维修!$F256)+$BN$1&gt;0)))</f>
        <v>0</v>
      </c>
      <c r="AG256" s="0" t="n">
        <f aca="false">IF(OR($A$2=公区维修!$F256,$BN$2=1),0,2-SUMPRODUCT(--(($A$1:$A$2=公区维修!$F256)+$BN$1:$BN$2&gt;0)))</f>
        <v>1</v>
      </c>
      <c r="AH256" s="0" t="n">
        <f aca="false">IF(OR($A$3=公区维修!$F256,$BN$3=1),0,3-SUMPRODUCT(--(($A$1:$A$3=公区维修!$F256)+$BN$1:$BN$3&gt;0)))</f>
        <v>2</v>
      </c>
      <c r="AI256" s="0" t="n">
        <f aca="false">IF(OR($A$4=公区维修!$F256,$BN$4=1),0,4-SUMPRODUCT(--(($A$1:$A$4=公区维修!$F256)+$BN$1:$BN$4&gt;0)))</f>
        <v>3</v>
      </c>
      <c r="AJ256" s="0" t="n">
        <f aca="false">IF(OR($A$5=公区维修!$F256,$BN$5=1),0,5-SUMPRODUCT(--(($A$1:$A$5=公区维修!$F256)+$BN$1:$BN$5&gt;0)))</f>
        <v>4</v>
      </c>
      <c r="AL256" s="0" t="str">
        <f aca="false">IFERROR(INDEX($A$1:$A$5,MATCH(1,$AF256:$AJ256,0)),IF(1=MAX($AF256:$AJ256)+1,"取消",""))</f>
        <v>李师傅</v>
      </c>
      <c r="AM256" s="0" t="str">
        <f aca="false">IFERROR(INDEX($A$1:$A$5,MATCH(2,$AF256:$AJ256,0)),IF(2=MAX($AF256:$AJ256)+1,"取消",""))</f>
        <v>王师傅</v>
      </c>
      <c r="AN256" s="0" t="str">
        <f aca="false">IFERROR(INDEX($A$1:$A$5,MATCH(3,$AF256:$AJ256,0)),IF(3=MAX($AF256:$AJ256)+1,"取消",""))</f>
        <v>陈师傅</v>
      </c>
      <c r="AO256" s="0" t="str">
        <f aca="false">IFERROR(INDEX($A$1:$A$5,MATCH(4,$AF256:$AJ256,0)),IF(4=MAX($AF256:$AJ256)+1,"取消",""))</f>
        <v>刘师傅</v>
      </c>
      <c r="AP256" s="0" t="str">
        <f aca="false">IFERROR(INDEX($A$1:$A$5,MATCH(5,$AF256:$AJ256,0)),IF(5=MAX($AF256:$AJ256)+1,"取消",""))</f>
        <v>取消</v>
      </c>
      <c r="AQ256" s="0" t="str">
        <f aca="false">IFERROR(INDEX($A$1:$A$5,MATCH(6,$AF256:$AJ256,0)),IF(6=MAX($AF256:$AJ256)+1,"取消",""))</f>
        <v/>
      </c>
      <c r="AS256" s="0" t="n">
        <f aca="false">IF(OR($A$1=公区维修!$F256,$A$1=公区维修!$G256,$BN$1=1),0,1-SUMPRODUCT(--(($A$1=公区维修!$F256)+($A$1=公区维修!$G256)+$BN$1&gt;0)))</f>
        <v>0</v>
      </c>
      <c r="AT256" s="0" t="n">
        <f aca="false">IF(OR($A$2=公区维修!$F256,$A$2=公区维修!$G256,$BN$2=1),0,2-SUMPRODUCT(--(($A$1:$A$2=公区维修!$F256)+($A$1:$A$2=公区维修!$G256)+$BN$1:$BN$2&gt;0)))</f>
        <v>1</v>
      </c>
      <c r="AU256" s="0" t="n">
        <f aca="false">IF(OR($A$3=公区维修!$F256,$A$3=公区维修!$G256,$BN$3=1),0,3-SUMPRODUCT(--(($A$1:$A$3=公区维修!$F256)+($A$1:$A$3=公区维修!$G256)+$BN$1:$BN$3&gt;0)))</f>
        <v>2</v>
      </c>
      <c r="AV256" s="0" t="n">
        <f aca="false">IF(OR($A$4=公区维修!$F256,$A$4=公区维修!$G256,$BN$4=1),0,4-SUMPRODUCT(--(($A$1:$A$4=公区维修!$F256)+($A$1:$A$4=公区维修!$G256)+$BN$1:$BN$4&gt;0)))</f>
        <v>3</v>
      </c>
      <c r="AW256" s="0" t="n">
        <f aca="false">IF(OR($A$5=公区维修!$F256,$A$5=公区维修!$G256,$BN$5=1),0,5-SUMPRODUCT(--(($A$1:$A$5=公区维修!$F256)+($A$1:$A$5=公区维修!$G256)+$BN$1:$BN$5&gt;0)))</f>
        <v>4</v>
      </c>
      <c r="AY256" s="0" t="str">
        <f aca="false">IFERROR(INDEX($A$1:$A$5,MATCH(1,$AS256:$AW256,0)),IF(1=MAX($AS256:$AW256)+1,"取消",""))</f>
        <v>李师傅</v>
      </c>
      <c r="AZ256" s="0" t="str">
        <f aca="false">IFERROR(INDEX($A$1:$A$5,MATCH(2,$AS256:$AW256,0)),IF(2=MAX($AS256:$AW256)+1,"取消",""))</f>
        <v>王师傅</v>
      </c>
      <c r="BA256" s="0" t="str">
        <f aca="false">IFERROR(INDEX($A$1:$A$5,MATCH(3,$AS256:$AW256,0)),IF(3=MAX($AS256:$AW256)+1,"取消",""))</f>
        <v>陈师傅</v>
      </c>
      <c r="BB256" s="0" t="str">
        <f aca="false">IFERROR(INDEX($A$1:$A$5,MATCH(4,$AS256:$AW256,0)),IF(4=MAX($AS256:$AW256)+1,"取消",""))</f>
        <v>刘师傅</v>
      </c>
      <c r="BC256" s="0" t="str">
        <f aca="false">IFERROR(INDEX($A$1:$A$5,MATCH(5,$AS256:$AW256,0)),IF(5=MAX($AS256:$AW256)+1,"取消",""))</f>
        <v>取消</v>
      </c>
      <c r="BD256" s="0" t="str">
        <f aca="false">IFERROR(INDEX($A$1:$A$5,MATCH(6,$AS256:$AW256,0)),IF(6=MAX($AS256:$AW256)+1,"取消",""))</f>
        <v/>
      </c>
      <c r="FW256" s="0" t="str">
        <f aca="false">IF(AND(单元查询!$D$3&lt;&gt;"",IF(单元查询!$B$3="公区维修",公区维修!$E256&lt;&gt;"",入户维修!$E256&lt;&gt;""),IF(单元查询!$B$3="公区维修",公区维修!$C256,入户维修!$C256)=单元查询!$D$3,OR(单元查询!$F$3="",IF(单元查询!$B$3="公区维修",公区维修!$D256,入户维修!$D256)&amp;""=(单元查询!$F$3)&amp;"")),MAX($FW$4:$FW255)+1,"")</f>
        <v/>
      </c>
    </row>
    <row r="257" customFormat="false" ht="15" hidden="false" customHeight="true" outlineLevel="0" collapsed="false">
      <c r="F257" s="0" t="n">
        <f aca="false">IF(OR($A$1=入户维修!$F257,$BN$1=1),0,1-SUMPRODUCT(--(($A$1=入户维修!$F257)+$BN$1&gt;0)))</f>
        <v>0</v>
      </c>
      <c r="G257" s="0" t="n">
        <f aca="false">IF(OR($A$2=入户维修!$F257,$BN$2=1),0,2-SUMPRODUCT(--(($A$1:$A$2=入户维修!$F257)+$BN$1:$BN$2&gt;0)))</f>
        <v>1</v>
      </c>
      <c r="H257" s="0" t="n">
        <f aca="false">IF(OR($A$3=入户维修!$F257,$BN$3=1),0,3-SUMPRODUCT(--(($A$1:$A$3=入户维修!$F257)+$BN$1:$BN$3&gt;0)))</f>
        <v>2</v>
      </c>
      <c r="I257" s="0" t="n">
        <f aca="false">IF(OR($A$4=入户维修!$F257,$BN$4=1),0,4-SUMPRODUCT(--(($A$1:$A$4=入户维修!$F257)+$BN$1:$BN$4&gt;0)))</f>
        <v>3</v>
      </c>
      <c r="J257" s="0" t="n">
        <f aca="false">IF(OR($A$5=入户维修!$F257,$BN$5=1),0,5-SUMPRODUCT(--(($A$1:$A$5=入户维修!$F257)+$BN$1:$BN$5&gt;0)))</f>
        <v>4</v>
      </c>
      <c r="L257" s="0" t="str">
        <f aca="false">IFERROR(INDEX($A$1:$A$5,MATCH(1,$F257:$J257,0)),IF(1=MAX($F257:$J257)+1,"取消",""))</f>
        <v>李师傅</v>
      </c>
      <c r="M257" s="0" t="str">
        <f aca="false">IFERROR(INDEX($A$1:$A$5,MATCH(2,$F257:$J257,0)),IF(2=MAX($F257:$J257)+1,"取消",""))</f>
        <v>王师傅</v>
      </c>
      <c r="N257" s="0" t="str">
        <f aca="false">IFERROR(INDEX($A$1:$A$5,MATCH(3,$F257:$J257,0)),IF(3=MAX($F257:$J257)+1,"取消",""))</f>
        <v>陈师傅</v>
      </c>
      <c r="O257" s="0" t="str">
        <f aca="false">IFERROR(INDEX($A$1:$A$5,MATCH(4,$F257:$J257,0)),IF(4=MAX($F257:$J257)+1,"取消",""))</f>
        <v>刘师傅</v>
      </c>
      <c r="P257" s="0" t="str">
        <f aca="false">IFERROR(INDEX($A$1:$A$5,MATCH(5,$F257:$J257,0)),IF(5=MAX($F257:$J257)+1,"取消",""))</f>
        <v>取消</v>
      </c>
      <c r="Q257" s="0" t="str">
        <f aca="false">IFERROR(INDEX($A$1:$A$5,MATCH(6,$F257:$J257,0)),IF(6=MAX($F257:$J257)+1,"取消",""))</f>
        <v/>
      </c>
      <c r="S257" s="0" t="n">
        <f aca="false">IF(OR($A$1=入户维修!$F257,$A$1=入户维修!$G257,$BN$1=1),0,1-SUMPRODUCT(--(($A$1=入户维修!$F257)+($A$1=入户维修!$G257)+$BN$1&gt;0)))</f>
        <v>0</v>
      </c>
      <c r="T257" s="0" t="n">
        <f aca="false">IF(OR($A$2=入户维修!$F257,$A$2=入户维修!$G257,$BN$2=1),0,2-SUMPRODUCT(--(($A$1:$A$2=入户维修!$F257)+($A$1:$A$2=入户维修!$G257)+$BN$1:$BN$2&gt;0)))</f>
        <v>1</v>
      </c>
      <c r="U257" s="0" t="n">
        <f aca="false">IF(OR($A$3=入户维修!$F257,$A$3=入户维修!$G257,$BN$3=1),0,3-SUMPRODUCT(--(($A$1:$A$3=入户维修!$F257)+($A$1:$A$3=入户维修!$G257)+$BN$1:$BN$3&gt;0)))</f>
        <v>2</v>
      </c>
      <c r="V257" s="0" t="n">
        <f aca="false">IF(OR($A$4=入户维修!$F257,$A$4=入户维修!$G257,$BN$4=1),0,4-SUMPRODUCT(--(($A$1:$A$4=入户维修!$F257)+($A$1:$A$4=入户维修!$G257)+$BN$1:$BN$4&gt;0)))</f>
        <v>3</v>
      </c>
      <c r="W257" s="0" t="n">
        <f aca="false">IF(OR($A$5=入户维修!$F257,$A$5=入户维修!$G257,$BN$5=1),0,5-SUMPRODUCT(--(($A$1:$A$5=入户维修!$F257)+($A$1:$A$5=入户维修!$G257)+$BN$1:$BN$5&gt;0)))</f>
        <v>4</v>
      </c>
      <c r="Y257" s="0" t="str">
        <f aca="false">IFERROR(INDEX($A$1:$A$5,MATCH(1,$S257:$W257,0)),IF(1=MAX($S257:$W257)+1,"取消",""))</f>
        <v>李师傅</v>
      </c>
      <c r="Z257" s="0" t="str">
        <f aca="false">IFERROR(INDEX($A$1:$A$5,MATCH(2,$S257:$W257,0)),IF(2=MAX($S257:$W257)+1,"取消",""))</f>
        <v>王师傅</v>
      </c>
      <c r="AA257" s="0" t="str">
        <f aca="false">IFERROR(INDEX($A$1:$A$5,MATCH(3,$S257:$W257,0)),IF(3=MAX($S257:$W257)+1,"取消",""))</f>
        <v>陈师傅</v>
      </c>
      <c r="AB257" s="0" t="str">
        <f aca="false">IFERROR(INDEX($A$1:$A$5,MATCH(4,$S257:$W257,0)),IF(4=MAX($S257:$W257)+1,"取消",""))</f>
        <v>刘师傅</v>
      </c>
      <c r="AC257" s="0" t="str">
        <f aca="false">IFERROR(INDEX($A$1:$A$5,MATCH(5,$S257:$W257,0)),IF(5=MAX($S257:$W257)+1,"取消",""))</f>
        <v>取消</v>
      </c>
      <c r="AD257" s="0" t="str">
        <f aca="false">IFERROR(INDEX($A$1:$A$5,MATCH(6,$S257:$W257,0)),IF(6=MAX($S257:$W257)+1,"取消",""))</f>
        <v/>
      </c>
      <c r="AF257" s="0" t="n">
        <f aca="false">IF(OR($A$1=公区维修!$F257,$BN$1=1),0,1-SUMPRODUCT(--(($A$1=公区维修!$F257)+$BN$1&gt;0)))</f>
        <v>0</v>
      </c>
      <c r="AG257" s="0" t="n">
        <f aca="false">IF(OR($A$2=公区维修!$F257,$BN$2=1),0,2-SUMPRODUCT(--(($A$1:$A$2=公区维修!$F257)+$BN$1:$BN$2&gt;0)))</f>
        <v>1</v>
      </c>
      <c r="AH257" s="0" t="n">
        <f aca="false">IF(OR($A$3=公区维修!$F257,$BN$3=1),0,3-SUMPRODUCT(--(($A$1:$A$3=公区维修!$F257)+$BN$1:$BN$3&gt;0)))</f>
        <v>2</v>
      </c>
      <c r="AI257" s="0" t="n">
        <f aca="false">IF(OR($A$4=公区维修!$F257,$BN$4=1),0,4-SUMPRODUCT(--(($A$1:$A$4=公区维修!$F257)+$BN$1:$BN$4&gt;0)))</f>
        <v>3</v>
      </c>
      <c r="AJ257" s="0" t="n">
        <f aca="false">IF(OR($A$5=公区维修!$F257,$BN$5=1),0,5-SUMPRODUCT(--(($A$1:$A$5=公区维修!$F257)+$BN$1:$BN$5&gt;0)))</f>
        <v>4</v>
      </c>
      <c r="AL257" s="0" t="str">
        <f aca="false">IFERROR(INDEX($A$1:$A$5,MATCH(1,$AF257:$AJ257,0)),IF(1=MAX($AF257:$AJ257)+1,"取消",""))</f>
        <v>李师傅</v>
      </c>
      <c r="AM257" s="0" t="str">
        <f aca="false">IFERROR(INDEX($A$1:$A$5,MATCH(2,$AF257:$AJ257,0)),IF(2=MAX($AF257:$AJ257)+1,"取消",""))</f>
        <v>王师傅</v>
      </c>
      <c r="AN257" s="0" t="str">
        <f aca="false">IFERROR(INDEX($A$1:$A$5,MATCH(3,$AF257:$AJ257,0)),IF(3=MAX($AF257:$AJ257)+1,"取消",""))</f>
        <v>陈师傅</v>
      </c>
      <c r="AO257" s="0" t="str">
        <f aca="false">IFERROR(INDEX($A$1:$A$5,MATCH(4,$AF257:$AJ257,0)),IF(4=MAX($AF257:$AJ257)+1,"取消",""))</f>
        <v>刘师傅</v>
      </c>
      <c r="AP257" s="0" t="str">
        <f aca="false">IFERROR(INDEX($A$1:$A$5,MATCH(5,$AF257:$AJ257,0)),IF(5=MAX($AF257:$AJ257)+1,"取消",""))</f>
        <v>取消</v>
      </c>
      <c r="AQ257" s="0" t="str">
        <f aca="false">IFERROR(INDEX($A$1:$A$5,MATCH(6,$AF257:$AJ257,0)),IF(6=MAX($AF257:$AJ257)+1,"取消",""))</f>
        <v/>
      </c>
      <c r="AS257" s="0" t="n">
        <f aca="false">IF(OR($A$1=公区维修!$F257,$A$1=公区维修!$G257,$BN$1=1),0,1-SUMPRODUCT(--(($A$1=公区维修!$F257)+($A$1=公区维修!$G257)+$BN$1&gt;0)))</f>
        <v>0</v>
      </c>
      <c r="AT257" s="0" t="n">
        <f aca="false">IF(OR($A$2=公区维修!$F257,$A$2=公区维修!$G257,$BN$2=1),0,2-SUMPRODUCT(--(($A$1:$A$2=公区维修!$F257)+($A$1:$A$2=公区维修!$G257)+$BN$1:$BN$2&gt;0)))</f>
        <v>1</v>
      </c>
      <c r="AU257" s="0" t="n">
        <f aca="false">IF(OR($A$3=公区维修!$F257,$A$3=公区维修!$G257,$BN$3=1),0,3-SUMPRODUCT(--(($A$1:$A$3=公区维修!$F257)+($A$1:$A$3=公区维修!$G257)+$BN$1:$BN$3&gt;0)))</f>
        <v>2</v>
      </c>
      <c r="AV257" s="0" t="n">
        <f aca="false">IF(OR($A$4=公区维修!$F257,$A$4=公区维修!$G257,$BN$4=1),0,4-SUMPRODUCT(--(($A$1:$A$4=公区维修!$F257)+($A$1:$A$4=公区维修!$G257)+$BN$1:$BN$4&gt;0)))</f>
        <v>3</v>
      </c>
      <c r="AW257" s="0" t="n">
        <f aca="false">IF(OR($A$5=公区维修!$F257,$A$5=公区维修!$G257,$BN$5=1),0,5-SUMPRODUCT(--(($A$1:$A$5=公区维修!$F257)+($A$1:$A$5=公区维修!$G257)+$BN$1:$BN$5&gt;0)))</f>
        <v>4</v>
      </c>
      <c r="AY257" s="0" t="str">
        <f aca="false">IFERROR(INDEX($A$1:$A$5,MATCH(1,$AS257:$AW257,0)),IF(1=MAX($AS257:$AW257)+1,"取消",""))</f>
        <v>李师傅</v>
      </c>
      <c r="AZ257" s="0" t="str">
        <f aca="false">IFERROR(INDEX($A$1:$A$5,MATCH(2,$AS257:$AW257,0)),IF(2=MAX($AS257:$AW257)+1,"取消",""))</f>
        <v>王师傅</v>
      </c>
      <c r="BA257" s="0" t="str">
        <f aca="false">IFERROR(INDEX($A$1:$A$5,MATCH(3,$AS257:$AW257,0)),IF(3=MAX($AS257:$AW257)+1,"取消",""))</f>
        <v>陈师傅</v>
      </c>
      <c r="BB257" s="0" t="str">
        <f aca="false">IFERROR(INDEX($A$1:$A$5,MATCH(4,$AS257:$AW257,0)),IF(4=MAX($AS257:$AW257)+1,"取消",""))</f>
        <v>刘师傅</v>
      </c>
      <c r="BC257" s="0" t="str">
        <f aca="false">IFERROR(INDEX($A$1:$A$5,MATCH(5,$AS257:$AW257,0)),IF(5=MAX($AS257:$AW257)+1,"取消",""))</f>
        <v>取消</v>
      </c>
      <c r="BD257" s="0" t="str">
        <f aca="false">IFERROR(INDEX($A$1:$A$5,MATCH(6,$AS257:$AW257,0)),IF(6=MAX($AS257:$AW257)+1,"取消",""))</f>
        <v/>
      </c>
      <c r="FW257" s="0" t="str">
        <f aca="false">IF(AND(单元查询!$D$3&lt;&gt;"",IF(单元查询!$B$3="公区维修",公区维修!$E257&lt;&gt;"",入户维修!$E257&lt;&gt;""),IF(单元查询!$B$3="公区维修",公区维修!$C257,入户维修!$C257)=单元查询!$D$3,OR(单元查询!$F$3="",IF(单元查询!$B$3="公区维修",公区维修!$D257,入户维修!$D257)&amp;""=(单元查询!$F$3)&amp;"")),MAX($FW$4:$FW256)+1,"")</f>
        <v/>
      </c>
    </row>
    <row r="258" customFormat="false" ht="15" hidden="false" customHeight="true" outlineLevel="0" collapsed="false">
      <c r="F258" s="0" t="n">
        <f aca="false">IF(OR($A$1=入户维修!$F258,$BN$1=1),0,1-SUMPRODUCT(--(($A$1=入户维修!$F258)+$BN$1&gt;0)))</f>
        <v>0</v>
      </c>
      <c r="G258" s="0" t="n">
        <f aca="false">IF(OR($A$2=入户维修!$F258,$BN$2=1),0,2-SUMPRODUCT(--(($A$1:$A$2=入户维修!$F258)+$BN$1:$BN$2&gt;0)))</f>
        <v>1</v>
      </c>
      <c r="H258" s="0" t="n">
        <f aca="false">IF(OR($A$3=入户维修!$F258,$BN$3=1),0,3-SUMPRODUCT(--(($A$1:$A$3=入户维修!$F258)+$BN$1:$BN$3&gt;0)))</f>
        <v>2</v>
      </c>
      <c r="I258" s="0" t="n">
        <f aca="false">IF(OR($A$4=入户维修!$F258,$BN$4=1),0,4-SUMPRODUCT(--(($A$1:$A$4=入户维修!$F258)+$BN$1:$BN$4&gt;0)))</f>
        <v>3</v>
      </c>
      <c r="J258" s="0" t="n">
        <f aca="false">IF(OR($A$5=入户维修!$F258,$BN$5=1),0,5-SUMPRODUCT(--(($A$1:$A$5=入户维修!$F258)+$BN$1:$BN$5&gt;0)))</f>
        <v>4</v>
      </c>
      <c r="L258" s="0" t="str">
        <f aca="false">IFERROR(INDEX($A$1:$A$5,MATCH(1,$F258:$J258,0)),IF(1=MAX($F258:$J258)+1,"取消",""))</f>
        <v>李师傅</v>
      </c>
      <c r="M258" s="0" t="str">
        <f aca="false">IFERROR(INDEX($A$1:$A$5,MATCH(2,$F258:$J258,0)),IF(2=MAX($F258:$J258)+1,"取消",""))</f>
        <v>王师傅</v>
      </c>
      <c r="N258" s="0" t="str">
        <f aca="false">IFERROR(INDEX($A$1:$A$5,MATCH(3,$F258:$J258,0)),IF(3=MAX($F258:$J258)+1,"取消",""))</f>
        <v>陈师傅</v>
      </c>
      <c r="O258" s="0" t="str">
        <f aca="false">IFERROR(INDEX($A$1:$A$5,MATCH(4,$F258:$J258,0)),IF(4=MAX($F258:$J258)+1,"取消",""))</f>
        <v>刘师傅</v>
      </c>
      <c r="P258" s="0" t="str">
        <f aca="false">IFERROR(INDEX($A$1:$A$5,MATCH(5,$F258:$J258,0)),IF(5=MAX($F258:$J258)+1,"取消",""))</f>
        <v>取消</v>
      </c>
      <c r="Q258" s="0" t="str">
        <f aca="false">IFERROR(INDEX($A$1:$A$5,MATCH(6,$F258:$J258,0)),IF(6=MAX($F258:$J258)+1,"取消",""))</f>
        <v/>
      </c>
      <c r="S258" s="0" t="n">
        <f aca="false">IF(OR($A$1=入户维修!$F258,$A$1=入户维修!$G258,$BN$1=1),0,1-SUMPRODUCT(--(($A$1=入户维修!$F258)+($A$1=入户维修!$G258)+$BN$1&gt;0)))</f>
        <v>0</v>
      </c>
      <c r="T258" s="0" t="n">
        <f aca="false">IF(OR($A$2=入户维修!$F258,$A$2=入户维修!$G258,$BN$2=1),0,2-SUMPRODUCT(--(($A$1:$A$2=入户维修!$F258)+($A$1:$A$2=入户维修!$G258)+$BN$1:$BN$2&gt;0)))</f>
        <v>1</v>
      </c>
      <c r="U258" s="0" t="n">
        <f aca="false">IF(OR($A$3=入户维修!$F258,$A$3=入户维修!$G258,$BN$3=1),0,3-SUMPRODUCT(--(($A$1:$A$3=入户维修!$F258)+($A$1:$A$3=入户维修!$G258)+$BN$1:$BN$3&gt;0)))</f>
        <v>2</v>
      </c>
      <c r="V258" s="0" t="n">
        <f aca="false">IF(OR($A$4=入户维修!$F258,$A$4=入户维修!$G258,$BN$4=1),0,4-SUMPRODUCT(--(($A$1:$A$4=入户维修!$F258)+($A$1:$A$4=入户维修!$G258)+$BN$1:$BN$4&gt;0)))</f>
        <v>3</v>
      </c>
      <c r="W258" s="0" t="n">
        <f aca="false">IF(OR($A$5=入户维修!$F258,$A$5=入户维修!$G258,$BN$5=1),0,5-SUMPRODUCT(--(($A$1:$A$5=入户维修!$F258)+($A$1:$A$5=入户维修!$G258)+$BN$1:$BN$5&gt;0)))</f>
        <v>4</v>
      </c>
      <c r="Y258" s="0" t="str">
        <f aca="false">IFERROR(INDEX($A$1:$A$5,MATCH(1,$S258:$W258,0)),IF(1=MAX($S258:$W258)+1,"取消",""))</f>
        <v>李师傅</v>
      </c>
      <c r="Z258" s="0" t="str">
        <f aca="false">IFERROR(INDEX($A$1:$A$5,MATCH(2,$S258:$W258,0)),IF(2=MAX($S258:$W258)+1,"取消",""))</f>
        <v>王师傅</v>
      </c>
      <c r="AA258" s="0" t="str">
        <f aca="false">IFERROR(INDEX($A$1:$A$5,MATCH(3,$S258:$W258,0)),IF(3=MAX($S258:$W258)+1,"取消",""))</f>
        <v>陈师傅</v>
      </c>
      <c r="AB258" s="0" t="str">
        <f aca="false">IFERROR(INDEX($A$1:$A$5,MATCH(4,$S258:$W258,0)),IF(4=MAX($S258:$W258)+1,"取消",""))</f>
        <v>刘师傅</v>
      </c>
      <c r="AC258" s="0" t="str">
        <f aca="false">IFERROR(INDEX($A$1:$A$5,MATCH(5,$S258:$W258,0)),IF(5=MAX($S258:$W258)+1,"取消",""))</f>
        <v>取消</v>
      </c>
      <c r="AD258" s="0" t="str">
        <f aca="false">IFERROR(INDEX($A$1:$A$5,MATCH(6,$S258:$W258,0)),IF(6=MAX($S258:$W258)+1,"取消",""))</f>
        <v/>
      </c>
      <c r="AF258" s="0" t="n">
        <f aca="false">IF(OR($A$1=公区维修!$F258,$BN$1=1),0,1-SUMPRODUCT(--(($A$1=公区维修!$F258)+$BN$1&gt;0)))</f>
        <v>0</v>
      </c>
      <c r="AG258" s="0" t="n">
        <f aca="false">IF(OR($A$2=公区维修!$F258,$BN$2=1),0,2-SUMPRODUCT(--(($A$1:$A$2=公区维修!$F258)+$BN$1:$BN$2&gt;0)))</f>
        <v>1</v>
      </c>
      <c r="AH258" s="0" t="n">
        <f aca="false">IF(OR($A$3=公区维修!$F258,$BN$3=1),0,3-SUMPRODUCT(--(($A$1:$A$3=公区维修!$F258)+$BN$1:$BN$3&gt;0)))</f>
        <v>2</v>
      </c>
      <c r="AI258" s="0" t="n">
        <f aca="false">IF(OR($A$4=公区维修!$F258,$BN$4=1),0,4-SUMPRODUCT(--(($A$1:$A$4=公区维修!$F258)+$BN$1:$BN$4&gt;0)))</f>
        <v>3</v>
      </c>
      <c r="AJ258" s="0" t="n">
        <f aca="false">IF(OR($A$5=公区维修!$F258,$BN$5=1),0,5-SUMPRODUCT(--(($A$1:$A$5=公区维修!$F258)+$BN$1:$BN$5&gt;0)))</f>
        <v>4</v>
      </c>
      <c r="AL258" s="0" t="str">
        <f aca="false">IFERROR(INDEX($A$1:$A$5,MATCH(1,$AF258:$AJ258,0)),IF(1=MAX($AF258:$AJ258)+1,"取消",""))</f>
        <v>李师傅</v>
      </c>
      <c r="AM258" s="0" t="str">
        <f aca="false">IFERROR(INDEX($A$1:$A$5,MATCH(2,$AF258:$AJ258,0)),IF(2=MAX($AF258:$AJ258)+1,"取消",""))</f>
        <v>王师傅</v>
      </c>
      <c r="AN258" s="0" t="str">
        <f aca="false">IFERROR(INDEX($A$1:$A$5,MATCH(3,$AF258:$AJ258,0)),IF(3=MAX($AF258:$AJ258)+1,"取消",""))</f>
        <v>陈师傅</v>
      </c>
      <c r="AO258" s="0" t="str">
        <f aca="false">IFERROR(INDEX($A$1:$A$5,MATCH(4,$AF258:$AJ258,0)),IF(4=MAX($AF258:$AJ258)+1,"取消",""))</f>
        <v>刘师傅</v>
      </c>
      <c r="AP258" s="0" t="str">
        <f aca="false">IFERROR(INDEX($A$1:$A$5,MATCH(5,$AF258:$AJ258,0)),IF(5=MAX($AF258:$AJ258)+1,"取消",""))</f>
        <v>取消</v>
      </c>
      <c r="AQ258" s="0" t="str">
        <f aca="false">IFERROR(INDEX($A$1:$A$5,MATCH(6,$AF258:$AJ258,0)),IF(6=MAX($AF258:$AJ258)+1,"取消",""))</f>
        <v/>
      </c>
      <c r="AS258" s="0" t="n">
        <f aca="false">IF(OR($A$1=公区维修!$F258,$A$1=公区维修!$G258,$BN$1=1),0,1-SUMPRODUCT(--(($A$1=公区维修!$F258)+($A$1=公区维修!$G258)+$BN$1&gt;0)))</f>
        <v>0</v>
      </c>
      <c r="AT258" s="0" t="n">
        <f aca="false">IF(OR($A$2=公区维修!$F258,$A$2=公区维修!$G258,$BN$2=1),0,2-SUMPRODUCT(--(($A$1:$A$2=公区维修!$F258)+($A$1:$A$2=公区维修!$G258)+$BN$1:$BN$2&gt;0)))</f>
        <v>1</v>
      </c>
      <c r="AU258" s="0" t="n">
        <f aca="false">IF(OR($A$3=公区维修!$F258,$A$3=公区维修!$G258,$BN$3=1),0,3-SUMPRODUCT(--(($A$1:$A$3=公区维修!$F258)+($A$1:$A$3=公区维修!$G258)+$BN$1:$BN$3&gt;0)))</f>
        <v>2</v>
      </c>
      <c r="AV258" s="0" t="n">
        <f aca="false">IF(OR($A$4=公区维修!$F258,$A$4=公区维修!$G258,$BN$4=1),0,4-SUMPRODUCT(--(($A$1:$A$4=公区维修!$F258)+($A$1:$A$4=公区维修!$G258)+$BN$1:$BN$4&gt;0)))</f>
        <v>3</v>
      </c>
      <c r="AW258" s="0" t="n">
        <f aca="false">IF(OR($A$5=公区维修!$F258,$A$5=公区维修!$G258,$BN$5=1),0,5-SUMPRODUCT(--(($A$1:$A$5=公区维修!$F258)+($A$1:$A$5=公区维修!$G258)+$BN$1:$BN$5&gt;0)))</f>
        <v>4</v>
      </c>
      <c r="AY258" s="0" t="str">
        <f aca="false">IFERROR(INDEX($A$1:$A$5,MATCH(1,$AS258:$AW258,0)),IF(1=MAX($AS258:$AW258)+1,"取消",""))</f>
        <v>李师傅</v>
      </c>
      <c r="AZ258" s="0" t="str">
        <f aca="false">IFERROR(INDEX($A$1:$A$5,MATCH(2,$AS258:$AW258,0)),IF(2=MAX($AS258:$AW258)+1,"取消",""))</f>
        <v>王师傅</v>
      </c>
      <c r="BA258" s="0" t="str">
        <f aca="false">IFERROR(INDEX($A$1:$A$5,MATCH(3,$AS258:$AW258,0)),IF(3=MAX($AS258:$AW258)+1,"取消",""))</f>
        <v>陈师傅</v>
      </c>
      <c r="BB258" s="0" t="str">
        <f aca="false">IFERROR(INDEX($A$1:$A$5,MATCH(4,$AS258:$AW258,0)),IF(4=MAX($AS258:$AW258)+1,"取消",""))</f>
        <v>刘师傅</v>
      </c>
      <c r="BC258" s="0" t="str">
        <f aca="false">IFERROR(INDEX($A$1:$A$5,MATCH(5,$AS258:$AW258,0)),IF(5=MAX($AS258:$AW258)+1,"取消",""))</f>
        <v>取消</v>
      </c>
      <c r="BD258" s="0" t="str">
        <f aca="false">IFERROR(INDEX($A$1:$A$5,MATCH(6,$AS258:$AW258,0)),IF(6=MAX($AS258:$AW258)+1,"取消",""))</f>
        <v/>
      </c>
      <c r="FW258" s="0" t="str">
        <f aca="false">IF(AND(单元查询!$D$3&lt;&gt;"",IF(单元查询!$B$3="公区维修",公区维修!$E258&lt;&gt;"",入户维修!$E258&lt;&gt;""),IF(单元查询!$B$3="公区维修",公区维修!$C258,入户维修!$C258)=单元查询!$D$3,OR(单元查询!$F$3="",IF(单元查询!$B$3="公区维修",公区维修!$D258,入户维修!$D258)&amp;""=(单元查询!$F$3)&amp;"")),MAX($FW$4:$FW257)+1,"")</f>
        <v/>
      </c>
    </row>
    <row r="259" customFormat="false" ht="15" hidden="false" customHeight="true" outlineLevel="0" collapsed="false">
      <c r="F259" s="0" t="n">
        <f aca="false">IF(OR($A$1=入户维修!$F259,$BN$1=1),0,1-SUMPRODUCT(--(($A$1=入户维修!$F259)+$BN$1&gt;0)))</f>
        <v>0</v>
      </c>
      <c r="G259" s="0" t="n">
        <f aca="false">IF(OR($A$2=入户维修!$F259,$BN$2=1),0,2-SUMPRODUCT(--(($A$1:$A$2=入户维修!$F259)+$BN$1:$BN$2&gt;0)))</f>
        <v>1</v>
      </c>
      <c r="H259" s="0" t="n">
        <f aca="false">IF(OR($A$3=入户维修!$F259,$BN$3=1),0,3-SUMPRODUCT(--(($A$1:$A$3=入户维修!$F259)+$BN$1:$BN$3&gt;0)))</f>
        <v>2</v>
      </c>
      <c r="I259" s="0" t="n">
        <f aca="false">IF(OR($A$4=入户维修!$F259,$BN$4=1),0,4-SUMPRODUCT(--(($A$1:$A$4=入户维修!$F259)+$BN$1:$BN$4&gt;0)))</f>
        <v>3</v>
      </c>
      <c r="J259" s="0" t="n">
        <f aca="false">IF(OR($A$5=入户维修!$F259,$BN$5=1),0,5-SUMPRODUCT(--(($A$1:$A$5=入户维修!$F259)+$BN$1:$BN$5&gt;0)))</f>
        <v>4</v>
      </c>
      <c r="L259" s="0" t="str">
        <f aca="false">IFERROR(INDEX($A$1:$A$5,MATCH(1,$F259:$J259,0)),IF(1=MAX($F259:$J259)+1,"取消",""))</f>
        <v>李师傅</v>
      </c>
      <c r="M259" s="0" t="str">
        <f aca="false">IFERROR(INDEX($A$1:$A$5,MATCH(2,$F259:$J259,0)),IF(2=MAX($F259:$J259)+1,"取消",""))</f>
        <v>王师傅</v>
      </c>
      <c r="N259" s="0" t="str">
        <f aca="false">IFERROR(INDEX($A$1:$A$5,MATCH(3,$F259:$J259,0)),IF(3=MAX($F259:$J259)+1,"取消",""))</f>
        <v>陈师傅</v>
      </c>
      <c r="O259" s="0" t="str">
        <f aca="false">IFERROR(INDEX($A$1:$A$5,MATCH(4,$F259:$J259,0)),IF(4=MAX($F259:$J259)+1,"取消",""))</f>
        <v>刘师傅</v>
      </c>
      <c r="P259" s="0" t="str">
        <f aca="false">IFERROR(INDEX($A$1:$A$5,MATCH(5,$F259:$J259,0)),IF(5=MAX($F259:$J259)+1,"取消",""))</f>
        <v>取消</v>
      </c>
      <c r="Q259" s="0" t="str">
        <f aca="false">IFERROR(INDEX($A$1:$A$5,MATCH(6,$F259:$J259,0)),IF(6=MAX($F259:$J259)+1,"取消",""))</f>
        <v/>
      </c>
      <c r="S259" s="0" t="n">
        <f aca="false">IF(OR($A$1=入户维修!$F259,$A$1=入户维修!$G259,$BN$1=1),0,1-SUMPRODUCT(--(($A$1=入户维修!$F259)+($A$1=入户维修!$G259)+$BN$1&gt;0)))</f>
        <v>0</v>
      </c>
      <c r="T259" s="0" t="n">
        <f aca="false">IF(OR($A$2=入户维修!$F259,$A$2=入户维修!$G259,$BN$2=1),0,2-SUMPRODUCT(--(($A$1:$A$2=入户维修!$F259)+($A$1:$A$2=入户维修!$G259)+$BN$1:$BN$2&gt;0)))</f>
        <v>1</v>
      </c>
      <c r="U259" s="0" t="n">
        <f aca="false">IF(OR($A$3=入户维修!$F259,$A$3=入户维修!$G259,$BN$3=1),0,3-SUMPRODUCT(--(($A$1:$A$3=入户维修!$F259)+($A$1:$A$3=入户维修!$G259)+$BN$1:$BN$3&gt;0)))</f>
        <v>2</v>
      </c>
      <c r="V259" s="0" t="n">
        <f aca="false">IF(OR($A$4=入户维修!$F259,$A$4=入户维修!$G259,$BN$4=1),0,4-SUMPRODUCT(--(($A$1:$A$4=入户维修!$F259)+($A$1:$A$4=入户维修!$G259)+$BN$1:$BN$4&gt;0)))</f>
        <v>3</v>
      </c>
      <c r="W259" s="0" t="n">
        <f aca="false">IF(OR($A$5=入户维修!$F259,$A$5=入户维修!$G259,$BN$5=1),0,5-SUMPRODUCT(--(($A$1:$A$5=入户维修!$F259)+($A$1:$A$5=入户维修!$G259)+$BN$1:$BN$5&gt;0)))</f>
        <v>4</v>
      </c>
      <c r="Y259" s="0" t="str">
        <f aca="false">IFERROR(INDEX($A$1:$A$5,MATCH(1,$S259:$W259,0)),IF(1=MAX($S259:$W259)+1,"取消",""))</f>
        <v>李师傅</v>
      </c>
      <c r="Z259" s="0" t="str">
        <f aca="false">IFERROR(INDEX($A$1:$A$5,MATCH(2,$S259:$W259,0)),IF(2=MAX($S259:$W259)+1,"取消",""))</f>
        <v>王师傅</v>
      </c>
      <c r="AA259" s="0" t="str">
        <f aca="false">IFERROR(INDEX($A$1:$A$5,MATCH(3,$S259:$W259,0)),IF(3=MAX($S259:$W259)+1,"取消",""))</f>
        <v>陈师傅</v>
      </c>
      <c r="AB259" s="0" t="str">
        <f aca="false">IFERROR(INDEX($A$1:$A$5,MATCH(4,$S259:$W259,0)),IF(4=MAX($S259:$W259)+1,"取消",""))</f>
        <v>刘师傅</v>
      </c>
      <c r="AC259" s="0" t="str">
        <f aca="false">IFERROR(INDEX($A$1:$A$5,MATCH(5,$S259:$W259,0)),IF(5=MAX($S259:$W259)+1,"取消",""))</f>
        <v>取消</v>
      </c>
      <c r="AD259" s="0" t="str">
        <f aca="false">IFERROR(INDEX($A$1:$A$5,MATCH(6,$S259:$W259,0)),IF(6=MAX($S259:$W259)+1,"取消",""))</f>
        <v/>
      </c>
      <c r="AF259" s="0" t="n">
        <f aca="false">IF(OR($A$1=公区维修!$F259,$BN$1=1),0,1-SUMPRODUCT(--(($A$1=公区维修!$F259)+$BN$1&gt;0)))</f>
        <v>0</v>
      </c>
      <c r="AG259" s="0" t="n">
        <f aca="false">IF(OR($A$2=公区维修!$F259,$BN$2=1),0,2-SUMPRODUCT(--(($A$1:$A$2=公区维修!$F259)+$BN$1:$BN$2&gt;0)))</f>
        <v>1</v>
      </c>
      <c r="AH259" s="0" t="n">
        <f aca="false">IF(OR($A$3=公区维修!$F259,$BN$3=1),0,3-SUMPRODUCT(--(($A$1:$A$3=公区维修!$F259)+$BN$1:$BN$3&gt;0)))</f>
        <v>2</v>
      </c>
      <c r="AI259" s="0" t="n">
        <f aca="false">IF(OR($A$4=公区维修!$F259,$BN$4=1),0,4-SUMPRODUCT(--(($A$1:$A$4=公区维修!$F259)+$BN$1:$BN$4&gt;0)))</f>
        <v>3</v>
      </c>
      <c r="AJ259" s="0" t="n">
        <f aca="false">IF(OR($A$5=公区维修!$F259,$BN$5=1),0,5-SUMPRODUCT(--(($A$1:$A$5=公区维修!$F259)+$BN$1:$BN$5&gt;0)))</f>
        <v>4</v>
      </c>
      <c r="AL259" s="0" t="str">
        <f aca="false">IFERROR(INDEX($A$1:$A$5,MATCH(1,$AF259:$AJ259,0)),IF(1=MAX($AF259:$AJ259)+1,"取消",""))</f>
        <v>李师傅</v>
      </c>
      <c r="AM259" s="0" t="str">
        <f aca="false">IFERROR(INDEX($A$1:$A$5,MATCH(2,$AF259:$AJ259,0)),IF(2=MAX($AF259:$AJ259)+1,"取消",""))</f>
        <v>王师傅</v>
      </c>
      <c r="AN259" s="0" t="str">
        <f aca="false">IFERROR(INDEX($A$1:$A$5,MATCH(3,$AF259:$AJ259,0)),IF(3=MAX($AF259:$AJ259)+1,"取消",""))</f>
        <v>陈师傅</v>
      </c>
      <c r="AO259" s="0" t="str">
        <f aca="false">IFERROR(INDEX($A$1:$A$5,MATCH(4,$AF259:$AJ259,0)),IF(4=MAX($AF259:$AJ259)+1,"取消",""))</f>
        <v>刘师傅</v>
      </c>
      <c r="AP259" s="0" t="str">
        <f aca="false">IFERROR(INDEX($A$1:$A$5,MATCH(5,$AF259:$AJ259,0)),IF(5=MAX($AF259:$AJ259)+1,"取消",""))</f>
        <v>取消</v>
      </c>
      <c r="AQ259" s="0" t="str">
        <f aca="false">IFERROR(INDEX($A$1:$A$5,MATCH(6,$AF259:$AJ259,0)),IF(6=MAX($AF259:$AJ259)+1,"取消",""))</f>
        <v/>
      </c>
      <c r="AS259" s="0" t="n">
        <f aca="false">IF(OR($A$1=公区维修!$F259,$A$1=公区维修!$G259,$BN$1=1),0,1-SUMPRODUCT(--(($A$1=公区维修!$F259)+($A$1=公区维修!$G259)+$BN$1&gt;0)))</f>
        <v>0</v>
      </c>
      <c r="AT259" s="0" t="n">
        <f aca="false">IF(OR($A$2=公区维修!$F259,$A$2=公区维修!$G259,$BN$2=1),0,2-SUMPRODUCT(--(($A$1:$A$2=公区维修!$F259)+($A$1:$A$2=公区维修!$G259)+$BN$1:$BN$2&gt;0)))</f>
        <v>1</v>
      </c>
      <c r="AU259" s="0" t="n">
        <f aca="false">IF(OR($A$3=公区维修!$F259,$A$3=公区维修!$G259,$BN$3=1),0,3-SUMPRODUCT(--(($A$1:$A$3=公区维修!$F259)+($A$1:$A$3=公区维修!$G259)+$BN$1:$BN$3&gt;0)))</f>
        <v>2</v>
      </c>
      <c r="AV259" s="0" t="n">
        <f aca="false">IF(OR($A$4=公区维修!$F259,$A$4=公区维修!$G259,$BN$4=1),0,4-SUMPRODUCT(--(($A$1:$A$4=公区维修!$F259)+($A$1:$A$4=公区维修!$G259)+$BN$1:$BN$4&gt;0)))</f>
        <v>3</v>
      </c>
      <c r="AW259" s="0" t="n">
        <f aca="false">IF(OR($A$5=公区维修!$F259,$A$5=公区维修!$G259,$BN$5=1),0,5-SUMPRODUCT(--(($A$1:$A$5=公区维修!$F259)+($A$1:$A$5=公区维修!$G259)+$BN$1:$BN$5&gt;0)))</f>
        <v>4</v>
      </c>
      <c r="AY259" s="0" t="str">
        <f aca="false">IFERROR(INDEX($A$1:$A$5,MATCH(1,$AS259:$AW259,0)),IF(1=MAX($AS259:$AW259)+1,"取消",""))</f>
        <v>李师傅</v>
      </c>
      <c r="AZ259" s="0" t="str">
        <f aca="false">IFERROR(INDEX($A$1:$A$5,MATCH(2,$AS259:$AW259,0)),IF(2=MAX($AS259:$AW259)+1,"取消",""))</f>
        <v>王师傅</v>
      </c>
      <c r="BA259" s="0" t="str">
        <f aca="false">IFERROR(INDEX($A$1:$A$5,MATCH(3,$AS259:$AW259,0)),IF(3=MAX($AS259:$AW259)+1,"取消",""))</f>
        <v>陈师傅</v>
      </c>
      <c r="BB259" s="0" t="str">
        <f aca="false">IFERROR(INDEX($A$1:$A$5,MATCH(4,$AS259:$AW259,0)),IF(4=MAX($AS259:$AW259)+1,"取消",""))</f>
        <v>刘师傅</v>
      </c>
      <c r="BC259" s="0" t="str">
        <f aca="false">IFERROR(INDEX($A$1:$A$5,MATCH(5,$AS259:$AW259,0)),IF(5=MAX($AS259:$AW259)+1,"取消",""))</f>
        <v>取消</v>
      </c>
      <c r="BD259" s="0" t="str">
        <f aca="false">IFERROR(INDEX($A$1:$A$5,MATCH(6,$AS259:$AW259,0)),IF(6=MAX($AS259:$AW259)+1,"取消",""))</f>
        <v/>
      </c>
      <c r="FW259" s="0" t="str">
        <f aca="false">IF(AND(单元查询!$D$3&lt;&gt;"",IF(单元查询!$B$3="公区维修",公区维修!$E259&lt;&gt;"",入户维修!$E259&lt;&gt;""),IF(单元查询!$B$3="公区维修",公区维修!$C259,入户维修!$C259)=单元查询!$D$3,OR(单元查询!$F$3="",IF(单元查询!$B$3="公区维修",公区维修!$D259,入户维修!$D259)&amp;""=(单元查询!$F$3)&amp;"")),MAX($FW$4:$FW258)+1,"")</f>
        <v/>
      </c>
    </row>
    <row r="260" customFormat="false" ht="15" hidden="false" customHeight="true" outlineLevel="0" collapsed="false">
      <c r="F260" s="0" t="n">
        <f aca="false">IF(OR($A$1=入户维修!$F260,$BN$1=1),0,1-SUMPRODUCT(--(($A$1=入户维修!$F260)+$BN$1&gt;0)))</f>
        <v>0</v>
      </c>
      <c r="G260" s="0" t="n">
        <f aca="false">IF(OR($A$2=入户维修!$F260,$BN$2=1),0,2-SUMPRODUCT(--(($A$1:$A$2=入户维修!$F260)+$BN$1:$BN$2&gt;0)))</f>
        <v>1</v>
      </c>
      <c r="H260" s="0" t="n">
        <f aca="false">IF(OR($A$3=入户维修!$F260,$BN$3=1),0,3-SUMPRODUCT(--(($A$1:$A$3=入户维修!$F260)+$BN$1:$BN$3&gt;0)))</f>
        <v>2</v>
      </c>
      <c r="I260" s="0" t="n">
        <f aca="false">IF(OR($A$4=入户维修!$F260,$BN$4=1),0,4-SUMPRODUCT(--(($A$1:$A$4=入户维修!$F260)+$BN$1:$BN$4&gt;0)))</f>
        <v>3</v>
      </c>
      <c r="J260" s="0" t="n">
        <f aca="false">IF(OR($A$5=入户维修!$F260,$BN$5=1),0,5-SUMPRODUCT(--(($A$1:$A$5=入户维修!$F260)+$BN$1:$BN$5&gt;0)))</f>
        <v>4</v>
      </c>
      <c r="L260" s="0" t="str">
        <f aca="false">IFERROR(INDEX($A$1:$A$5,MATCH(1,$F260:$J260,0)),IF(1=MAX($F260:$J260)+1,"取消",""))</f>
        <v>李师傅</v>
      </c>
      <c r="M260" s="0" t="str">
        <f aca="false">IFERROR(INDEX($A$1:$A$5,MATCH(2,$F260:$J260,0)),IF(2=MAX($F260:$J260)+1,"取消",""))</f>
        <v>王师傅</v>
      </c>
      <c r="N260" s="0" t="str">
        <f aca="false">IFERROR(INDEX($A$1:$A$5,MATCH(3,$F260:$J260,0)),IF(3=MAX($F260:$J260)+1,"取消",""))</f>
        <v>陈师傅</v>
      </c>
      <c r="O260" s="0" t="str">
        <f aca="false">IFERROR(INDEX($A$1:$A$5,MATCH(4,$F260:$J260,0)),IF(4=MAX($F260:$J260)+1,"取消",""))</f>
        <v>刘师傅</v>
      </c>
      <c r="P260" s="0" t="str">
        <f aca="false">IFERROR(INDEX($A$1:$A$5,MATCH(5,$F260:$J260,0)),IF(5=MAX($F260:$J260)+1,"取消",""))</f>
        <v>取消</v>
      </c>
      <c r="Q260" s="0" t="str">
        <f aca="false">IFERROR(INDEX($A$1:$A$5,MATCH(6,$F260:$J260,0)),IF(6=MAX($F260:$J260)+1,"取消",""))</f>
        <v/>
      </c>
      <c r="S260" s="0" t="n">
        <f aca="false">IF(OR($A$1=入户维修!$F260,$A$1=入户维修!$G260,$BN$1=1),0,1-SUMPRODUCT(--(($A$1=入户维修!$F260)+($A$1=入户维修!$G260)+$BN$1&gt;0)))</f>
        <v>0</v>
      </c>
      <c r="T260" s="0" t="n">
        <f aca="false">IF(OR($A$2=入户维修!$F260,$A$2=入户维修!$G260,$BN$2=1),0,2-SUMPRODUCT(--(($A$1:$A$2=入户维修!$F260)+($A$1:$A$2=入户维修!$G260)+$BN$1:$BN$2&gt;0)))</f>
        <v>1</v>
      </c>
      <c r="U260" s="0" t="n">
        <f aca="false">IF(OR($A$3=入户维修!$F260,$A$3=入户维修!$G260,$BN$3=1),0,3-SUMPRODUCT(--(($A$1:$A$3=入户维修!$F260)+($A$1:$A$3=入户维修!$G260)+$BN$1:$BN$3&gt;0)))</f>
        <v>2</v>
      </c>
      <c r="V260" s="0" t="n">
        <f aca="false">IF(OR($A$4=入户维修!$F260,$A$4=入户维修!$G260,$BN$4=1),0,4-SUMPRODUCT(--(($A$1:$A$4=入户维修!$F260)+($A$1:$A$4=入户维修!$G260)+$BN$1:$BN$4&gt;0)))</f>
        <v>3</v>
      </c>
      <c r="W260" s="0" t="n">
        <f aca="false">IF(OR($A$5=入户维修!$F260,$A$5=入户维修!$G260,$BN$5=1),0,5-SUMPRODUCT(--(($A$1:$A$5=入户维修!$F260)+($A$1:$A$5=入户维修!$G260)+$BN$1:$BN$5&gt;0)))</f>
        <v>4</v>
      </c>
      <c r="Y260" s="0" t="str">
        <f aca="false">IFERROR(INDEX($A$1:$A$5,MATCH(1,$S260:$W260,0)),IF(1=MAX($S260:$W260)+1,"取消",""))</f>
        <v>李师傅</v>
      </c>
      <c r="Z260" s="0" t="str">
        <f aca="false">IFERROR(INDEX($A$1:$A$5,MATCH(2,$S260:$W260,0)),IF(2=MAX($S260:$W260)+1,"取消",""))</f>
        <v>王师傅</v>
      </c>
      <c r="AA260" s="0" t="str">
        <f aca="false">IFERROR(INDEX($A$1:$A$5,MATCH(3,$S260:$W260,0)),IF(3=MAX($S260:$W260)+1,"取消",""))</f>
        <v>陈师傅</v>
      </c>
      <c r="AB260" s="0" t="str">
        <f aca="false">IFERROR(INDEX($A$1:$A$5,MATCH(4,$S260:$W260,0)),IF(4=MAX($S260:$W260)+1,"取消",""))</f>
        <v>刘师傅</v>
      </c>
      <c r="AC260" s="0" t="str">
        <f aca="false">IFERROR(INDEX($A$1:$A$5,MATCH(5,$S260:$W260,0)),IF(5=MAX($S260:$W260)+1,"取消",""))</f>
        <v>取消</v>
      </c>
      <c r="AD260" s="0" t="str">
        <f aca="false">IFERROR(INDEX($A$1:$A$5,MATCH(6,$S260:$W260,0)),IF(6=MAX($S260:$W260)+1,"取消",""))</f>
        <v/>
      </c>
      <c r="AF260" s="0" t="n">
        <f aca="false">IF(OR($A$1=公区维修!$F260,$BN$1=1),0,1-SUMPRODUCT(--(($A$1=公区维修!$F260)+$BN$1&gt;0)))</f>
        <v>0</v>
      </c>
      <c r="AG260" s="0" t="n">
        <f aca="false">IF(OR($A$2=公区维修!$F260,$BN$2=1),0,2-SUMPRODUCT(--(($A$1:$A$2=公区维修!$F260)+$BN$1:$BN$2&gt;0)))</f>
        <v>1</v>
      </c>
      <c r="AH260" s="0" t="n">
        <f aca="false">IF(OR($A$3=公区维修!$F260,$BN$3=1),0,3-SUMPRODUCT(--(($A$1:$A$3=公区维修!$F260)+$BN$1:$BN$3&gt;0)))</f>
        <v>2</v>
      </c>
      <c r="AI260" s="0" t="n">
        <f aca="false">IF(OR($A$4=公区维修!$F260,$BN$4=1),0,4-SUMPRODUCT(--(($A$1:$A$4=公区维修!$F260)+$BN$1:$BN$4&gt;0)))</f>
        <v>3</v>
      </c>
      <c r="AJ260" s="0" t="n">
        <f aca="false">IF(OR($A$5=公区维修!$F260,$BN$5=1),0,5-SUMPRODUCT(--(($A$1:$A$5=公区维修!$F260)+$BN$1:$BN$5&gt;0)))</f>
        <v>4</v>
      </c>
      <c r="AL260" s="0" t="str">
        <f aca="false">IFERROR(INDEX($A$1:$A$5,MATCH(1,$AF260:$AJ260,0)),IF(1=MAX($AF260:$AJ260)+1,"取消",""))</f>
        <v>李师傅</v>
      </c>
      <c r="AM260" s="0" t="str">
        <f aca="false">IFERROR(INDEX($A$1:$A$5,MATCH(2,$AF260:$AJ260,0)),IF(2=MAX($AF260:$AJ260)+1,"取消",""))</f>
        <v>王师傅</v>
      </c>
      <c r="AN260" s="0" t="str">
        <f aca="false">IFERROR(INDEX($A$1:$A$5,MATCH(3,$AF260:$AJ260,0)),IF(3=MAX($AF260:$AJ260)+1,"取消",""))</f>
        <v>陈师傅</v>
      </c>
      <c r="AO260" s="0" t="str">
        <f aca="false">IFERROR(INDEX($A$1:$A$5,MATCH(4,$AF260:$AJ260,0)),IF(4=MAX($AF260:$AJ260)+1,"取消",""))</f>
        <v>刘师傅</v>
      </c>
      <c r="AP260" s="0" t="str">
        <f aca="false">IFERROR(INDEX($A$1:$A$5,MATCH(5,$AF260:$AJ260,0)),IF(5=MAX($AF260:$AJ260)+1,"取消",""))</f>
        <v>取消</v>
      </c>
      <c r="AQ260" s="0" t="str">
        <f aca="false">IFERROR(INDEX($A$1:$A$5,MATCH(6,$AF260:$AJ260,0)),IF(6=MAX($AF260:$AJ260)+1,"取消",""))</f>
        <v/>
      </c>
      <c r="AS260" s="0" t="n">
        <f aca="false">IF(OR($A$1=公区维修!$F260,$A$1=公区维修!$G260,$BN$1=1),0,1-SUMPRODUCT(--(($A$1=公区维修!$F260)+($A$1=公区维修!$G260)+$BN$1&gt;0)))</f>
        <v>0</v>
      </c>
      <c r="AT260" s="0" t="n">
        <f aca="false">IF(OR($A$2=公区维修!$F260,$A$2=公区维修!$G260,$BN$2=1),0,2-SUMPRODUCT(--(($A$1:$A$2=公区维修!$F260)+($A$1:$A$2=公区维修!$G260)+$BN$1:$BN$2&gt;0)))</f>
        <v>1</v>
      </c>
      <c r="AU260" s="0" t="n">
        <f aca="false">IF(OR($A$3=公区维修!$F260,$A$3=公区维修!$G260,$BN$3=1),0,3-SUMPRODUCT(--(($A$1:$A$3=公区维修!$F260)+($A$1:$A$3=公区维修!$G260)+$BN$1:$BN$3&gt;0)))</f>
        <v>2</v>
      </c>
      <c r="AV260" s="0" t="n">
        <f aca="false">IF(OR($A$4=公区维修!$F260,$A$4=公区维修!$G260,$BN$4=1),0,4-SUMPRODUCT(--(($A$1:$A$4=公区维修!$F260)+($A$1:$A$4=公区维修!$G260)+$BN$1:$BN$4&gt;0)))</f>
        <v>3</v>
      </c>
      <c r="AW260" s="0" t="n">
        <f aca="false">IF(OR($A$5=公区维修!$F260,$A$5=公区维修!$G260,$BN$5=1),0,5-SUMPRODUCT(--(($A$1:$A$5=公区维修!$F260)+($A$1:$A$5=公区维修!$G260)+$BN$1:$BN$5&gt;0)))</f>
        <v>4</v>
      </c>
      <c r="AY260" s="0" t="str">
        <f aca="false">IFERROR(INDEX($A$1:$A$5,MATCH(1,$AS260:$AW260,0)),IF(1=MAX($AS260:$AW260)+1,"取消",""))</f>
        <v>李师傅</v>
      </c>
      <c r="AZ260" s="0" t="str">
        <f aca="false">IFERROR(INDEX($A$1:$A$5,MATCH(2,$AS260:$AW260,0)),IF(2=MAX($AS260:$AW260)+1,"取消",""))</f>
        <v>王师傅</v>
      </c>
      <c r="BA260" s="0" t="str">
        <f aca="false">IFERROR(INDEX($A$1:$A$5,MATCH(3,$AS260:$AW260,0)),IF(3=MAX($AS260:$AW260)+1,"取消",""))</f>
        <v>陈师傅</v>
      </c>
      <c r="BB260" s="0" t="str">
        <f aca="false">IFERROR(INDEX($A$1:$A$5,MATCH(4,$AS260:$AW260,0)),IF(4=MAX($AS260:$AW260)+1,"取消",""))</f>
        <v>刘师傅</v>
      </c>
      <c r="BC260" s="0" t="str">
        <f aca="false">IFERROR(INDEX($A$1:$A$5,MATCH(5,$AS260:$AW260,0)),IF(5=MAX($AS260:$AW260)+1,"取消",""))</f>
        <v>取消</v>
      </c>
      <c r="BD260" s="0" t="str">
        <f aca="false">IFERROR(INDEX($A$1:$A$5,MATCH(6,$AS260:$AW260,0)),IF(6=MAX($AS260:$AW260)+1,"取消",""))</f>
        <v/>
      </c>
      <c r="FW260" s="0" t="str">
        <f aca="false">IF(AND(单元查询!$D$3&lt;&gt;"",IF(单元查询!$B$3="公区维修",公区维修!$E260&lt;&gt;"",入户维修!$E260&lt;&gt;""),IF(单元查询!$B$3="公区维修",公区维修!$C260,入户维修!$C260)=单元查询!$D$3,OR(单元查询!$F$3="",IF(单元查询!$B$3="公区维修",公区维修!$D260,入户维修!$D260)&amp;""=(单元查询!$F$3)&amp;"")),MAX($FW$4:$FW259)+1,"")</f>
        <v/>
      </c>
    </row>
    <row r="261" customFormat="false" ht="15" hidden="false" customHeight="true" outlineLevel="0" collapsed="false">
      <c r="F261" s="0" t="n">
        <f aca="false">IF(OR($A$1=入户维修!$F261,$BN$1=1),0,1-SUMPRODUCT(--(($A$1=入户维修!$F261)+$BN$1&gt;0)))</f>
        <v>0</v>
      </c>
      <c r="G261" s="0" t="n">
        <f aca="false">IF(OR($A$2=入户维修!$F261,$BN$2=1),0,2-SUMPRODUCT(--(($A$1:$A$2=入户维修!$F261)+$BN$1:$BN$2&gt;0)))</f>
        <v>1</v>
      </c>
      <c r="H261" s="0" t="n">
        <f aca="false">IF(OR($A$3=入户维修!$F261,$BN$3=1),0,3-SUMPRODUCT(--(($A$1:$A$3=入户维修!$F261)+$BN$1:$BN$3&gt;0)))</f>
        <v>2</v>
      </c>
      <c r="I261" s="0" t="n">
        <f aca="false">IF(OR($A$4=入户维修!$F261,$BN$4=1),0,4-SUMPRODUCT(--(($A$1:$A$4=入户维修!$F261)+$BN$1:$BN$4&gt;0)))</f>
        <v>3</v>
      </c>
      <c r="J261" s="0" t="n">
        <f aca="false">IF(OR($A$5=入户维修!$F261,$BN$5=1),0,5-SUMPRODUCT(--(($A$1:$A$5=入户维修!$F261)+$BN$1:$BN$5&gt;0)))</f>
        <v>4</v>
      </c>
      <c r="L261" s="0" t="str">
        <f aca="false">IFERROR(INDEX($A$1:$A$5,MATCH(1,$F261:$J261,0)),IF(1=MAX($F261:$J261)+1,"取消",""))</f>
        <v>李师傅</v>
      </c>
      <c r="M261" s="0" t="str">
        <f aca="false">IFERROR(INDEX($A$1:$A$5,MATCH(2,$F261:$J261,0)),IF(2=MAX($F261:$J261)+1,"取消",""))</f>
        <v>王师傅</v>
      </c>
      <c r="N261" s="0" t="str">
        <f aca="false">IFERROR(INDEX($A$1:$A$5,MATCH(3,$F261:$J261,0)),IF(3=MAX($F261:$J261)+1,"取消",""))</f>
        <v>陈师傅</v>
      </c>
      <c r="O261" s="0" t="str">
        <f aca="false">IFERROR(INDEX($A$1:$A$5,MATCH(4,$F261:$J261,0)),IF(4=MAX($F261:$J261)+1,"取消",""))</f>
        <v>刘师傅</v>
      </c>
      <c r="P261" s="0" t="str">
        <f aca="false">IFERROR(INDEX($A$1:$A$5,MATCH(5,$F261:$J261,0)),IF(5=MAX($F261:$J261)+1,"取消",""))</f>
        <v>取消</v>
      </c>
      <c r="Q261" s="0" t="str">
        <f aca="false">IFERROR(INDEX($A$1:$A$5,MATCH(6,$F261:$J261,0)),IF(6=MAX($F261:$J261)+1,"取消",""))</f>
        <v/>
      </c>
      <c r="S261" s="0" t="n">
        <f aca="false">IF(OR($A$1=入户维修!$F261,$A$1=入户维修!$G261,$BN$1=1),0,1-SUMPRODUCT(--(($A$1=入户维修!$F261)+($A$1=入户维修!$G261)+$BN$1&gt;0)))</f>
        <v>0</v>
      </c>
      <c r="T261" s="0" t="n">
        <f aca="false">IF(OR($A$2=入户维修!$F261,$A$2=入户维修!$G261,$BN$2=1),0,2-SUMPRODUCT(--(($A$1:$A$2=入户维修!$F261)+($A$1:$A$2=入户维修!$G261)+$BN$1:$BN$2&gt;0)))</f>
        <v>1</v>
      </c>
      <c r="U261" s="0" t="n">
        <f aca="false">IF(OR($A$3=入户维修!$F261,$A$3=入户维修!$G261,$BN$3=1),0,3-SUMPRODUCT(--(($A$1:$A$3=入户维修!$F261)+($A$1:$A$3=入户维修!$G261)+$BN$1:$BN$3&gt;0)))</f>
        <v>2</v>
      </c>
      <c r="V261" s="0" t="n">
        <f aca="false">IF(OR($A$4=入户维修!$F261,$A$4=入户维修!$G261,$BN$4=1),0,4-SUMPRODUCT(--(($A$1:$A$4=入户维修!$F261)+($A$1:$A$4=入户维修!$G261)+$BN$1:$BN$4&gt;0)))</f>
        <v>3</v>
      </c>
      <c r="W261" s="0" t="n">
        <f aca="false">IF(OR($A$5=入户维修!$F261,$A$5=入户维修!$G261,$BN$5=1),0,5-SUMPRODUCT(--(($A$1:$A$5=入户维修!$F261)+($A$1:$A$5=入户维修!$G261)+$BN$1:$BN$5&gt;0)))</f>
        <v>4</v>
      </c>
      <c r="Y261" s="0" t="str">
        <f aca="false">IFERROR(INDEX($A$1:$A$5,MATCH(1,$S261:$W261,0)),IF(1=MAX($S261:$W261)+1,"取消",""))</f>
        <v>李师傅</v>
      </c>
      <c r="Z261" s="0" t="str">
        <f aca="false">IFERROR(INDEX($A$1:$A$5,MATCH(2,$S261:$W261,0)),IF(2=MAX($S261:$W261)+1,"取消",""))</f>
        <v>王师傅</v>
      </c>
      <c r="AA261" s="0" t="str">
        <f aca="false">IFERROR(INDEX($A$1:$A$5,MATCH(3,$S261:$W261,0)),IF(3=MAX($S261:$W261)+1,"取消",""))</f>
        <v>陈师傅</v>
      </c>
      <c r="AB261" s="0" t="str">
        <f aca="false">IFERROR(INDEX($A$1:$A$5,MATCH(4,$S261:$W261,0)),IF(4=MAX($S261:$W261)+1,"取消",""))</f>
        <v>刘师傅</v>
      </c>
      <c r="AC261" s="0" t="str">
        <f aca="false">IFERROR(INDEX($A$1:$A$5,MATCH(5,$S261:$W261,0)),IF(5=MAX($S261:$W261)+1,"取消",""))</f>
        <v>取消</v>
      </c>
      <c r="AD261" s="0" t="str">
        <f aca="false">IFERROR(INDEX($A$1:$A$5,MATCH(6,$S261:$W261,0)),IF(6=MAX($S261:$W261)+1,"取消",""))</f>
        <v/>
      </c>
      <c r="AF261" s="0" t="n">
        <f aca="false">IF(OR($A$1=公区维修!$F261,$BN$1=1),0,1-SUMPRODUCT(--(($A$1=公区维修!$F261)+$BN$1&gt;0)))</f>
        <v>0</v>
      </c>
      <c r="AG261" s="0" t="n">
        <f aca="false">IF(OR($A$2=公区维修!$F261,$BN$2=1),0,2-SUMPRODUCT(--(($A$1:$A$2=公区维修!$F261)+$BN$1:$BN$2&gt;0)))</f>
        <v>1</v>
      </c>
      <c r="AH261" s="0" t="n">
        <f aca="false">IF(OR($A$3=公区维修!$F261,$BN$3=1),0,3-SUMPRODUCT(--(($A$1:$A$3=公区维修!$F261)+$BN$1:$BN$3&gt;0)))</f>
        <v>2</v>
      </c>
      <c r="AI261" s="0" t="n">
        <f aca="false">IF(OR($A$4=公区维修!$F261,$BN$4=1),0,4-SUMPRODUCT(--(($A$1:$A$4=公区维修!$F261)+$BN$1:$BN$4&gt;0)))</f>
        <v>3</v>
      </c>
      <c r="AJ261" s="0" t="n">
        <f aca="false">IF(OR($A$5=公区维修!$F261,$BN$5=1),0,5-SUMPRODUCT(--(($A$1:$A$5=公区维修!$F261)+$BN$1:$BN$5&gt;0)))</f>
        <v>4</v>
      </c>
      <c r="AL261" s="0" t="str">
        <f aca="false">IFERROR(INDEX($A$1:$A$5,MATCH(1,$AF261:$AJ261,0)),IF(1=MAX($AF261:$AJ261)+1,"取消",""))</f>
        <v>李师傅</v>
      </c>
      <c r="AM261" s="0" t="str">
        <f aca="false">IFERROR(INDEX($A$1:$A$5,MATCH(2,$AF261:$AJ261,0)),IF(2=MAX($AF261:$AJ261)+1,"取消",""))</f>
        <v>王师傅</v>
      </c>
      <c r="AN261" s="0" t="str">
        <f aca="false">IFERROR(INDEX($A$1:$A$5,MATCH(3,$AF261:$AJ261,0)),IF(3=MAX($AF261:$AJ261)+1,"取消",""))</f>
        <v>陈师傅</v>
      </c>
      <c r="AO261" s="0" t="str">
        <f aca="false">IFERROR(INDEX($A$1:$A$5,MATCH(4,$AF261:$AJ261,0)),IF(4=MAX($AF261:$AJ261)+1,"取消",""))</f>
        <v>刘师傅</v>
      </c>
      <c r="AP261" s="0" t="str">
        <f aca="false">IFERROR(INDEX($A$1:$A$5,MATCH(5,$AF261:$AJ261,0)),IF(5=MAX($AF261:$AJ261)+1,"取消",""))</f>
        <v>取消</v>
      </c>
      <c r="AQ261" s="0" t="str">
        <f aca="false">IFERROR(INDEX($A$1:$A$5,MATCH(6,$AF261:$AJ261,0)),IF(6=MAX($AF261:$AJ261)+1,"取消",""))</f>
        <v/>
      </c>
      <c r="AS261" s="0" t="n">
        <f aca="false">IF(OR($A$1=公区维修!$F261,$A$1=公区维修!$G261,$BN$1=1),0,1-SUMPRODUCT(--(($A$1=公区维修!$F261)+($A$1=公区维修!$G261)+$BN$1&gt;0)))</f>
        <v>0</v>
      </c>
      <c r="AT261" s="0" t="n">
        <f aca="false">IF(OR($A$2=公区维修!$F261,$A$2=公区维修!$G261,$BN$2=1),0,2-SUMPRODUCT(--(($A$1:$A$2=公区维修!$F261)+($A$1:$A$2=公区维修!$G261)+$BN$1:$BN$2&gt;0)))</f>
        <v>1</v>
      </c>
      <c r="AU261" s="0" t="n">
        <f aca="false">IF(OR($A$3=公区维修!$F261,$A$3=公区维修!$G261,$BN$3=1),0,3-SUMPRODUCT(--(($A$1:$A$3=公区维修!$F261)+($A$1:$A$3=公区维修!$G261)+$BN$1:$BN$3&gt;0)))</f>
        <v>2</v>
      </c>
      <c r="AV261" s="0" t="n">
        <f aca="false">IF(OR($A$4=公区维修!$F261,$A$4=公区维修!$G261,$BN$4=1),0,4-SUMPRODUCT(--(($A$1:$A$4=公区维修!$F261)+($A$1:$A$4=公区维修!$G261)+$BN$1:$BN$4&gt;0)))</f>
        <v>3</v>
      </c>
      <c r="AW261" s="0" t="n">
        <f aca="false">IF(OR($A$5=公区维修!$F261,$A$5=公区维修!$G261,$BN$5=1),0,5-SUMPRODUCT(--(($A$1:$A$5=公区维修!$F261)+($A$1:$A$5=公区维修!$G261)+$BN$1:$BN$5&gt;0)))</f>
        <v>4</v>
      </c>
      <c r="AY261" s="0" t="str">
        <f aca="false">IFERROR(INDEX($A$1:$A$5,MATCH(1,$AS261:$AW261,0)),IF(1=MAX($AS261:$AW261)+1,"取消",""))</f>
        <v>李师傅</v>
      </c>
      <c r="AZ261" s="0" t="str">
        <f aca="false">IFERROR(INDEX($A$1:$A$5,MATCH(2,$AS261:$AW261,0)),IF(2=MAX($AS261:$AW261)+1,"取消",""))</f>
        <v>王师傅</v>
      </c>
      <c r="BA261" s="0" t="str">
        <f aca="false">IFERROR(INDEX($A$1:$A$5,MATCH(3,$AS261:$AW261,0)),IF(3=MAX($AS261:$AW261)+1,"取消",""))</f>
        <v>陈师傅</v>
      </c>
      <c r="BB261" s="0" t="str">
        <f aca="false">IFERROR(INDEX($A$1:$A$5,MATCH(4,$AS261:$AW261,0)),IF(4=MAX($AS261:$AW261)+1,"取消",""))</f>
        <v>刘师傅</v>
      </c>
      <c r="BC261" s="0" t="str">
        <f aca="false">IFERROR(INDEX($A$1:$A$5,MATCH(5,$AS261:$AW261,0)),IF(5=MAX($AS261:$AW261)+1,"取消",""))</f>
        <v>取消</v>
      </c>
      <c r="BD261" s="0" t="str">
        <f aca="false">IFERROR(INDEX($A$1:$A$5,MATCH(6,$AS261:$AW261,0)),IF(6=MAX($AS261:$AW261)+1,"取消",""))</f>
        <v/>
      </c>
      <c r="FW261" s="0" t="str">
        <f aca="false">IF(AND(单元查询!$D$3&lt;&gt;"",IF(单元查询!$B$3="公区维修",公区维修!$E261&lt;&gt;"",入户维修!$E261&lt;&gt;""),IF(单元查询!$B$3="公区维修",公区维修!$C261,入户维修!$C261)=单元查询!$D$3,OR(单元查询!$F$3="",IF(单元查询!$B$3="公区维修",公区维修!$D261,入户维修!$D261)&amp;""=(单元查询!$F$3)&amp;"")),MAX($FW$4:$FW260)+1,"")</f>
        <v/>
      </c>
    </row>
    <row r="262" customFormat="false" ht="15" hidden="false" customHeight="true" outlineLevel="0" collapsed="false">
      <c r="F262" s="0" t="n">
        <f aca="false">IF(OR($A$1=入户维修!$F262,$BN$1=1),0,1-SUMPRODUCT(--(($A$1=入户维修!$F262)+$BN$1&gt;0)))</f>
        <v>0</v>
      </c>
      <c r="G262" s="0" t="n">
        <f aca="false">IF(OR($A$2=入户维修!$F262,$BN$2=1),0,2-SUMPRODUCT(--(($A$1:$A$2=入户维修!$F262)+$BN$1:$BN$2&gt;0)))</f>
        <v>1</v>
      </c>
      <c r="H262" s="0" t="n">
        <f aca="false">IF(OR($A$3=入户维修!$F262,$BN$3=1),0,3-SUMPRODUCT(--(($A$1:$A$3=入户维修!$F262)+$BN$1:$BN$3&gt;0)))</f>
        <v>2</v>
      </c>
      <c r="I262" s="0" t="n">
        <f aca="false">IF(OR($A$4=入户维修!$F262,$BN$4=1),0,4-SUMPRODUCT(--(($A$1:$A$4=入户维修!$F262)+$BN$1:$BN$4&gt;0)))</f>
        <v>3</v>
      </c>
      <c r="J262" s="0" t="n">
        <f aca="false">IF(OR($A$5=入户维修!$F262,$BN$5=1),0,5-SUMPRODUCT(--(($A$1:$A$5=入户维修!$F262)+$BN$1:$BN$5&gt;0)))</f>
        <v>4</v>
      </c>
      <c r="L262" s="0" t="str">
        <f aca="false">IFERROR(INDEX($A$1:$A$5,MATCH(1,$F262:$J262,0)),IF(1=MAX($F262:$J262)+1,"取消",""))</f>
        <v>李师傅</v>
      </c>
      <c r="M262" s="0" t="str">
        <f aca="false">IFERROR(INDEX($A$1:$A$5,MATCH(2,$F262:$J262,0)),IF(2=MAX($F262:$J262)+1,"取消",""))</f>
        <v>王师傅</v>
      </c>
      <c r="N262" s="0" t="str">
        <f aca="false">IFERROR(INDEX($A$1:$A$5,MATCH(3,$F262:$J262,0)),IF(3=MAX($F262:$J262)+1,"取消",""))</f>
        <v>陈师傅</v>
      </c>
      <c r="O262" s="0" t="str">
        <f aca="false">IFERROR(INDEX($A$1:$A$5,MATCH(4,$F262:$J262,0)),IF(4=MAX($F262:$J262)+1,"取消",""))</f>
        <v>刘师傅</v>
      </c>
      <c r="P262" s="0" t="str">
        <f aca="false">IFERROR(INDEX($A$1:$A$5,MATCH(5,$F262:$J262,0)),IF(5=MAX($F262:$J262)+1,"取消",""))</f>
        <v>取消</v>
      </c>
      <c r="Q262" s="0" t="str">
        <f aca="false">IFERROR(INDEX($A$1:$A$5,MATCH(6,$F262:$J262,0)),IF(6=MAX($F262:$J262)+1,"取消",""))</f>
        <v/>
      </c>
      <c r="S262" s="0" t="n">
        <f aca="false">IF(OR($A$1=入户维修!$F262,$A$1=入户维修!$G262,$BN$1=1),0,1-SUMPRODUCT(--(($A$1=入户维修!$F262)+($A$1=入户维修!$G262)+$BN$1&gt;0)))</f>
        <v>0</v>
      </c>
      <c r="T262" s="0" t="n">
        <f aca="false">IF(OR($A$2=入户维修!$F262,$A$2=入户维修!$G262,$BN$2=1),0,2-SUMPRODUCT(--(($A$1:$A$2=入户维修!$F262)+($A$1:$A$2=入户维修!$G262)+$BN$1:$BN$2&gt;0)))</f>
        <v>1</v>
      </c>
      <c r="U262" s="0" t="n">
        <f aca="false">IF(OR($A$3=入户维修!$F262,$A$3=入户维修!$G262,$BN$3=1),0,3-SUMPRODUCT(--(($A$1:$A$3=入户维修!$F262)+($A$1:$A$3=入户维修!$G262)+$BN$1:$BN$3&gt;0)))</f>
        <v>2</v>
      </c>
      <c r="V262" s="0" t="n">
        <f aca="false">IF(OR($A$4=入户维修!$F262,$A$4=入户维修!$G262,$BN$4=1),0,4-SUMPRODUCT(--(($A$1:$A$4=入户维修!$F262)+($A$1:$A$4=入户维修!$G262)+$BN$1:$BN$4&gt;0)))</f>
        <v>3</v>
      </c>
      <c r="W262" s="0" t="n">
        <f aca="false">IF(OR($A$5=入户维修!$F262,$A$5=入户维修!$G262,$BN$5=1),0,5-SUMPRODUCT(--(($A$1:$A$5=入户维修!$F262)+($A$1:$A$5=入户维修!$G262)+$BN$1:$BN$5&gt;0)))</f>
        <v>4</v>
      </c>
      <c r="Y262" s="0" t="str">
        <f aca="false">IFERROR(INDEX($A$1:$A$5,MATCH(1,$S262:$W262,0)),IF(1=MAX($S262:$W262)+1,"取消",""))</f>
        <v>李师傅</v>
      </c>
      <c r="Z262" s="0" t="str">
        <f aca="false">IFERROR(INDEX($A$1:$A$5,MATCH(2,$S262:$W262,0)),IF(2=MAX($S262:$W262)+1,"取消",""))</f>
        <v>王师傅</v>
      </c>
      <c r="AA262" s="0" t="str">
        <f aca="false">IFERROR(INDEX($A$1:$A$5,MATCH(3,$S262:$W262,0)),IF(3=MAX($S262:$W262)+1,"取消",""))</f>
        <v>陈师傅</v>
      </c>
      <c r="AB262" s="0" t="str">
        <f aca="false">IFERROR(INDEX($A$1:$A$5,MATCH(4,$S262:$W262,0)),IF(4=MAX($S262:$W262)+1,"取消",""))</f>
        <v>刘师傅</v>
      </c>
      <c r="AC262" s="0" t="str">
        <f aca="false">IFERROR(INDEX($A$1:$A$5,MATCH(5,$S262:$W262,0)),IF(5=MAX($S262:$W262)+1,"取消",""))</f>
        <v>取消</v>
      </c>
      <c r="AD262" s="0" t="str">
        <f aca="false">IFERROR(INDEX($A$1:$A$5,MATCH(6,$S262:$W262,0)),IF(6=MAX($S262:$W262)+1,"取消",""))</f>
        <v/>
      </c>
      <c r="AF262" s="0" t="n">
        <f aca="false">IF(OR($A$1=公区维修!$F262,$BN$1=1),0,1-SUMPRODUCT(--(($A$1=公区维修!$F262)+$BN$1&gt;0)))</f>
        <v>0</v>
      </c>
      <c r="AG262" s="0" t="n">
        <f aca="false">IF(OR($A$2=公区维修!$F262,$BN$2=1),0,2-SUMPRODUCT(--(($A$1:$A$2=公区维修!$F262)+$BN$1:$BN$2&gt;0)))</f>
        <v>1</v>
      </c>
      <c r="AH262" s="0" t="n">
        <f aca="false">IF(OR($A$3=公区维修!$F262,$BN$3=1),0,3-SUMPRODUCT(--(($A$1:$A$3=公区维修!$F262)+$BN$1:$BN$3&gt;0)))</f>
        <v>2</v>
      </c>
      <c r="AI262" s="0" t="n">
        <f aca="false">IF(OR($A$4=公区维修!$F262,$BN$4=1),0,4-SUMPRODUCT(--(($A$1:$A$4=公区维修!$F262)+$BN$1:$BN$4&gt;0)))</f>
        <v>3</v>
      </c>
      <c r="AJ262" s="0" t="n">
        <f aca="false">IF(OR($A$5=公区维修!$F262,$BN$5=1),0,5-SUMPRODUCT(--(($A$1:$A$5=公区维修!$F262)+$BN$1:$BN$5&gt;0)))</f>
        <v>4</v>
      </c>
      <c r="AL262" s="0" t="str">
        <f aca="false">IFERROR(INDEX($A$1:$A$5,MATCH(1,$AF262:$AJ262,0)),IF(1=MAX($AF262:$AJ262)+1,"取消",""))</f>
        <v>李师傅</v>
      </c>
      <c r="AM262" s="0" t="str">
        <f aca="false">IFERROR(INDEX($A$1:$A$5,MATCH(2,$AF262:$AJ262,0)),IF(2=MAX($AF262:$AJ262)+1,"取消",""))</f>
        <v>王师傅</v>
      </c>
      <c r="AN262" s="0" t="str">
        <f aca="false">IFERROR(INDEX($A$1:$A$5,MATCH(3,$AF262:$AJ262,0)),IF(3=MAX($AF262:$AJ262)+1,"取消",""))</f>
        <v>陈师傅</v>
      </c>
      <c r="AO262" s="0" t="str">
        <f aca="false">IFERROR(INDEX($A$1:$A$5,MATCH(4,$AF262:$AJ262,0)),IF(4=MAX($AF262:$AJ262)+1,"取消",""))</f>
        <v>刘师傅</v>
      </c>
      <c r="AP262" s="0" t="str">
        <f aca="false">IFERROR(INDEX($A$1:$A$5,MATCH(5,$AF262:$AJ262,0)),IF(5=MAX($AF262:$AJ262)+1,"取消",""))</f>
        <v>取消</v>
      </c>
      <c r="AQ262" s="0" t="str">
        <f aca="false">IFERROR(INDEX($A$1:$A$5,MATCH(6,$AF262:$AJ262,0)),IF(6=MAX($AF262:$AJ262)+1,"取消",""))</f>
        <v/>
      </c>
      <c r="AS262" s="0" t="n">
        <f aca="false">IF(OR($A$1=公区维修!$F262,$A$1=公区维修!$G262,$BN$1=1),0,1-SUMPRODUCT(--(($A$1=公区维修!$F262)+($A$1=公区维修!$G262)+$BN$1&gt;0)))</f>
        <v>0</v>
      </c>
      <c r="AT262" s="0" t="n">
        <f aca="false">IF(OR($A$2=公区维修!$F262,$A$2=公区维修!$G262,$BN$2=1),0,2-SUMPRODUCT(--(($A$1:$A$2=公区维修!$F262)+($A$1:$A$2=公区维修!$G262)+$BN$1:$BN$2&gt;0)))</f>
        <v>1</v>
      </c>
      <c r="AU262" s="0" t="n">
        <f aca="false">IF(OR($A$3=公区维修!$F262,$A$3=公区维修!$G262,$BN$3=1),0,3-SUMPRODUCT(--(($A$1:$A$3=公区维修!$F262)+($A$1:$A$3=公区维修!$G262)+$BN$1:$BN$3&gt;0)))</f>
        <v>2</v>
      </c>
      <c r="AV262" s="0" t="n">
        <f aca="false">IF(OR($A$4=公区维修!$F262,$A$4=公区维修!$G262,$BN$4=1),0,4-SUMPRODUCT(--(($A$1:$A$4=公区维修!$F262)+($A$1:$A$4=公区维修!$G262)+$BN$1:$BN$4&gt;0)))</f>
        <v>3</v>
      </c>
      <c r="AW262" s="0" t="n">
        <f aca="false">IF(OR($A$5=公区维修!$F262,$A$5=公区维修!$G262,$BN$5=1),0,5-SUMPRODUCT(--(($A$1:$A$5=公区维修!$F262)+($A$1:$A$5=公区维修!$G262)+$BN$1:$BN$5&gt;0)))</f>
        <v>4</v>
      </c>
      <c r="AY262" s="0" t="str">
        <f aca="false">IFERROR(INDEX($A$1:$A$5,MATCH(1,$AS262:$AW262,0)),IF(1=MAX($AS262:$AW262)+1,"取消",""))</f>
        <v>李师傅</v>
      </c>
      <c r="AZ262" s="0" t="str">
        <f aca="false">IFERROR(INDEX($A$1:$A$5,MATCH(2,$AS262:$AW262,0)),IF(2=MAX($AS262:$AW262)+1,"取消",""))</f>
        <v>王师傅</v>
      </c>
      <c r="BA262" s="0" t="str">
        <f aca="false">IFERROR(INDEX($A$1:$A$5,MATCH(3,$AS262:$AW262,0)),IF(3=MAX($AS262:$AW262)+1,"取消",""))</f>
        <v>陈师傅</v>
      </c>
      <c r="BB262" s="0" t="str">
        <f aca="false">IFERROR(INDEX($A$1:$A$5,MATCH(4,$AS262:$AW262,0)),IF(4=MAX($AS262:$AW262)+1,"取消",""))</f>
        <v>刘师傅</v>
      </c>
      <c r="BC262" s="0" t="str">
        <f aca="false">IFERROR(INDEX($A$1:$A$5,MATCH(5,$AS262:$AW262,0)),IF(5=MAX($AS262:$AW262)+1,"取消",""))</f>
        <v>取消</v>
      </c>
      <c r="BD262" s="0" t="str">
        <f aca="false">IFERROR(INDEX($A$1:$A$5,MATCH(6,$AS262:$AW262,0)),IF(6=MAX($AS262:$AW262)+1,"取消",""))</f>
        <v/>
      </c>
      <c r="FW262" s="0" t="str">
        <f aca="false">IF(AND(单元查询!$D$3&lt;&gt;"",IF(单元查询!$B$3="公区维修",公区维修!$E262&lt;&gt;"",入户维修!$E262&lt;&gt;""),IF(单元查询!$B$3="公区维修",公区维修!$C262,入户维修!$C262)=单元查询!$D$3,OR(单元查询!$F$3="",IF(单元查询!$B$3="公区维修",公区维修!$D262,入户维修!$D262)&amp;""=(单元查询!$F$3)&amp;"")),MAX($FW$4:$FW261)+1,"")</f>
        <v/>
      </c>
    </row>
    <row r="263" customFormat="false" ht="15" hidden="false" customHeight="true" outlineLevel="0" collapsed="false">
      <c r="F263" s="0" t="n">
        <f aca="false">IF(OR($A$1=入户维修!$F263,$BN$1=1),0,1-SUMPRODUCT(--(($A$1=入户维修!$F263)+$BN$1&gt;0)))</f>
        <v>0</v>
      </c>
      <c r="G263" s="0" t="n">
        <f aca="false">IF(OR($A$2=入户维修!$F263,$BN$2=1),0,2-SUMPRODUCT(--(($A$1:$A$2=入户维修!$F263)+$BN$1:$BN$2&gt;0)))</f>
        <v>1</v>
      </c>
      <c r="H263" s="0" t="n">
        <f aca="false">IF(OR($A$3=入户维修!$F263,$BN$3=1),0,3-SUMPRODUCT(--(($A$1:$A$3=入户维修!$F263)+$BN$1:$BN$3&gt;0)))</f>
        <v>2</v>
      </c>
      <c r="I263" s="0" t="n">
        <f aca="false">IF(OR($A$4=入户维修!$F263,$BN$4=1),0,4-SUMPRODUCT(--(($A$1:$A$4=入户维修!$F263)+$BN$1:$BN$4&gt;0)))</f>
        <v>3</v>
      </c>
      <c r="J263" s="0" t="n">
        <f aca="false">IF(OR($A$5=入户维修!$F263,$BN$5=1),0,5-SUMPRODUCT(--(($A$1:$A$5=入户维修!$F263)+$BN$1:$BN$5&gt;0)))</f>
        <v>4</v>
      </c>
      <c r="L263" s="0" t="str">
        <f aca="false">IFERROR(INDEX($A$1:$A$5,MATCH(1,$F263:$J263,0)),IF(1=MAX($F263:$J263)+1,"取消",""))</f>
        <v>李师傅</v>
      </c>
      <c r="M263" s="0" t="str">
        <f aca="false">IFERROR(INDEX($A$1:$A$5,MATCH(2,$F263:$J263,0)),IF(2=MAX($F263:$J263)+1,"取消",""))</f>
        <v>王师傅</v>
      </c>
      <c r="N263" s="0" t="str">
        <f aca="false">IFERROR(INDEX($A$1:$A$5,MATCH(3,$F263:$J263,0)),IF(3=MAX($F263:$J263)+1,"取消",""))</f>
        <v>陈师傅</v>
      </c>
      <c r="O263" s="0" t="str">
        <f aca="false">IFERROR(INDEX($A$1:$A$5,MATCH(4,$F263:$J263,0)),IF(4=MAX($F263:$J263)+1,"取消",""))</f>
        <v>刘师傅</v>
      </c>
      <c r="P263" s="0" t="str">
        <f aca="false">IFERROR(INDEX($A$1:$A$5,MATCH(5,$F263:$J263,0)),IF(5=MAX($F263:$J263)+1,"取消",""))</f>
        <v>取消</v>
      </c>
      <c r="Q263" s="0" t="str">
        <f aca="false">IFERROR(INDEX($A$1:$A$5,MATCH(6,$F263:$J263,0)),IF(6=MAX($F263:$J263)+1,"取消",""))</f>
        <v/>
      </c>
      <c r="S263" s="0" t="n">
        <f aca="false">IF(OR($A$1=入户维修!$F263,$A$1=入户维修!$G263,$BN$1=1),0,1-SUMPRODUCT(--(($A$1=入户维修!$F263)+($A$1=入户维修!$G263)+$BN$1&gt;0)))</f>
        <v>0</v>
      </c>
      <c r="T263" s="0" t="n">
        <f aca="false">IF(OR($A$2=入户维修!$F263,$A$2=入户维修!$G263,$BN$2=1),0,2-SUMPRODUCT(--(($A$1:$A$2=入户维修!$F263)+($A$1:$A$2=入户维修!$G263)+$BN$1:$BN$2&gt;0)))</f>
        <v>1</v>
      </c>
      <c r="U263" s="0" t="n">
        <f aca="false">IF(OR($A$3=入户维修!$F263,$A$3=入户维修!$G263,$BN$3=1),0,3-SUMPRODUCT(--(($A$1:$A$3=入户维修!$F263)+($A$1:$A$3=入户维修!$G263)+$BN$1:$BN$3&gt;0)))</f>
        <v>2</v>
      </c>
      <c r="V263" s="0" t="n">
        <f aca="false">IF(OR($A$4=入户维修!$F263,$A$4=入户维修!$G263,$BN$4=1),0,4-SUMPRODUCT(--(($A$1:$A$4=入户维修!$F263)+($A$1:$A$4=入户维修!$G263)+$BN$1:$BN$4&gt;0)))</f>
        <v>3</v>
      </c>
      <c r="W263" s="0" t="n">
        <f aca="false">IF(OR($A$5=入户维修!$F263,$A$5=入户维修!$G263,$BN$5=1),0,5-SUMPRODUCT(--(($A$1:$A$5=入户维修!$F263)+($A$1:$A$5=入户维修!$G263)+$BN$1:$BN$5&gt;0)))</f>
        <v>4</v>
      </c>
      <c r="Y263" s="0" t="str">
        <f aca="false">IFERROR(INDEX($A$1:$A$5,MATCH(1,$S263:$W263,0)),IF(1=MAX($S263:$W263)+1,"取消",""))</f>
        <v>李师傅</v>
      </c>
      <c r="Z263" s="0" t="str">
        <f aca="false">IFERROR(INDEX($A$1:$A$5,MATCH(2,$S263:$W263,0)),IF(2=MAX($S263:$W263)+1,"取消",""))</f>
        <v>王师傅</v>
      </c>
      <c r="AA263" s="0" t="str">
        <f aca="false">IFERROR(INDEX($A$1:$A$5,MATCH(3,$S263:$W263,0)),IF(3=MAX($S263:$W263)+1,"取消",""))</f>
        <v>陈师傅</v>
      </c>
      <c r="AB263" s="0" t="str">
        <f aca="false">IFERROR(INDEX($A$1:$A$5,MATCH(4,$S263:$W263,0)),IF(4=MAX($S263:$W263)+1,"取消",""))</f>
        <v>刘师傅</v>
      </c>
      <c r="AC263" s="0" t="str">
        <f aca="false">IFERROR(INDEX($A$1:$A$5,MATCH(5,$S263:$W263,0)),IF(5=MAX($S263:$W263)+1,"取消",""))</f>
        <v>取消</v>
      </c>
      <c r="AD263" s="0" t="str">
        <f aca="false">IFERROR(INDEX($A$1:$A$5,MATCH(6,$S263:$W263,0)),IF(6=MAX($S263:$W263)+1,"取消",""))</f>
        <v/>
      </c>
      <c r="AF263" s="0" t="n">
        <f aca="false">IF(OR($A$1=公区维修!$F263,$BN$1=1),0,1-SUMPRODUCT(--(($A$1=公区维修!$F263)+$BN$1&gt;0)))</f>
        <v>0</v>
      </c>
      <c r="AG263" s="0" t="n">
        <f aca="false">IF(OR($A$2=公区维修!$F263,$BN$2=1),0,2-SUMPRODUCT(--(($A$1:$A$2=公区维修!$F263)+$BN$1:$BN$2&gt;0)))</f>
        <v>1</v>
      </c>
      <c r="AH263" s="0" t="n">
        <f aca="false">IF(OR($A$3=公区维修!$F263,$BN$3=1),0,3-SUMPRODUCT(--(($A$1:$A$3=公区维修!$F263)+$BN$1:$BN$3&gt;0)))</f>
        <v>2</v>
      </c>
      <c r="AI263" s="0" t="n">
        <f aca="false">IF(OR($A$4=公区维修!$F263,$BN$4=1),0,4-SUMPRODUCT(--(($A$1:$A$4=公区维修!$F263)+$BN$1:$BN$4&gt;0)))</f>
        <v>3</v>
      </c>
      <c r="AJ263" s="0" t="n">
        <f aca="false">IF(OR($A$5=公区维修!$F263,$BN$5=1),0,5-SUMPRODUCT(--(($A$1:$A$5=公区维修!$F263)+$BN$1:$BN$5&gt;0)))</f>
        <v>4</v>
      </c>
      <c r="AL263" s="0" t="str">
        <f aca="false">IFERROR(INDEX($A$1:$A$5,MATCH(1,$AF263:$AJ263,0)),IF(1=MAX($AF263:$AJ263)+1,"取消",""))</f>
        <v>李师傅</v>
      </c>
      <c r="AM263" s="0" t="str">
        <f aca="false">IFERROR(INDEX($A$1:$A$5,MATCH(2,$AF263:$AJ263,0)),IF(2=MAX($AF263:$AJ263)+1,"取消",""))</f>
        <v>王师傅</v>
      </c>
      <c r="AN263" s="0" t="str">
        <f aca="false">IFERROR(INDEX($A$1:$A$5,MATCH(3,$AF263:$AJ263,0)),IF(3=MAX($AF263:$AJ263)+1,"取消",""))</f>
        <v>陈师傅</v>
      </c>
      <c r="AO263" s="0" t="str">
        <f aca="false">IFERROR(INDEX($A$1:$A$5,MATCH(4,$AF263:$AJ263,0)),IF(4=MAX($AF263:$AJ263)+1,"取消",""))</f>
        <v>刘师傅</v>
      </c>
      <c r="AP263" s="0" t="str">
        <f aca="false">IFERROR(INDEX($A$1:$A$5,MATCH(5,$AF263:$AJ263,0)),IF(5=MAX($AF263:$AJ263)+1,"取消",""))</f>
        <v>取消</v>
      </c>
      <c r="AQ263" s="0" t="str">
        <f aca="false">IFERROR(INDEX($A$1:$A$5,MATCH(6,$AF263:$AJ263,0)),IF(6=MAX($AF263:$AJ263)+1,"取消",""))</f>
        <v/>
      </c>
      <c r="AS263" s="0" t="n">
        <f aca="false">IF(OR($A$1=公区维修!$F263,$A$1=公区维修!$G263,$BN$1=1),0,1-SUMPRODUCT(--(($A$1=公区维修!$F263)+($A$1=公区维修!$G263)+$BN$1&gt;0)))</f>
        <v>0</v>
      </c>
      <c r="AT263" s="0" t="n">
        <f aca="false">IF(OR($A$2=公区维修!$F263,$A$2=公区维修!$G263,$BN$2=1),0,2-SUMPRODUCT(--(($A$1:$A$2=公区维修!$F263)+($A$1:$A$2=公区维修!$G263)+$BN$1:$BN$2&gt;0)))</f>
        <v>1</v>
      </c>
      <c r="AU263" s="0" t="n">
        <f aca="false">IF(OR($A$3=公区维修!$F263,$A$3=公区维修!$G263,$BN$3=1),0,3-SUMPRODUCT(--(($A$1:$A$3=公区维修!$F263)+($A$1:$A$3=公区维修!$G263)+$BN$1:$BN$3&gt;0)))</f>
        <v>2</v>
      </c>
      <c r="AV263" s="0" t="n">
        <f aca="false">IF(OR($A$4=公区维修!$F263,$A$4=公区维修!$G263,$BN$4=1),0,4-SUMPRODUCT(--(($A$1:$A$4=公区维修!$F263)+($A$1:$A$4=公区维修!$G263)+$BN$1:$BN$4&gt;0)))</f>
        <v>3</v>
      </c>
      <c r="AW263" s="0" t="n">
        <f aca="false">IF(OR($A$5=公区维修!$F263,$A$5=公区维修!$G263,$BN$5=1),0,5-SUMPRODUCT(--(($A$1:$A$5=公区维修!$F263)+($A$1:$A$5=公区维修!$G263)+$BN$1:$BN$5&gt;0)))</f>
        <v>4</v>
      </c>
      <c r="AY263" s="0" t="str">
        <f aca="false">IFERROR(INDEX($A$1:$A$5,MATCH(1,$AS263:$AW263,0)),IF(1=MAX($AS263:$AW263)+1,"取消",""))</f>
        <v>李师傅</v>
      </c>
      <c r="AZ263" s="0" t="str">
        <f aca="false">IFERROR(INDEX($A$1:$A$5,MATCH(2,$AS263:$AW263,0)),IF(2=MAX($AS263:$AW263)+1,"取消",""))</f>
        <v>王师傅</v>
      </c>
      <c r="BA263" s="0" t="str">
        <f aca="false">IFERROR(INDEX($A$1:$A$5,MATCH(3,$AS263:$AW263,0)),IF(3=MAX($AS263:$AW263)+1,"取消",""))</f>
        <v>陈师傅</v>
      </c>
      <c r="BB263" s="0" t="str">
        <f aca="false">IFERROR(INDEX($A$1:$A$5,MATCH(4,$AS263:$AW263,0)),IF(4=MAX($AS263:$AW263)+1,"取消",""))</f>
        <v>刘师傅</v>
      </c>
      <c r="BC263" s="0" t="str">
        <f aca="false">IFERROR(INDEX($A$1:$A$5,MATCH(5,$AS263:$AW263,0)),IF(5=MAX($AS263:$AW263)+1,"取消",""))</f>
        <v>取消</v>
      </c>
      <c r="BD263" s="0" t="str">
        <f aca="false">IFERROR(INDEX($A$1:$A$5,MATCH(6,$AS263:$AW263,0)),IF(6=MAX($AS263:$AW263)+1,"取消",""))</f>
        <v/>
      </c>
      <c r="FW263" s="0" t="str">
        <f aca="false">IF(AND(单元查询!$D$3&lt;&gt;"",IF(单元查询!$B$3="公区维修",公区维修!$E263&lt;&gt;"",入户维修!$E263&lt;&gt;""),IF(单元查询!$B$3="公区维修",公区维修!$C263,入户维修!$C263)=单元查询!$D$3,OR(单元查询!$F$3="",IF(单元查询!$B$3="公区维修",公区维修!$D263,入户维修!$D263)&amp;""=(单元查询!$F$3)&amp;"")),MAX($FW$4:$FW262)+1,"")</f>
        <v/>
      </c>
    </row>
    <row r="264" customFormat="false" ht="15" hidden="false" customHeight="true" outlineLevel="0" collapsed="false">
      <c r="F264" s="0" t="n">
        <f aca="false">IF(OR($A$1=入户维修!$F264,$BN$1=1),0,1-SUMPRODUCT(--(($A$1=入户维修!$F264)+$BN$1&gt;0)))</f>
        <v>0</v>
      </c>
      <c r="G264" s="0" t="n">
        <f aca="false">IF(OR($A$2=入户维修!$F264,$BN$2=1),0,2-SUMPRODUCT(--(($A$1:$A$2=入户维修!$F264)+$BN$1:$BN$2&gt;0)))</f>
        <v>1</v>
      </c>
      <c r="H264" s="0" t="n">
        <f aca="false">IF(OR($A$3=入户维修!$F264,$BN$3=1),0,3-SUMPRODUCT(--(($A$1:$A$3=入户维修!$F264)+$BN$1:$BN$3&gt;0)))</f>
        <v>2</v>
      </c>
      <c r="I264" s="0" t="n">
        <f aca="false">IF(OR($A$4=入户维修!$F264,$BN$4=1),0,4-SUMPRODUCT(--(($A$1:$A$4=入户维修!$F264)+$BN$1:$BN$4&gt;0)))</f>
        <v>3</v>
      </c>
      <c r="J264" s="0" t="n">
        <f aca="false">IF(OR($A$5=入户维修!$F264,$BN$5=1),0,5-SUMPRODUCT(--(($A$1:$A$5=入户维修!$F264)+$BN$1:$BN$5&gt;0)))</f>
        <v>4</v>
      </c>
      <c r="L264" s="0" t="str">
        <f aca="false">IFERROR(INDEX($A$1:$A$5,MATCH(1,$F264:$J264,0)),IF(1=MAX($F264:$J264)+1,"取消",""))</f>
        <v>李师傅</v>
      </c>
      <c r="M264" s="0" t="str">
        <f aca="false">IFERROR(INDEX($A$1:$A$5,MATCH(2,$F264:$J264,0)),IF(2=MAX($F264:$J264)+1,"取消",""))</f>
        <v>王师傅</v>
      </c>
      <c r="N264" s="0" t="str">
        <f aca="false">IFERROR(INDEX($A$1:$A$5,MATCH(3,$F264:$J264,0)),IF(3=MAX($F264:$J264)+1,"取消",""))</f>
        <v>陈师傅</v>
      </c>
      <c r="O264" s="0" t="str">
        <f aca="false">IFERROR(INDEX($A$1:$A$5,MATCH(4,$F264:$J264,0)),IF(4=MAX($F264:$J264)+1,"取消",""))</f>
        <v>刘师傅</v>
      </c>
      <c r="P264" s="0" t="str">
        <f aca="false">IFERROR(INDEX($A$1:$A$5,MATCH(5,$F264:$J264,0)),IF(5=MAX($F264:$J264)+1,"取消",""))</f>
        <v>取消</v>
      </c>
      <c r="Q264" s="0" t="str">
        <f aca="false">IFERROR(INDEX($A$1:$A$5,MATCH(6,$F264:$J264,0)),IF(6=MAX($F264:$J264)+1,"取消",""))</f>
        <v/>
      </c>
      <c r="S264" s="0" t="n">
        <f aca="false">IF(OR($A$1=入户维修!$F264,$A$1=入户维修!$G264,$BN$1=1),0,1-SUMPRODUCT(--(($A$1=入户维修!$F264)+($A$1=入户维修!$G264)+$BN$1&gt;0)))</f>
        <v>0</v>
      </c>
      <c r="T264" s="0" t="n">
        <f aca="false">IF(OR($A$2=入户维修!$F264,$A$2=入户维修!$G264,$BN$2=1),0,2-SUMPRODUCT(--(($A$1:$A$2=入户维修!$F264)+($A$1:$A$2=入户维修!$G264)+$BN$1:$BN$2&gt;0)))</f>
        <v>1</v>
      </c>
      <c r="U264" s="0" t="n">
        <f aca="false">IF(OR($A$3=入户维修!$F264,$A$3=入户维修!$G264,$BN$3=1),0,3-SUMPRODUCT(--(($A$1:$A$3=入户维修!$F264)+($A$1:$A$3=入户维修!$G264)+$BN$1:$BN$3&gt;0)))</f>
        <v>2</v>
      </c>
      <c r="V264" s="0" t="n">
        <f aca="false">IF(OR($A$4=入户维修!$F264,$A$4=入户维修!$G264,$BN$4=1),0,4-SUMPRODUCT(--(($A$1:$A$4=入户维修!$F264)+($A$1:$A$4=入户维修!$G264)+$BN$1:$BN$4&gt;0)))</f>
        <v>3</v>
      </c>
      <c r="W264" s="0" t="n">
        <f aca="false">IF(OR($A$5=入户维修!$F264,$A$5=入户维修!$G264,$BN$5=1),0,5-SUMPRODUCT(--(($A$1:$A$5=入户维修!$F264)+($A$1:$A$5=入户维修!$G264)+$BN$1:$BN$5&gt;0)))</f>
        <v>4</v>
      </c>
      <c r="Y264" s="0" t="str">
        <f aca="false">IFERROR(INDEX($A$1:$A$5,MATCH(1,$S264:$W264,0)),IF(1=MAX($S264:$W264)+1,"取消",""))</f>
        <v>李师傅</v>
      </c>
      <c r="Z264" s="0" t="str">
        <f aca="false">IFERROR(INDEX($A$1:$A$5,MATCH(2,$S264:$W264,0)),IF(2=MAX($S264:$W264)+1,"取消",""))</f>
        <v>王师傅</v>
      </c>
      <c r="AA264" s="0" t="str">
        <f aca="false">IFERROR(INDEX($A$1:$A$5,MATCH(3,$S264:$W264,0)),IF(3=MAX($S264:$W264)+1,"取消",""))</f>
        <v>陈师傅</v>
      </c>
      <c r="AB264" s="0" t="str">
        <f aca="false">IFERROR(INDEX($A$1:$A$5,MATCH(4,$S264:$W264,0)),IF(4=MAX($S264:$W264)+1,"取消",""))</f>
        <v>刘师傅</v>
      </c>
      <c r="AC264" s="0" t="str">
        <f aca="false">IFERROR(INDEX($A$1:$A$5,MATCH(5,$S264:$W264,0)),IF(5=MAX($S264:$W264)+1,"取消",""))</f>
        <v>取消</v>
      </c>
      <c r="AD264" s="0" t="str">
        <f aca="false">IFERROR(INDEX($A$1:$A$5,MATCH(6,$S264:$W264,0)),IF(6=MAX($S264:$W264)+1,"取消",""))</f>
        <v/>
      </c>
      <c r="AF264" s="0" t="n">
        <f aca="false">IF(OR($A$1=公区维修!$F264,$BN$1=1),0,1-SUMPRODUCT(--(($A$1=公区维修!$F264)+$BN$1&gt;0)))</f>
        <v>0</v>
      </c>
      <c r="AG264" s="0" t="n">
        <f aca="false">IF(OR($A$2=公区维修!$F264,$BN$2=1),0,2-SUMPRODUCT(--(($A$1:$A$2=公区维修!$F264)+$BN$1:$BN$2&gt;0)))</f>
        <v>1</v>
      </c>
      <c r="AH264" s="0" t="n">
        <f aca="false">IF(OR($A$3=公区维修!$F264,$BN$3=1),0,3-SUMPRODUCT(--(($A$1:$A$3=公区维修!$F264)+$BN$1:$BN$3&gt;0)))</f>
        <v>2</v>
      </c>
      <c r="AI264" s="0" t="n">
        <f aca="false">IF(OR($A$4=公区维修!$F264,$BN$4=1),0,4-SUMPRODUCT(--(($A$1:$A$4=公区维修!$F264)+$BN$1:$BN$4&gt;0)))</f>
        <v>3</v>
      </c>
      <c r="AJ264" s="0" t="n">
        <f aca="false">IF(OR($A$5=公区维修!$F264,$BN$5=1),0,5-SUMPRODUCT(--(($A$1:$A$5=公区维修!$F264)+$BN$1:$BN$5&gt;0)))</f>
        <v>4</v>
      </c>
      <c r="AL264" s="0" t="str">
        <f aca="false">IFERROR(INDEX($A$1:$A$5,MATCH(1,$AF264:$AJ264,0)),IF(1=MAX($AF264:$AJ264)+1,"取消",""))</f>
        <v>李师傅</v>
      </c>
      <c r="AM264" s="0" t="str">
        <f aca="false">IFERROR(INDEX($A$1:$A$5,MATCH(2,$AF264:$AJ264,0)),IF(2=MAX($AF264:$AJ264)+1,"取消",""))</f>
        <v>王师傅</v>
      </c>
      <c r="AN264" s="0" t="str">
        <f aca="false">IFERROR(INDEX($A$1:$A$5,MATCH(3,$AF264:$AJ264,0)),IF(3=MAX($AF264:$AJ264)+1,"取消",""))</f>
        <v>陈师傅</v>
      </c>
      <c r="AO264" s="0" t="str">
        <f aca="false">IFERROR(INDEX($A$1:$A$5,MATCH(4,$AF264:$AJ264,0)),IF(4=MAX($AF264:$AJ264)+1,"取消",""))</f>
        <v>刘师傅</v>
      </c>
      <c r="AP264" s="0" t="str">
        <f aca="false">IFERROR(INDEX($A$1:$A$5,MATCH(5,$AF264:$AJ264,0)),IF(5=MAX($AF264:$AJ264)+1,"取消",""))</f>
        <v>取消</v>
      </c>
      <c r="AQ264" s="0" t="str">
        <f aca="false">IFERROR(INDEX($A$1:$A$5,MATCH(6,$AF264:$AJ264,0)),IF(6=MAX($AF264:$AJ264)+1,"取消",""))</f>
        <v/>
      </c>
      <c r="AS264" s="0" t="n">
        <f aca="false">IF(OR($A$1=公区维修!$F264,$A$1=公区维修!$G264,$BN$1=1),0,1-SUMPRODUCT(--(($A$1=公区维修!$F264)+($A$1=公区维修!$G264)+$BN$1&gt;0)))</f>
        <v>0</v>
      </c>
      <c r="AT264" s="0" t="n">
        <f aca="false">IF(OR($A$2=公区维修!$F264,$A$2=公区维修!$G264,$BN$2=1),0,2-SUMPRODUCT(--(($A$1:$A$2=公区维修!$F264)+($A$1:$A$2=公区维修!$G264)+$BN$1:$BN$2&gt;0)))</f>
        <v>1</v>
      </c>
      <c r="AU264" s="0" t="n">
        <f aca="false">IF(OR($A$3=公区维修!$F264,$A$3=公区维修!$G264,$BN$3=1),0,3-SUMPRODUCT(--(($A$1:$A$3=公区维修!$F264)+($A$1:$A$3=公区维修!$G264)+$BN$1:$BN$3&gt;0)))</f>
        <v>2</v>
      </c>
      <c r="AV264" s="0" t="n">
        <f aca="false">IF(OR($A$4=公区维修!$F264,$A$4=公区维修!$G264,$BN$4=1),0,4-SUMPRODUCT(--(($A$1:$A$4=公区维修!$F264)+($A$1:$A$4=公区维修!$G264)+$BN$1:$BN$4&gt;0)))</f>
        <v>3</v>
      </c>
      <c r="AW264" s="0" t="n">
        <f aca="false">IF(OR($A$5=公区维修!$F264,$A$5=公区维修!$G264,$BN$5=1),0,5-SUMPRODUCT(--(($A$1:$A$5=公区维修!$F264)+($A$1:$A$5=公区维修!$G264)+$BN$1:$BN$5&gt;0)))</f>
        <v>4</v>
      </c>
      <c r="AY264" s="0" t="str">
        <f aca="false">IFERROR(INDEX($A$1:$A$5,MATCH(1,$AS264:$AW264,0)),IF(1=MAX($AS264:$AW264)+1,"取消",""))</f>
        <v>李师傅</v>
      </c>
      <c r="AZ264" s="0" t="str">
        <f aca="false">IFERROR(INDEX($A$1:$A$5,MATCH(2,$AS264:$AW264,0)),IF(2=MAX($AS264:$AW264)+1,"取消",""))</f>
        <v>王师傅</v>
      </c>
      <c r="BA264" s="0" t="str">
        <f aca="false">IFERROR(INDEX($A$1:$A$5,MATCH(3,$AS264:$AW264,0)),IF(3=MAX($AS264:$AW264)+1,"取消",""))</f>
        <v>陈师傅</v>
      </c>
      <c r="BB264" s="0" t="str">
        <f aca="false">IFERROR(INDEX($A$1:$A$5,MATCH(4,$AS264:$AW264,0)),IF(4=MAX($AS264:$AW264)+1,"取消",""))</f>
        <v>刘师傅</v>
      </c>
      <c r="BC264" s="0" t="str">
        <f aca="false">IFERROR(INDEX($A$1:$A$5,MATCH(5,$AS264:$AW264,0)),IF(5=MAX($AS264:$AW264)+1,"取消",""))</f>
        <v>取消</v>
      </c>
      <c r="BD264" s="0" t="str">
        <f aca="false">IFERROR(INDEX($A$1:$A$5,MATCH(6,$AS264:$AW264,0)),IF(6=MAX($AS264:$AW264)+1,"取消",""))</f>
        <v/>
      </c>
      <c r="FW264" s="0" t="str">
        <f aca="false">IF(AND(单元查询!$D$3&lt;&gt;"",IF(单元查询!$B$3="公区维修",公区维修!$E264&lt;&gt;"",入户维修!$E264&lt;&gt;""),IF(单元查询!$B$3="公区维修",公区维修!$C264,入户维修!$C264)=单元查询!$D$3,OR(单元查询!$F$3="",IF(单元查询!$B$3="公区维修",公区维修!$D264,入户维修!$D264)&amp;""=(单元查询!$F$3)&amp;"")),MAX($FW$4:$FW263)+1,"")</f>
        <v/>
      </c>
    </row>
    <row r="265" customFormat="false" ht="15" hidden="false" customHeight="true" outlineLevel="0" collapsed="false">
      <c r="F265" s="0" t="n">
        <f aca="false">IF(OR($A$1=入户维修!$F265,$BN$1=1),0,1-SUMPRODUCT(--(($A$1=入户维修!$F265)+$BN$1&gt;0)))</f>
        <v>0</v>
      </c>
      <c r="G265" s="0" t="n">
        <f aca="false">IF(OR($A$2=入户维修!$F265,$BN$2=1),0,2-SUMPRODUCT(--(($A$1:$A$2=入户维修!$F265)+$BN$1:$BN$2&gt;0)))</f>
        <v>1</v>
      </c>
      <c r="H265" s="0" t="n">
        <f aca="false">IF(OR($A$3=入户维修!$F265,$BN$3=1),0,3-SUMPRODUCT(--(($A$1:$A$3=入户维修!$F265)+$BN$1:$BN$3&gt;0)))</f>
        <v>2</v>
      </c>
      <c r="I265" s="0" t="n">
        <f aca="false">IF(OR($A$4=入户维修!$F265,$BN$4=1),0,4-SUMPRODUCT(--(($A$1:$A$4=入户维修!$F265)+$BN$1:$BN$4&gt;0)))</f>
        <v>3</v>
      </c>
      <c r="J265" s="0" t="n">
        <f aca="false">IF(OR($A$5=入户维修!$F265,$BN$5=1),0,5-SUMPRODUCT(--(($A$1:$A$5=入户维修!$F265)+$BN$1:$BN$5&gt;0)))</f>
        <v>4</v>
      </c>
      <c r="L265" s="0" t="str">
        <f aca="false">IFERROR(INDEX($A$1:$A$5,MATCH(1,$F265:$J265,0)),IF(1=MAX($F265:$J265)+1,"取消",""))</f>
        <v>李师傅</v>
      </c>
      <c r="M265" s="0" t="str">
        <f aca="false">IFERROR(INDEX($A$1:$A$5,MATCH(2,$F265:$J265,0)),IF(2=MAX($F265:$J265)+1,"取消",""))</f>
        <v>王师傅</v>
      </c>
      <c r="N265" s="0" t="str">
        <f aca="false">IFERROR(INDEX($A$1:$A$5,MATCH(3,$F265:$J265,0)),IF(3=MAX($F265:$J265)+1,"取消",""))</f>
        <v>陈师傅</v>
      </c>
      <c r="O265" s="0" t="str">
        <f aca="false">IFERROR(INDEX($A$1:$A$5,MATCH(4,$F265:$J265,0)),IF(4=MAX($F265:$J265)+1,"取消",""))</f>
        <v>刘师傅</v>
      </c>
      <c r="P265" s="0" t="str">
        <f aca="false">IFERROR(INDEX($A$1:$A$5,MATCH(5,$F265:$J265,0)),IF(5=MAX($F265:$J265)+1,"取消",""))</f>
        <v>取消</v>
      </c>
      <c r="Q265" s="0" t="str">
        <f aca="false">IFERROR(INDEX($A$1:$A$5,MATCH(6,$F265:$J265,0)),IF(6=MAX($F265:$J265)+1,"取消",""))</f>
        <v/>
      </c>
      <c r="S265" s="0" t="n">
        <f aca="false">IF(OR($A$1=入户维修!$F265,$A$1=入户维修!$G265,$BN$1=1),0,1-SUMPRODUCT(--(($A$1=入户维修!$F265)+($A$1=入户维修!$G265)+$BN$1&gt;0)))</f>
        <v>0</v>
      </c>
      <c r="T265" s="0" t="n">
        <f aca="false">IF(OR($A$2=入户维修!$F265,$A$2=入户维修!$G265,$BN$2=1),0,2-SUMPRODUCT(--(($A$1:$A$2=入户维修!$F265)+($A$1:$A$2=入户维修!$G265)+$BN$1:$BN$2&gt;0)))</f>
        <v>1</v>
      </c>
      <c r="U265" s="0" t="n">
        <f aca="false">IF(OR($A$3=入户维修!$F265,$A$3=入户维修!$G265,$BN$3=1),0,3-SUMPRODUCT(--(($A$1:$A$3=入户维修!$F265)+($A$1:$A$3=入户维修!$G265)+$BN$1:$BN$3&gt;0)))</f>
        <v>2</v>
      </c>
      <c r="V265" s="0" t="n">
        <f aca="false">IF(OR($A$4=入户维修!$F265,$A$4=入户维修!$G265,$BN$4=1),0,4-SUMPRODUCT(--(($A$1:$A$4=入户维修!$F265)+($A$1:$A$4=入户维修!$G265)+$BN$1:$BN$4&gt;0)))</f>
        <v>3</v>
      </c>
      <c r="W265" s="0" t="n">
        <f aca="false">IF(OR($A$5=入户维修!$F265,$A$5=入户维修!$G265,$BN$5=1),0,5-SUMPRODUCT(--(($A$1:$A$5=入户维修!$F265)+($A$1:$A$5=入户维修!$G265)+$BN$1:$BN$5&gt;0)))</f>
        <v>4</v>
      </c>
      <c r="Y265" s="0" t="str">
        <f aca="false">IFERROR(INDEX($A$1:$A$5,MATCH(1,$S265:$W265,0)),IF(1=MAX($S265:$W265)+1,"取消",""))</f>
        <v>李师傅</v>
      </c>
      <c r="Z265" s="0" t="str">
        <f aca="false">IFERROR(INDEX($A$1:$A$5,MATCH(2,$S265:$W265,0)),IF(2=MAX($S265:$W265)+1,"取消",""))</f>
        <v>王师傅</v>
      </c>
      <c r="AA265" s="0" t="str">
        <f aca="false">IFERROR(INDEX($A$1:$A$5,MATCH(3,$S265:$W265,0)),IF(3=MAX($S265:$W265)+1,"取消",""))</f>
        <v>陈师傅</v>
      </c>
      <c r="AB265" s="0" t="str">
        <f aca="false">IFERROR(INDEX($A$1:$A$5,MATCH(4,$S265:$W265,0)),IF(4=MAX($S265:$W265)+1,"取消",""))</f>
        <v>刘师傅</v>
      </c>
      <c r="AC265" s="0" t="str">
        <f aca="false">IFERROR(INDEX($A$1:$A$5,MATCH(5,$S265:$W265,0)),IF(5=MAX($S265:$W265)+1,"取消",""))</f>
        <v>取消</v>
      </c>
      <c r="AD265" s="0" t="str">
        <f aca="false">IFERROR(INDEX($A$1:$A$5,MATCH(6,$S265:$W265,0)),IF(6=MAX($S265:$W265)+1,"取消",""))</f>
        <v/>
      </c>
      <c r="AF265" s="0" t="n">
        <f aca="false">IF(OR($A$1=公区维修!$F265,$BN$1=1),0,1-SUMPRODUCT(--(($A$1=公区维修!$F265)+$BN$1&gt;0)))</f>
        <v>0</v>
      </c>
      <c r="AG265" s="0" t="n">
        <f aca="false">IF(OR($A$2=公区维修!$F265,$BN$2=1),0,2-SUMPRODUCT(--(($A$1:$A$2=公区维修!$F265)+$BN$1:$BN$2&gt;0)))</f>
        <v>1</v>
      </c>
      <c r="AH265" s="0" t="n">
        <f aca="false">IF(OR($A$3=公区维修!$F265,$BN$3=1),0,3-SUMPRODUCT(--(($A$1:$A$3=公区维修!$F265)+$BN$1:$BN$3&gt;0)))</f>
        <v>2</v>
      </c>
      <c r="AI265" s="0" t="n">
        <f aca="false">IF(OR($A$4=公区维修!$F265,$BN$4=1),0,4-SUMPRODUCT(--(($A$1:$A$4=公区维修!$F265)+$BN$1:$BN$4&gt;0)))</f>
        <v>3</v>
      </c>
      <c r="AJ265" s="0" t="n">
        <f aca="false">IF(OR($A$5=公区维修!$F265,$BN$5=1),0,5-SUMPRODUCT(--(($A$1:$A$5=公区维修!$F265)+$BN$1:$BN$5&gt;0)))</f>
        <v>4</v>
      </c>
      <c r="AL265" s="0" t="str">
        <f aca="false">IFERROR(INDEX($A$1:$A$5,MATCH(1,$AF265:$AJ265,0)),IF(1=MAX($AF265:$AJ265)+1,"取消",""))</f>
        <v>李师傅</v>
      </c>
      <c r="AM265" s="0" t="str">
        <f aca="false">IFERROR(INDEX($A$1:$A$5,MATCH(2,$AF265:$AJ265,0)),IF(2=MAX($AF265:$AJ265)+1,"取消",""))</f>
        <v>王师傅</v>
      </c>
      <c r="AN265" s="0" t="str">
        <f aca="false">IFERROR(INDEX($A$1:$A$5,MATCH(3,$AF265:$AJ265,0)),IF(3=MAX($AF265:$AJ265)+1,"取消",""))</f>
        <v>陈师傅</v>
      </c>
      <c r="AO265" s="0" t="str">
        <f aca="false">IFERROR(INDEX($A$1:$A$5,MATCH(4,$AF265:$AJ265,0)),IF(4=MAX($AF265:$AJ265)+1,"取消",""))</f>
        <v>刘师傅</v>
      </c>
      <c r="AP265" s="0" t="str">
        <f aca="false">IFERROR(INDEX($A$1:$A$5,MATCH(5,$AF265:$AJ265,0)),IF(5=MAX($AF265:$AJ265)+1,"取消",""))</f>
        <v>取消</v>
      </c>
      <c r="AQ265" s="0" t="str">
        <f aca="false">IFERROR(INDEX($A$1:$A$5,MATCH(6,$AF265:$AJ265,0)),IF(6=MAX($AF265:$AJ265)+1,"取消",""))</f>
        <v/>
      </c>
      <c r="AS265" s="0" t="n">
        <f aca="false">IF(OR($A$1=公区维修!$F265,$A$1=公区维修!$G265,$BN$1=1),0,1-SUMPRODUCT(--(($A$1=公区维修!$F265)+($A$1=公区维修!$G265)+$BN$1&gt;0)))</f>
        <v>0</v>
      </c>
      <c r="AT265" s="0" t="n">
        <f aca="false">IF(OR($A$2=公区维修!$F265,$A$2=公区维修!$G265,$BN$2=1),0,2-SUMPRODUCT(--(($A$1:$A$2=公区维修!$F265)+($A$1:$A$2=公区维修!$G265)+$BN$1:$BN$2&gt;0)))</f>
        <v>1</v>
      </c>
      <c r="AU265" s="0" t="n">
        <f aca="false">IF(OR($A$3=公区维修!$F265,$A$3=公区维修!$G265,$BN$3=1),0,3-SUMPRODUCT(--(($A$1:$A$3=公区维修!$F265)+($A$1:$A$3=公区维修!$G265)+$BN$1:$BN$3&gt;0)))</f>
        <v>2</v>
      </c>
      <c r="AV265" s="0" t="n">
        <f aca="false">IF(OR($A$4=公区维修!$F265,$A$4=公区维修!$G265,$BN$4=1),0,4-SUMPRODUCT(--(($A$1:$A$4=公区维修!$F265)+($A$1:$A$4=公区维修!$G265)+$BN$1:$BN$4&gt;0)))</f>
        <v>3</v>
      </c>
      <c r="AW265" s="0" t="n">
        <f aca="false">IF(OR($A$5=公区维修!$F265,$A$5=公区维修!$G265,$BN$5=1),0,5-SUMPRODUCT(--(($A$1:$A$5=公区维修!$F265)+($A$1:$A$5=公区维修!$G265)+$BN$1:$BN$5&gt;0)))</f>
        <v>4</v>
      </c>
      <c r="AY265" s="0" t="str">
        <f aca="false">IFERROR(INDEX($A$1:$A$5,MATCH(1,$AS265:$AW265,0)),IF(1=MAX($AS265:$AW265)+1,"取消",""))</f>
        <v>李师傅</v>
      </c>
      <c r="AZ265" s="0" t="str">
        <f aca="false">IFERROR(INDEX($A$1:$A$5,MATCH(2,$AS265:$AW265,0)),IF(2=MAX($AS265:$AW265)+1,"取消",""))</f>
        <v>王师傅</v>
      </c>
      <c r="BA265" s="0" t="str">
        <f aca="false">IFERROR(INDEX($A$1:$A$5,MATCH(3,$AS265:$AW265,0)),IF(3=MAX($AS265:$AW265)+1,"取消",""))</f>
        <v>陈师傅</v>
      </c>
      <c r="BB265" s="0" t="str">
        <f aca="false">IFERROR(INDEX($A$1:$A$5,MATCH(4,$AS265:$AW265,0)),IF(4=MAX($AS265:$AW265)+1,"取消",""))</f>
        <v>刘师傅</v>
      </c>
      <c r="BC265" s="0" t="str">
        <f aca="false">IFERROR(INDEX($A$1:$A$5,MATCH(5,$AS265:$AW265,0)),IF(5=MAX($AS265:$AW265)+1,"取消",""))</f>
        <v>取消</v>
      </c>
      <c r="BD265" s="0" t="str">
        <f aca="false">IFERROR(INDEX($A$1:$A$5,MATCH(6,$AS265:$AW265,0)),IF(6=MAX($AS265:$AW265)+1,"取消",""))</f>
        <v/>
      </c>
      <c r="FW265" s="0" t="str">
        <f aca="false">IF(AND(单元查询!$D$3&lt;&gt;"",IF(单元查询!$B$3="公区维修",公区维修!$E265&lt;&gt;"",入户维修!$E265&lt;&gt;""),IF(单元查询!$B$3="公区维修",公区维修!$C265,入户维修!$C265)=单元查询!$D$3,OR(单元查询!$F$3="",IF(单元查询!$B$3="公区维修",公区维修!$D265,入户维修!$D265)&amp;""=(单元查询!$F$3)&amp;"")),MAX($FW$4:$FW264)+1,"")</f>
        <v/>
      </c>
    </row>
    <row r="266" customFormat="false" ht="15" hidden="false" customHeight="true" outlineLevel="0" collapsed="false">
      <c r="F266" s="0" t="n">
        <f aca="false">IF(OR($A$1=入户维修!$F266,$BN$1=1),0,1-SUMPRODUCT(--(($A$1=入户维修!$F266)+$BN$1&gt;0)))</f>
        <v>0</v>
      </c>
      <c r="G266" s="0" t="n">
        <f aca="false">IF(OR($A$2=入户维修!$F266,$BN$2=1),0,2-SUMPRODUCT(--(($A$1:$A$2=入户维修!$F266)+$BN$1:$BN$2&gt;0)))</f>
        <v>1</v>
      </c>
      <c r="H266" s="0" t="n">
        <f aca="false">IF(OR($A$3=入户维修!$F266,$BN$3=1),0,3-SUMPRODUCT(--(($A$1:$A$3=入户维修!$F266)+$BN$1:$BN$3&gt;0)))</f>
        <v>2</v>
      </c>
      <c r="I266" s="0" t="n">
        <f aca="false">IF(OR($A$4=入户维修!$F266,$BN$4=1),0,4-SUMPRODUCT(--(($A$1:$A$4=入户维修!$F266)+$BN$1:$BN$4&gt;0)))</f>
        <v>3</v>
      </c>
      <c r="J266" s="0" t="n">
        <f aca="false">IF(OR($A$5=入户维修!$F266,$BN$5=1),0,5-SUMPRODUCT(--(($A$1:$A$5=入户维修!$F266)+$BN$1:$BN$5&gt;0)))</f>
        <v>4</v>
      </c>
      <c r="L266" s="0" t="str">
        <f aca="false">IFERROR(INDEX($A$1:$A$5,MATCH(1,$F266:$J266,0)),IF(1=MAX($F266:$J266)+1,"取消",""))</f>
        <v>李师傅</v>
      </c>
      <c r="M266" s="0" t="str">
        <f aca="false">IFERROR(INDEX($A$1:$A$5,MATCH(2,$F266:$J266,0)),IF(2=MAX($F266:$J266)+1,"取消",""))</f>
        <v>王师傅</v>
      </c>
      <c r="N266" s="0" t="str">
        <f aca="false">IFERROR(INDEX($A$1:$A$5,MATCH(3,$F266:$J266,0)),IF(3=MAX($F266:$J266)+1,"取消",""))</f>
        <v>陈师傅</v>
      </c>
      <c r="O266" s="0" t="str">
        <f aca="false">IFERROR(INDEX($A$1:$A$5,MATCH(4,$F266:$J266,0)),IF(4=MAX($F266:$J266)+1,"取消",""))</f>
        <v>刘师傅</v>
      </c>
      <c r="P266" s="0" t="str">
        <f aca="false">IFERROR(INDEX($A$1:$A$5,MATCH(5,$F266:$J266,0)),IF(5=MAX($F266:$J266)+1,"取消",""))</f>
        <v>取消</v>
      </c>
      <c r="Q266" s="0" t="str">
        <f aca="false">IFERROR(INDEX($A$1:$A$5,MATCH(6,$F266:$J266,0)),IF(6=MAX($F266:$J266)+1,"取消",""))</f>
        <v/>
      </c>
      <c r="S266" s="0" t="n">
        <f aca="false">IF(OR($A$1=入户维修!$F266,$A$1=入户维修!$G266,$BN$1=1),0,1-SUMPRODUCT(--(($A$1=入户维修!$F266)+($A$1=入户维修!$G266)+$BN$1&gt;0)))</f>
        <v>0</v>
      </c>
      <c r="T266" s="0" t="n">
        <f aca="false">IF(OR($A$2=入户维修!$F266,$A$2=入户维修!$G266,$BN$2=1),0,2-SUMPRODUCT(--(($A$1:$A$2=入户维修!$F266)+($A$1:$A$2=入户维修!$G266)+$BN$1:$BN$2&gt;0)))</f>
        <v>1</v>
      </c>
      <c r="U266" s="0" t="n">
        <f aca="false">IF(OR($A$3=入户维修!$F266,$A$3=入户维修!$G266,$BN$3=1),0,3-SUMPRODUCT(--(($A$1:$A$3=入户维修!$F266)+($A$1:$A$3=入户维修!$G266)+$BN$1:$BN$3&gt;0)))</f>
        <v>2</v>
      </c>
      <c r="V266" s="0" t="n">
        <f aca="false">IF(OR($A$4=入户维修!$F266,$A$4=入户维修!$G266,$BN$4=1),0,4-SUMPRODUCT(--(($A$1:$A$4=入户维修!$F266)+($A$1:$A$4=入户维修!$G266)+$BN$1:$BN$4&gt;0)))</f>
        <v>3</v>
      </c>
      <c r="W266" s="0" t="n">
        <f aca="false">IF(OR($A$5=入户维修!$F266,$A$5=入户维修!$G266,$BN$5=1),0,5-SUMPRODUCT(--(($A$1:$A$5=入户维修!$F266)+($A$1:$A$5=入户维修!$G266)+$BN$1:$BN$5&gt;0)))</f>
        <v>4</v>
      </c>
      <c r="Y266" s="0" t="str">
        <f aca="false">IFERROR(INDEX($A$1:$A$5,MATCH(1,$S266:$W266,0)),IF(1=MAX($S266:$W266)+1,"取消",""))</f>
        <v>李师傅</v>
      </c>
      <c r="Z266" s="0" t="str">
        <f aca="false">IFERROR(INDEX($A$1:$A$5,MATCH(2,$S266:$W266,0)),IF(2=MAX($S266:$W266)+1,"取消",""))</f>
        <v>王师傅</v>
      </c>
      <c r="AA266" s="0" t="str">
        <f aca="false">IFERROR(INDEX($A$1:$A$5,MATCH(3,$S266:$W266,0)),IF(3=MAX($S266:$W266)+1,"取消",""))</f>
        <v>陈师傅</v>
      </c>
      <c r="AB266" s="0" t="str">
        <f aca="false">IFERROR(INDEX($A$1:$A$5,MATCH(4,$S266:$W266,0)),IF(4=MAX($S266:$W266)+1,"取消",""))</f>
        <v>刘师傅</v>
      </c>
      <c r="AC266" s="0" t="str">
        <f aca="false">IFERROR(INDEX($A$1:$A$5,MATCH(5,$S266:$W266,0)),IF(5=MAX($S266:$W266)+1,"取消",""))</f>
        <v>取消</v>
      </c>
      <c r="AD266" s="0" t="str">
        <f aca="false">IFERROR(INDEX($A$1:$A$5,MATCH(6,$S266:$W266,0)),IF(6=MAX($S266:$W266)+1,"取消",""))</f>
        <v/>
      </c>
      <c r="AF266" s="0" t="n">
        <f aca="false">IF(OR($A$1=公区维修!$F266,$BN$1=1),0,1-SUMPRODUCT(--(($A$1=公区维修!$F266)+$BN$1&gt;0)))</f>
        <v>0</v>
      </c>
      <c r="AG266" s="0" t="n">
        <f aca="false">IF(OR($A$2=公区维修!$F266,$BN$2=1),0,2-SUMPRODUCT(--(($A$1:$A$2=公区维修!$F266)+$BN$1:$BN$2&gt;0)))</f>
        <v>1</v>
      </c>
      <c r="AH266" s="0" t="n">
        <f aca="false">IF(OR($A$3=公区维修!$F266,$BN$3=1),0,3-SUMPRODUCT(--(($A$1:$A$3=公区维修!$F266)+$BN$1:$BN$3&gt;0)))</f>
        <v>2</v>
      </c>
      <c r="AI266" s="0" t="n">
        <f aca="false">IF(OR($A$4=公区维修!$F266,$BN$4=1),0,4-SUMPRODUCT(--(($A$1:$A$4=公区维修!$F266)+$BN$1:$BN$4&gt;0)))</f>
        <v>3</v>
      </c>
      <c r="AJ266" s="0" t="n">
        <f aca="false">IF(OR($A$5=公区维修!$F266,$BN$5=1),0,5-SUMPRODUCT(--(($A$1:$A$5=公区维修!$F266)+$BN$1:$BN$5&gt;0)))</f>
        <v>4</v>
      </c>
      <c r="AL266" s="0" t="str">
        <f aca="false">IFERROR(INDEX($A$1:$A$5,MATCH(1,$AF266:$AJ266,0)),IF(1=MAX($AF266:$AJ266)+1,"取消",""))</f>
        <v>李师傅</v>
      </c>
      <c r="AM266" s="0" t="str">
        <f aca="false">IFERROR(INDEX($A$1:$A$5,MATCH(2,$AF266:$AJ266,0)),IF(2=MAX($AF266:$AJ266)+1,"取消",""))</f>
        <v>王师傅</v>
      </c>
      <c r="AN266" s="0" t="str">
        <f aca="false">IFERROR(INDEX($A$1:$A$5,MATCH(3,$AF266:$AJ266,0)),IF(3=MAX($AF266:$AJ266)+1,"取消",""))</f>
        <v>陈师傅</v>
      </c>
      <c r="AO266" s="0" t="str">
        <f aca="false">IFERROR(INDEX($A$1:$A$5,MATCH(4,$AF266:$AJ266,0)),IF(4=MAX($AF266:$AJ266)+1,"取消",""))</f>
        <v>刘师傅</v>
      </c>
      <c r="AP266" s="0" t="str">
        <f aca="false">IFERROR(INDEX($A$1:$A$5,MATCH(5,$AF266:$AJ266,0)),IF(5=MAX($AF266:$AJ266)+1,"取消",""))</f>
        <v>取消</v>
      </c>
      <c r="AQ266" s="0" t="str">
        <f aca="false">IFERROR(INDEX($A$1:$A$5,MATCH(6,$AF266:$AJ266,0)),IF(6=MAX($AF266:$AJ266)+1,"取消",""))</f>
        <v/>
      </c>
      <c r="AS266" s="0" t="n">
        <f aca="false">IF(OR($A$1=公区维修!$F266,$A$1=公区维修!$G266,$BN$1=1),0,1-SUMPRODUCT(--(($A$1=公区维修!$F266)+($A$1=公区维修!$G266)+$BN$1&gt;0)))</f>
        <v>0</v>
      </c>
      <c r="AT266" s="0" t="n">
        <f aca="false">IF(OR($A$2=公区维修!$F266,$A$2=公区维修!$G266,$BN$2=1),0,2-SUMPRODUCT(--(($A$1:$A$2=公区维修!$F266)+($A$1:$A$2=公区维修!$G266)+$BN$1:$BN$2&gt;0)))</f>
        <v>1</v>
      </c>
      <c r="AU266" s="0" t="n">
        <f aca="false">IF(OR($A$3=公区维修!$F266,$A$3=公区维修!$G266,$BN$3=1),0,3-SUMPRODUCT(--(($A$1:$A$3=公区维修!$F266)+($A$1:$A$3=公区维修!$G266)+$BN$1:$BN$3&gt;0)))</f>
        <v>2</v>
      </c>
      <c r="AV266" s="0" t="n">
        <f aca="false">IF(OR($A$4=公区维修!$F266,$A$4=公区维修!$G266,$BN$4=1),0,4-SUMPRODUCT(--(($A$1:$A$4=公区维修!$F266)+($A$1:$A$4=公区维修!$G266)+$BN$1:$BN$4&gt;0)))</f>
        <v>3</v>
      </c>
      <c r="AW266" s="0" t="n">
        <f aca="false">IF(OR($A$5=公区维修!$F266,$A$5=公区维修!$G266,$BN$5=1),0,5-SUMPRODUCT(--(($A$1:$A$5=公区维修!$F266)+($A$1:$A$5=公区维修!$G266)+$BN$1:$BN$5&gt;0)))</f>
        <v>4</v>
      </c>
      <c r="AY266" s="0" t="str">
        <f aca="false">IFERROR(INDEX($A$1:$A$5,MATCH(1,$AS266:$AW266,0)),IF(1=MAX($AS266:$AW266)+1,"取消",""))</f>
        <v>李师傅</v>
      </c>
      <c r="AZ266" s="0" t="str">
        <f aca="false">IFERROR(INDEX($A$1:$A$5,MATCH(2,$AS266:$AW266,0)),IF(2=MAX($AS266:$AW266)+1,"取消",""))</f>
        <v>王师傅</v>
      </c>
      <c r="BA266" s="0" t="str">
        <f aca="false">IFERROR(INDEX($A$1:$A$5,MATCH(3,$AS266:$AW266,0)),IF(3=MAX($AS266:$AW266)+1,"取消",""))</f>
        <v>陈师傅</v>
      </c>
      <c r="BB266" s="0" t="str">
        <f aca="false">IFERROR(INDEX($A$1:$A$5,MATCH(4,$AS266:$AW266,0)),IF(4=MAX($AS266:$AW266)+1,"取消",""))</f>
        <v>刘师傅</v>
      </c>
      <c r="BC266" s="0" t="str">
        <f aca="false">IFERROR(INDEX($A$1:$A$5,MATCH(5,$AS266:$AW266,0)),IF(5=MAX($AS266:$AW266)+1,"取消",""))</f>
        <v>取消</v>
      </c>
      <c r="BD266" s="0" t="str">
        <f aca="false">IFERROR(INDEX($A$1:$A$5,MATCH(6,$AS266:$AW266,0)),IF(6=MAX($AS266:$AW266)+1,"取消",""))</f>
        <v/>
      </c>
      <c r="FW266" s="0" t="str">
        <f aca="false">IF(AND(单元查询!$D$3&lt;&gt;"",IF(单元查询!$B$3="公区维修",公区维修!$E266&lt;&gt;"",入户维修!$E266&lt;&gt;""),IF(单元查询!$B$3="公区维修",公区维修!$C266,入户维修!$C266)=单元查询!$D$3,OR(单元查询!$F$3="",IF(单元查询!$B$3="公区维修",公区维修!$D266,入户维修!$D266)&amp;""=(单元查询!$F$3)&amp;"")),MAX($FW$4:$FW265)+1,"")</f>
        <v/>
      </c>
    </row>
    <row r="267" customFormat="false" ht="15" hidden="false" customHeight="true" outlineLevel="0" collapsed="false">
      <c r="F267" s="0" t="n">
        <f aca="false">IF(OR($A$1=入户维修!$F267,$BN$1=1),0,1-SUMPRODUCT(--(($A$1=入户维修!$F267)+$BN$1&gt;0)))</f>
        <v>0</v>
      </c>
      <c r="G267" s="0" t="n">
        <f aca="false">IF(OR($A$2=入户维修!$F267,$BN$2=1),0,2-SUMPRODUCT(--(($A$1:$A$2=入户维修!$F267)+$BN$1:$BN$2&gt;0)))</f>
        <v>1</v>
      </c>
      <c r="H267" s="0" t="n">
        <f aca="false">IF(OR($A$3=入户维修!$F267,$BN$3=1),0,3-SUMPRODUCT(--(($A$1:$A$3=入户维修!$F267)+$BN$1:$BN$3&gt;0)))</f>
        <v>2</v>
      </c>
      <c r="I267" s="0" t="n">
        <f aca="false">IF(OR($A$4=入户维修!$F267,$BN$4=1),0,4-SUMPRODUCT(--(($A$1:$A$4=入户维修!$F267)+$BN$1:$BN$4&gt;0)))</f>
        <v>3</v>
      </c>
      <c r="J267" s="0" t="n">
        <f aca="false">IF(OR($A$5=入户维修!$F267,$BN$5=1),0,5-SUMPRODUCT(--(($A$1:$A$5=入户维修!$F267)+$BN$1:$BN$5&gt;0)))</f>
        <v>4</v>
      </c>
      <c r="L267" s="0" t="str">
        <f aca="false">IFERROR(INDEX($A$1:$A$5,MATCH(1,$F267:$J267,0)),IF(1=MAX($F267:$J267)+1,"取消",""))</f>
        <v>李师傅</v>
      </c>
      <c r="M267" s="0" t="str">
        <f aca="false">IFERROR(INDEX($A$1:$A$5,MATCH(2,$F267:$J267,0)),IF(2=MAX($F267:$J267)+1,"取消",""))</f>
        <v>王师傅</v>
      </c>
      <c r="N267" s="0" t="str">
        <f aca="false">IFERROR(INDEX($A$1:$A$5,MATCH(3,$F267:$J267,0)),IF(3=MAX($F267:$J267)+1,"取消",""))</f>
        <v>陈师傅</v>
      </c>
      <c r="O267" s="0" t="str">
        <f aca="false">IFERROR(INDEX($A$1:$A$5,MATCH(4,$F267:$J267,0)),IF(4=MAX($F267:$J267)+1,"取消",""))</f>
        <v>刘师傅</v>
      </c>
      <c r="P267" s="0" t="str">
        <f aca="false">IFERROR(INDEX($A$1:$A$5,MATCH(5,$F267:$J267,0)),IF(5=MAX($F267:$J267)+1,"取消",""))</f>
        <v>取消</v>
      </c>
      <c r="Q267" s="0" t="str">
        <f aca="false">IFERROR(INDEX($A$1:$A$5,MATCH(6,$F267:$J267,0)),IF(6=MAX($F267:$J267)+1,"取消",""))</f>
        <v/>
      </c>
      <c r="S267" s="0" t="n">
        <f aca="false">IF(OR($A$1=入户维修!$F267,$A$1=入户维修!$G267,$BN$1=1),0,1-SUMPRODUCT(--(($A$1=入户维修!$F267)+($A$1=入户维修!$G267)+$BN$1&gt;0)))</f>
        <v>0</v>
      </c>
      <c r="T267" s="0" t="n">
        <f aca="false">IF(OR($A$2=入户维修!$F267,$A$2=入户维修!$G267,$BN$2=1),0,2-SUMPRODUCT(--(($A$1:$A$2=入户维修!$F267)+($A$1:$A$2=入户维修!$G267)+$BN$1:$BN$2&gt;0)))</f>
        <v>1</v>
      </c>
      <c r="U267" s="0" t="n">
        <f aca="false">IF(OR($A$3=入户维修!$F267,$A$3=入户维修!$G267,$BN$3=1),0,3-SUMPRODUCT(--(($A$1:$A$3=入户维修!$F267)+($A$1:$A$3=入户维修!$G267)+$BN$1:$BN$3&gt;0)))</f>
        <v>2</v>
      </c>
      <c r="V267" s="0" t="n">
        <f aca="false">IF(OR($A$4=入户维修!$F267,$A$4=入户维修!$G267,$BN$4=1),0,4-SUMPRODUCT(--(($A$1:$A$4=入户维修!$F267)+($A$1:$A$4=入户维修!$G267)+$BN$1:$BN$4&gt;0)))</f>
        <v>3</v>
      </c>
      <c r="W267" s="0" t="n">
        <f aca="false">IF(OR($A$5=入户维修!$F267,$A$5=入户维修!$G267,$BN$5=1),0,5-SUMPRODUCT(--(($A$1:$A$5=入户维修!$F267)+($A$1:$A$5=入户维修!$G267)+$BN$1:$BN$5&gt;0)))</f>
        <v>4</v>
      </c>
      <c r="Y267" s="0" t="str">
        <f aca="false">IFERROR(INDEX($A$1:$A$5,MATCH(1,$S267:$W267,0)),IF(1=MAX($S267:$W267)+1,"取消",""))</f>
        <v>李师傅</v>
      </c>
      <c r="Z267" s="0" t="str">
        <f aca="false">IFERROR(INDEX($A$1:$A$5,MATCH(2,$S267:$W267,0)),IF(2=MAX($S267:$W267)+1,"取消",""))</f>
        <v>王师傅</v>
      </c>
      <c r="AA267" s="0" t="str">
        <f aca="false">IFERROR(INDEX($A$1:$A$5,MATCH(3,$S267:$W267,0)),IF(3=MAX($S267:$W267)+1,"取消",""))</f>
        <v>陈师傅</v>
      </c>
      <c r="AB267" s="0" t="str">
        <f aca="false">IFERROR(INDEX($A$1:$A$5,MATCH(4,$S267:$W267,0)),IF(4=MAX($S267:$W267)+1,"取消",""))</f>
        <v>刘师傅</v>
      </c>
      <c r="AC267" s="0" t="str">
        <f aca="false">IFERROR(INDEX($A$1:$A$5,MATCH(5,$S267:$W267,0)),IF(5=MAX($S267:$W267)+1,"取消",""))</f>
        <v>取消</v>
      </c>
      <c r="AD267" s="0" t="str">
        <f aca="false">IFERROR(INDEX($A$1:$A$5,MATCH(6,$S267:$W267,0)),IF(6=MAX($S267:$W267)+1,"取消",""))</f>
        <v/>
      </c>
      <c r="AF267" s="0" t="n">
        <f aca="false">IF(OR($A$1=公区维修!$F267,$BN$1=1),0,1-SUMPRODUCT(--(($A$1=公区维修!$F267)+$BN$1&gt;0)))</f>
        <v>0</v>
      </c>
      <c r="AG267" s="0" t="n">
        <f aca="false">IF(OR($A$2=公区维修!$F267,$BN$2=1),0,2-SUMPRODUCT(--(($A$1:$A$2=公区维修!$F267)+$BN$1:$BN$2&gt;0)))</f>
        <v>1</v>
      </c>
      <c r="AH267" s="0" t="n">
        <f aca="false">IF(OR($A$3=公区维修!$F267,$BN$3=1),0,3-SUMPRODUCT(--(($A$1:$A$3=公区维修!$F267)+$BN$1:$BN$3&gt;0)))</f>
        <v>2</v>
      </c>
      <c r="AI267" s="0" t="n">
        <f aca="false">IF(OR($A$4=公区维修!$F267,$BN$4=1),0,4-SUMPRODUCT(--(($A$1:$A$4=公区维修!$F267)+$BN$1:$BN$4&gt;0)))</f>
        <v>3</v>
      </c>
      <c r="AJ267" s="0" t="n">
        <f aca="false">IF(OR($A$5=公区维修!$F267,$BN$5=1),0,5-SUMPRODUCT(--(($A$1:$A$5=公区维修!$F267)+$BN$1:$BN$5&gt;0)))</f>
        <v>4</v>
      </c>
      <c r="AL267" s="0" t="str">
        <f aca="false">IFERROR(INDEX($A$1:$A$5,MATCH(1,$AF267:$AJ267,0)),IF(1=MAX($AF267:$AJ267)+1,"取消",""))</f>
        <v>李师傅</v>
      </c>
      <c r="AM267" s="0" t="str">
        <f aca="false">IFERROR(INDEX($A$1:$A$5,MATCH(2,$AF267:$AJ267,0)),IF(2=MAX($AF267:$AJ267)+1,"取消",""))</f>
        <v>王师傅</v>
      </c>
      <c r="AN267" s="0" t="str">
        <f aca="false">IFERROR(INDEX($A$1:$A$5,MATCH(3,$AF267:$AJ267,0)),IF(3=MAX($AF267:$AJ267)+1,"取消",""))</f>
        <v>陈师傅</v>
      </c>
      <c r="AO267" s="0" t="str">
        <f aca="false">IFERROR(INDEX($A$1:$A$5,MATCH(4,$AF267:$AJ267,0)),IF(4=MAX($AF267:$AJ267)+1,"取消",""))</f>
        <v>刘师傅</v>
      </c>
      <c r="AP267" s="0" t="str">
        <f aca="false">IFERROR(INDEX($A$1:$A$5,MATCH(5,$AF267:$AJ267,0)),IF(5=MAX($AF267:$AJ267)+1,"取消",""))</f>
        <v>取消</v>
      </c>
      <c r="AQ267" s="0" t="str">
        <f aca="false">IFERROR(INDEX($A$1:$A$5,MATCH(6,$AF267:$AJ267,0)),IF(6=MAX($AF267:$AJ267)+1,"取消",""))</f>
        <v/>
      </c>
      <c r="AS267" s="0" t="n">
        <f aca="false">IF(OR($A$1=公区维修!$F267,$A$1=公区维修!$G267,$BN$1=1),0,1-SUMPRODUCT(--(($A$1=公区维修!$F267)+($A$1=公区维修!$G267)+$BN$1&gt;0)))</f>
        <v>0</v>
      </c>
      <c r="AT267" s="0" t="n">
        <f aca="false">IF(OR($A$2=公区维修!$F267,$A$2=公区维修!$G267,$BN$2=1),0,2-SUMPRODUCT(--(($A$1:$A$2=公区维修!$F267)+($A$1:$A$2=公区维修!$G267)+$BN$1:$BN$2&gt;0)))</f>
        <v>1</v>
      </c>
      <c r="AU267" s="0" t="n">
        <f aca="false">IF(OR($A$3=公区维修!$F267,$A$3=公区维修!$G267,$BN$3=1),0,3-SUMPRODUCT(--(($A$1:$A$3=公区维修!$F267)+($A$1:$A$3=公区维修!$G267)+$BN$1:$BN$3&gt;0)))</f>
        <v>2</v>
      </c>
      <c r="AV267" s="0" t="n">
        <f aca="false">IF(OR($A$4=公区维修!$F267,$A$4=公区维修!$G267,$BN$4=1),0,4-SUMPRODUCT(--(($A$1:$A$4=公区维修!$F267)+($A$1:$A$4=公区维修!$G267)+$BN$1:$BN$4&gt;0)))</f>
        <v>3</v>
      </c>
      <c r="AW267" s="0" t="n">
        <f aca="false">IF(OR($A$5=公区维修!$F267,$A$5=公区维修!$G267,$BN$5=1),0,5-SUMPRODUCT(--(($A$1:$A$5=公区维修!$F267)+($A$1:$A$5=公区维修!$G267)+$BN$1:$BN$5&gt;0)))</f>
        <v>4</v>
      </c>
      <c r="AY267" s="0" t="str">
        <f aca="false">IFERROR(INDEX($A$1:$A$5,MATCH(1,$AS267:$AW267,0)),IF(1=MAX($AS267:$AW267)+1,"取消",""))</f>
        <v>李师傅</v>
      </c>
      <c r="AZ267" s="0" t="str">
        <f aca="false">IFERROR(INDEX($A$1:$A$5,MATCH(2,$AS267:$AW267,0)),IF(2=MAX($AS267:$AW267)+1,"取消",""))</f>
        <v>王师傅</v>
      </c>
      <c r="BA267" s="0" t="str">
        <f aca="false">IFERROR(INDEX($A$1:$A$5,MATCH(3,$AS267:$AW267,0)),IF(3=MAX($AS267:$AW267)+1,"取消",""))</f>
        <v>陈师傅</v>
      </c>
      <c r="BB267" s="0" t="str">
        <f aca="false">IFERROR(INDEX($A$1:$A$5,MATCH(4,$AS267:$AW267,0)),IF(4=MAX($AS267:$AW267)+1,"取消",""))</f>
        <v>刘师傅</v>
      </c>
      <c r="BC267" s="0" t="str">
        <f aca="false">IFERROR(INDEX($A$1:$A$5,MATCH(5,$AS267:$AW267,0)),IF(5=MAX($AS267:$AW267)+1,"取消",""))</f>
        <v>取消</v>
      </c>
      <c r="BD267" s="0" t="str">
        <f aca="false">IFERROR(INDEX($A$1:$A$5,MATCH(6,$AS267:$AW267,0)),IF(6=MAX($AS267:$AW267)+1,"取消",""))</f>
        <v/>
      </c>
      <c r="FW267" s="0" t="str">
        <f aca="false">IF(AND(单元查询!$D$3&lt;&gt;"",IF(单元查询!$B$3="公区维修",公区维修!$E267&lt;&gt;"",入户维修!$E267&lt;&gt;""),IF(单元查询!$B$3="公区维修",公区维修!$C267,入户维修!$C267)=单元查询!$D$3,OR(单元查询!$F$3="",IF(单元查询!$B$3="公区维修",公区维修!$D267,入户维修!$D267)&amp;""=(单元查询!$F$3)&amp;"")),MAX($FW$4:$FW266)+1,"")</f>
        <v/>
      </c>
    </row>
    <row r="268" customFormat="false" ht="15" hidden="false" customHeight="true" outlineLevel="0" collapsed="false">
      <c r="F268" s="0" t="n">
        <f aca="false">IF(OR($A$1=入户维修!$F268,$BN$1=1),0,1-SUMPRODUCT(--(($A$1=入户维修!$F268)+$BN$1&gt;0)))</f>
        <v>0</v>
      </c>
      <c r="G268" s="0" t="n">
        <f aca="false">IF(OR($A$2=入户维修!$F268,$BN$2=1),0,2-SUMPRODUCT(--(($A$1:$A$2=入户维修!$F268)+$BN$1:$BN$2&gt;0)))</f>
        <v>1</v>
      </c>
      <c r="H268" s="0" t="n">
        <f aca="false">IF(OR($A$3=入户维修!$F268,$BN$3=1),0,3-SUMPRODUCT(--(($A$1:$A$3=入户维修!$F268)+$BN$1:$BN$3&gt;0)))</f>
        <v>2</v>
      </c>
      <c r="I268" s="0" t="n">
        <f aca="false">IF(OR($A$4=入户维修!$F268,$BN$4=1),0,4-SUMPRODUCT(--(($A$1:$A$4=入户维修!$F268)+$BN$1:$BN$4&gt;0)))</f>
        <v>3</v>
      </c>
      <c r="J268" s="0" t="n">
        <f aca="false">IF(OR($A$5=入户维修!$F268,$BN$5=1),0,5-SUMPRODUCT(--(($A$1:$A$5=入户维修!$F268)+$BN$1:$BN$5&gt;0)))</f>
        <v>4</v>
      </c>
      <c r="L268" s="0" t="str">
        <f aca="false">IFERROR(INDEX($A$1:$A$5,MATCH(1,$F268:$J268,0)),IF(1=MAX($F268:$J268)+1,"取消",""))</f>
        <v>李师傅</v>
      </c>
      <c r="M268" s="0" t="str">
        <f aca="false">IFERROR(INDEX($A$1:$A$5,MATCH(2,$F268:$J268,0)),IF(2=MAX($F268:$J268)+1,"取消",""))</f>
        <v>王师傅</v>
      </c>
      <c r="N268" s="0" t="str">
        <f aca="false">IFERROR(INDEX($A$1:$A$5,MATCH(3,$F268:$J268,0)),IF(3=MAX($F268:$J268)+1,"取消",""))</f>
        <v>陈师傅</v>
      </c>
      <c r="O268" s="0" t="str">
        <f aca="false">IFERROR(INDEX($A$1:$A$5,MATCH(4,$F268:$J268,0)),IF(4=MAX($F268:$J268)+1,"取消",""))</f>
        <v>刘师傅</v>
      </c>
      <c r="P268" s="0" t="str">
        <f aca="false">IFERROR(INDEX($A$1:$A$5,MATCH(5,$F268:$J268,0)),IF(5=MAX($F268:$J268)+1,"取消",""))</f>
        <v>取消</v>
      </c>
      <c r="Q268" s="0" t="str">
        <f aca="false">IFERROR(INDEX($A$1:$A$5,MATCH(6,$F268:$J268,0)),IF(6=MAX($F268:$J268)+1,"取消",""))</f>
        <v/>
      </c>
      <c r="S268" s="0" t="n">
        <f aca="false">IF(OR($A$1=入户维修!$F268,$A$1=入户维修!$G268,$BN$1=1),0,1-SUMPRODUCT(--(($A$1=入户维修!$F268)+($A$1=入户维修!$G268)+$BN$1&gt;0)))</f>
        <v>0</v>
      </c>
      <c r="T268" s="0" t="n">
        <f aca="false">IF(OR($A$2=入户维修!$F268,$A$2=入户维修!$G268,$BN$2=1),0,2-SUMPRODUCT(--(($A$1:$A$2=入户维修!$F268)+($A$1:$A$2=入户维修!$G268)+$BN$1:$BN$2&gt;0)))</f>
        <v>1</v>
      </c>
      <c r="U268" s="0" t="n">
        <f aca="false">IF(OR($A$3=入户维修!$F268,$A$3=入户维修!$G268,$BN$3=1),0,3-SUMPRODUCT(--(($A$1:$A$3=入户维修!$F268)+($A$1:$A$3=入户维修!$G268)+$BN$1:$BN$3&gt;0)))</f>
        <v>2</v>
      </c>
      <c r="V268" s="0" t="n">
        <f aca="false">IF(OR($A$4=入户维修!$F268,$A$4=入户维修!$G268,$BN$4=1),0,4-SUMPRODUCT(--(($A$1:$A$4=入户维修!$F268)+($A$1:$A$4=入户维修!$G268)+$BN$1:$BN$4&gt;0)))</f>
        <v>3</v>
      </c>
      <c r="W268" s="0" t="n">
        <f aca="false">IF(OR($A$5=入户维修!$F268,$A$5=入户维修!$G268,$BN$5=1),0,5-SUMPRODUCT(--(($A$1:$A$5=入户维修!$F268)+($A$1:$A$5=入户维修!$G268)+$BN$1:$BN$5&gt;0)))</f>
        <v>4</v>
      </c>
      <c r="Y268" s="0" t="str">
        <f aca="false">IFERROR(INDEX($A$1:$A$5,MATCH(1,$S268:$W268,0)),IF(1=MAX($S268:$W268)+1,"取消",""))</f>
        <v>李师傅</v>
      </c>
      <c r="Z268" s="0" t="str">
        <f aca="false">IFERROR(INDEX($A$1:$A$5,MATCH(2,$S268:$W268,0)),IF(2=MAX($S268:$W268)+1,"取消",""))</f>
        <v>王师傅</v>
      </c>
      <c r="AA268" s="0" t="str">
        <f aca="false">IFERROR(INDEX($A$1:$A$5,MATCH(3,$S268:$W268,0)),IF(3=MAX($S268:$W268)+1,"取消",""))</f>
        <v>陈师傅</v>
      </c>
      <c r="AB268" s="0" t="str">
        <f aca="false">IFERROR(INDEX($A$1:$A$5,MATCH(4,$S268:$W268,0)),IF(4=MAX($S268:$W268)+1,"取消",""))</f>
        <v>刘师傅</v>
      </c>
      <c r="AC268" s="0" t="str">
        <f aca="false">IFERROR(INDEX($A$1:$A$5,MATCH(5,$S268:$W268,0)),IF(5=MAX($S268:$W268)+1,"取消",""))</f>
        <v>取消</v>
      </c>
      <c r="AD268" s="0" t="str">
        <f aca="false">IFERROR(INDEX($A$1:$A$5,MATCH(6,$S268:$W268,0)),IF(6=MAX($S268:$W268)+1,"取消",""))</f>
        <v/>
      </c>
      <c r="AF268" s="0" t="n">
        <f aca="false">IF(OR($A$1=公区维修!$F268,$BN$1=1),0,1-SUMPRODUCT(--(($A$1=公区维修!$F268)+$BN$1&gt;0)))</f>
        <v>0</v>
      </c>
      <c r="AG268" s="0" t="n">
        <f aca="false">IF(OR($A$2=公区维修!$F268,$BN$2=1),0,2-SUMPRODUCT(--(($A$1:$A$2=公区维修!$F268)+$BN$1:$BN$2&gt;0)))</f>
        <v>1</v>
      </c>
      <c r="AH268" s="0" t="n">
        <f aca="false">IF(OR($A$3=公区维修!$F268,$BN$3=1),0,3-SUMPRODUCT(--(($A$1:$A$3=公区维修!$F268)+$BN$1:$BN$3&gt;0)))</f>
        <v>2</v>
      </c>
      <c r="AI268" s="0" t="n">
        <f aca="false">IF(OR($A$4=公区维修!$F268,$BN$4=1),0,4-SUMPRODUCT(--(($A$1:$A$4=公区维修!$F268)+$BN$1:$BN$4&gt;0)))</f>
        <v>3</v>
      </c>
      <c r="AJ268" s="0" t="n">
        <f aca="false">IF(OR($A$5=公区维修!$F268,$BN$5=1),0,5-SUMPRODUCT(--(($A$1:$A$5=公区维修!$F268)+$BN$1:$BN$5&gt;0)))</f>
        <v>4</v>
      </c>
      <c r="AL268" s="0" t="str">
        <f aca="false">IFERROR(INDEX($A$1:$A$5,MATCH(1,$AF268:$AJ268,0)),IF(1=MAX($AF268:$AJ268)+1,"取消",""))</f>
        <v>李师傅</v>
      </c>
      <c r="AM268" s="0" t="str">
        <f aca="false">IFERROR(INDEX($A$1:$A$5,MATCH(2,$AF268:$AJ268,0)),IF(2=MAX($AF268:$AJ268)+1,"取消",""))</f>
        <v>王师傅</v>
      </c>
      <c r="AN268" s="0" t="str">
        <f aca="false">IFERROR(INDEX($A$1:$A$5,MATCH(3,$AF268:$AJ268,0)),IF(3=MAX($AF268:$AJ268)+1,"取消",""))</f>
        <v>陈师傅</v>
      </c>
      <c r="AO268" s="0" t="str">
        <f aca="false">IFERROR(INDEX($A$1:$A$5,MATCH(4,$AF268:$AJ268,0)),IF(4=MAX($AF268:$AJ268)+1,"取消",""))</f>
        <v>刘师傅</v>
      </c>
      <c r="AP268" s="0" t="str">
        <f aca="false">IFERROR(INDEX($A$1:$A$5,MATCH(5,$AF268:$AJ268,0)),IF(5=MAX($AF268:$AJ268)+1,"取消",""))</f>
        <v>取消</v>
      </c>
      <c r="AQ268" s="0" t="str">
        <f aca="false">IFERROR(INDEX($A$1:$A$5,MATCH(6,$AF268:$AJ268,0)),IF(6=MAX($AF268:$AJ268)+1,"取消",""))</f>
        <v/>
      </c>
      <c r="AS268" s="0" t="n">
        <f aca="false">IF(OR($A$1=公区维修!$F268,$A$1=公区维修!$G268,$BN$1=1),0,1-SUMPRODUCT(--(($A$1=公区维修!$F268)+($A$1=公区维修!$G268)+$BN$1&gt;0)))</f>
        <v>0</v>
      </c>
      <c r="AT268" s="0" t="n">
        <f aca="false">IF(OR($A$2=公区维修!$F268,$A$2=公区维修!$G268,$BN$2=1),0,2-SUMPRODUCT(--(($A$1:$A$2=公区维修!$F268)+($A$1:$A$2=公区维修!$G268)+$BN$1:$BN$2&gt;0)))</f>
        <v>1</v>
      </c>
      <c r="AU268" s="0" t="n">
        <f aca="false">IF(OR($A$3=公区维修!$F268,$A$3=公区维修!$G268,$BN$3=1),0,3-SUMPRODUCT(--(($A$1:$A$3=公区维修!$F268)+($A$1:$A$3=公区维修!$G268)+$BN$1:$BN$3&gt;0)))</f>
        <v>2</v>
      </c>
      <c r="AV268" s="0" t="n">
        <f aca="false">IF(OR($A$4=公区维修!$F268,$A$4=公区维修!$G268,$BN$4=1),0,4-SUMPRODUCT(--(($A$1:$A$4=公区维修!$F268)+($A$1:$A$4=公区维修!$G268)+$BN$1:$BN$4&gt;0)))</f>
        <v>3</v>
      </c>
      <c r="AW268" s="0" t="n">
        <f aca="false">IF(OR($A$5=公区维修!$F268,$A$5=公区维修!$G268,$BN$5=1),0,5-SUMPRODUCT(--(($A$1:$A$5=公区维修!$F268)+($A$1:$A$5=公区维修!$G268)+$BN$1:$BN$5&gt;0)))</f>
        <v>4</v>
      </c>
      <c r="AY268" s="0" t="str">
        <f aca="false">IFERROR(INDEX($A$1:$A$5,MATCH(1,$AS268:$AW268,0)),IF(1=MAX($AS268:$AW268)+1,"取消",""))</f>
        <v>李师傅</v>
      </c>
      <c r="AZ268" s="0" t="str">
        <f aca="false">IFERROR(INDEX($A$1:$A$5,MATCH(2,$AS268:$AW268,0)),IF(2=MAX($AS268:$AW268)+1,"取消",""))</f>
        <v>王师傅</v>
      </c>
      <c r="BA268" s="0" t="str">
        <f aca="false">IFERROR(INDEX($A$1:$A$5,MATCH(3,$AS268:$AW268,0)),IF(3=MAX($AS268:$AW268)+1,"取消",""))</f>
        <v>陈师傅</v>
      </c>
      <c r="BB268" s="0" t="str">
        <f aca="false">IFERROR(INDEX($A$1:$A$5,MATCH(4,$AS268:$AW268,0)),IF(4=MAX($AS268:$AW268)+1,"取消",""))</f>
        <v>刘师傅</v>
      </c>
      <c r="BC268" s="0" t="str">
        <f aca="false">IFERROR(INDEX($A$1:$A$5,MATCH(5,$AS268:$AW268,0)),IF(5=MAX($AS268:$AW268)+1,"取消",""))</f>
        <v>取消</v>
      </c>
      <c r="BD268" s="0" t="str">
        <f aca="false">IFERROR(INDEX($A$1:$A$5,MATCH(6,$AS268:$AW268,0)),IF(6=MAX($AS268:$AW268)+1,"取消",""))</f>
        <v/>
      </c>
      <c r="FW268" s="0" t="str">
        <f aca="false">IF(AND(单元查询!$D$3&lt;&gt;"",IF(单元查询!$B$3="公区维修",公区维修!$E268&lt;&gt;"",入户维修!$E268&lt;&gt;""),IF(单元查询!$B$3="公区维修",公区维修!$C268,入户维修!$C268)=单元查询!$D$3,OR(单元查询!$F$3="",IF(单元查询!$B$3="公区维修",公区维修!$D268,入户维修!$D268)&amp;""=(单元查询!$F$3)&amp;"")),MAX($FW$4:$FW267)+1,"")</f>
        <v/>
      </c>
    </row>
    <row r="269" customFormat="false" ht="15" hidden="false" customHeight="true" outlineLevel="0" collapsed="false">
      <c r="F269" s="0" t="n">
        <f aca="false">IF(OR($A$1=入户维修!$F269,$BN$1=1),0,1-SUMPRODUCT(--(($A$1=入户维修!$F269)+$BN$1&gt;0)))</f>
        <v>0</v>
      </c>
      <c r="G269" s="0" t="n">
        <f aca="false">IF(OR($A$2=入户维修!$F269,$BN$2=1),0,2-SUMPRODUCT(--(($A$1:$A$2=入户维修!$F269)+$BN$1:$BN$2&gt;0)))</f>
        <v>1</v>
      </c>
      <c r="H269" s="0" t="n">
        <f aca="false">IF(OR($A$3=入户维修!$F269,$BN$3=1),0,3-SUMPRODUCT(--(($A$1:$A$3=入户维修!$F269)+$BN$1:$BN$3&gt;0)))</f>
        <v>2</v>
      </c>
      <c r="I269" s="0" t="n">
        <f aca="false">IF(OR($A$4=入户维修!$F269,$BN$4=1),0,4-SUMPRODUCT(--(($A$1:$A$4=入户维修!$F269)+$BN$1:$BN$4&gt;0)))</f>
        <v>3</v>
      </c>
      <c r="J269" s="0" t="n">
        <f aca="false">IF(OR($A$5=入户维修!$F269,$BN$5=1),0,5-SUMPRODUCT(--(($A$1:$A$5=入户维修!$F269)+$BN$1:$BN$5&gt;0)))</f>
        <v>4</v>
      </c>
      <c r="L269" s="0" t="str">
        <f aca="false">IFERROR(INDEX($A$1:$A$5,MATCH(1,$F269:$J269,0)),IF(1=MAX($F269:$J269)+1,"取消",""))</f>
        <v>李师傅</v>
      </c>
      <c r="M269" s="0" t="str">
        <f aca="false">IFERROR(INDEX($A$1:$A$5,MATCH(2,$F269:$J269,0)),IF(2=MAX($F269:$J269)+1,"取消",""))</f>
        <v>王师傅</v>
      </c>
      <c r="N269" s="0" t="str">
        <f aca="false">IFERROR(INDEX($A$1:$A$5,MATCH(3,$F269:$J269,0)),IF(3=MAX($F269:$J269)+1,"取消",""))</f>
        <v>陈师傅</v>
      </c>
      <c r="O269" s="0" t="str">
        <f aca="false">IFERROR(INDEX($A$1:$A$5,MATCH(4,$F269:$J269,0)),IF(4=MAX($F269:$J269)+1,"取消",""))</f>
        <v>刘师傅</v>
      </c>
      <c r="P269" s="0" t="str">
        <f aca="false">IFERROR(INDEX($A$1:$A$5,MATCH(5,$F269:$J269,0)),IF(5=MAX($F269:$J269)+1,"取消",""))</f>
        <v>取消</v>
      </c>
      <c r="Q269" s="0" t="str">
        <f aca="false">IFERROR(INDEX($A$1:$A$5,MATCH(6,$F269:$J269,0)),IF(6=MAX($F269:$J269)+1,"取消",""))</f>
        <v/>
      </c>
      <c r="S269" s="0" t="n">
        <f aca="false">IF(OR($A$1=入户维修!$F269,$A$1=入户维修!$G269,$BN$1=1),0,1-SUMPRODUCT(--(($A$1=入户维修!$F269)+($A$1=入户维修!$G269)+$BN$1&gt;0)))</f>
        <v>0</v>
      </c>
      <c r="T269" s="0" t="n">
        <f aca="false">IF(OR($A$2=入户维修!$F269,$A$2=入户维修!$G269,$BN$2=1),0,2-SUMPRODUCT(--(($A$1:$A$2=入户维修!$F269)+($A$1:$A$2=入户维修!$G269)+$BN$1:$BN$2&gt;0)))</f>
        <v>1</v>
      </c>
      <c r="U269" s="0" t="n">
        <f aca="false">IF(OR($A$3=入户维修!$F269,$A$3=入户维修!$G269,$BN$3=1),0,3-SUMPRODUCT(--(($A$1:$A$3=入户维修!$F269)+($A$1:$A$3=入户维修!$G269)+$BN$1:$BN$3&gt;0)))</f>
        <v>2</v>
      </c>
      <c r="V269" s="0" t="n">
        <f aca="false">IF(OR($A$4=入户维修!$F269,$A$4=入户维修!$G269,$BN$4=1),0,4-SUMPRODUCT(--(($A$1:$A$4=入户维修!$F269)+($A$1:$A$4=入户维修!$G269)+$BN$1:$BN$4&gt;0)))</f>
        <v>3</v>
      </c>
      <c r="W269" s="0" t="n">
        <f aca="false">IF(OR($A$5=入户维修!$F269,$A$5=入户维修!$G269,$BN$5=1),0,5-SUMPRODUCT(--(($A$1:$A$5=入户维修!$F269)+($A$1:$A$5=入户维修!$G269)+$BN$1:$BN$5&gt;0)))</f>
        <v>4</v>
      </c>
      <c r="Y269" s="0" t="str">
        <f aca="false">IFERROR(INDEX($A$1:$A$5,MATCH(1,$S269:$W269,0)),IF(1=MAX($S269:$W269)+1,"取消",""))</f>
        <v>李师傅</v>
      </c>
      <c r="Z269" s="0" t="str">
        <f aca="false">IFERROR(INDEX($A$1:$A$5,MATCH(2,$S269:$W269,0)),IF(2=MAX($S269:$W269)+1,"取消",""))</f>
        <v>王师傅</v>
      </c>
      <c r="AA269" s="0" t="str">
        <f aca="false">IFERROR(INDEX($A$1:$A$5,MATCH(3,$S269:$W269,0)),IF(3=MAX($S269:$W269)+1,"取消",""))</f>
        <v>陈师傅</v>
      </c>
      <c r="AB269" s="0" t="str">
        <f aca="false">IFERROR(INDEX($A$1:$A$5,MATCH(4,$S269:$W269,0)),IF(4=MAX($S269:$W269)+1,"取消",""))</f>
        <v>刘师傅</v>
      </c>
      <c r="AC269" s="0" t="str">
        <f aca="false">IFERROR(INDEX($A$1:$A$5,MATCH(5,$S269:$W269,0)),IF(5=MAX($S269:$W269)+1,"取消",""))</f>
        <v>取消</v>
      </c>
      <c r="AD269" s="0" t="str">
        <f aca="false">IFERROR(INDEX($A$1:$A$5,MATCH(6,$S269:$W269,0)),IF(6=MAX($S269:$W269)+1,"取消",""))</f>
        <v/>
      </c>
      <c r="AF269" s="0" t="n">
        <f aca="false">IF(OR($A$1=公区维修!$F269,$BN$1=1),0,1-SUMPRODUCT(--(($A$1=公区维修!$F269)+$BN$1&gt;0)))</f>
        <v>0</v>
      </c>
      <c r="AG269" s="0" t="n">
        <f aca="false">IF(OR($A$2=公区维修!$F269,$BN$2=1),0,2-SUMPRODUCT(--(($A$1:$A$2=公区维修!$F269)+$BN$1:$BN$2&gt;0)))</f>
        <v>1</v>
      </c>
      <c r="AH269" s="0" t="n">
        <f aca="false">IF(OR($A$3=公区维修!$F269,$BN$3=1),0,3-SUMPRODUCT(--(($A$1:$A$3=公区维修!$F269)+$BN$1:$BN$3&gt;0)))</f>
        <v>2</v>
      </c>
      <c r="AI269" s="0" t="n">
        <f aca="false">IF(OR($A$4=公区维修!$F269,$BN$4=1),0,4-SUMPRODUCT(--(($A$1:$A$4=公区维修!$F269)+$BN$1:$BN$4&gt;0)))</f>
        <v>3</v>
      </c>
      <c r="AJ269" s="0" t="n">
        <f aca="false">IF(OR($A$5=公区维修!$F269,$BN$5=1),0,5-SUMPRODUCT(--(($A$1:$A$5=公区维修!$F269)+$BN$1:$BN$5&gt;0)))</f>
        <v>4</v>
      </c>
      <c r="AL269" s="0" t="str">
        <f aca="false">IFERROR(INDEX($A$1:$A$5,MATCH(1,$AF269:$AJ269,0)),IF(1=MAX($AF269:$AJ269)+1,"取消",""))</f>
        <v>李师傅</v>
      </c>
      <c r="AM269" s="0" t="str">
        <f aca="false">IFERROR(INDEX($A$1:$A$5,MATCH(2,$AF269:$AJ269,0)),IF(2=MAX($AF269:$AJ269)+1,"取消",""))</f>
        <v>王师傅</v>
      </c>
      <c r="AN269" s="0" t="str">
        <f aca="false">IFERROR(INDEX($A$1:$A$5,MATCH(3,$AF269:$AJ269,0)),IF(3=MAX($AF269:$AJ269)+1,"取消",""))</f>
        <v>陈师傅</v>
      </c>
      <c r="AO269" s="0" t="str">
        <f aca="false">IFERROR(INDEX($A$1:$A$5,MATCH(4,$AF269:$AJ269,0)),IF(4=MAX($AF269:$AJ269)+1,"取消",""))</f>
        <v>刘师傅</v>
      </c>
      <c r="AP269" s="0" t="str">
        <f aca="false">IFERROR(INDEX($A$1:$A$5,MATCH(5,$AF269:$AJ269,0)),IF(5=MAX($AF269:$AJ269)+1,"取消",""))</f>
        <v>取消</v>
      </c>
      <c r="AQ269" s="0" t="str">
        <f aca="false">IFERROR(INDEX($A$1:$A$5,MATCH(6,$AF269:$AJ269,0)),IF(6=MAX($AF269:$AJ269)+1,"取消",""))</f>
        <v/>
      </c>
      <c r="AS269" s="0" t="n">
        <f aca="false">IF(OR($A$1=公区维修!$F269,$A$1=公区维修!$G269,$BN$1=1),0,1-SUMPRODUCT(--(($A$1=公区维修!$F269)+($A$1=公区维修!$G269)+$BN$1&gt;0)))</f>
        <v>0</v>
      </c>
      <c r="AT269" s="0" t="n">
        <f aca="false">IF(OR($A$2=公区维修!$F269,$A$2=公区维修!$G269,$BN$2=1),0,2-SUMPRODUCT(--(($A$1:$A$2=公区维修!$F269)+($A$1:$A$2=公区维修!$G269)+$BN$1:$BN$2&gt;0)))</f>
        <v>1</v>
      </c>
      <c r="AU269" s="0" t="n">
        <f aca="false">IF(OR($A$3=公区维修!$F269,$A$3=公区维修!$G269,$BN$3=1),0,3-SUMPRODUCT(--(($A$1:$A$3=公区维修!$F269)+($A$1:$A$3=公区维修!$G269)+$BN$1:$BN$3&gt;0)))</f>
        <v>2</v>
      </c>
      <c r="AV269" s="0" t="n">
        <f aca="false">IF(OR($A$4=公区维修!$F269,$A$4=公区维修!$G269,$BN$4=1),0,4-SUMPRODUCT(--(($A$1:$A$4=公区维修!$F269)+($A$1:$A$4=公区维修!$G269)+$BN$1:$BN$4&gt;0)))</f>
        <v>3</v>
      </c>
      <c r="AW269" s="0" t="n">
        <f aca="false">IF(OR($A$5=公区维修!$F269,$A$5=公区维修!$G269,$BN$5=1),0,5-SUMPRODUCT(--(($A$1:$A$5=公区维修!$F269)+($A$1:$A$5=公区维修!$G269)+$BN$1:$BN$5&gt;0)))</f>
        <v>4</v>
      </c>
      <c r="AY269" s="0" t="str">
        <f aca="false">IFERROR(INDEX($A$1:$A$5,MATCH(1,$AS269:$AW269,0)),IF(1=MAX($AS269:$AW269)+1,"取消",""))</f>
        <v>李师傅</v>
      </c>
      <c r="AZ269" s="0" t="str">
        <f aca="false">IFERROR(INDEX($A$1:$A$5,MATCH(2,$AS269:$AW269,0)),IF(2=MAX($AS269:$AW269)+1,"取消",""))</f>
        <v>王师傅</v>
      </c>
      <c r="BA269" s="0" t="str">
        <f aca="false">IFERROR(INDEX($A$1:$A$5,MATCH(3,$AS269:$AW269,0)),IF(3=MAX($AS269:$AW269)+1,"取消",""))</f>
        <v>陈师傅</v>
      </c>
      <c r="BB269" s="0" t="str">
        <f aca="false">IFERROR(INDEX($A$1:$A$5,MATCH(4,$AS269:$AW269,0)),IF(4=MAX($AS269:$AW269)+1,"取消",""))</f>
        <v>刘师傅</v>
      </c>
      <c r="BC269" s="0" t="str">
        <f aca="false">IFERROR(INDEX($A$1:$A$5,MATCH(5,$AS269:$AW269,0)),IF(5=MAX($AS269:$AW269)+1,"取消",""))</f>
        <v>取消</v>
      </c>
      <c r="BD269" s="0" t="str">
        <f aca="false">IFERROR(INDEX($A$1:$A$5,MATCH(6,$AS269:$AW269,0)),IF(6=MAX($AS269:$AW269)+1,"取消",""))</f>
        <v/>
      </c>
      <c r="FW269" s="0" t="str">
        <f aca="false">IF(AND(单元查询!$D$3&lt;&gt;"",IF(单元查询!$B$3="公区维修",公区维修!$E269&lt;&gt;"",入户维修!$E269&lt;&gt;""),IF(单元查询!$B$3="公区维修",公区维修!$C269,入户维修!$C269)=单元查询!$D$3,OR(单元查询!$F$3="",IF(单元查询!$B$3="公区维修",公区维修!$D269,入户维修!$D269)&amp;""=(单元查询!$F$3)&amp;"")),MAX($FW$4:$FW268)+1,"")</f>
        <v/>
      </c>
    </row>
    <row r="270" customFormat="false" ht="15" hidden="false" customHeight="true" outlineLevel="0" collapsed="false">
      <c r="F270" s="0" t="n">
        <f aca="false">IF(OR($A$1=入户维修!$F270,$BN$1=1),0,1-SUMPRODUCT(--(($A$1=入户维修!$F270)+$BN$1&gt;0)))</f>
        <v>0</v>
      </c>
      <c r="G270" s="0" t="n">
        <f aca="false">IF(OR($A$2=入户维修!$F270,$BN$2=1),0,2-SUMPRODUCT(--(($A$1:$A$2=入户维修!$F270)+$BN$1:$BN$2&gt;0)))</f>
        <v>1</v>
      </c>
      <c r="H270" s="0" t="n">
        <f aca="false">IF(OR($A$3=入户维修!$F270,$BN$3=1),0,3-SUMPRODUCT(--(($A$1:$A$3=入户维修!$F270)+$BN$1:$BN$3&gt;0)))</f>
        <v>2</v>
      </c>
      <c r="I270" s="0" t="n">
        <f aca="false">IF(OR($A$4=入户维修!$F270,$BN$4=1),0,4-SUMPRODUCT(--(($A$1:$A$4=入户维修!$F270)+$BN$1:$BN$4&gt;0)))</f>
        <v>3</v>
      </c>
      <c r="J270" s="0" t="n">
        <f aca="false">IF(OR($A$5=入户维修!$F270,$BN$5=1),0,5-SUMPRODUCT(--(($A$1:$A$5=入户维修!$F270)+$BN$1:$BN$5&gt;0)))</f>
        <v>4</v>
      </c>
      <c r="L270" s="0" t="str">
        <f aca="false">IFERROR(INDEX($A$1:$A$5,MATCH(1,$F270:$J270,0)),IF(1=MAX($F270:$J270)+1,"取消",""))</f>
        <v>李师傅</v>
      </c>
      <c r="M270" s="0" t="str">
        <f aca="false">IFERROR(INDEX($A$1:$A$5,MATCH(2,$F270:$J270,0)),IF(2=MAX($F270:$J270)+1,"取消",""))</f>
        <v>王师傅</v>
      </c>
      <c r="N270" s="0" t="str">
        <f aca="false">IFERROR(INDEX($A$1:$A$5,MATCH(3,$F270:$J270,0)),IF(3=MAX($F270:$J270)+1,"取消",""))</f>
        <v>陈师傅</v>
      </c>
      <c r="O270" s="0" t="str">
        <f aca="false">IFERROR(INDEX($A$1:$A$5,MATCH(4,$F270:$J270,0)),IF(4=MAX($F270:$J270)+1,"取消",""))</f>
        <v>刘师傅</v>
      </c>
      <c r="P270" s="0" t="str">
        <f aca="false">IFERROR(INDEX($A$1:$A$5,MATCH(5,$F270:$J270,0)),IF(5=MAX($F270:$J270)+1,"取消",""))</f>
        <v>取消</v>
      </c>
      <c r="Q270" s="0" t="str">
        <f aca="false">IFERROR(INDEX($A$1:$A$5,MATCH(6,$F270:$J270,0)),IF(6=MAX($F270:$J270)+1,"取消",""))</f>
        <v/>
      </c>
      <c r="S270" s="0" t="n">
        <f aca="false">IF(OR($A$1=入户维修!$F270,$A$1=入户维修!$G270,$BN$1=1),0,1-SUMPRODUCT(--(($A$1=入户维修!$F270)+($A$1=入户维修!$G270)+$BN$1&gt;0)))</f>
        <v>0</v>
      </c>
      <c r="T270" s="0" t="n">
        <f aca="false">IF(OR($A$2=入户维修!$F270,$A$2=入户维修!$G270,$BN$2=1),0,2-SUMPRODUCT(--(($A$1:$A$2=入户维修!$F270)+($A$1:$A$2=入户维修!$G270)+$BN$1:$BN$2&gt;0)))</f>
        <v>1</v>
      </c>
      <c r="U270" s="0" t="n">
        <f aca="false">IF(OR($A$3=入户维修!$F270,$A$3=入户维修!$G270,$BN$3=1),0,3-SUMPRODUCT(--(($A$1:$A$3=入户维修!$F270)+($A$1:$A$3=入户维修!$G270)+$BN$1:$BN$3&gt;0)))</f>
        <v>2</v>
      </c>
      <c r="V270" s="0" t="n">
        <f aca="false">IF(OR($A$4=入户维修!$F270,$A$4=入户维修!$G270,$BN$4=1),0,4-SUMPRODUCT(--(($A$1:$A$4=入户维修!$F270)+($A$1:$A$4=入户维修!$G270)+$BN$1:$BN$4&gt;0)))</f>
        <v>3</v>
      </c>
      <c r="W270" s="0" t="n">
        <f aca="false">IF(OR($A$5=入户维修!$F270,$A$5=入户维修!$G270,$BN$5=1),0,5-SUMPRODUCT(--(($A$1:$A$5=入户维修!$F270)+($A$1:$A$5=入户维修!$G270)+$BN$1:$BN$5&gt;0)))</f>
        <v>4</v>
      </c>
      <c r="Y270" s="0" t="str">
        <f aca="false">IFERROR(INDEX($A$1:$A$5,MATCH(1,$S270:$W270,0)),IF(1=MAX($S270:$W270)+1,"取消",""))</f>
        <v>李师傅</v>
      </c>
      <c r="Z270" s="0" t="str">
        <f aca="false">IFERROR(INDEX($A$1:$A$5,MATCH(2,$S270:$W270,0)),IF(2=MAX($S270:$W270)+1,"取消",""))</f>
        <v>王师傅</v>
      </c>
      <c r="AA270" s="0" t="str">
        <f aca="false">IFERROR(INDEX($A$1:$A$5,MATCH(3,$S270:$W270,0)),IF(3=MAX($S270:$W270)+1,"取消",""))</f>
        <v>陈师傅</v>
      </c>
      <c r="AB270" s="0" t="str">
        <f aca="false">IFERROR(INDEX($A$1:$A$5,MATCH(4,$S270:$W270,0)),IF(4=MAX($S270:$W270)+1,"取消",""))</f>
        <v>刘师傅</v>
      </c>
      <c r="AC270" s="0" t="str">
        <f aca="false">IFERROR(INDEX($A$1:$A$5,MATCH(5,$S270:$W270,0)),IF(5=MAX($S270:$W270)+1,"取消",""))</f>
        <v>取消</v>
      </c>
      <c r="AD270" s="0" t="str">
        <f aca="false">IFERROR(INDEX($A$1:$A$5,MATCH(6,$S270:$W270,0)),IF(6=MAX($S270:$W270)+1,"取消",""))</f>
        <v/>
      </c>
      <c r="AF270" s="0" t="n">
        <f aca="false">IF(OR($A$1=公区维修!$F270,$BN$1=1),0,1-SUMPRODUCT(--(($A$1=公区维修!$F270)+$BN$1&gt;0)))</f>
        <v>0</v>
      </c>
      <c r="AG270" s="0" t="n">
        <f aca="false">IF(OR($A$2=公区维修!$F270,$BN$2=1),0,2-SUMPRODUCT(--(($A$1:$A$2=公区维修!$F270)+$BN$1:$BN$2&gt;0)))</f>
        <v>1</v>
      </c>
      <c r="AH270" s="0" t="n">
        <f aca="false">IF(OR($A$3=公区维修!$F270,$BN$3=1),0,3-SUMPRODUCT(--(($A$1:$A$3=公区维修!$F270)+$BN$1:$BN$3&gt;0)))</f>
        <v>2</v>
      </c>
      <c r="AI270" s="0" t="n">
        <f aca="false">IF(OR($A$4=公区维修!$F270,$BN$4=1),0,4-SUMPRODUCT(--(($A$1:$A$4=公区维修!$F270)+$BN$1:$BN$4&gt;0)))</f>
        <v>3</v>
      </c>
      <c r="AJ270" s="0" t="n">
        <f aca="false">IF(OR($A$5=公区维修!$F270,$BN$5=1),0,5-SUMPRODUCT(--(($A$1:$A$5=公区维修!$F270)+$BN$1:$BN$5&gt;0)))</f>
        <v>4</v>
      </c>
      <c r="AL270" s="0" t="str">
        <f aca="false">IFERROR(INDEX($A$1:$A$5,MATCH(1,$AF270:$AJ270,0)),IF(1=MAX($AF270:$AJ270)+1,"取消",""))</f>
        <v>李师傅</v>
      </c>
      <c r="AM270" s="0" t="str">
        <f aca="false">IFERROR(INDEX($A$1:$A$5,MATCH(2,$AF270:$AJ270,0)),IF(2=MAX($AF270:$AJ270)+1,"取消",""))</f>
        <v>王师傅</v>
      </c>
      <c r="AN270" s="0" t="str">
        <f aca="false">IFERROR(INDEX($A$1:$A$5,MATCH(3,$AF270:$AJ270,0)),IF(3=MAX($AF270:$AJ270)+1,"取消",""))</f>
        <v>陈师傅</v>
      </c>
      <c r="AO270" s="0" t="str">
        <f aca="false">IFERROR(INDEX($A$1:$A$5,MATCH(4,$AF270:$AJ270,0)),IF(4=MAX($AF270:$AJ270)+1,"取消",""))</f>
        <v>刘师傅</v>
      </c>
      <c r="AP270" s="0" t="str">
        <f aca="false">IFERROR(INDEX($A$1:$A$5,MATCH(5,$AF270:$AJ270,0)),IF(5=MAX($AF270:$AJ270)+1,"取消",""))</f>
        <v>取消</v>
      </c>
      <c r="AQ270" s="0" t="str">
        <f aca="false">IFERROR(INDEX($A$1:$A$5,MATCH(6,$AF270:$AJ270,0)),IF(6=MAX($AF270:$AJ270)+1,"取消",""))</f>
        <v/>
      </c>
      <c r="AS270" s="0" t="n">
        <f aca="false">IF(OR($A$1=公区维修!$F270,$A$1=公区维修!$G270,$BN$1=1),0,1-SUMPRODUCT(--(($A$1=公区维修!$F270)+($A$1=公区维修!$G270)+$BN$1&gt;0)))</f>
        <v>0</v>
      </c>
      <c r="AT270" s="0" t="n">
        <f aca="false">IF(OR($A$2=公区维修!$F270,$A$2=公区维修!$G270,$BN$2=1),0,2-SUMPRODUCT(--(($A$1:$A$2=公区维修!$F270)+($A$1:$A$2=公区维修!$G270)+$BN$1:$BN$2&gt;0)))</f>
        <v>1</v>
      </c>
      <c r="AU270" s="0" t="n">
        <f aca="false">IF(OR($A$3=公区维修!$F270,$A$3=公区维修!$G270,$BN$3=1),0,3-SUMPRODUCT(--(($A$1:$A$3=公区维修!$F270)+($A$1:$A$3=公区维修!$G270)+$BN$1:$BN$3&gt;0)))</f>
        <v>2</v>
      </c>
      <c r="AV270" s="0" t="n">
        <f aca="false">IF(OR($A$4=公区维修!$F270,$A$4=公区维修!$G270,$BN$4=1),0,4-SUMPRODUCT(--(($A$1:$A$4=公区维修!$F270)+($A$1:$A$4=公区维修!$G270)+$BN$1:$BN$4&gt;0)))</f>
        <v>3</v>
      </c>
      <c r="AW270" s="0" t="n">
        <f aca="false">IF(OR($A$5=公区维修!$F270,$A$5=公区维修!$G270,$BN$5=1),0,5-SUMPRODUCT(--(($A$1:$A$5=公区维修!$F270)+($A$1:$A$5=公区维修!$G270)+$BN$1:$BN$5&gt;0)))</f>
        <v>4</v>
      </c>
      <c r="AY270" s="0" t="str">
        <f aca="false">IFERROR(INDEX($A$1:$A$5,MATCH(1,$AS270:$AW270,0)),IF(1=MAX($AS270:$AW270)+1,"取消",""))</f>
        <v>李师傅</v>
      </c>
      <c r="AZ270" s="0" t="str">
        <f aca="false">IFERROR(INDEX($A$1:$A$5,MATCH(2,$AS270:$AW270,0)),IF(2=MAX($AS270:$AW270)+1,"取消",""))</f>
        <v>王师傅</v>
      </c>
      <c r="BA270" s="0" t="str">
        <f aca="false">IFERROR(INDEX($A$1:$A$5,MATCH(3,$AS270:$AW270,0)),IF(3=MAX($AS270:$AW270)+1,"取消",""))</f>
        <v>陈师傅</v>
      </c>
      <c r="BB270" s="0" t="str">
        <f aca="false">IFERROR(INDEX($A$1:$A$5,MATCH(4,$AS270:$AW270,0)),IF(4=MAX($AS270:$AW270)+1,"取消",""))</f>
        <v>刘师傅</v>
      </c>
      <c r="BC270" s="0" t="str">
        <f aca="false">IFERROR(INDEX($A$1:$A$5,MATCH(5,$AS270:$AW270,0)),IF(5=MAX($AS270:$AW270)+1,"取消",""))</f>
        <v>取消</v>
      </c>
      <c r="BD270" s="0" t="str">
        <f aca="false">IFERROR(INDEX($A$1:$A$5,MATCH(6,$AS270:$AW270,0)),IF(6=MAX($AS270:$AW270)+1,"取消",""))</f>
        <v/>
      </c>
      <c r="FW270" s="0" t="str">
        <f aca="false">IF(AND(单元查询!$D$3&lt;&gt;"",IF(单元查询!$B$3="公区维修",公区维修!$E270&lt;&gt;"",入户维修!$E270&lt;&gt;""),IF(单元查询!$B$3="公区维修",公区维修!$C270,入户维修!$C270)=单元查询!$D$3,OR(单元查询!$F$3="",IF(单元查询!$B$3="公区维修",公区维修!$D270,入户维修!$D270)&amp;""=(单元查询!$F$3)&amp;"")),MAX($FW$4:$FW269)+1,"")</f>
        <v/>
      </c>
    </row>
    <row r="271" customFormat="false" ht="15" hidden="false" customHeight="true" outlineLevel="0" collapsed="false">
      <c r="F271" s="0" t="n">
        <f aca="false">IF(OR($A$1=入户维修!$F271,$BN$1=1),0,1-SUMPRODUCT(--(($A$1=入户维修!$F271)+$BN$1&gt;0)))</f>
        <v>0</v>
      </c>
      <c r="G271" s="0" t="n">
        <f aca="false">IF(OR($A$2=入户维修!$F271,$BN$2=1),0,2-SUMPRODUCT(--(($A$1:$A$2=入户维修!$F271)+$BN$1:$BN$2&gt;0)))</f>
        <v>1</v>
      </c>
      <c r="H271" s="0" t="n">
        <f aca="false">IF(OR($A$3=入户维修!$F271,$BN$3=1),0,3-SUMPRODUCT(--(($A$1:$A$3=入户维修!$F271)+$BN$1:$BN$3&gt;0)))</f>
        <v>2</v>
      </c>
      <c r="I271" s="0" t="n">
        <f aca="false">IF(OR($A$4=入户维修!$F271,$BN$4=1),0,4-SUMPRODUCT(--(($A$1:$A$4=入户维修!$F271)+$BN$1:$BN$4&gt;0)))</f>
        <v>3</v>
      </c>
      <c r="J271" s="0" t="n">
        <f aca="false">IF(OR($A$5=入户维修!$F271,$BN$5=1),0,5-SUMPRODUCT(--(($A$1:$A$5=入户维修!$F271)+$BN$1:$BN$5&gt;0)))</f>
        <v>4</v>
      </c>
      <c r="L271" s="0" t="str">
        <f aca="false">IFERROR(INDEX($A$1:$A$5,MATCH(1,$F271:$J271,0)),IF(1=MAX($F271:$J271)+1,"取消",""))</f>
        <v>李师傅</v>
      </c>
      <c r="M271" s="0" t="str">
        <f aca="false">IFERROR(INDEX($A$1:$A$5,MATCH(2,$F271:$J271,0)),IF(2=MAX($F271:$J271)+1,"取消",""))</f>
        <v>王师傅</v>
      </c>
      <c r="N271" s="0" t="str">
        <f aca="false">IFERROR(INDEX($A$1:$A$5,MATCH(3,$F271:$J271,0)),IF(3=MAX($F271:$J271)+1,"取消",""))</f>
        <v>陈师傅</v>
      </c>
      <c r="O271" s="0" t="str">
        <f aca="false">IFERROR(INDEX($A$1:$A$5,MATCH(4,$F271:$J271,0)),IF(4=MAX($F271:$J271)+1,"取消",""))</f>
        <v>刘师傅</v>
      </c>
      <c r="P271" s="0" t="str">
        <f aca="false">IFERROR(INDEX($A$1:$A$5,MATCH(5,$F271:$J271,0)),IF(5=MAX($F271:$J271)+1,"取消",""))</f>
        <v>取消</v>
      </c>
      <c r="Q271" s="0" t="str">
        <f aca="false">IFERROR(INDEX($A$1:$A$5,MATCH(6,$F271:$J271,0)),IF(6=MAX($F271:$J271)+1,"取消",""))</f>
        <v/>
      </c>
      <c r="S271" s="0" t="n">
        <f aca="false">IF(OR($A$1=入户维修!$F271,$A$1=入户维修!$G271,$BN$1=1),0,1-SUMPRODUCT(--(($A$1=入户维修!$F271)+($A$1=入户维修!$G271)+$BN$1&gt;0)))</f>
        <v>0</v>
      </c>
      <c r="T271" s="0" t="n">
        <f aca="false">IF(OR($A$2=入户维修!$F271,$A$2=入户维修!$G271,$BN$2=1),0,2-SUMPRODUCT(--(($A$1:$A$2=入户维修!$F271)+($A$1:$A$2=入户维修!$G271)+$BN$1:$BN$2&gt;0)))</f>
        <v>1</v>
      </c>
      <c r="U271" s="0" t="n">
        <f aca="false">IF(OR($A$3=入户维修!$F271,$A$3=入户维修!$G271,$BN$3=1),0,3-SUMPRODUCT(--(($A$1:$A$3=入户维修!$F271)+($A$1:$A$3=入户维修!$G271)+$BN$1:$BN$3&gt;0)))</f>
        <v>2</v>
      </c>
      <c r="V271" s="0" t="n">
        <f aca="false">IF(OR($A$4=入户维修!$F271,$A$4=入户维修!$G271,$BN$4=1),0,4-SUMPRODUCT(--(($A$1:$A$4=入户维修!$F271)+($A$1:$A$4=入户维修!$G271)+$BN$1:$BN$4&gt;0)))</f>
        <v>3</v>
      </c>
      <c r="W271" s="0" t="n">
        <f aca="false">IF(OR($A$5=入户维修!$F271,$A$5=入户维修!$G271,$BN$5=1),0,5-SUMPRODUCT(--(($A$1:$A$5=入户维修!$F271)+($A$1:$A$5=入户维修!$G271)+$BN$1:$BN$5&gt;0)))</f>
        <v>4</v>
      </c>
      <c r="Y271" s="0" t="str">
        <f aca="false">IFERROR(INDEX($A$1:$A$5,MATCH(1,$S271:$W271,0)),IF(1=MAX($S271:$W271)+1,"取消",""))</f>
        <v>李师傅</v>
      </c>
      <c r="Z271" s="0" t="str">
        <f aca="false">IFERROR(INDEX($A$1:$A$5,MATCH(2,$S271:$W271,0)),IF(2=MAX($S271:$W271)+1,"取消",""))</f>
        <v>王师傅</v>
      </c>
      <c r="AA271" s="0" t="str">
        <f aca="false">IFERROR(INDEX($A$1:$A$5,MATCH(3,$S271:$W271,0)),IF(3=MAX($S271:$W271)+1,"取消",""))</f>
        <v>陈师傅</v>
      </c>
      <c r="AB271" s="0" t="str">
        <f aca="false">IFERROR(INDEX($A$1:$A$5,MATCH(4,$S271:$W271,0)),IF(4=MAX($S271:$W271)+1,"取消",""))</f>
        <v>刘师傅</v>
      </c>
      <c r="AC271" s="0" t="str">
        <f aca="false">IFERROR(INDEX($A$1:$A$5,MATCH(5,$S271:$W271,0)),IF(5=MAX($S271:$W271)+1,"取消",""))</f>
        <v>取消</v>
      </c>
      <c r="AD271" s="0" t="str">
        <f aca="false">IFERROR(INDEX($A$1:$A$5,MATCH(6,$S271:$W271,0)),IF(6=MAX($S271:$W271)+1,"取消",""))</f>
        <v/>
      </c>
      <c r="AF271" s="0" t="n">
        <f aca="false">IF(OR($A$1=公区维修!$F271,$BN$1=1),0,1-SUMPRODUCT(--(($A$1=公区维修!$F271)+$BN$1&gt;0)))</f>
        <v>0</v>
      </c>
      <c r="AG271" s="0" t="n">
        <f aca="false">IF(OR($A$2=公区维修!$F271,$BN$2=1),0,2-SUMPRODUCT(--(($A$1:$A$2=公区维修!$F271)+$BN$1:$BN$2&gt;0)))</f>
        <v>1</v>
      </c>
      <c r="AH271" s="0" t="n">
        <f aca="false">IF(OR($A$3=公区维修!$F271,$BN$3=1),0,3-SUMPRODUCT(--(($A$1:$A$3=公区维修!$F271)+$BN$1:$BN$3&gt;0)))</f>
        <v>2</v>
      </c>
      <c r="AI271" s="0" t="n">
        <f aca="false">IF(OR($A$4=公区维修!$F271,$BN$4=1),0,4-SUMPRODUCT(--(($A$1:$A$4=公区维修!$F271)+$BN$1:$BN$4&gt;0)))</f>
        <v>3</v>
      </c>
      <c r="AJ271" s="0" t="n">
        <f aca="false">IF(OR($A$5=公区维修!$F271,$BN$5=1),0,5-SUMPRODUCT(--(($A$1:$A$5=公区维修!$F271)+$BN$1:$BN$5&gt;0)))</f>
        <v>4</v>
      </c>
      <c r="AL271" s="0" t="str">
        <f aca="false">IFERROR(INDEX($A$1:$A$5,MATCH(1,$AF271:$AJ271,0)),IF(1=MAX($AF271:$AJ271)+1,"取消",""))</f>
        <v>李师傅</v>
      </c>
      <c r="AM271" s="0" t="str">
        <f aca="false">IFERROR(INDEX($A$1:$A$5,MATCH(2,$AF271:$AJ271,0)),IF(2=MAX($AF271:$AJ271)+1,"取消",""))</f>
        <v>王师傅</v>
      </c>
      <c r="AN271" s="0" t="str">
        <f aca="false">IFERROR(INDEX($A$1:$A$5,MATCH(3,$AF271:$AJ271,0)),IF(3=MAX($AF271:$AJ271)+1,"取消",""))</f>
        <v>陈师傅</v>
      </c>
      <c r="AO271" s="0" t="str">
        <f aca="false">IFERROR(INDEX($A$1:$A$5,MATCH(4,$AF271:$AJ271,0)),IF(4=MAX($AF271:$AJ271)+1,"取消",""))</f>
        <v>刘师傅</v>
      </c>
      <c r="AP271" s="0" t="str">
        <f aca="false">IFERROR(INDEX($A$1:$A$5,MATCH(5,$AF271:$AJ271,0)),IF(5=MAX($AF271:$AJ271)+1,"取消",""))</f>
        <v>取消</v>
      </c>
      <c r="AQ271" s="0" t="str">
        <f aca="false">IFERROR(INDEX($A$1:$A$5,MATCH(6,$AF271:$AJ271,0)),IF(6=MAX($AF271:$AJ271)+1,"取消",""))</f>
        <v/>
      </c>
      <c r="AS271" s="0" t="n">
        <f aca="false">IF(OR($A$1=公区维修!$F271,$A$1=公区维修!$G271,$BN$1=1),0,1-SUMPRODUCT(--(($A$1=公区维修!$F271)+($A$1=公区维修!$G271)+$BN$1&gt;0)))</f>
        <v>0</v>
      </c>
      <c r="AT271" s="0" t="n">
        <f aca="false">IF(OR($A$2=公区维修!$F271,$A$2=公区维修!$G271,$BN$2=1),0,2-SUMPRODUCT(--(($A$1:$A$2=公区维修!$F271)+($A$1:$A$2=公区维修!$G271)+$BN$1:$BN$2&gt;0)))</f>
        <v>1</v>
      </c>
      <c r="AU271" s="0" t="n">
        <f aca="false">IF(OR($A$3=公区维修!$F271,$A$3=公区维修!$G271,$BN$3=1),0,3-SUMPRODUCT(--(($A$1:$A$3=公区维修!$F271)+($A$1:$A$3=公区维修!$G271)+$BN$1:$BN$3&gt;0)))</f>
        <v>2</v>
      </c>
      <c r="AV271" s="0" t="n">
        <f aca="false">IF(OR($A$4=公区维修!$F271,$A$4=公区维修!$G271,$BN$4=1),0,4-SUMPRODUCT(--(($A$1:$A$4=公区维修!$F271)+($A$1:$A$4=公区维修!$G271)+$BN$1:$BN$4&gt;0)))</f>
        <v>3</v>
      </c>
      <c r="AW271" s="0" t="n">
        <f aca="false">IF(OR($A$5=公区维修!$F271,$A$5=公区维修!$G271,$BN$5=1),0,5-SUMPRODUCT(--(($A$1:$A$5=公区维修!$F271)+($A$1:$A$5=公区维修!$G271)+$BN$1:$BN$5&gt;0)))</f>
        <v>4</v>
      </c>
      <c r="AY271" s="0" t="str">
        <f aca="false">IFERROR(INDEX($A$1:$A$5,MATCH(1,$AS271:$AW271,0)),IF(1=MAX($AS271:$AW271)+1,"取消",""))</f>
        <v>李师傅</v>
      </c>
      <c r="AZ271" s="0" t="str">
        <f aca="false">IFERROR(INDEX($A$1:$A$5,MATCH(2,$AS271:$AW271,0)),IF(2=MAX($AS271:$AW271)+1,"取消",""))</f>
        <v>王师傅</v>
      </c>
      <c r="BA271" s="0" t="str">
        <f aca="false">IFERROR(INDEX($A$1:$A$5,MATCH(3,$AS271:$AW271,0)),IF(3=MAX($AS271:$AW271)+1,"取消",""))</f>
        <v>陈师傅</v>
      </c>
      <c r="BB271" s="0" t="str">
        <f aca="false">IFERROR(INDEX($A$1:$A$5,MATCH(4,$AS271:$AW271,0)),IF(4=MAX($AS271:$AW271)+1,"取消",""))</f>
        <v>刘师傅</v>
      </c>
      <c r="BC271" s="0" t="str">
        <f aca="false">IFERROR(INDEX($A$1:$A$5,MATCH(5,$AS271:$AW271,0)),IF(5=MAX($AS271:$AW271)+1,"取消",""))</f>
        <v>取消</v>
      </c>
      <c r="BD271" s="0" t="str">
        <f aca="false">IFERROR(INDEX($A$1:$A$5,MATCH(6,$AS271:$AW271,0)),IF(6=MAX($AS271:$AW271)+1,"取消",""))</f>
        <v/>
      </c>
      <c r="FW271" s="0" t="str">
        <f aca="false">IF(AND(单元查询!$D$3&lt;&gt;"",IF(单元查询!$B$3="公区维修",公区维修!$E271&lt;&gt;"",入户维修!$E271&lt;&gt;""),IF(单元查询!$B$3="公区维修",公区维修!$C271,入户维修!$C271)=单元查询!$D$3,OR(单元查询!$F$3="",IF(单元查询!$B$3="公区维修",公区维修!$D271,入户维修!$D271)&amp;""=(单元查询!$F$3)&amp;"")),MAX($FW$4:$FW270)+1,"")</f>
        <v/>
      </c>
    </row>
    <row r="272" customFormat="false" ht="15" hidden="false" customHeight="true" outlineLevel="0" collapsed="false">
      <c r="F272" s="0" t="n">
        <f aca="false">IF(OR($A$1=入户维修!$F272,$BN$1=1),0,1-SUMPRODUCT(--(($A$1=入户维修!$F272)+$BN$1&gt;0)))</f>
        <v>0</v>
      </c>
      <c r="G272" s="0" t="n">
        <f aca="false">IF(OR($A$2=入户维修!$F272,$BN$2=1),0,2-SUMPRODUCT(--(($A$1:$A$2=入户维修!$F272)+$BN$1:$BN$2&gt;0)))</f>
        <v>1</v>
      </c>
      <c r="H272" s="0" t="n">
        <f aca="false">IF(OR($A$3=入户维修!$F272,$BN$3=1),0,3-SUMPRODUCT(--(($A$1:$A$3=入户维修!$F272)+$BN$1:$BN$3&gt;0)))</f>
        <v>2</v>
      </c>
      <c r="I272" s="0" t="n">
        <f aca="false">IF(OR($A$4=入户维修!$F272,$BN$4=1),0,4-SUMPRODUCT(--(($A$1:$A$4=入户维修!$F272)+$BN$1:$BN$4&gt;0)))</f>
        <v>3</v>
      </c>
      <c r="J272" s="0" t="n">
        <f aca="false">IF(OR($A$5=入户维修!$F272,$BN$5=1),0,5-SUMPRODUCT(--(($A$1:$A$5=入户维修!$F272)+$BN$1:$BN$5&gt;0)))</f>
        <v>4</v>
      </c>
      <c r="L272" s="0" t="str">
        <f aca="false">IFERROR(INDEX($A$1:$A$5,MATCH(1,$F272:$J272,0)),IF(1=MAX($F272:$J272)+1,"取消",""))</f>
        <v>李师傅</v>
      </c>
      <c r="M272" s="0" t="str">
        <f aca="false">IFERROR(INDEX($A$1:$A$5,MATCH(2,$F272:$J272,0)),IF(2=MAX($F272:$J272)+1,"取消",""))</f>
        <v>王师傅</v>
      </c>
      <c r="N272" s="0" t="str">
        <f aca="false">IFERROR(INDEX($A$1:$A$5,MATCH(3,$F272:$J272,0)),IF(3=MAX($F272:$J272)+1,"取消",""))</f>
        <v>陈师傅</v>
      </c>
      <c r="O272" s="0" t="str">
        <f aca="false">IFERROR(INDEX($A$1:$A$5,MATCH(4,$F272:$J272,0)),IF(4=MAX($F272:$J272)+1,"取消",""))</f>
        <v>刘师傅</v>
      </c>
      <c r="P272" s="0" t="str">
        <f aca="false">IFERROR(INDEX($A$1:$A$5,MATCH(5,$F272:$J272,0)),IF(5=MAX($F272:$J272)+1,"取消",""))</f>
        <v>取消</v>
      </c>
      <c r="Q272" s="0" t="str">
        <f aca="false">IFERROR(INDEX($A$1:$A$5,MATCH(6,$F272:$J272,0)),IF(6=MAX($F272:$J272)+1,"取消",""))</f>
        <v/>
      </c>
      <c r="S272" s="0" t="n">
        <f aca="false">IF(OR($A$1=入户维修!$F272,$A$1=入户维修!$G272,$BN$1=1),0,1-SUMPRODUCT(--(($A$1=入户维修!$F272)+($A$1=入户维修!$G272)+$BN$1&gt;0)))</f>
        <v>0</v>
      </c>
      <c r="T272" s="0" t="n">
        <f aca="false">IF(OR($A$2=入户维修!$F272,$A$2=入户维修!$G272,$BN$2=1),0,2-SUMPRODUCT(--(($A$1:$A$2=入户维修!$F272)+($A$1:$A$2=入户维修!$G272)+$BN$1:$BN$2&gt;0)))</f>
        <v>1</v>
      </c>
      <c r="U272" s="0" t="n">
        <f aca="false">IF(OR($A$3=入户维修!$F272,$A$3=入户维修!$G272,$BN$3=1),0,3-SUMPRODUCT(--(($A$1:$A$3=入户维修!$F272)+($A$1:$A$3=入户维修!$G272)+$BN$1:$BN$3&gt;0)))</f>
        <v>2</v>
      </c>
      <c r="V272" s="0" t="n">
        <f aca="false">IF(OR($A$4=入户维修!$F272,$A$4=入户维修!$G272,$BN$4=1),0,4-SUMPRODUCT(--(($A$1:$A$4=入户维修!$F272)+($A$1:$A$4=入户维修!$G272)+$BN$1:$BN$4&gt;0)))</f>
        <v>3</v>
      </c>
      <c r="W272" s="0" t="n">
        <f aca="false">IF(OR($A$5=入户维修!$F272,$A$5=入户维修!$G272,$BN$5=1),0,5-SUMPRODUCT(--(($A$1:$A$5=入户维修!$F272)+($A$1:$A$5=入户维修!$G272)+$BN$1:$BN$5&gt;0)))</f>
        <v>4</v>
      </c>
      <c r="Y272" s="0" t="str">
        <f aca="false">IFERROR(INDEX($A$1:$A$5,MATCH(1,$S272:$W272,0)),IF(1=MAX($S272:$W272)+1,"取消",""))</f>
        <v>李师傅</v>
      </c>
      <c r="Z272" s="0" t="str">
        <f aca="false">IFERROR(INDEX($A$1:$A$5,MATCH(2,$S272:$W272,0)),IF(2=MAX($S272:$W272)+1,"取消",""))</f>
        <v>王师傅</v>
      </c>
      <c r="AA272" s="0" t="str">
        <f aca="false">IFERROR(INDEX($A$1:$A$5,MATCH(3,$S272:$W272,0)),IF(3=MAX($S272:$W272)+1,"取消",""))</f>
        <v>陈师傅</v>
      </c>
      <c r="AB272" s="0" t="str">
        <f aca="false">IFERROR(INDEX($A$1:$A$5,MATCH(4,$S272:$W272,0)),IF(4=MAX($S272:$W272)+1,"取消",""))</f>
        <v>刘师傅</v>
      </c>
      <c r="AC272" s="0" t="str">
        <f aca="false">IFERROR(INDEX($A$1:$A$5,MATCH(5,$S272:$W272,0)),IF(5=MAX($S272:$W272)+1,"取消",""))</f>
        <v>取消</v>
      </c>
      <c r="AD272" s="0" t="str">
        <f aca="false">IFERROR(INDEX($A$1:$A$5,MATCH(6,$S272:$W272,0)),IF(6=MAX($S272:$W272)+1,"取消",""))</f>
        <v/>
      </c>
      <c r="AF272" s="0" t="n">
        <f aca="false">IF(OR($A$1=公区维修!$F272,$BN$1=1),0,1-SUMPRODUCT(--(($A$1=公区维修!$F272)+$BN$1&gt;0)))</f>
        <v>0</v>
      </c>
      <c r="AG272" s="0" t="n">
        <f aca="false">IF(OR($A$2=公区维修!$F272,$BN$2=1),0,2-SUMPRODUCT(--(($A$1:$A$2=公区维修!$F272)+$BN$1:$BN$2&gt;0)))</f>
        <v>1</v>
      </c>
      <c r="AH272" s="0" t="n">
        <f aca="false">IF(OR($A$3=公区维修!$F272,$BN$3=1),0,3-SUMPRODUCT(--(($A$1:$A$3=公区维修!$F272)+$BN$1:$BN$3&gt;0)))</f>
        <v>2</v>
      </c>
      <c r="AI272" s="0" t="n">
        <f aca="false">IF(OR($A$4=公区维修!$F272,$BN$4=1),0,4-SUMPRODUCT(--(($A$1:$A$4=公区维修!$F272)+$BN$1:$BN$4&gt;0)))</f>
        <v>3</v>
      </c>
      <c r="AJ272" s="0" t="n">
        <f aca="false">IF(OR($A$5=公区维修!$F272,$BN$5=1),0,5-SUMPRODUCT(--(($A$1:$A$5=公区维修!$F272)+$BN$1:$BN$5&gt;0)))</f>
        <v>4</v>
      </c>
      <c r="AL272" s="0" t="str">
        <f aca="false">IFERROR(INDEX($A$1:$A$5,MATCH(1,$AF272:$AJ272,0)),IF(1=MAX($AF272:$AJ272)+1,"取消",""))</f>
        <v>李师傅</v>
      </c>
      <c r="AM272" s="0" t="str">
        <f aca="false">IFERROR(INDEX($A$1:$A$5,MATCH(2,$AF272:$AJ272,0)),IF(2=MAX($AF272:$AJ272)+1,"取消",""))</f>
        <v>王师傅</v>
      </c>
      <c r="AN272" s="0" t="str">
        <f aca="false">IFERROR(INDEX($A$1:$A$5,MATCH(3,$AF272:$AJ272,0)),IF(3=MAX($AF272:$AJ272)+1,"取消",""))</f>
        <v>陈师傅</v>
      </c>
      <c r="AO272" s="0" t="str">
        <f aca="false">IFERROR(INDEX($A$1:$A$5,MATCH(4,$AF272:$AJ272,0)),IF(4=MAX($AF272:$AJ272)+1,"取消",""))</f>
        <v>刘师傅</v>
      </c>
      <c r="AP272" s="0" t="str">
        <f aca="false">IFERROR(INDEX($A$1:$A$5,MATCH(5,$AF272:$AJ272,0)),IF(5=MAX($AF272:$AJ272)+1,"取消",""))</f>
        <v>取消</v>
      </c>
      <c r="AQ272" s="0" t="str">
        <f aca="false">IFERROR(INDEX($A$1:$A$5,MATCH(6,$AF272:$AJ272,0)),IF(6=MAX($AF272:$AJ272)+1,"取消",""))</f>
        <v/>
      </c>
      <c r="AS272" s="0" t="n">
        <f aca="false">IF(OR($A$1=公区维修!$F272,$A$1=公区维修!$G272,$BN$1=1),0,1-SUMPRODUCT(--(($A$1=公区维修!$F272)+($A$1=公区维修!$G272)+$BN$1&gt;0)))</f>
        <v>0</v>
      </c>
      <c r="AT272" s="0" t="n">
        <f aca="false">IF(OR($A$2=公区维修!$F272,$A$2=公区维修!$G272,$BN$2=1),0,2-SUMPRODUCT(--(($A$1:$A$2=公区维修!$F272)+($A$1:$A$2=公区维修!$G272)+$BN$1:$BN$2&gt;0)))</f>
        <v>1</v>
      </c>
      <c r="AU272" s="0" t="n">
        <f aca="false">IF(OR($A$3=公区维修!$F272,$A$3=公区维修!$G272,$BN$3=1),0,3-SUMPRODUCT(--(($A$1:$A$3=公区维修!$F272)+($A$1:$A$3=公区维修!$G272)+$BN$1:$BN$3&gt;0)))</f>
        <v>2</v>
      </c>
      <c r="AV272" s="0" t="n">
        <f aca="false">IF(OR($A$4=公区维修!$F272,$A$4=公区维修!$G272,$BN$4=1),0,4-SUMPRODUCT(--(($A$1:$A$4=公区维修!$F272)+($A$1:$A$4=公区维修!$G272)+$BN$1:$BN$4&gt;0)))</f>
        <v>3</v>
      </c>
      <c r="AW272" s="0" t="n">
        <f aca="false">IF(OR($A$5=公区维修!$F272,$A$5=公区维修!$G272,$BN$5=1),0,5-SUMPRODUCT(--(($A$1:$A$5=公区维修!$F272)+($A$1:$A$5=公区维修!$G272)+$BN$1:$BN$5&gt;0)))</f>
        <v>4</v>
      </c>
      <c r="AY272" s="0" t="str">
        <f aca="false">IFERROR(INDEX($A$1:$A$5,MATCH(1,$AS272:$AW272,0)),IF(1=MAX($AS272:$AW272)+1,"取消",""))</f>
        <v>李师傅</v>
      </c>
      <c r="AZ272" s="0" t="str">
        <f aca="false">IFERROR(INDEX($A$1:$A$5,MATCH(2,$AS272:$AW272,0)),IF(2=MAX($AS272:$AW272)+1,"取消",""))</f>
        <v>王师傅</v>
      </c>
      <c r="BA272" s="0" t="str">
        <f aca="false">IFERROR(INDEX($A$1:$A$5,MATCH(3,$AS272:$AW272,0)),IF(3=MAX($AS272:$AW272)+1,"取消",""))</f>
        <v>陈师傅</v>
      </c>
      <c r="BB272" s="0" t="str">
        <f aca="false">IFERROR(INDEX($A$1:$A$5,MATCH(4,$AS272:$AW272,0)),IF(4=MAX($AS272:$AW272)+1,"取消",""))</f>
        <v>刘师傅</v>
      </c>
      <c r="BC272" s="0" t="str">
        <f aca="false">IFERROR(INDEX($A$1:$A$5,MATCH(5,$AS272:$AW272,0)),IF(5=MAX($AS272:$AW272)+1,"取消",""))</f>
        <v>取消</v>
      </c>
      <c r="BD272" s="0" t="str">
        <f aca="false">IFERROR(INDEX($A$1:$A$5,MATCH(6,$AS272:$AW272,0)),IF(6=MAX($AS272:$AW272)+1,"取消",""))</f>
        <v/>
      </c>
      <c r="FW272" s="0" t="str">
        <f aca="false">IF(AND(单元查询!$D$3&lt;&gt;"",IF(单元查询!$B$3="公区维修",公区维修!$E272&lt;&gt;"",入户维修!$E272&lt;&gt;""),IF(单元查询!$B$3="公区维修",公区维修!$C272,入户维修!$C272)=单元查询!$D$3,OR(单元查询!$F$3="",IF(单元查询!$B$3="公区维修",公区维修!$D272,入户维修!$D272)&amp;""=(单元查询!$F$3)&amp;"")),MAX($FW$4:$FW271)+1,"")</f>
        <v/>
      </c>
    </row>
    <row r="273" customFormat="false" ht="15" hidden="false" customHeight="true" outlineLevel="0" collapsed="false">
      <c r="F273" s="0" t="n">
        <f aca="false">IF(OR($A$1=入户维修!$F273,$BN$1=1),0,1-SUMPRODUCT(--(($A$1=入户维修!$F273)+$BN$1&gt;0)))</f>
        <v>0</v>
      </c>
      <c r="G273" s="0" t="n">
        <f aca="false">IF(OR($A$2=入户维修!$F273,$BN$2=1),0,2-SUMPRODUCT(--(($A$1:$A$2=入户维修!$F273)+$BN$1:$BN$2&gt;0)))</f>
        <v>1</v>
      </c>
      <c r="H273" s="0" t="n">
        <f aca="false">IF(OR($A$3=入户维修!$F273,$BN$3=1),0,3-SUMPRODUCT(--(($A$1:$A$3=入户维修!$F273)+$BN$1:$BN$3&gt;0)))</f>
        <v>2</v>
      </c>
      <c r="I273" s="0" t="n">
        <f aca="false">IF(OR($A$4=入户维修!$F273,$BN$4=1),0,4-SUMPRODUCT(--(($A$1:$A$4=入户维修!$F273)+$BN$1:$BN$4&gt;0)))</f>
        <v>3</v>
      </c>
      <c r="J273" s="0" t="n">
        <f aca="false">IF(OR($A$5=入户维修!$F273,$BN$5=1),0,5-SUMPRODUCT(--(($A$1:$A$5=入户维修!$F273)+$BN$1:$BN$5&gt;0)))</f>
        <v>4</v>
      </c>
      <c r="L273" s="0" t="str">
        <f aca="false">IFERROR(INDEX($A$1:$A$5,MATCH(1,$F273:$J273,0)),IF(1=MAX($F273:$J273)+1,"取消",""))</f>
        <v>李师傅</v>
      </c>
      <c r="M273" s="0" t="str">
        <f aca="false">IFERROR(INDEX($A$1:$A$5,MATCH(2,$F273:$J273,0)),IF(2=MAX($F273:$J273)+1,"取消",""))</f>
        <v>王师傅</v>
      </c>
      <c r="N273" s="0" t="str">
        <f aca="false">IFERROR(INDEX($A$1:$A$5,MATCH(3,$F273:$J273,0)),IF(3=MAX($F273:$J273)+1,"取消",""))</f>
        <v>陈师傅</v>
      </c>
      <c r="O273" s="0" t="str">
        <f aca="false">IFERROR(INDEX($A$1:$A$5,MATCH(4,$F273:$J273,0)),IF(4=MAX($F273:$J273)+1,"取消",""))</f>
        <v>刘师傅</v>
      </c>
      <c r="P273" s="0" t="str">
        <f aca="false">IFERROR(INDEX($A$1:$A$5,MATCH(5,$F273:$J273,0)),IF(5=MAX($F273:$J273)+1,"取消",""))</f>
        <v>取消</v>
      </c>
      <c r="Q273" s="0" t="str">
        <f aca="false">IFERROR(INDEX($A$1:$A$5,MATCH(6,$F273:$J273,0)),IF(6=MAX($F273:$J273)+1,"取消",""))</f>
        <v/>
      </c>
      <c r="S273" s="0" t="n">
        <f aca="false">IF(OR($A$1=入户维修!$F273,$A$1=入户维修!$G273,$BN$1=1),0,1-SUMPRODUCT(--(($A$1=入户维修!$F273)+($A$1=入户维修!$G273)+$BN$1&gt;0)))</f>
        <v>0</v>
      </c>
      <c r="T273" s="0" t="n">
        <f aca="false">IF(OR($A$2=入户维修!$F273,$A$2=入户维修!$G273,$BN$2=1),0,2-SUMPRODUCT(--(($A$1:$A$2=入户维修!$F273)+($A$1:$A$2=入户维修!$G273)+$BN$1:$BN$2&gt;0)))</f>
        <v>1</v>
      </c>
      <c r="U273" s="0" t="n">
        <f aca="false">IF(OR($A$3=入户维修!$F273,$A$3=入户维修!$G273,$BN$3=1),0,3-SUMPRODUCT(--(($A$1:$A$3=入户维修!$F273)+($A$1:$A$3=入户维修!$G273)+$BN$1:$BN$3&gt;0)))</f>
        <v>2</v>
      </c>
      <c r="V273" s="0" t="n">
        <f aca="false">IF(OR($A$4=入户维修!$F273,$A$4=入户维修!$G273,$BN$4=1),0,4-SUMPRODUCT(--(($A$1:$A$4=入户维修!$F273)+($A$1:$A$4=入户维修!$G273)+$BN$1:$BN$4&gt;0)))</f>
        <v>3</v>
      </c>
      <c r="W273" s="0" t="n">
        <f aca="false">IF(OR($A$5=入户维修!$F273,$A$5=入户维修!$G273,$BN$5=1),0,5-SUMPRODUCT(--(($A$1:$A$5=入户维修!$F273)+($A$1:$A$5=入户维修!$G273)+$BN$1:$BN$5&gt;0)))</f>
        <v>4</v>
      </c>
      <c r="Y273" s="0" t="str">
        <f aca="false">IFERROR(INDEX($A$1:$A$5,MATCH(1,$S273:$W273,0)),IF(1=MAX($S273:$W273)+1,"取消",""))</f>
        <v>李师傅</v>
      </c>
      <c r="Z273" s="0" t="str">
        <f aca="false">IFERROR(INDEX($A$1:$A$5,MATCH(2,$S273:$W273,0)),IF(2=MAX($S273:$W273)+1,"取消",""))</f>
        <v>王师傅</v>
      </c>
      <c r="AA273" s="0" t="str">
        <f aca="false">IFERROR(INDEX($A$1:$A$5,MATCH(3,$S273:$W273,0)),IF(3=MAX($S273:$W273)+1,"取消",""))</f>
        <v>陈师傅</v>
      </c>
      <c r="AB273" s="0" t="str">
        <f aca="false">IFERROR(INDEX($A$1:$A$5,MATCH(4,$S273:$W273,0)),IF(4=MAX($S273:$W273)+1,"取消",""))</f>
        <v>刘师傅</v>
      </c>
      <c r="AC273" s="0" t="str">
        <f aca="false">IFERROR(INDEX($A$1:$A$5,MATCH(5,$S273:$W273,0)),IF(5=MAX($S273:$W273)+1,"取消",""))</f>
        <v>取消</v>
      </c>
      <c r="AD273" s="0" t="str">
        <f aca="false">IFERROR(INDEX($A$1:$A$5,MATCH(6,$S273:$W273,0)),IF(6=MAX($S273:$W273)+1,"取消",""))</f>
        <v/>
      </c>
      <c r="AF273" s="0" t="n">
        <f aca="false">IF(OR($A$1=公区维修!$F273,$BN$1=1),0,1-SUMPRODUCT(--(($A$1=公区维修!$F273)+$BN$1&gt;0)))</f>
        <v>0</v>
      </c>
      <c r="AG273" s="0" t="n">
        <f aca="false">IF(OR($A$2=公区维修!$F273,$BN$2=1),0,2-SUMPRODUCT(--(($A$1:$A$2=公区维修!$F273)+$BN$1:$BN$2&gt;0)))</f>
        <v>1</v>
      </c>
      <c r="AH273" s="0" t="n">
        <f aca="false">IF(OR($A$3=公区维修!$F273,$BN$3=1),0,3-SUMPRODUCT(--(($A$1:$A$3=公区维修!$F273)+$BN$1:$BN$3&gt;0)))</f>
        <v>2</v>
      </c>
      <c r="AI273" s="0" t="n">
        <f aca="false">IF(OR($A$4=公区维修!$F273,$BN$4=1),0,4-SUMPRODUCT(--(($A$1:$A$4=公区维修!$F273)+$BN$1:$BN$4&gt;0)))</f>
        <v>3</v>
      </c>
      <c r="AJ273" s="0" t="n">
        <f aca="false">IF(OR($A$5=公区维修!$F273,$BN$5=1),0,5-SUMPRODUCT(--(($A$1:$A$5=公区维修!$F273)+$BN$1:$BN$5&gt;0)))</f>
        <v>4</v>
      </c>
      <c r="AL273" s="0" t="str">
        <f aca="false">IFERROR(INDEX($A$1:$A$5,MATCH(1,$AF273:$AJ273,0)),IF(1=MAX($AF273:$AJ273)+1,"取消",""))</f>
        <v>李师傅</v>
      </c>
      <c r="AM273" s="0" t="str">
        <f aca="false">IFERROR(INDEX($A$1:$A$5,MATCH(2,$AF273:$AJ273,0)),IF(2=MAX($AF273:$AJ273)+1,"取消",""))</f>
        <v>王师傅</v>
      </c>
      <c r="AN273" s="0" t="str">
        <f aca="false">IFERROR(INDEX($A$1:$A$5,MATCH(3,$AF273:$AJ273,0)),IF(3=MAX($AF273:$AJ273)+1,"取消",""))</f>
        <v>陈师傅</v>
      </c>
      <c r="AO273" s="0" t="str">
        <f aca="false">IFERROR(INDEX($A$1:$A$5,MATCH(4,$AF273:$AJ273,0)),IF(4=MAX($AF273:$AJ273)+1,"取消",""))</f>
        <v>刘师傅</v>
      </c>
      <c r="AP273" s="0" t="str">
        <f aca="false">IFERROR(INDEX($A$1:$A$5,MATCH(5,$AF273:$AJ273,0)),IF(5=MAX($AF273:$AJ273)+1,"取消",""))</f>
        <v>取消</v>
      </c>
      <c r="AQ273" s="0" t="str">
        <f aca="false">IFERROR(INDEX($A$1:$A$5,MATCH(6,$AF273:$AJ273,0)),IF(6=MAX($AF273:$AJ273)+1,"取消",""))</f>
        <v/>
      </c>
      <c r="AS273" s="0" t="n">
        <f aca="false">IF(OR($A$1=公区维修!$F273,$A$1=公区维修!$G273,$BN$1=1),0,1-SUMPRODUCT(--(($A$1=公区维修!$F273)+($A$1=公区维修!$G273)+$BN$1&gt;0)))</f>
        <v>0</v>
      </c>
      <c r="AT273" s="0" t="n">
        <f aca="false">IF(OR($A$2=公区维修!$F273,$A$2=公区维修!$G273,$BN$2=1),0,2-SUMPRODUCT(--(($A$1:$A$2=公区维修!$F273)+($A$1:$A$2=公区维修!$G273)+$BN$1:$BN$2&gt;0)))</f>
        <v>1</v>
      </c>
      <c r="AU273" s="0" t="n">
        <f aca="false">IF(OR($A$3=公区维修!$F273,$A$3=公区维修!$G273,$BN$3=1),0,3-SUMPRODUCT(--(($A$1:$A$3=公区维修!$F273)+($A$1:$A$3=公区维修!$G273)+$BN$1:$BN$3&gt;0)))</f>
        <v>2</v>
      </c>
      <c r="AV273" s="0" t="n">
        <f aca="false">IF(OR($A$4=公区维修!$F273,$A$4=公区维修!$G273,$BN$4=1),0,4-SUMPRODUCT(--(($A$1:$A$4=公区维修!$F273)+($A$1:$A$4=公区维修!$G273)+$BN$1:$BN$4&gt;0)))</f>
        <v>3</v>
      </c>
      <c r="AW273" s="0" t="n">
        <f aca="false">IF(OR($A$5=公区维修!$F273,$A$5=公区维修!$G273,$BN$5=1),0,5-SUMPRODUCT(--(($A$1:$A$5=公区维修!$F273)+($A$1:$A$5=公区维修!$G273)+$BN$1:$BN$5&gt;0)))</f>
        <v>4</v>
      </c>
      <c r="AY273" s="0" t="str">
        <f aca="false">IFERROR(INDEX($A$1:$A$5,MATCH(1,$AS273:$AW273,0)),IF(1=MAX($AS273:$AW273)+1,"取消",""))</f>
        <v>李师傅</v>
      </c>
      <c r="AZ273" s="0" t="str">
        <f aca="false">IFERROR(INDEX($A$1:$A$5,MATCH(2,$AS273:$AW273,0)),IF(2=MAX($AS273:$AW273)+1,"取消",""))</f>
        <v>王师傅</v>
      </c>
      <c r="BA273" s="0" t="str">
        <f aca="false">IFERROR(INDEX($A$1:$A$5,MATCH(3,$AS273:$AW273,0)),IF(3=MAX($AS273:$AW273)+1,"取消",""))</f>
        <v>陈师傅</v>
      </c>
      <c r="BB273" s="0" t="str">
        <f aca="false">IFERROR(INDEX($A$1:$A$5,MATCH(4,$AS273:$AW273,0)),IF(4=MAX($AS273:$AW273)+1,"取消",""))</f>
        <v>刘师傅</v>
      </c>
      <c r="BC273" s="0" t="str">
        <f aca="false">IFERROR(INDEX($A$1:$A$5,MATCH(5,$AS273:$AW273,0)),IF(5=MAX($AS273:$AW273)+1,"取消",""))</f>
        <v>取消</v>
      </c>
      <c r="BD273" s="0" t="str">
        <f aca="false">IFERROR(INDEX($A$1:$A$5,MATCH(6,$AS273:$AW273,0)),IF(6=MAX($AS273:$AW273)+1,"取消",""))</f>
        <v/>
      </c>
      <c r="FW273" s="0" t="str">
        <f aca="false">IF(AND(单元查询!$D$3&lt;&gt;"",IF(单元查询!$B$3="公区维修",公区维修!$E273&lt;&gt;"",入户维修!$E273&lt;&gt;""),IF(单元查询!$B$3="公区维修",公区维修!$C273,入户维修!$C273)=单元查询!$D$3,OR(单元查询!$F$3="",IF(单元查询!$B$3="公区维修",公区维修!$D273,入户维修!$D273)&amp;""=(单元查询!$F$3)&amp;"")),MAX($FW$4:$FW272)+1,"")</f>
        <v/>
      </c>
    </row>
    <row r="274" customFormat="false" ht="15" hidden="false" customHeight="true" outlineLevel="0" collapsed="false">
      <c r="F274" s="0" t="n">
        <f aca="false">IF(OR($A$1=入户维修!$F274,$BN$1=1),0,1-SUMPRODUCT(--(($A$1=入户维修!$F274)+$BN$1&gt;0)))</f>
        <v>0</v>
      </c>
      <c r="G274" s="0" t="n">
        <f aca="false">IF(OR($A$2=入户维修!$F274,$BN$2=1),0,2-SUMPRODUCT(--(($A$1:$A$2=入户维修!$F274)+$BN$1:$BN$2&gt;0)))</f>
        <v>1</v>
      </c>
      <c r="H274" s="0" t="n">
        <f aca="false">IF(OR($A$3=入户维修!$F274,$BN$3=1),0,3-SUMPRODUCT(--(($A$1:$A$3=入户维修!$F274)+$BN$1:$BN$3&gt;0)))</f>
        <v>2</v>
      </c>
      <c r="I274" s="0" t="n">
        <f aca="false">IF(OR($A$4=入户维修!$F274,$BN$4=1),0,4-SUMPRODUCT(--(($A$1:$A$4=入户维修!$F274)+$BN$1:$BN$4&gt;0)))</f>
        <v>3</v>
      </c>
      <c r="J274" s="0" t="n">
        <f aca="false">IF(OR($A$5=入户维修!$F274,$BN$5=1),0,5-SUMPRODUCT(--(($A$1:$A$5=入户维修!$F274)+$BN$1:$BN$5&gt;0)))</f>
        <v>4</v>
      </c>
      <c r="L274" s="0" t="str">
        <f aca="false">IFERROR(INDEX($A$1:$A$5,MATCH(1,$F274:$J274,0)),IF(1=MAX($F274:$J274)+1,"取消",""))</f>
        <v>李师傅</v>
      </c>
      <c r="M274" s="0" t="str">
        <f aca="false">IFERROR(INDEX($A$1:$A$5,MATCH(2,$F274:$J274,0)),IF(2=MAX($F274:$J274)+1,"取消",""))</f>
        <v>王师傅</v>
      </c>
      <c r="N274" s="0" t="str">
        <f aca="false">IFERROR(INDEX($A$1:$A$5,MATCH(3,$F274:$J274,0)),IF(3=MAX($F274:$J274)+1,"取消",""))</f>
        <v>陈师傅</v>
      </c>
      <c r="O274" s="0" t="str">
        <f aca="false">IFERROR(INDEX($A$1:$A$5,MATCH(4,$F274:$J274,0)),IF(4=MAX($F274:$J274)+1,"取消",""))</f>
        <v>刘师傅</v>
      </c>
      <c r="P274" s="0" t="str">
        <f aca="false">IFERROR(INDEX($A$1:$A$5,MATCH(5,$F274:$J274,0)),IF(5=MAX($F274:$J274)+1,"取消",""))</f>
        <v>取消</v>
      </c>
      <c r="Q274" s="0" t="str">
        <f aca="false">IFERROR(INDEX($A$1:$A$5,MATCH(6,$F274:$J274,0)),IF(6=MAX($F274:$J274)+1,"取消",""))</f>
        <v/>
      </c>
      <c r="S274" s="0" t="n">
        <f aca="false">IF(OR($A$1=入户维修!$F274,$A$1=入户维修!$G274,$BN$1=1),0,1-SUMPRODUCT(--(($A$1=入户维修!$F274)+($A$1=入户维修!$G274)+$BN$1&gt;0)))</f>
        <v>0</v>
      </c>
      <c r="T274" s="0" t="n">
        <f aca="false">IF(OR($A$2=入户维修!$F274,$A$2=入户维修!$G274,$BN$2=1),0,2-SUMPRODUCT(--(($A$1:$A$2=入户维修!$F274)+($A$1:$A$2=入户维修!$G274)+$BN$1:$BN$2&gt;0)))</f>
        <v>1</v>
      </c>
      <c r="U274" s="0" t="n">
        <f aca="false">IF(OR($A$3=入户维修!$F274,$A$3=入户维修!$G274,$BN$3=1),0,3-SUMPRODUCT(--(($A$1:$A$3=入户维修!$F274)+($A$1:$A$3=入户维修!$G274)+$BN$1:$BN$3&gt;0)))</f>
        <v>2</v>
      </c>
      <c r="V274" s="0" t="n">
        <f aca="false">IF(OR($A$4=入户维修!$F274,$A$4=入户维修!$G274,$BN$4=1),0,4-SUMPRODUCT(--(($A$1:$A$4=入户维修!$F274)+($A$1:$A$4=入户维修!$G274)+$BN$1:$BN$4&gt;0)))</f>
        <v>3</v>
      </c>
      <c r="W274" s="0" t="n">
        <f aca="false">IF(OR($A$5=入户维修!$F274,$A$5=入户维修!$G274,$BN$5=1),0,5-SUMPRODUCT(--(($A$1:$A$5=入户维修!$F274)+($A$1:$A$5=入户维修!$G274)+$BN$1:$BN$5&gt;0)))</f>
        <v>4</v>
      </c>
      <c r="Y274" s="0" t="str">
        <f aca="false">IFERROR(INDEX($A$1:$A$5,MATCH(1,$S274:$W274,0)),IF(1=MAX($S274:$W274)+1,"取消",""))</f>
        <v>李师傅</v>
      </c>
      <c r="Z274" s="0" t="str">
        <f aca="false">IFERROR(INDEX($A$1:$A$5,MATCH(2,$S274:$W274,0)),IF(2=MAX($S274:$W274)+1,"取消",""))</f>
        <v>王师傅</v>
      </c>
      <c r="AA274" s="0" t="str">
        <f aca="false">IFERROR(INDEX($A$1:$A$5,MATCH(3,$S274:$W274,0)),IF(3=MAX($S274:$W274)+1,"取消",""))</f>
        <v>陈师傅</v>
      </c>
      <c r="AB274" s="0" t="str">
        <f aca="false">IFERROR(INDEX($A$1:$A$5,MATCH(4,$S274:$W274,0)),IF(4=MAX($S274:$W274)+1,"取消",""))</f>
        <v>刘师傅</v>
      </c>
      <c r="AC274" s="0" t="str">
        <f aca="false">IFERROR(INDEX($A$1:$A$5,MATCH(5,$S274:$W274,0)),IF(5=MAX($S274:$W274)+1,"取消",""))</f>
        <v>取消</v>
      </c>
      <c r="AD274" s="0" t="str">
        <f aca="false">IFERROR(INDEX($A$1:$A$5,MATCH(6,$S274:$W274,0)),IF(6=MAX($S274:$W274)+1,"取消",""))</f>
        <v/>
      </c>
      <c r="AF274" s="0" t="n">
        <f aca="false">IF(OR($A$1=公区维修!$F274,$BN$1=1),0,1-SUMPRODUCT(--(($A$1=公区维修!$F274)+$BN$1&gt;0)))</f>
        <v>0</v>
      </c>
      <c r="AG274" s="0" t="n">
        <f aca="false">IF(OR($A$2=公区维修!$F274,$BN$2=1),0,2-SUMPRODUCT(--(($A$1:$A$2=公区维修!$F274)+$BN$1:$BN$2&gt;0)))</f>
        <v>1</v>
      </c>
      <c r="AH274" s="0" t="n">
        <f aca="false">IF(OR($A$3=公区维修!$F274,$BN$3=1),0,3-SUMPRODUCT(--(($A$1:$A$3=公区维修!$F274)+$BN$1:$BN$3&gt;0)))</f>
        <v>2</v>
      </c>
      <c r="AI274" s="0" t="n">
        <f aca="false">IF(OR($A$4=公区维修!$F274,$BN$4=1),0,4-SUMPRODUCT(--(($A$1:$A$4=公区维修!$F274)+$BN$1:$BN$4&gt;0)))</f>
        <v>3</v>
      </c>
      <c r="AJ274" s="0" t="n">
        <f aca="false">IF(OR($A$5=公区维修!$F274,$BN$5=1),0,5-SUMPRODUCT(--(($A$1:$A$5=公区维修!$F274)+$BN$1:$BN$5&gt;0)))</f>
        <v>4</v>
      </c>
      <c r="AL274" s="0" t="str">
        <f aca="false">IFERROR(INDEX($A$1:$A$5,MATCH(1,$AF274:$AJ274,0)),IF(1=MAX($AF274:$AJ274)+1,"取消",""))</f>
        <v>李师傅</v>
      </c>
      <c r="AM274" s="0" t="str">
        <f aca="false">IFERROR(INDEX($A$1:$A$5,MATCH(2,$AF274:$AJ274,0)),IF(2=MAX($AF274:$AJ274)+1,"取消",""))</f>
        <v>王师傅</v>
      </c>
      <c r="AN274" s="0" t="str">
        <f aca="false">IFERROR(INDEX($A$1:$A$5,MATCH(3,$AF274:$AJ274,0)),IF(3=MAX($AF274:$AJ274)+1,"取消",""))</f>
        <v>陈师傅</v>
      </c>
      <c r="AO274" s="0" t="str">
        <f aca="false">IFERROR(INDEX($A$1:$A$5,MATCH(4,$AF274:$AJ274,0)),IF(4=MAX($AF274:$AJ274)+1,"取消",""))</f>
        <v>刘师傅</v>
      </c>
      <c r="AP274" s="0" t="str">
        <f aca="false">IFERROR(INDEX($A$1:$A$5,MATCH(5,$AF274:$AJ274,0)),IF(5=MAX($AF274:$AJ274)+1,"取消",""))</f>
        <v>取消</v>
      </c>
      <c r="AQ274" s="0" t="str">
        <f aca="false">IFERROR(INDEX($A$1:$A$5,MATCH(6,$AF274:$AJ274,0)),IF(6=MAX($AF274:$AJ274)+1,"取消",""))</f>
        <v/>
      </c>
      <c r="AS274" s="0" t="n">
        <f aca="false">IF(OR($A$1=公区维修!$F274,$A$1=公区维修!$G274,$BN$1=1),0,1-SUMPRODUCT(--(($A$1=公区维修!$F274)+($A$1=公区维修!$G274)+$BN$1&gt;0)))</f>
        <v>0</v>
      </c>
      <c r="AT274" s="0" t="n">
        <f aca="false">IF(OR($A$2=公区维修!$F274,$A$2=公区维修!$G274,$BN$2=1),0,2-SUMPRODUCT(--(($A$1:$A$2=公区维修!$F274)+($A$1:$A$2=公区维修!$G274)+$BN$1:$BN$2&gt;0)))</f>
        <v>1</v>
      </c>
      <c r="AU274" s="0" t="n">
        <f aca="false">IF(OR($A$3=公区维修!$F274,$A$3=公区维修!$G274,$BN$3=1),0,3-SUMPRODUCT(--(($A$1:$A$3=公区维修!$F274)+($A$1:$A$3=公区维修!$G274)+$BN$1:$BN$3&gt;0)))</f>
        <v>2</v>
      </c>
      <c r="AV274" s="0" t="n">
        <f aca="false">IF(OR($A$4=公区维修!$F274,$A$4=公区维修!$G274,$BN$4=1),0,4-SUMPRODUCT(--(($A$1:$A$4=公区维修!$F274)+($A$1:$A$4=公区维修!$G274)+$BN$1:$BN$4&gt;0)))</f>
        <v>3</v>
      </c>
      <c r="AW274" s="0" t="n">
        <f aca="false">IF(OR($A$5=公区维修!$F274,$A$5=公区维修!$G274,$BN$5=1),0,5-SUMPRODUCT(--(($A$1:$A$5=公区维修!$F274)+($A$1:$A$5=公区维修!$G274)+$BN$1:$BN$5&gt;0)))</f>
        <v>4</v>
      </c>
      <c r="AY274" s="0" t="str">
        <f aca="false">IFERROR(INDEX($A$1:$A$5,MATCH(1,$AS274:$AW274,0)),IF(1=MAX($AS274:$AW274)+1,"取消",""))</f>
        <v>李师傅</v>
      </c>
      <c r="AZ274" s="0" t="str">
        <f aca="false">IFERROR(INDEX($A$1:$A$5,MATCH(2,$AS274:$AW274,0)),IF(2=MAX($AS274:$AW274)+1,"取消",""))</f>
        <v>王师傅</v>
      </c>
      <c r="BA274" s="0" t="str">
        <f aca="false">IFERROR(INDEX($A$1:$A$5,MATCH(3,$AS274:$AW274,0)),IF(3=MAX($AS274:$AW274)+1,"取消",""))</f>
        <v>陈师傅</v>
      </c>
      <c r="BB274" s="0" t="str">
        <f aca="false">IFERROR(INDEX($A$1:$A$5,MATCH(4,$AS274:$AW274,0)),IF(4=MAX($AS274:$AW274)+1,"取消",""))</f>
        <v>刘师傅</v>
      </c>
      <c r="BC274" s="0" t="str">
        <f aca="false">IFERROR(INDEX($A$1:$A$5,MATCH(5,$AS274:$AW274,0)),IF(5=MAX($AS274:$AW274)+1,"取消",""))</f>
        <v>取消</v>
      </c>
      <c r="BD274" s="0" t="str">
        <f aca="false">IFERROR(INDEX($A$1:$A$5,MATCH(6,$AS274:$AW274,0)),IF(6=MAX($AS274:$AW274)+1,"取消",""))</f>
        <v/>
      </c>
      <c r="FW274" s="0" t="str">
        <f aca="false">IF(AND(单元查询!$D$3&lt;&gt;"",IF(单元查询!$B$3="公区维修",公区维修!$E274&lt;&gt;"",入户维修!$E274&lt;&gt;""),IF(单元查询!$B$3="公区维修",公区维修!$C274,入户维修!$C274)=单元查询!$D$3,OR(单元查询!$F$3="",IF(单元查询!$B$3="公区维修",公区维修!$D274,入户维修!$D274)&amp;""=(单元查询!$F$3)&amp;"")),MAX($FW$4:$FW273)+1,"")</f>
        <v/>
      </c>
    </row>
    <row r="275" customFormat="false" ht="15" hidden="false" customHeight="true" outlineLevel="0" collapsed="false">
      <c r="F275" s="0" t="n">
        <f aca="false">IF(OR($A$1=入户维修!$F275,$BN$1=1),0,1-SUMPRODUCT(--(($A$1=入户维修!$F275)+$BN$1&gt;0)))</f>
        <v>0</v>
      </c>
      <c r="G275" s="0" t="n">
        <f aca="false">IF(OR($A$2=入户维修!$F275,$BN$2=1),0,2-SUMPRODUCT(--(($A$1:$A$2=入户维修!$F275)+$BN$1:$BN$2&gt;0)))</f>
        <v>1</v>
      </c>
      <c r="H275" s="0" t="n">
        <f aca="false">IF(OR($A$3=入户维修!$F275,$BN$3=1),0,3-SUMPRODUCT(--(($A$1:$A$3=入户维修!$F275)+$BN$1:$BN$3&gt;0)))</f>
        <v>2</v>
      </c>
      <c r="I275" s="0" t="n">
        <f aca="false">IF(OR($A$4=入户维修!$F275,$BN$4=1),0,4-SUMPRODUCT(--(($A$1:$A$4=入户维修!$F275)+$BN$1:$BN$4&gt;0)))</f>
        <v>3</v>
      </c>
      <c r="J275" s="0" t="n">
        <f aca="false">IF(OR($A$5=入户维修!$F275,$BN$5=1),0,5-SUMPRODUCT(--(($A$1:$A$5=入户维修!$F275)+$BN$1:$BN$5&gt;0)))</f>
        <v>4</v>
      </c>
      <c r="L275" s="0" t="str">
        <f aca="false">IFERROR(INDEX($A$1:$A$5,MATCH(1,$F275:$J275,0)),IF(1=MAX($F275:$J275)+1,"取消",""))</f>
        <v>李师傅</v>
      </c>
      <c r="M275" s="0" t="str">
        <f aca="false">IFERROR(INDEX($A$1:$A$5,MATCH(2,$F275:$J275,0)),IF(2=MAX($F275:$J275)+1,"取消",""))</f>
        <v>王师傅</v>
      </c>
      <c r="N275" s="0" t="str">
        <f aca="false">IFERROR(INDEX($A$1:$A$5,MATCH(3,$F275:$J275,0)),IF(3=MAX($F275:$J275)+1,"取消",""))</f>
        <v>陈师傅</v>
      </c>
      <c r="O275" s="0" t="str">
        <f aca="false">IFERROR(INDEX($A$1:$A$5,MATCH(4,$F275:$J275,0)),IF(4=MAX($F275:$J275)+1,"取消",""))</f>
        <v>刘师傅</v>
      </c>
      <c r="P275" s="0" t="str">
        <f aca="false">IFERROR(INDEX($A$1:$A$5,MATCH(5,$F275:$J275,0)),IF(5=MAX($F275:$J275)+1,"取消",""))</f>
        <v>取消</v>
      </c>
      <c r="Q275" s="0" t="str">
        <f aca="false">IFERROR(INDEX($A$1:$A$5,MATCH(6,$F275:$J275,0)),IF(6=MAX($F275:$J275)+1,"取消",""))</f>
        <v/>
      </c>
      <c r="S275" s="0" t="n">
        <f aca="false">IF(OR($A$1=入户维修!$F275,$A$1=入户维修!$G275,$BN$1=1),0,1-SUMPRODUCT(--(($A$1=入户维修!$F275)+($A$1=入户维修!$G275)+$BN$1&gt;0)))</f>
        <v>0</v>
      </c>
      <c r="T275" s="0" t="n">
        <f aca="false">IF(OR($A$2=入户维修!$F275,$A$2=入户维修!$G275,$BN$2=1),0,2-SUMPRODUCT(--(($A$1:$A$2=入户维修!$F275)+($A$1:$A$2=入户维修!$G275)+$BN$1:$BN$2&gt;0)))</f>
        <v>1</v>
      </c>
      <c r="U275" s="0" t="n">
        <f aca="false">IF(OR($A$3=入户维修!$F275,$A$3=入户维修!$G275,$BN$3=1),0,3-SUMPRODUCT(--(($A$1:$A$3=入户维修!$F275)+($A$1:$A$3=入户维修!$G275)+$BN$1:$BN$3&gt;0)))</f>
        <v>2</v>
      </c>
      <c r="V275" s="0" t="n">
        <f aca="false">IF(OR($A$4=入户维修!$F275,$A$4=入户维修!$G275,$BN$4=1),0,4-SUMPRODUCT(--(($A$1:$A$4=入户维修!$F275)+($A$1:$A$4=入户维修!$G275)+$BN$1:$BN$4&gt;0)))</f>
        <v>3</v>
      </c>
      <c r="W275" s="0" t="n">
        <f aca="false">IF(OR($A$5=入户维修!$F275,$A$5=入户维修!$G275,$BN$5=1),0,5-SUMPRODUCT(--(($A$1:$A$5=入户维修!$F275)+($A$1:$A$5=入户维修!$G275)+$BN$1:$BN$5&gt;0)))</f>
        <v>4</v>
      </c>
      <c r="Y275" s="0" t="str">
        <f aca="false">IFERROR(INDEX($A$1:$A$5,MATCH(1,$S275:$W275,0)),IF(1=MAX($S275:$W275)+1,"取消",""))</f>
        <v>李师傅</v>
      </c>
      <c r="Z275" s="0" t="str">
        <f aca="false">IFERROR(INDEX($A$1:$A$5,MATCH(2,$S275:$W275,0)),IF(2=MAX($S275:$W275)+1,"取消",""))</f>
        <v>王师傅</v>
      </c>
      <c r="AA275" s="0" t="str">
        <f aca="false">IFERROR(INDEX($A$1:$A$5,MATCH(3,$S275:$W275,0)),IF(3=MAX($S275:$W275)+1,"取消",""))</f>
        <v>陈师傅</v>
      </c>
      <c r="AB275" s="0" t="str">
        <f aca="false">IFERROR(INDEX($A$1:$A$5,MATCH(4,$S275:$W275,0)),IF(4=MAX($S275:$W275)+1,"取消",""))</f>
        <v>刘师傅</v>
      </c>
      <c r="AC275" s="0" t="str">
        <f aca="false">IFERROR(INDEX($A$1:$A$5,MATCH(5,$S275:$W275,0)),IF(5=MAX($S275:$W275)+1,"取消",""))</f>
        <v>取消</v>
      </c>
      <c r="AD275" s="0" t="str">
        <f aca="false">IFERROR(INDEX($A$1:$A$5,MATCH(6,$S275:$W275,0)),IF(6=MAX($S275:$W275)+1,"取消",""))</f>
        <v/>
      </c>
      <c r="AF275" s="0" t="n">
        <f aca="false">IF(OR($A$1=公区维修!$F275,$BN$1=1),0,1-SUMPRODUCT(--(($A$1=公区维修!$F275)+$BN$1&gt;0)))</f>
        <v>0</v>
      </c>
      <c r="AG275" s="0" t="n">
        <f aca="false">IF(OR($A$2=公区维修!$F275,$BN$2=1),0,2-SUMPRODUCT(--(($A$1:$A$2=公区维修!$F275)+$BN$1:$BN$2&gt;0)))</f>
        <v>1</v>
      </c>
      <c r="AH275" s="0" t="n">
        <f aca="false">IF(OR($A$3=公区维修!$F275,$BN$3=1),0,3-SUMPRODUCT(--(($A$1:$A$3=公区维修!$F275)+$BN$1:$BN$3&gt;0)))</f>
        <v>2</v>
      </c>
      <c r="AI275" s="0" t="n">
        <f aca="false">IF(OR($A$4=公区维修!$F275,$BN$4=1),0,4-SUMPRODUCT(--(($A$1:$A$4=公区维修!$F275)+$BN$1:$BN$4&gt;0)))</f>
        <v>3</v>
      </c>
      <c r="AJ275" s="0" t="n">
        <f aca="false">IF(OR($A$5=公区维修!$F275,$BN$5=1),0,5-SUMPRODUCT(--(($A$1:$A$5=公区维修!$F275)+$BN$1:$BN$5&gt;0)))</f>
        <v>4</v>
      </c>
      <c r="AL275" s="0" t="str">
        <f aca="false">IFERROR(INDEX($A$1:$A$5,MATCH(1,$AF275:$AJ275,0)),IF(1=MAX($AF275:$AJ275)+1,"取消",""))</f>
        <v>李师傅</v>
      </c>
      <c r="AM275" s="0" t="str">
        <f aca="false">IFERROR(INDEX($A$1:$A$5,MATCH(2,$AF275:$AJ275,0)),IF(2=MAX($AF275:$AJ275)+1,"取消",""))</f>
        <v>王师傅</v>
      </c>
      <c r="AN275" s="0" t="str">
        <f aca="false">IFERROR(INDEX($A$1:$A$5,MATCH(3,$AF275:$AJ275,0)),IF(3=MAX($AF275:$AJ275)+1,"取消",""))</f>
        <v>陈师傅</v>
      </c>
      <c r="AO275" s="0" t="str">
        <f aca="false">IFERROR(INDEX($A$1:$A$5,MATCH(4,$AF275:$AJ275,0)),IF(4=MAX($AF275:$AJ275)+1,"取消",""))</f>
        <v>刘师傅</v>
      </c>
      <c r="AP275" s="0" t="str">
        <f aca="false">IFERROR(INDEX($A$1:$A$5,MATCH(5,$AF275:$AJ275,0)),IF(5=MAX($AF275:$AJ275)+1,"取消",""))</f>
        <v>取消</v>
      </c>
      <c r="AQ275" s="0" t="str">
        <f aca="false">IFERROR(INDEX($A$1:$A$5,MATCH(6,$AF275:$AJ275,0)),IF(6=MAX($AF275:$AJ275)+1,"取消",""))</f>
        <v/>
      </c>
      <c r="AS275" s="0" t="n">
        <f aca="false">IF(OR($A$1=公区维修!$F275,$A$1=公区维修!$G275,$BN$1=1),0,1-SUMPRODUCT(--(($A$1=公区维修!$F275)+($A$1=公区维修!$G275)+$BN$1&gt;0)))</f>
        <v>0</v>
      </c>
      <c r="AT275" s="0" t="n">
        <f aca="false">IF(OR($A$2=公区维修!$F275,$A$2=公区维修!$G275,$BN$2=1),0,2-SUMPRODUCT(--(($A$1:$A$2=公区维修!$F275)+($A$1:$A$2=公区维修!$G275)+$BN$1:$BN$2&gt;0)))</f>
        <v>1</v>
      </c>
      <c r="AU275" s="0" t="n">
        <f aca="false">IF(OR($A$3=公区维修!$F275,$A$3=公区维修!$G275,$BN$3=1),0,3-SUMPRODUCT(--(($A$1:$A$3=公区维修!$F275)+($A$1:$A$3=公区维修!$G275)+$BN$1:$BN$3&gt;0)))</f>
        <v>2</v>
      </c>
      <c r="AV275" s="0" t="n">
        <f aca="false">IF(OR($A$4=公区维修!$F275,$A$4=公区维修!$G275,$BN$4=1),0,4-SUMPRODUCT(--(($A$1:$A$4=公区维修!$F275)+($A$1:$A$4=公区维修!$G275)+$BN$1:$BN$4&gt;0)))</f>
        <v>3</v>
      </c>
      <c r="AW275" s="0" t="n">
        <f aca="false">IF(OR($A$5=公区维修!$F275,$A$5=公区维修!$G275,$BN$5=1),0,5-SUMPRODUCT(--(($A$1:$A$5=公区维修!$F275)+($A$1:$A$5=公区维修!$G275)+$BN$1:$BN$5&gt;0)))</f>
        <v>4</v>
      </c>
      <c r="AY275" s="0" t="str">
        <f aca="false">IFERROR(INDEX($A$1:$A$5,MATCH(1,$AS275:$AW275,0)),IF(1=MAX($AS275:$AW275)+1,"取消",""))</f>
        <v>李师傅</v>
      </c>
      <c r="AZ275" s="0" t="str">
        <f aca="false">IFERROR(INDEX($A$1:$A$5,MATCH(2,$AS275:$AW275,0)),IF(2=MAX($AS275:$AW275)+1,"取消",""))</f>
        <v>王师傅</v>
      </c>
      <c r="BA275" s="0" t="str">
        <f aca="false">IFERROR(INDEX($A$1:$A$5,MATCH(3,$AS275:$AW275,0)),IF(3=MAX($AS275:$AW275)+1,"取消",""))</f>
        <v>陈师傅</v>
      </c>
      <c r="BB275" s="0" t="str">
        <f aca="false">IFERROR(INDEX($A$1:$A$5,MATCH(4,$AS275:$AW275,0)),IF(4=MAX($AS275:$AW275)+1,"取消",""))</f>
        <v>刘师傅</v>
      </c>
      <c r="BC275" s="0" t="str">
        <f aca="false">IFERROR(INDEX($A$1:$A$5,MATCH(5,$AS275:$AW275,0)),IF(5=MAX($AS275:$AW275)+1,"取消",""))</f>
        <v>取消</v>
      </c>
      <c r="BD275" s="0" t="str">
        <f aca="false">IFERROR(INDEX($A$1:$A$5,MATCH(6,$AS275:$AW275,0)),IF(6=MAX($AS275:$AW275)+1,"取消",""))</f>
        <v/>
      </c>
      <c r="FW275" s="0" t="str">
        <f aca="false">IF(AND(单元查询!$D$3&lt;&gt;"",IF(单元查询!$B$3="公区维修",公区维修!$E275&lt;&gt;"",入户维修!$E275&lt;&gt;""),IF(单元查询!$B$3="公区维修",公区维修!$C275,入户维修!$C275)=单元查询!$D$3,OR(单元查询!$F$3="",IF(单元查询!$B$3="公区维修",公区维修!$D275,入户维修!$D275)&amp;""=(单元查询!$F$3)&amp;"")),MAX($FW$4:$FW274)+1,"")</f>
        <v/>
      </c>
    </row>
    <row r="276" customFormat="false" ht="15" hidden="false" customHeight="true" outlineLevel="0" collapsed="false">
      <c r="F276" s="0" t="n">
        <f aca="false">IF(OR($A$1=入户维修!$F276,$BN$1=1),0,1-SUMPRODUCT(--(($A$1=入户维修!$F276)+$BN$1&gt;0)))</f>
        <v>0</v>
      </c>
      <c r="G276" s="0" t="n">
        <f aca="false">IF(OR($A$2=入户维修!$F276,$BN$2=1),0,2-SUMPRODUCT(--(($A$1:$A$2=入户维修!$F276)+$BN$1:$BN$2&gt;0)))</f>
        <v>1</v>
      </c>
      <c r="H276" s="0" t="n">
        <f aca="false">IF(OR($A$3=入户维修!$F276,$BN$3=1),0,3-SUMPRODUCT(--(($A$1:$A$3=入户维修!$F276)+$BN$1:$BN$3&gt;0)))</f>
        <v>2</v>
      </c>
      <c r="I276" s="0" t="n">
        <f aca="false">IF(OR($A$4=入户维修!$F276,$BN$4=1),0,4-SUMPRODUCT(--(($A$1:$A$4=入户维修!$F276)+$BN$1:$BN$4&gt;0)))</f>
        <v>3</v>
      </c>
      <c r="J276" s="0" t="n">
        <f aca="false">IF(OR($A$5=入户维修!$F276,$BN$5=1),0,5-SUMPRODUCT(--(($A$1:$A$5=入户维修!$F276)+$BN$1:$BN$5&gt;0)))</f>
        <v>4</v>
      </c>
      <c r="L276" s="0" t="str">
        <f aca="false">IFERROR(INDEX($A$1:$A$5,MATCH(1,$F276:$J276,0)),IF(1=MAX($F276:$J276)+1,"取消",""))</f>
        <v>李师傅</v>
      </c>
      <c r="M276" s="0" t="str">
        <f aca="false">IFERROR(INDEX($A$1:$A$5,MATCH(2,$F276:$J276,0)),IF(2=MAX($F276:$J276)+1,"取消",""))</f>
        <v>王师傅</v>
      </c>
      <c r="N276" s="0" t="str">
        <f aca="false">IFERROR(INDEX($A$1:$A$5,MATCH(3,$F276:$J276,0)),IF(3=MAX($F276:$J276)+1,"取消",""))</f>
        <v>陈师傅</v>
      </c>
      <c r="O276" s="0" t="str">
        <f aca="false">IFERROR(INDEX($A$1:$A$5,MATCH(4,$F276:$J276,0)),IF(4=MAX($F276:$J276)+1,"取消",""))</f>
        <v>刘师傅</v>
      </c>
      <c r="P276" s="0" t="str">
        <f aca="false">IFERROR(INDEX($A$1:$A$5,MATCH(5,$F276:$J276,0)),IF(5=MAX($F276:$J276)+1,"取消",""))</f>
        <v>取消</v>
      </c>
      <c r="Q276" s="0" t="str">
        <f aca="false">IFERROR(INDEX($A$1:$A$5,MATCH(6,$F276:$J276,0)),IF(6=MAX($F276:$J276)+1,"取消",""))</f>
        <v/>
      </c>
      <c r="S276" s="0" t="n">
        <f aca="false">IF(OR($A$1=入户维修!$F276,$A$1=入户维修!$G276,$BN$1=1),0,1-SUMPRODUCT(--(($A$1=入户维修!$F276)+($A$1=入户维修!$G276)+$BN$1&gt;0)))</f>
        <v>0</v>
      </c>
      <c r="T276" s="0" t="n">
        <f aca="false">IF(OR($A$2=入户维修!$F276,$A$2=入户维修!$G276,$BN$2=1),0,2-SUMPRODUCT(--(($A$1:$A$2=入户维修!$F276)+($A$1:$A$2=入户维修!$G276)+$BN$1:$BN$2&gt;0)))</f>
        <v>1</v>
      </c>
      <c r="U276" s="0" t="n">
        <f aca="false">IF(OR($A$3=入户维修!$F276,$A$3=入户维修!$G276,$BN$3=1),0,3-SUMPRODUCT(--(($A$1:$A$3=入户维修!$F276)+($A$1:$A$3=入户维修!$G276)+$BN$1:$BN$3&gt;0)))</f>
        <v>2</v>
      </c>
      <c r="V276" s="0" t="n">
        <f aca="false">IF(OR($A$4=入户维修!$F276,$A$4=入户维修!$G276,$BN$4=1),0,4-SUMPRODUCT(--(($A$1:$A$4=入户维修!$F276)+($A$1:$A$4=入户维修!$G276)+$BN$1:$BN$4&gt;0)))</f>
        <v>3</v>
      </c>
      <c r="W276" s="0" t="n">
        <f aca="false">IF(OR($A$5=入户维修!$F276,$A$5=入户维修!$G276,$BN$5=1),0,5-SUMPRODUCT(--(($A$1:$A$5=入户维修!$F276)+($A$1:$A$5=入户维修!$G276)+$BN$1:$BN$5&gt;0)))</f>
        <v>4</v>
      </c>
      <c r="Y276" s="0" t="str">
        <f aca="false">IFERROR(INDEX($A$1:$A$5,MATCH(1,$S276:$W276,0)),IF(1=MAX($S276:$W276)+1,"取消",""))</f>
        <v>李师傅</v>
      </c>
      <c r="Z276" s="0" t="str">
        <f aca="false">IFERROR(INDEX($A$1:$A$5,MATCH(2,$S276:$W276,0)),IF(2=MAX($S276:$W276)+1,"取消",""))</f>
        <v>王师傅</v>
      </c>
      <c r="AA276" s="0" t="str">
        <f aca="false">IFERROR(INDEX($A$1:$A$5,MATCH(3,$S276:$W276,0)),IF(3=MAX($S276:$W276)+1,"取消",""))</f>
        <v>陈师傅</v>
      </c>
      <c r="AB276" s="0" t="str">
        <f aca="false">IFERROR(INDEX($A$1:$A$5,MATCH(4,$S276:$W276,0)),IF(4=MAX($S276:$W276)+1,"取消",""))</f>
        <v>刘师傅</v>
      </c>
      <c r="AC276" s="0" t="str">
        <f aca="false">IFERROR(INDEX($A$1:$A$5,MATCH(5,$S276:$W276,0)),IF(5=MAX($S276:$W276)+1,"取消",""))</f>
        <v>取消</v>
      </c>
      <c r="AD276" s="0" t="str">
        <f aca="false">IFERROR(INDEX($A$1:$A$5,MATCH(6,$S276:$W276,0)),IF(6=MAX($S276:$W276)+1,"取消",""))</f>
        <v/>
      </c>
      <c r="AF276" s="0" t="n">
        <f aca="false">IF(OR($A$1=公区维修!$F276,$BN$1=1),0,1-SUMPRODUCT(--(($A$1=公区维修!$F276)+$BN$1&gt;0)))</f>
        <v>0</v>
      </c>
      <c r="AG276" s="0" t="n">
        <f aca="false">IF(OR($A$2=公区维修!$F276,$BN$2=1),0,2-SUMPRODUCT(--(($A$1:$A$2=公区维修!$F276)+$BN$1:$BN$2&gt;0)))</f>
        <v>1</v>
      </c>
      <c r="AH276" s="0" t="n">
        <f aca="false">IF(OR($A$3=公区维修!$F276,$BN$3=1),0,3-SUMPRODUCT(--(($A$1:$A$3=公区维修!$F276)+$BN$1:$BN$3&gt;0)))</f>
        <v>2</v>
      </c>
      <c r="AI276" s="0" t="n">
        <f aca="false">IF(OR($A$4=公区维修!$F276,$BN$4=1),0,4-SUMPRODUCT(--(($A$1:$A$4=公区维修!$F276)+$BN$1:$BN$4&gt;0)))</f>
        <v>3</v>
      </c>
      <c r="AJ276" s="0" t="n">
        <f aca="false">IF(OR($A$5=公区维修!$F276,$BN$5=1),0,5-SUMPRODUCT(--(($A$1:$A$5=公区维修!$F276)+$BN$1:$BN$5&gt;0)))</f>
        <v>4</v>
      </c>
      <c r="AL276" s="0" t="str">
        <f aca="false">IFERROR(INDEX($A$1:$A$5,MATCH(1,$AF276:$AJ276,0)),IF(1=MAX($AF276:$AJ276)+1,"取消",""))</f>
        <v>李师傅</v>
      </c>
      <c r="AM276" s="0" t="str">
        <f aca="false">IFERROR(INDEX($A$1:$A$5,MATCH(2,$AF276:$AJ276,0)),IF(2=MAX($AF276:$AJ276)+1,"取消",""))</f>
        <v>王师傅</v>
      </c>
      <c r="AN276" s="0" t="str">
        <f aca="false">IFERROR(INDEX($A$1:$A$5,MATCH(3,$AF276:$AJ276,0)),IF(3=MAX($AF276:$AJ276)+1,"取消",""))</f>
        <v>陈师傅</v>
      </c>
      <c r="AO276" s="0" t="str">
        <f aca="false">IFERROR(INDEX($A$1:$A$5,MATCH(4,$AF276:$AJ276,0)),IF(4=MAX($AF276:$AJ276)+1,"取消",""))</f>
        <v>刘师傅</v>
      </c>
      <c r="AP276" s="0" t="str">
        <f aca="false">IFERROR(INDEX($A$1:$A$5,MATCH(5,$AF276:$AJ276,0)),IF(5=MAX($AF276:$AJ276)+1,"取消",""))</f>
        <v>取消</v>
      </c>
      <c r="AQ276" s="0" t="str">
        <f aca="false">IFERROR(INDEX($A$1:$A$5,MATCH(6,$AF276:$AJ276,0)),IF(6=MAX($AF276:$AJ276)+1,"取消",""))</f>
        <v/>
      </c>
      <c r="AS276" s="0" t="n">
        <f aca="false">IF(OR($A$1=公区维修!$F276,$A$1=公区维修!$G276,$BN$1=1),0,1-SUMPRODUCT(--(($A$1=公区维修!$F276)+($A$1=公区维修!$G276)+$BN$1&gt;0)))</f>
        <v>0</v>
      </c>
      <c r="AT276" s="0" t="n">
        <f aca="false">IF(OR($A$2=公区维修!$F276,$A$2=公区维修!$G276,$BN$2=1),0,2-SUMPRODUCT(--(($A$1:$A$2=公区维修!$F276)+($A$1:$A$2=公区维修!$G276)+$BN$1:$BN$2&gt;0)))</f>
        <v>1</v>
      </c>
      <c r="AU276" s="0" t="n">
        <f aca="false">IF(OR($A$3=公区维修!$F276,$A$3=公区维修!$G276,$BN$3=1),0,3-SUMPRODUCT(--(($A$1:$A$3=公区维修!$F276)+($A$1:$A$3=公区维修!$G276)+$BN$1:$BN$3&gt;0)))</f>
        <v>2</v>
      </c>
      <c r="AV276" s="0" t="n">
        <f aca="false">IF(OR($A$4=公区维修!$F276,$A$4=公区维修!$G276,$BN$4=1),0,4-SUMPRODUCT(--(($A$1:$A$4=公区维修!$F276)+($A$1:$A$4=公区维修!$G276)+$BN$1:$BN$4&gt;0)))</f>
        <v>3</v>
      </c>
      <c r="AW276" s="0" t="n">
        <f aca="false">IF(OR($A$5=公区维修!$F276,$A$5=公区维修!$G276,$BN$5=1),0,5-SUMPRODUCT(--(($A$1:$A$5=公区维修!$F276)+($A$1:$A$5=公区维修!$G276)+$BN$1:$BN$5&gt;0)))</f>
        <v>4</v>
      </c>
      <c r="AY276" s="0" t="str">
        <f aca="false">IFERROR(INDEX($A$1:$A$5,MATCH(1,$AS276:$AW276,0)),IF(1=MAX($AS276:$AW276)+1,"取消",""))</f>
        <v>李师傅</v>
      </c>
      <c r="AZ276" s="0" t="str">
        <f aca="false">IFERROR(INDEX($A$1:$A$5,MATCH(2,$AS276:$AW276,0)),IF(2=MAX($AS276:$AW276)+1,"取消",""))</f>
        <v>王师傅</v>
      </c>
      <c r="BA276" s="0" t="str">
        <f aca="false">IFERROR(INDEX($A$1:$A$5,MATCH(3,$AS276:$AW276,0)),IF(3=MAX($AS276:$AW276)+1,"取消",""))</f>
        <v>陈师傅</v>
      </c>
      <c r="BB276" s="0" t="str">
        <f aca="false">IFERROR(INDEX($A$1:$A$5,MATCH(4,$AS276:$AW276,0)),IF(4=MAX($AS276:$AW276)+1,"取消",""))</f>
        <v>刘师傅</v>
      </c>
      <c r="BC276" s="0" t="str">
        <f aca="false">IFERROR(INDEX($A$1:$A$5,MATCH(5,$AS276:$AW276,0)),IF(5=MAX($AS276:$AW276)+1,"取消",""))</f>
        <v>取消</v>
      </c>
      <c r="BD276" s="0" t="str">
        <f aca="false">IFERROR(INDEX($A$1:$A$5,MATCH(6,$AS276:$AW276,0)),IF(6=MAX($AS276:$AW276)+1,"取消",""))</f>
        <v/>
      </c>
      <c r="FW276" s="0" t="str">
        <f aca="false">IF(AND(单元查询!$D$3&lt;&gt;"",IF(单元查询!$B$3="公区维修",公区维修!$E276&lt;&gt;"",入户维修!$E276&lt;&gt;""),IF(单元查询!$B$3="公区维修",公区维修!$C276,入户维修!$C276)=单元查询!$D$3,OR(单元查询!$F$3="",IF(单元查询!$B$3="公区维修",公区维修!$D276,入户维修!$D276)&amp;""=(单元查询!$F$3)&amp;"")),MAX($FW$4:$FW275)+1,"")</f>
        <v/>
      </c>
    </row>
    <row r="277" customFormat="false" ht="15" hidden="false" customHeight="true" outlineLevel="0" collapsed="false">
      <c r="F277" s="0" t="n">
        <f aca="false">IF(OR($A$1=入户维修!$F277,$BN$1=1),0,1-SUMPRODUCT(--(($A$1=入户维修!$F277)+$BN$1&gt;0)))</f>
        <v>0</v>
      </c>
      <c r="G277" s="0" t="n">
        <f aca="false">IF(OR($A$2=入户维修!$F277,$BN$2=1),0,2-SUMPRODUCT(--(($A$1:$A$2=入户维修!$F277)+$BN$1:$BN$2&gt;0)))</f>
        <v>1</v>
      </c>
      <c r="H277" s="0" t="n">
        <f aca="false">IF(OR($A$3=入户维修!$F277,$BN$3=1),0,3-SUMPRODUCT(--(($A$1:$A$3=入户维修!$F277)+$BN$1:$BN$3&gt;0)))</f>
        <v>2</v>
      </c>
      <c r="I277" s="0" t="n">
        <f aca="false">IF(OR($A$4=入户维修!$F277,$BN$4=1),0,4-SUMPRODUCT(--(($A$1:$A$4=入户维修!$F277)+$BN$1:$BN$4&gt;0)))</f>
        <v>3</v>
      </c>
      <c r="J277" s="0" t="n">
        <f aca="false">IF(OR($A$5=入户维修!$F277,$BN$5=1),0,5-SUMPRODUCT(--(($A$1:$A$5=入户维修!$F277)+$BN$1:$BN$5&gt;0)))</f>
        <v>4</v>
      </c>
      <c r="L277" s="0" t="str">
        <f aca="false">IFERROR(INDEX($A$1:$A$5,MATCH(1,$F277:$J277,0)),IF(1=MAX($F277:$J277)+1,"取消",""))</f>
        <v>李师傅</v>
      </c>
      <c r="M277" s="0" t="str">
        <f aca="false">IFERROR(INDEX($A$1:$A$5,MATCH(2,$F277:$J277,0)),IF(2=MAX($F277:$J277)+1,"取消",""))</f>
        <v>王师傅</v>
      </c>
      <c r="N277" s="0" t="str">
        <f aca="false">IFERROR(INDEX($A$1:$A$5,MATCH(3,$F277:$J277,0)),IF(3=MAX($F277:$J277)+1,"取消",""))</f>
        <v>陈师傅</v>
      </c>
      <c r="O277" s="0" t="str">
        <f aca="false">IFERROR(INDEX($A$1:$A$5,MATCH(4,$F277:$J277,0)),IF(4=MAX($F277:$J277)+1,"取消",""))</f>
        <v>刘师傅</v>
      </c>
      <c r="P277" s="0" t="str">
        <f aca="false">IFERROR(INDEX($A$1:$A$5,MATCH(5,$F277:$J277,0)),IF(5=MAX($F277:$J277)+1,"取消",""))</f>
        <v>取消</v>
      </c>
      <c r="Q277" s="0" t="str">
        <f aca="false">IFERROR(INDEX($A$1:$A$5,MATCH(6,$F277:$J277,0)),IF(6=MAX($F277:$J277)+1,"取消",""))</f>
        <v/>
      </c>
      <c r="S277" s="0" t="n">
        <f aca="false">IF(OR($A$1=入户维修!$F277,$A$1=入户维修!$G277,$BN$1=1),0,1-SUMPRODUCT(--(($A$1=入户维修!$F277)+($A$1=入户维修!$G277)+$BN$1&gt;0)))</f>
        <v>0</v>
      </c>
      <c r="T277" s="0" t="n">
        <f aca="false">IF(OR($A$2=入户维修!$F277,$A$2=入户维修!$G277,$BN$2=1),0,2-SUMPRODUCT(--(($A$1:$A$2=入户维修!$F277)+($A$1:$A$2=入户维修!$G277)+$BN$1:$BN$2&gt;0)))</f>
        <v>1</v>
      </c>
      <c r="U277" s="0" t="n">
        <f aca="false">IF(OR($A$3=入户维修!$F277,$A$3=入户维修!$G277,$BN$3=1),0,3-SUMPRODUCT(--(($A$1:$A$3=入户维修!$F277)+($A$1:$A$3=入户维修!$G277)+$BN$1:$BN$3&gt;0)))</f>
        <v>2</v>
      </c>
      <c r="V277" s="0" t="n">
        <f aca="false">IF(OR($A$4=入户维修!$F277,$A$4=入户维修!$G277,$BN$4=1),0,4-SUMPRODUCT(--(($A$1:$A$4=入户维修!$F277)+($A$1:$A$4=入户维修!$G277)+$BN$1:$BN$4&gt;0)))</f>
        <v>3</v>
      </c>
      <c r="W277" s="0" t="n">
        <f aca="false">IF(OR($A$5=入户维修!$F277,$A$5=入户维修!$G277,$BN$5=1),0,5-SUMPRODUCT(--(($A$1:$A$5=入户维修!$F277)+($A$1:$A$5=入户维修!$G277)+$BN$1:$BN$5&gt;0)))</f>
        <v>4</v>
      </c>
      <c r="Y277" s="0" t="str">
        <f aca="false">IFERROR(INDEX($A$1:$A$5,MATCH(1,$S277:$W277,0)),IF(1=MAX($S277:$W277)+1,"取消",""))</f>
        <v>李师傅</v>
      </c>
      <c r="Z277" s="0" t="str">
        <f aca="false">IFERROR(INDEX($A$1:$A$5,MATCH(2,$S277:$W277,0)),IF(2=MAX($S277:$W277)+1,"取消",""))</f>
        <v>王师傅</v>
      </c>
      <c r="AA277" s="0" t="str">
        <f aca="false">IFERROR(INDEX($A$1:$A$5,MATCH(3,$S277:$W277,0)),IF(3=MAX($S277:$W277)+1,"取消",""))</f>
        <v>陈师傅</v>
      </c>
      <c r="AB277" s="0" t="str">
        <f aca="false">IFERROR(INDEX($A$1:$A$5,MATCH(4,$S277:$W277,0)),IF(4=MAX($S277:$W277)+1,"取消",""))</f>
        <v>刘师傅</v>
      </c>
      <c r="AC277" s="0" t="str">
        <f aca="false">IFERROR(INDEX($A$1:$A$5,MATCH(5,$S277:$W277,0)),IF(5=MAX($S277:$W277)+1,"取消",""))</f>
        <v>取消</v>
      </c>
      <c r="AD277" s="0" t="str">
        <f aca="false">IFERROR(INDEX($A$1:$A$5,MATCH(6,$S277:$W277,0)),IF(6=MAX($S277:$W277)+1,"取消",""))</f>
        <v/>
      </c>
      <c r="AF277" s="0" t="n">
        <f aca="false">IF(OR($A$1=公区维修!$F277,$BN$1=1),0,1-SUMPRODUCT(--(($A$1=公区维修!$F277)+$BN$1&gt;0)))</f>
        <v>0</v>
      </c>
      <c r="AG277" s="0" t="n">
        <f aca="false">IF(OR($A$2=公区维修!$F277,$BN$2=1),0,2-SUMPRODUCT(--(($A$1:$A$2=公区维修!$F277)+$BN$1:$BN$2&gt;0)))</f>
        <v>1</v>
      </c>
      <c r="AH277" s="0" t="n">
        <f aca="false">IF(OR($A$3=公区维修!$F277,$BN$3=1),0,3-SUMPRODUCT(--(($A$1:$A$3=公区维修!$F277)+$BN$1:$BN$3&gt;0)))</f>
        <v>2</v>
      </c>
      <c r="AI277" s="0" t="n">
        <f aca="false">IF(OR($A$4=公区维修!$F277,$BN$4=1),0,4-SUMPRODUCT(--(($A$1:$A$4=公区维修!$F277)+$BN$1:$BN$4&gt;0)))</f>
        <v>3</v>
      </c>
      <c r="AJ277" s="0" t="n">
        <f aca="false">IF(OR($A$5=公区维修!$F277,$BN$5=1),0,5-SUMPRODUCT(--(($A$1:$A$5=公区维修!$F277)+$BN$1:$BN$5&gt;0)))</f>
        <v>4</v>
      </c>
      <c r="AL277" s="0" t="str">
        <f aca="false">IFERROR(INDEX($A$1:$A$5,MATCH(1,$AF277:$AJ277,0)),IF(1=MAX($AF277:$AJ277)+1,"取消",""))</f>
        <v>李师傅</v>
      </c>
      <c r="AM277" s="0" t="str">
        <f aca="false">IFERROR(INDEX($A$1:$A$5,MATCH(2,$AF277:$AJ277,0)),IF(2=MAX($AF277:$AJ277)+1,"取消",""))</f>
        <v>王师傅</v>
      </c>
      <c r="AN277" s="0" t="str">
        <f aca="false">IFERROR(INDEX($A$1:$A$5,MATCH(3,$AF277:$AJ277,0)),IF(3=MAX($AF277:$AJ277)+1,"取消",""))</f>
        <v>陈师傅</v>
      </c>
      <c r="AO277" s="0" t="str">
        <f aca="false">IFERROR(INDEX($A$1:$A$5,MATCH(4,$AF277:$AJ277,0)),IF(4=MAX($AF277:$AJ277)+1,"取消",""))</f>
        <v>刘师傅</v>
      </c>
      <c r="AP277" s="0" t="str">
        <f aca="false">IFERROR(INDEX($A$1:$A$5,MATCH(5,$AF277:$AJ277,0)),IF(5=MAX($AF277:$AJ277)+1,"取消",""))</f>
        <v>取消</v>
      </c>
      <c r="AQ277" s="0" t="str">
        <f aca="false">IFERROR(INDEX($A$1:$A$5,MATCH(6,$AF277:$AJ277,0)),IF(6=MAX($AF277:$AJ277)+1,"取消",""))</f>
        <v/>
      </c>
      <c r="AS277" s="0" t="n">
        <f aca="false">IF(OR($A$1=公区维修!$F277,$A$1=公区维修!$G277,$BN$1=1),0,1-SUMPRODUCT(--(($A$1=公区维修!$F277)+($A$1=公区维修!$G277)+$BN$1&gt;0)))</f>
        <v>0</v>
      </c>
      <c r="AT277" s="0" t="n">
        <f aca="false">IF(OR($A$2=公区维修!$F277,$A$2=公区维修!$G277,$BN$2=1),0,2-SUMPRODUCT(--(($A$1:$A$2=公区维修!$F277)+($A$1:$A$2=公区维修!$G277)+$BN$1:$BN$2&gt;0)))</f>
        <v>1</v>
      </c>
      <c r="AU277" s="0" t="n">
        <f aca="false">IF(OR($A$3=公区维修!$F277,$A$3=公区维修!$G277,$BN$3=1),0,3-SUMPRODUCT(--(($A$1:$A$3=公区维修!$F277)+($A$1:$A$3=公区维修!$G277)+$BN$1:$BN$3&gt;0)))</f>
        <v>2</v>
      </c>
      <c r="AV277" s="0" t="n">
        <f aca="false">IF(OR($A$4=公区维修!$F277,$A$4=公区维修!$G277,$BN$4=1),0,4-SUMPRODUCT(--(($A$1:$A$4=公区维修!$F277)+($A$1:$A$4=公区维修!$G277)+$BN$1:$BN$4&gt;0)))</f>
        <v>3</v>
      </c>
      <c r="AW277" s="0" t="n">
        <f aca="false">IF(OR($A$5=公区维修!$F277,$A$5=公区维修!$G277,$BN$5=1),0,5-SUMPRODUCT(--(($A$1:$A$5=公区维修!$F277)+($A$1:$A$5=公区维修!$G277)+$BN$1:$BN$5&gt;0)))</f>
        <v>4</v>
      </c>
      <c r="AY277" s="0" t="str">
        <f aca="false">IFERROR(INDEX($A$1:$A$5,MATCH(1,$AS277:$AW277,0)),IF(1=MAX($AS277:$AW277)+1,"取消",""))</f>
        <v>李师傅</v>
      </c>
      <c r="AZ277" s="0" t="str">
        <f aca="false">IFERROR(INDEX($A$1:$A$5,MATCH(2,$AS277:$AW277,0)),IF(2=MAX($AS277:$AW277)+1,"取消",""))</f>
        <v>王师傅</v>
      </c>
      <c r="BA277" s="0" t="str">
        <f aca="false">IFERROR(INDEX($A$1:$A$5,MATCH(3,$AS277:$AW277,0)),IF(3=MAX($AS277:$AW277)+1,"取消",""))</f>
        <v>陈师傅</v>
      </c>
      <c r="BB277" s="0" t="str">
        <f aca="false">IFERROR(INDEX($A$1:$A$5,MATCH(4,$AS277:$AW277,0)),IF(4=MAX($AS277:$AW277)+1,"取消",""))</f>
        <v>刘师傅</v>
      </c>
      <c r="BC277" s="0" t="str">
        <f aca="false">IFERROR(INDEX($A$1:$A$5,MATCH(5,$AS277:$AW277,0)),IF(5=MAX($AS277:$AW277)+1,"取消",""))</f>
        <v>取消</v>
      </c>
      <c r="BD277" s="0" t="str">
        <f aca="false">IFERROR(INDEX($A$1:$A$5,MATCH(6,$AS277:$AW277,0)),IF(6=MAX($AS277:$AW277)+1,"取消",""))</f>
        <v/>
      </c>
      <c r="FW277" s="0" t="str">
        <f aca="false">IF(AND(单元查询!$D$3&lt;&gt;"",IF(单元查询!$B$3="公区维修",公区维修!$E277&lt;&gt;"",入户维修!$E277&lt;&gt;""),IF(单元查询!$B$3="公区维修",公区维修!$C277,入户维修!$C277)=单元查询!$D$3,OR(单元查询!$F$3="",IF(单元查询!$B$3="公区维修",公区维修!$D277,入户维修!$D277)&amp;""=(单元查询!$F$3)&amp;"")),MAX($FW$4:$FW276)+1,"")</f>
        <v/>
      </c>
    </row>
    <row r="278" customFormat="false" ht="15" hidden="false" customHeight="true" outlineLevel="0" collapsed="false">
      <c r="F278" s="0" t="n">
        <f aca="false">IF(OR($A$1=入户维修!$F278,$BN$1=1),0,1-SUMPRODUCT(--(($A$1=入户维修!$F278)+$BN$1&gt;0)))</f>
        <v>0</v>
      </c>
      <c r="G278" s="0" t="n">
        <f aca="false">IF(OR($A$2=入户维修!$F278,$BN$2=1),0,2-SUMPRODUCT(--(($A$1:$A$2=入户维修!$F278)+$BN$1:$BN$2&gt;0)))</f>
        <v>1</v>
      </c>
      <c r="H278" s="0" t="n">
        <f aca="false">IF(OR($A$3=入户维修!$F278,$BN$3=1),0,3-SUMPRODUCT(--(($A$1:$A$3=入户维修!$F278)+$BN$1:$BN$3&gt;0)))</f>
        <v>2</v>
      </c>
      <c r="I278" s="0" t="n">
        <f aca="false">IF(OR($A$4=入户维修!$F278,$BN$4=1),0,4-SUMPRODUCT(--(($A$1:$A$4=入户维修!$F278)+$BN$1:$BN$4&gt;0)))</f>
        <v>3</v>
      </c>
      <c r="J278" s="0" t="n">
        <f aca="false">IF(OR($A$5=入户维修!$F278,$BN$5=1),0,5-SUMPRODUCT(--(($A$1:$A$5=入户维修!$F278)+$BN$1:$BN$5&gt;0)))</f>
        <v>4</v>
      </c>
      <c r="L278" s="0" t="str">
        <f aca="false">IFERROR(INDEX($A$1:$A$5,MATCH(1,$F278:$J278,0)),IF(1=MAX($F278:$J278)+1,"取消",""))</f>
        <v>李师傅</v>
      </c>
      <c r="M278" s="0" t="str">
        <f aca="false">IFERROR(INDEX($A$1:$A$5,MATCH(2,$F278:$J278,0)),IF(2=MAX($F278:$J278)+1,"取消",""))</f>
        <v>王师傅</v>
      </c>
      <c r="N278" s="0" t="str">
        <f aca="false">IFERROR(INDEX($A$1:$A$5,MATCH(3,$F278:$J278,0)),IF(3=MAX($F278:$J278)+1,"取消",""))</f>
        <v>陈师傅</v>
      </c>
      <c r="O278" s="0" t="str">
        <f aca="false">IFERROR(INDEX($A$1:$A$5,MATCH(4,$F278:$J278,0)),IF(4=MAX($F278:$J278)+1,"取消",""))</f>
        <v>刘师傅</v>
      </c>
      <c r="P278" s="0" t="str">
        <f aca="false">IFERROR(INDEX($A$1:$A$5,MATCH(5,$F278:$J278,0)),IF(5=MAX($F278:$J278)+1,"取消",""))</f>
        <v>取消</v>
      </c>
      <c r="Q278" s="0" t="str">
        <f aca="false">IFERROR(INDEX($A$1:$A$5,MATCH(6,$F278:$J278,0)),IF(6=MAX($F278:$J278)+1,"取消",""))</f>
        <v/>
      </c>
      <c r="S278" s="0" t="n">
        <f aca="false">IF(OR($A$1=入户维修!$F278,$A$1=入户维修!$G278,$BN$1=1),0,1-SUMPRODUCT(--(($A$1=入户维修!$F278)+($A$1=入户维修!$G278)+$BN$1&gt;0)))</f>
        <v>0</v>
      </c>
      <c r="T278" s="0" t="n">
        <f aca="false">IF(OR($A$2=入户维修!$F278,$A$2=入户维修!$G278,$BN$2=1),0,2-SUMPRODUCT(--(($A$1:$A$2=入户维修!$F278)+($A$1:$A$2=入户维修!$G278)+$BN$1:$BN$2&gt;0)))</f>
        <v>1</v>
      </c>
      <c r="U278" s="0" t="n">
        <f aca="false">IF(OR($A$3=入户维修!$F278,$A$3=入户维修!$G278,$BN$3=1),0,3-SUMPRODUCT(--(($A$1:$A$3=入户维修!$F278)+($A$1:$A$3=入户维修!$G278)+$BN$1:$BN$3&gt;0)))</f>
        <v>2</v>
      </c>
      <c r="V278" s="0" t="n">
        <f aca="false">IF(OR($A$4=入户维修!$F278,$A$4=入户维修!$G278,$BN$4=1),0,4-SUMPRODUCT(--(($A$1:$A$4=入户维修!$F278)+($A$1:$A$4=入户维修!$G278)+$BN$1:$BN$4&gt;0)))</f>
        <v>3</v>
      </c>
      <c r="W278" s="0" t="n">
        <f aca="false">IF(OR($A$5=入户维修!$F278,$A$5=入户维修!$G278,$BN$5=1),0,5-SUMPRODUCT(--(($A$1:$A$5=入户维修!$F278)+($A$1:$A$5=入户维修!$G278)+$BN$1:$BN$5&gt;0)))</f>
        <v>4</v>
      </c>
      <c r="Y278" s="0" t="str">
        <f aca="false">IFERROR(INDEX($A$1:$A$5,MATCH(1,$S278:$W278,0)),IF(1=MAX($S278:$W278)+1,"取消",""))</f>
        <v>李师傅</v>
      </c>
      <c r="Z278" s="0" t="str">
        <f aca="false">IFERROR(INDEX($A$1:$A$5,MATCH(2,$S278:$W278,0)),IF(2=MAX($S278:$W278)+1,"取消",""))</f>
        <v>王师傅</v>
      </c>
      <c r="AA278" s="0" t="str">
        <f aca="false">IFERROR(INDEX($A$1:$A$5,MATCH(3,$S278:$W278,0)),IF(3=MAX($S278:$W278)+1,"取消",""))</f>
        <v>陈师傅</v>
      </c>
      <c r="AB278" s="0" t="str">
        <f aca="false">IFERROR(INDEX($A$1:$A$5,MATCH(4,$S278:$W278,0)),IF(4=MAX($S278:$W278)+1,"取消",""))</f>
        <v>刘师傅</v>
      </c>
      <c r="AC278" s="0" t="str">
        <f aca="false">IFERROR(INDEX($A$1:$A$5,MATCH(5,$S278:$W278,0)),IF(5=MAX($S278:$W278)+1,"取消",""))</f>
        <v>取消</v>
      </c>
      <c r="AD278" s="0" t="str">
        <f aca="false">IFERROR(INDEX($A$1:$A$5,MATCH(6,$S278:$W278,0)),IF(6=MAX($S278:$W278)+1,"取消",""))</f>
        <v/>
      </c>
      <c r="AF278" s="0" t="n">
        <f aca="false">IF(OR($A$1=公区维修!$F278,$BN$1=1),0,1-SUMPRODUCT(--(($A$1=公区维修!$F278)+$BN$1&gt;0)))</f>
        <v>0</v>
      </c>
      <c r="AG278" s="0" t="n">
        <f aca="false">IF(OR($A$2=公区维修!$F278,$BN$2=1),0,2-SUMPRODUCT(--(($A$1:$A$2=公区维修!$F278)+$BN$1:$BN$2&gt;0)))</f>
        <v>1</v>
      </c>
      <c r="AH278" s="0" t="n">
        <f aca="false">IF(OR($A$3=公区维修!$F278,$BN$3=1),0,3-SUMPRODUCT(--(($A$1:$A$3=公区维修!$F278)+$BN$1:$BN$3&gt;0)))</f>
        <v>2</v>
      </c>
      <c r="AI278" s="0" t="n">
        <f aca="false">IF(OR($A$4=公区维修!$F278,$BN$4=1),0,4-SUMPRODUCT(--(($A$1:$A$4=公区维修!$F278)+$BN$1:$BN$4&gt;0)))</f>
        <v>3</v>
      </c>
      <c r="AJ278" s="0" t="n">
        <f aca="false">IF(OR($A$5=公区维修!$F278,$BN$5=1),0,5-SUMPRODUCT(--(($A$1:$A$5=公区维修!$F278)+$BN$1:$BN$5&gt;0)))</f>
        <v>4</v>
      </c>
      <c r="AL278" s="0" t="str">
        <f aca="false">IFERROR(INDEX($A$1:$A$5,MATCH(1,$AF278:$AJ278,0)),IF(1=MAX($AF278:$AJ278)+1,"取消",""))</f>
        <v>李师傅</v>
      </c>
      <c r="AM278" s="0" t="str">
        <f aca="false">IFERROR(INDEX($A$1:$A$5,MATCH(2,$AF278:$AJ278,0)),IF(2=MAX($AF278:$AJ278)+1,"取消",""))</f>
        <v>王师傅</v>
      </c>
      <c r="AN278" s="0" t="str">
        <f aca="false">IFERROR(INDEX($A$1:$A$5,MATCH(3,$AF278:$AJ278,0)),IF(3=MAX($AF278:$AJ278)+1,"取消",""))</f>
        <v>陈师傅</v>
      </c>
      <c r="AO278" s="0" t="str">
        <f aca="false">IFERROR(INDEX($A$1:$A$5,MATCH(4,$AF278:$AJ278,0)),IF(4=MAX($AF278:$AJ278)+1,"取消",""))</f>
        <v>刘师傅</v>
      </c>
      <c r="AP278" s="0" t="str">
        <f aca="false">IFERROR(INDEX($A$1:$A$5,MATCH(5,$AF278:$AJ278,0)),IF(5=MAX($AF278:$AJ278)+1,"取消",""))</f>
        <v>取消</v>
      </c>
      <c r="AQ278" s="0" t="str">
        <f aca="false">IFERROR(INDEX($A$1:$A$5,MATCH(6,$AF278:$AJ278,0)),IF(6=MAX($AF278:$AJ278)+1,"取消",""))</f>
        <v/>
      </c>
      <c r="AS278" s="0" t="n">
        <f aca="false">IF(OR($A$1=公区维修!$F278,$A$1=公区维修!$G278,$BN$1=1),0,1-SUMPRODUCT(--(($A$1=公区维修!$F278)+($A$1=公区维修!$G278)+$BN$1&gt;0)))</f>
        <v>0</v>
      </c>
      <c r="AT278" s="0" t="n">
        <f aca="false">IF(OR($A$2=公区维修!$F278,$A$2=公区维修!$G278,$BN$2=1),0,2-SUMPRODUCT(--(($A$1:$A$2=公区维修!$F278)+($A$1:$A$2=公区维修!$G278)+$BN$1:$BN$2&gt;0)))</f>
        <v>1</v>
      </c>
      <c r="AU278" s="0" t="n">
        <f aca="false">IF(OR($A$3=公区维修!$F278,$A$3=公区维修!$G278,$BN$3=1),0,3-SUMPRODUCT(--(($A$1:$A$3=公区维修!$F278)+($A$1:$A$3=公区维修!$G278)+$BN$1:$BN$3&gt;0)))</f>
        <v>2</v>
      </c>
      <c r="AV278" s="0" t="n">
        <f aca="false">IF(OR($A$4=公区维修!$F278,$A$4=公区维修!$G278,$BN$4=1),0,4-SUMPRODUCT(--(($A$1:$A$4=公区维修!$F278)+($A$1:$A$4=公区维修!$G278)+$BN$1:$BN$4&gt;0)))</f>
        <v>3</v>
      </c>
      <c r="AW278" s="0" t="n">
        <f aca="false">IF(OR($A$5=公区维修!$F278,$A$5=公区维修!$G278,$BN$5=1),0,5-SUMPRODUCT(--(($A$1:$A$5=公区维修!$F278)+($A$1:$A$5=公区维修!$G278)+$BN$1:$BN$5&gt;0)))</f>
        <v>4</v>
      </c>
      <c r="AY278" s="0" t="str">
        <f aca="false">IFERROR(INDEX($A$1:$A$5,MATCH(1,$AS278:$AW278,0)),IF(1=MAX($AS278:$AW278)+1,"取消",""))</f>
        <v>李师傅</v>
      </c>
      <c r="AZ278" s="0" t="str">
        <f aca="false">IFERROR(INDEX($A$1:$A$5,MATCH(2,$AS278:$AW278,0)),IF(2=MAX($AS278:$AW278)+1,"取消",""))</f>
        <v>王师傅</v>
      </c>
      <c r="BA278" s="0" t="str">
        <f aca="false">IFERROR(INDEX($A$1:$A$5,MATCH(3,$AS278:$AW278,0)),IF(3=MAX($AS278:$AW278)+1,"取消",""))</f>
        <v>陈师傅</v>
      </c>
      <c r="BB278" s="0" t="str">
        <f aca="false">IFERROR(INDEX($A$1:$A$5,MATCH(4,$AS278:$AW278,0)),IF(4=MAX($AS278:$AW278)+1,"取消",""))</f>
        <v>刘师傅</v>
      </c>
      <c r="BC278" s="0" t="str">
        <f aca="false">IFERROR(INDEX($A$1:$A$5,MATCH(5,$AS278:$AW278,0)),IF(5=MAX($AS278:$AW278)+1,"取消",""))</f>
        <v>取消</v>
      </c>
      <c r="BD278" s="0" t="str">
        <f aca="false">IFERROR(INDEX($A$1:$A$5,MATCH(6,$AS278:$AW278,0)),IF(6=MAX($AS278:$AW278)+1,"取消",""))</f>
        <v/>
      </c>
      <c r="FW278" s="0" t="str">
        <f aca="false">IF(AND(单元查询!$D$3&lt;&gt;"",IF(单元查询!$B$3="公区维修",公区维修!$E278&lt;&gt;"",入户维修!$E278&lt;&gt;""),IF(单元查询!$B$3="公区维修",公区维修!$C278,入户维修!$C278)=单元查询!$D$3,OR(单元查询!$F$3="",IF(单元查询!$B$3="公区维修",公区维修!$D278,入户维修!$D278)&amp;""=(单元查询!$F$3)&amp;"")),MAX($FW$4:$FW277)+1,"")</f>
        <v/>
      </c>
    </row>
    <row r="279" customFormat="false" ht="15" hidden="false" customHeight="true" outlineLevel="0" collapsed="false">
      <c r="F279" s="0" t="n">
        <f aca="false">IF(OR($A$1=入户维修!$F279,$BN$1=1),0,1-SUMPRODUCT(--(($A$1=入户维修!$F279)+$BN$1&gt;0)))</f>
        <v>0</v>
      </c>
      <c r="G279" s="0" t="n">
        <f aca="false">IF(OR($A$2=入户维修!$F279,$BN$2=1),0,2-SUMPRODUCT(--(($A$1:$A$2=入户维修!$F279)+$BN$1:$BN$2&gt;0)))</f>
        <v>1</v>
      </c>
      <c r="H279" s="0" t="n">
        <f aca="false">IF(OR($A$3=入户维修!$F279,$BN$3=1),0,3-SUMPRODUCT(--(($A$1:$A$3=入户维修!$F279)+$BN$1:$BN$3&gt;0)))</f>
        <v>2</v>
      </c>
      <c r="I279" s="0" t="n">
        <f aca="false">IF(OR($A$4=入户维修!$F279,$BN$4=1),0,4-SUMPRODUCT(--(($A$1:$A$4=入户维修!$F279)+$BN$1:$BN$4&gt;0)))</f>
        <v>3</v>
      </c>
      <c r="J279" s="0" t="n">
        <f aca="false">IF(OR($A$5=入户维修!$F279,$BN$5=1),0,5-SUMPRODUCT(--(($A$1:$A$5=入户维修!$F279)+$BN$1:$BN$5&gt;0)))</f>
        <v>4</v>
      </c>
      <c r="L279" s="0" t="str">
        <f aca="false">IFERROR(INDEX($A$1:$A$5,MATCH(1,$F279:$J279,0)),IF(1=MAX($F279:$J279)+1,"取消",""))</f>
        <v>李师傅</v>
      </c>
      <c r="M279" s="0" t="str">
        <f aca="false">IFERROR(INDEX($A$1:$A$5,MATCH(2,$F279:$J279,0)),IF(2=MAX($F279:$J279)+1,"取消",""))</f>
        <v>王师傅</v>
      </c>
      <c r="N279" s="0" t="str">
        <f aca="false">IFERROR(INDEX($A$1:$A$5,MATCH(3,$F279:$J279,0)),IF(3=MAX($F279:$J279)+1,"取消",""))</f>
        <v>陈师傅</v>
      </c>
      <c r="O279" s="0" t="str">
        <f aca="false">IFERROR(INDEX($A$1:$A$5,MATCH(4,$F279:$J279,0)),IF(4=MAX($F279:$J279)+1,"取消",""))</f>
        <v>刘师傅</v>
      </c>
      <c r="P279" s="0" t="str">
        <f aca="false">IFERROR(INDEX($A$1:$A$5,MATCH(5,$F279:$J279,0)),IF(5=MAX($F279:$J279)+1,"取消",""))</f>
        <v>取消</v>
      </c>
      <c r="Q279" s="0" t="str">
        <f aca="false">IFERROR(INDEX($A$1:$A$5,MATCH(6,$F279:$J279,0)),IF(6=MAX($F279:$J279)+1,"取消",""))</f>
        <v/>
      </c>
      <c r="S279" s="0" t="n">
        <f aca="false">IF(OR($A$1=入户维修!$F279,$A$1=入户维修!$G279,$BN$1=1),0,1-SUMPRODUCT(--(($A$1=入户维修!$F279)+($A$1=入户维修!$G279)+$BN$1&gt;0)))</f>
        <v>0</v>
      </c>
      <c r="T279" s="0" t="n">
        <f aca="false">IF(OR($A$2=入户维修!$F279,$A$2=入户维修!$G279,$BN$2=1),0,2-SUMPRODUCT(--(($A$1:$A$2=入户维修!$F279)+($A$1:$A$2=入户维修!$G279)+$BN$1:$BN$2&gt;0)))</f>
        <v>1</v>
      </c>
      <c r="U279" s="0" t="n">
        <f aca="false">IF(OR($A$3=入户维修!$F279,$A$3=入户维修!$G279,$BN$3=1),0,3-SUMPRODUCT(--(($A$1:$A$3=入户维修!$F279)+($A$1:$A$3=入户维修!$G279)+$BN$1:$BN$3&gt;0)))</f>
        <v>2</v>
      </c>
      <c r="V279" s="0" t="n">
        <f aca="false">IF(OR($A$4=入户维修!$F279,$A$4=入户维修!$G279,$BN$4=1),0,4-SUMPRODUCT(--(($A$1:$A$4=入户维修!$F279)+($A$1:$A$4=入户维修!$G279)+$BN$1:$BN$4&gt;0)))</f>
        <v>3</v>
      </c>
      <c r="W279" s="0" t="n">
        <f aca="false">IF(OR($A$5=入户维修!$F279,$A$5=入户维修!$G279,$BN$5=1),0,5-SUMPRODUCT(--(($A$1:$A$5=入户维修!$F279)+($A$1:$A$5=入户维修!$G279)+$BN$1:$BN$5&gt;0)))</f>
        <v>4</v>
      </c>
      <c r="Y279" s="0" t="str">
        <f aca="false">IFERROR(INDEX($A$1:$A$5,MATCH(1,$S279:$W279,0)),IF(1=MAX($S279:$W279)+1,"取消",""))</f>
        <v>李师傅</v>
      </c>
      <c r="Z279" s="0" t="str">
        <f aca="false">IFERROR(INDEX($A$1:$A$5,MATCH(2,$S279:$W279,0)),IF(2=MAX($S279:$W279)+1,"取消",""))</f>
        <v>王师傅</v>
      </c>
      <c r="AA279" s="0" t="str">
        <f aca="false">IFERROR(INDEX($A$1:$A$5,MATCH(3,$S279:$W279,0)),IF(3=MAX($S279:$W279)+1,"取消",""))</f>
        <v>陈师傅</v>
      </c>
      <c r="AB279" s="0" t="str">
        <f aca="false">IFERROR(INDEX($A$1:$A$5,MATCH(4,$S279:$W279,0)),IF(4=MAX($S279:$W279)+1,"取消",""))</f>
        <v>刘师傅</v>
      </c>
      <c r="AC279" s="0" t="str">
        <f aca="false">IFERROR(INDEX($A$1:$A$5,MATCH(5,$S279:$W279,0)),IF(5=MAX($S279:$W279)+1,"取消",""))</f>
        <v>取消</v>
      </c>
      <c r="AD279" s="0" t="str">
        <f aca="false">IFERROR(INDEX($A$1:$A$5,MATCH(6,$S279:$W279,0)),IF(6=MAX($S279:$W279)+1,"取消",""))</f>
        <v/>
      </c>
      <c r="AF279" s="0" t="n">
        <f aca="false">IF(OR($A$1=公区维修!$F279,$BN$1=1),0,1-SUMPRODUCT(--(($A$1=公区维修!$F279)+$BN$1&gt;0)))</f>
        <v>0</v>
      </c>
      <c r="AG279" s="0" t="n">
        <f aca="false">IF(OR($A$2=公区维修!$F279,$BN$2=1),0,2-SUMPRODUCT(--(($A$1:$A$2=公区维修!$F279)+$BN$1:$BN$2&gt;0)))</f>
        <v>1</v>
      </c>
      <c r="AH279" s="0" t="n">
        <f aca="false">IF(OR($A$3=公区维修!$F279,$BN$3=1),0,3-SUMPRODUCT(--(($A$1:$A$3=公区维修!$F279)+$BN$1:$BN$3&gt;0)))</f>
        <v>2</v>
      </c>
      <c r="AI279" s="0" t="n">
        <f aca="false">IF(OR($A$4=公区维修!$F279,$BN$4=1),0,4-SUMPRODUCT(--(($A$1:$A$4=公区维修!$F279)+$BN$1:$BN$4&gt;0)))</f>
        <v>3</v>
      </c>
      <c r="AJ279" s="0" t="n">
        <f aca="false">IF(OR($A$5=公区维修!$F279,$BN$5=1),0,5-SUMPRODUCT(--(($A$1:$A$5=公区维修!$F279)+$BN$1:$BN$5&gt;0)))</f>
        <v>4</v>
      </c>
      <c r="AL279" s="0" t="str">
        <f aca="false">IFERROR(INDEX($A$1:$A$5,MATCH(1,$AF279:$AJ279,0)),IF(1=MAX($AF279:$AJ279)+1,"取消",""))</f>
        <v>李师傅</v>
      </c>
      <c r="AM279" s="0" t="str">
        <f aca="false">IFERROR(INDEX($A$1:$A$5,MATCH(2,$AF279:$AJ279,0)),IF(2=MAX($AF279:$AJ279)+1,"取消",""))</f>
        <v>王师傅</v>
      </c>
      <c r="AN279" s="0" t="str">
        <f aca="false">IFERROR(INDEX($A$1:$A$5,MATCH(3,$AF279:$AJ279,0)),IF(3=MAX($AF279:$AJ279)+1,"取消",""))</f>
        <v>陈师傅</v>
      </c>
      <c r="AO279" s="0" t="str">
        <f aca="false">IFERROR(INDEX($A$1:$A$5,MATCH(4,$AF279:$AJ279,0)),IF(4=MAX($AF279:$AJ279)+1,"取消",""))</f>
        <v>刘师傅</v>
      </c>
      <c r="AP279" s="0" t="str">
        <f aca="false">IFERROR(INDEX($A$1:$A$5,MATCH(5,$AF279:$AJ279,0)),IF(5=MAX($AF279:$AJ279)+1,"取消",""))</f>
        <v>取消</v>
      </c>
      <c r="AQ279" s="0" t="str">
        <f aca="false">IFERROR(INDEX($A$1:$A$5,MATCH(6,$AF279:$AJ279,0)),IF(6=MAX($AF279:$AJ279)+1,"取消",""))</f>
        <v/>
      </c>
      <c r="AS279" s="0" t="n">
        <f aca="false">IF(OR($A$1=公区维修!$F279,$A$1=公区维修!$G279,$BN$1=1),0,1-SUMPRODUCT(--(($A$1=公区维修!$F279)+($A$1=公区维修!$G279)+$BN$1&gt;0)))</f>
        <v>0</v>
      </c>
      <c r="AT279" s="0" t="n">
        <f aca="false">IF(OR($A$2=公区维修!$F279,$A$2=公区维修!$G279,$BN$2=1),0,2-SUMPRODUCT(--(($A$1:$A$2=公区维修!$F279)+($A$1:$A$2=公区维修!$G279)+$BN$1:$BN$2&gt;0)))</f>
        <v>1</v>
      </c>
      <c r="AU279" s="0" t="n">
        <f aca="false">IF(OR($A$3=公区维修!$F279,$A$3=公区维修!$G279,$BN$3=1),0,3-SUMPRODUCT(--(($A$1:$A$3=公区维修!$F279)+($A$1:$A$3=公区维修!$G279)+$BN$1:$BN$3&gt;0)))</f>
        <v>2</v>
      </c>
      <c r="AV279" s="0" t="n">
        <f aca="false">IF(OR($A$4=公区维修!$F279,$A$4=公区维修!$G279,$BN$4=1),0,4-SUMPRODUCT(--(($A$1:$A$4=公区维修!$F279)+($A$1:$A$4=公区维修!$G279)+$BN$1:$BN$4&gt;0)))</f>
        <v>3</v>
      </c>
      <c r="AW279" s="0" t="n">
        <f aca="false">IF(OR($A$5=公区维修!$F279,$A$5=公区维修!$G279,$BN$5=1),0,5-SUMPRODUCT(--(($A$1:$A$5=公区维修!$F279)+($A$1:$A$5=公区维修!$G279)+$BN$1:$BN$5&gt;0)))</f>
        <v>4</v>
      </c>
      <c r="AY279" s="0" t="str">
        <f aca="false">IFERROR(INDEX($A$1:$A$5,MATCH(1,$AS279:$AW279,0)),IF(1=MAX($AS279:$AW279)+1,"取消",""))</f>
        <v>李师傅</v>
      </c>
      <c r="AZ279" s="0" t="str">
        <f aca="false">IFERROR(INDEX($A$1:$A$5,MATCH(2,$AS279:$AW279,0)),IF(2=MAX($AS279:$AW279)+1,"取消",""))</f>
        <v>王师傅</v>
      </c>
      <c r="BA279" s="0" t="str">
        <f aca="false">IFERROR(INDEX($A$1:$A$5,MATCH(3,$AS279:$AW279,0)),IF(3=MAX($AS279:$AW279)+1,"取消",""))</f>
        <v>陈师傅</v>
      </c>
      <c r="BB279" s="0" t="str">
        <f aca="false">IFERROR(INDEX($A$1:$A$5,MATCH(4,$AS279:$AW279,0)),IF(4=MAX($AS279:$AW279)+1,"取消",""))</f>
        <v>刘师傅</v>
      </c>
      <c r="BC279" s="0" t="str">
        <f aca="false">IFERROR(INDEX($A$1:$A$5,MATCH(5,$AS279:$AW279,0)),IF(5=MAX($AS279:$AW279)+1,"取消",""))</f>
        <v>取消</v>
      </c>
      <c r="BD279" s="0" t="str">
        <f aca="false">IFERROR(INDEX($A$1:$A$5,MATCH(6,$AS279:$AW279,0)),IF(6=MAX($AS279:$AW279)+1,"取消",""))</f>
        <v/>
      </c>
      <c r="FW279" s="0" t="str">
        <f aca="false">IF(AND(单元查询!$D$3&lt;&gt;"",IF(单元查询!$B$3="公区维修",公区维修!$E279&lt;&gt;"",入户维修!$E279&lt;&gt;""),IF(单元查询!$B$3="公区维修",公区维修!$C279,入户维修!$C279)=单元查询!$D$3,OR(单元查询!$F$3="",IF(单元查询!$B$3="公区维修",公区维修!$D279,入户维修!$D279)&amp;""=(单元查询!$F$3)&amp;"")),MAX($FW$4:$FW278)+1,"")</f>
        <v/>
      </c>
    </row>
    <row r="280" customFormat="false" ht="15" hidden="false" customHeight="true" outlineLevel="0" collapsed="false">
      <c r="F280" s="0" t="n">
        <f aca="false">IF(OR($A$1=入户维修!$F280,$BN$1=1),0,1-SUMPRODUCT(--(($A$1=入户维修!$F280)+$BN$1&gt;0)))</f>
        <v>0</v>
      </c>
      <c r="G280" s="0" t="n">
        <f aca="false">IF(OR($A$2=入户维修!$F280,$BN$2=1),0,2-SUMPRODUCT(--(($A$1:$A$2=入户维修!$F280)+$BN$1:$BN$2&gt;0)))</f>
        <v>1</v>
      </c>
      <c r="H280" s="0" t="n">
        <f aca="false">IF(OR($A$3=入户维修!$F280,$BN$3=1),0,3-SUMPRODUCT(--(($A$1:$A$3=入户维修!$F280)+$BN$1:$BN$3&gt;0)))</f>
        <v>2</v>
      </c>
      <c r="I280" s="0" t="n">
        <f aca="false">IF(OR($A$4=入户维修!$F280,$BN$4=1),0,4-SUMPRODUCT(--(($A$1:$A$4=入户维修!$F280)+$BN$1:$BN$4&gt;0)))</f>
        <v>3</v>
      </c>
      <c r="J280" s="0" t="n">
        <f aca="false">IF(OR($A$5=入户维修!$F280,$BN$5=1),0,5-SUMPRODUCT(--(($A$1:$A$5=入户维修!$F280)+$BN$1:$BN$5&gt;0)))</f>
        <v>4</v>
      </c>
      <c r="L280" s="0" t="str">
        <f aca="false">IFERROR(INDEX($A$1:$A$5,MATCH(1,$F280:$J280,0)),IF(1=MAX($F280:$J280)+1,"取消",""))</f>
        <v>李师傅</v>
      </c>
      <c r="M280" s="0" t="str">
        <f aca="false">IFERROR(INDEX($A$1:$A$5,MATCH(2,$F280:$J280,0)),IF(2=MAX($F280:$J280)+1,"取消",""))</f>
        <v>王师傅</v>
      </c>
      <c r="N280" s="0" t="str">
        <f aca="false">IFERROR(INDEX($A$1:$A$5,MATCH(3,$F280:$J280,0)),IF(3=MAX($F280:$J280)+1,"取消",""))</f>
        <v>陈师傅</v>
      </c>
      <c r="O280" s="0" t="str">
        <f aca="false">IFERROR(INDEX($A$1:$A$5,MATCH(4,$F280:$J280,0)),IF(4=MAX($F280:$J280)+1,"取消",""))</f>
        <v>刘师傅</v>
      </c>
      <c r="P280" s="0" t="str">
        <f aca="false">IFERROR(INDEX($A$1:$A$5,MATCH(5,$F280:$J280,0)),IF(5=MAX($F280:$J280)+1,"取消",""))</f>
        <v>取消</v>
      </c>
      <c r="Q280" s="0" t="str">
        <f aca="false">IFERROR(INDEX($A$1:$A$5,MATCH(6,$F280:$J280,0)),IF(6=MAX($F280:$J280)+1,"取消",""))</f>
        <v/>
      </c>
      <c r="S280" s="0" t="n">
        <f aca="false">IF(OR($A$1=入户维修!$F280,$A$1=入户维修!$G280,$BN$1=1),0,1-SUMPRODUCT(--(($A$1=入户维修!$F280)+($A$1=入户维修!$G280)+$BN$1&gt;0)))</f>
        <v>0</v>
      </c>
      <c r="T280" s="0" t="n">
        <f aca="false">IF(OR($A$2=入户维修!$F280,$A$2=入户维修!$G280,$BN$2=1),0,2-SUMPRODUCT(--(($A$1:$A$2=入户维修!$F280)+($A$1:$A$2=入户维修!$G280)+$BN$1:$BN$2&gt;0)))</f>
        <v>1</v>
      </c>
      <c r="U280" s="0" t="n">
        <f aca="false">IF(OR($A$3=入户维修!$F280,$A$3=入户维修!$G280,$BN$3=1),0,3-SUMPRODUCT(--(($A$1:$A$3=入户维修!$F280)+($A$1:$A$3=入户维修!$G280)+$BN$1:$BN$3&gt;0)))</f>
        <v>2</v>
      </c>
      <c r="V280" s="0" t="n">
        <f aca="false">IF(OR($A$4=入户维修!$F280,$A$4=入户维修!$G280,$BN$4=1),0,4-SUMPRODUCT(--(($A$1:$A$4=入户维修!$F280)+($A$1:$A$4=入户维修!$G280)+$BN$1:$BN$4&gt;0)))</f>
        <v>3</v>
      </c>
      <c r="W280" s="0" t="n">
        <f aca="false">IF(OR($A$5=入户维修!$F280,$A$5=入户维修!$G280,$BN$5=1),0,5-SUMPRODUCT(--(($A$1:$A$5=入户维修!$F280)+($A$1:$A$5=入户维修!$G280)+$BN$1:$BN$5&gt;0)))</f>
        <v>4</v>
      </c>
      <c r="Y280" s="0" t="str">
        <f aca="false">IFERROR(INDEX($A$1:$A$5,MATCH(1,$S280:$W280,0)),IF(1=MAX($S280:$W280)+1,"取消",""))</f>
        <v>李师傅</v>
      </c>
      <c r="Z280" s="0" t="str">
        <f aca="false">IFERROR(INDEX($A$1:$A$5,MATCH(2,$S280:$W280,0)),IF(2=MAX($S280:$W280)+1,"取消",""))</f>
        <v>王师傅</v>
      </c>
      <c r="AA280" s="0" t="str">
        <f aca="false">IFERROR(INDEX($A$1:$A$5,MATCH(3,$S280:$W280,0)),IF(3=MAX($S280:$W280)+1,"取消",""))</f>
        <v>陈师傅</v>
      </c>
      <c r="AB280" s="0" t="str">
        <f aca="false">IFERROR(INDEX($A$1:$A$5,MATCH(4,$S280:$W280,0)),IF(4=MAX($S280:$W280)+1,"取消",""))</f>
        <v>刘师傅</v>
      </c>
      <c r="AC280" s="0" t="str">
        <f aca="false">IFERROR(INDEX($A$1:$A$5,MATCH(5,$S280:$W280,0)),IF(5=MAX($S280:$W280)+1,"取消",""))</f>
        <v>取消</v>
      </c>
      <c r="AD280" s="0" t="str">
        <f aca="false">IFERROR(INDEX($A$1:$A$5,MATCH(6,$S280:$W280,0)),IF(6=MAX($S280:$W280)+1,"取消",""))</f>
        <v/>
      </c>
      <c r="AF280" s="0" t="n">
        <f aca="false">IF(OR($A$1=公区维修!$F280,$BN$1=1),0,1-SUMPRODUCT(--(($A$1=公区维修!$F280)+$BN$1&gt;0)))</f>
        <v>0</v>
      </c>
      <c r="AG280" s="0" t="n">
        <f aca="false">IF(OR($A$2=公区维修!$F280,$BN$2=1),0,2-SUMPRODUCT(--(($A$1:$A$2=公区维修!$F280)+$BN$1:$BN$2&gt;0)))</f>
        <v>1</v>
      </c>
      <c r="AH280" s="0" t="n">
        <f aca="false">IF(OR($A$3=公区维修!$F280,$BN$3=1),0,3-SUMPRODUCT(--(($A$1:$A$3=公区维修!$F280)+$BN$1:$BN$3&gt;0)))</f>
        <v>2</v>
      </c>
      <c r="AI280" s="0" t="n">
        <f aca="false">IF(OR($A$4=公区维修!$F280,$BN$4=1),0,4-SUMPRODUCT(--(($A$1:$A$4=公区维修!$F280)+$BN$1:$BN$4&gt;0)))</f>
        <v>3</v>
      </c>
      <c r="AJ280" s="0" t="n">
        <f aca="false">IF(OR($A$5=公区维修!$F280,$BN$5=1),0,5-SUMPRODUCT(--(($A$1:$A$5=公区维修!$F280)+$BN$1:$BN$5&gt;0)))</f>
        <v>4</v>
      </c>
      <c r="AL280" s="0" t="str">
        <f aca="false">IFERROR(INDEX($A$1:$A$5,MATCH(1,$AF280:$AJ280,0)),IF(1=MAX($AF280:$AJ280)+1,"取消",""))</f>
        <v>李师傅</v>
      </c>
      <c r="AM280" s="0" t="str">
        <f aca="false">IFERROR(INDEX($A$1:$A$5,MATCH(2,$AF280:$AJ280,0)),IF(2=MAX($AF280:$AJ280)+1,"取消",""))</f>
        <v>王师傅</v>
      </c>
      <c r="AN280" s="0" t="str">
        <f aca="false">IFERROR(INDEX($A$1:$A$5,MATCH(3,$AF280:$AJ280,0)),IF(3=MAX($AF280:$AJ280)+1,"取消",""))</f>
        <v>陈师傅</v>
      </c>
      <c r="AO280" s="0" t="str">
        <f aca="false">IFERROR(INDEX($A$1:$A$5,MATCH(4,$AF280:$AJ280,0)),IF(4=MAX($AF280:$AJ280)+1,"取消",""))</f>
        <v>刘师傅</v>
      </c>
      <c r="AP280" s="0" t="str">
        <f aca="false">IFERROR(INDEX($A$1:$A$5,MATCH(5,$AF280:$AJ280,0)),IF(5=MAX($AF280:$AJ280)+1,"取消",""))</f>
        <v>取消</v>
      </c>
      <c r="AQ280" s="0" t="str">
        <f aca="false">IFERROR(INDEX($A$1:$A$5,MATCH(6,$AF280:$AJ280,0)),IF(6=MAX($AF280:$AJ280)+1,"取消",""))</f>
        <v/>
      </c>
      <c r="AS280" s="0" t="n">
        <f aca="false">IF(OR($A$1=公区维修!$F280,$A$1=公区维修!$G280,$BN$1=1),0,1-SUMPRODUCT(--(($A$1=公区维修!$F280)+($A$1=公区维修!$G280)+$BN$1&gt;0)))</f>
        <v>0</v>
      </c>
      <c r="AT280" s="0" t="n">
        <f aca="false">IF(OR($A$2=公区维修!$F280,$A$2=公区维修!$G280,$BN$2=1),0,2-SUMPRODUCT(--(($A$1:$A$2=公区维修!$F280)+($A$1:$A$2=公区维修!$G280)+$BN$1:$BN$2&gt;0)))</f>
        <v>1</v>
      </c>
      <c r="AU280" s="0" t="n">
        <f aca="false">IF(OR($A$3=公区维修!$F280,$A$3=公区维修!$G280,$BN$3=1),0,3-SUMPRODUCT(--(($A$1:$A$3=公区维修!$F280)+($A$1:$A$3=公区维修!$G280)+$BN$1:$BN$3&gt;0)))</f>
        <v>2</v>
      </c>
      <c r="AV280" s="0" t="n">
        <f aca="false">IF(OR($A$4=公区维修!$F280,$A$4=公区维修!$G280,$BN$4=1),0,4-SUMPRODUCT(--(($A$1:$A$4=公区维修!$F280)+($A$1:$A$4=公区维修!$G280)+$BN$1:$BN$4&gt;0)))</f>
        <v>3</v>
      </c>
      <c r="AW280" s="0" t="n">
        <f aca="false">IF(OR($A$5=公区维修!$F280,$A$5=公区维修!$G280,$BN$5=1),0,5-SUMPRODUCT(--(($A$1:$A$5=公区维修!$F280)+($A$1:$A$5=公区维修!$G280)+$BN$1:$BN$5&gt;0)))</f>
        <v>4</v>
      </c>
      <c r="AY280" s="0" t="str">
        <f aca="false">IFERROR(INDEX($A$1:$A$5,MATCH(1,$AS280:$AW280,0)),IF(1=MAX($AS280:$AW280)+1,"取消",""))</f>
        <v>李师傅</v>
      </c>
      <c r="AZ280" s="0" t="str">
        <f aca="false">IFERROR(INDEX($A$1:$A$5,MATCH(2,$AS280:$AW280,0)),IF(2=MAX($AS280:$AW280)+1,"取消",""))</f>
        <v>王师傅</v>
      </c>
      <c r="BA280" s="0" t="str">
        <f aca="false">IFERROR(INDEX($A$1:$A$5,MATCH(3,$AS280:$AW280,0)),IF(3=MAX($AS280:$AW280)+1,"取消",""))</f>
        <v>陈师傅</v>
      </c>
      <c r="BB280" s="0" t="str">
        <f aca="false">IFERROR(INDEX($A$1:$A$5,MATCH(4,$AS280:$AW280,0)),IF(4=MAX($AS280:$AW280)+1,"取消",""))</f>
        <v>刘师傅</v>
      </c>
      <c r="BC280" s="0" t="str">
        <f aca="false">IFERROR(INDEX($A$1:$A$5,MATCH(5,$AS280:$AW280,0)),IF(5=MAX($AS280:$AW280)+1,"取消",""))</f>
        <v>取消</v>
      </c>
      <c r="BD280" s="0" t="str">
        <f aca="false">IFERROR(INDEX($A$1:$A$5,MATCH(6,$AS280:$AW280,0)),IF(6=MAX($AS280:$AW280)+1,"取消",""))</f>
        <v/>
      </c>
      <c r="FW280" s="0" t="str">
        <f aca="false">IF(AND(单元查询!$D$3&lt;&gt;"",IF(单元查询!$B$3="公区维修",公区维修!$E280&lt;&gt;"",入户维修!$E280&lt;&gt;""),IF(单元查询!$B$3="公区维修",公区维修!$C280,入户维修!$C280)=单元查询!$D$3,OR(单元查询!$F$3="",IF(单元查询!$B$3="公区维修",公区维修!$D280,入户维修!$D280)&amp;""=(单元查询!$F$3)&amp;"")),MAX($FW$4:$FW279)+1,"")</f>
        <v/>
      </c>
    </row>
    <row r="281" customFormat="false" ht="15" hidden="false" customHeight="true" outlineLevel="0" collapsed="false">
      <c r="F281" s="0" t="n">
        <f aca="false">IF(OR($A$1=入户维修!$F281,$BN$1=1),0,1-SUMPRODUCT(--(($A$1=入户维修!$F281)+$BN$1&gt;0)))</f>
        <v>0</v>
      </c>
      <c r="G281" s="0" t="n">
        <f aca="false">IF(OR($A$2=入户维修!$F281,$BN$2=1),0,2-SUMPRODUCT(--(($A$1:$A$2=入户维修!$F281)+$BN$1:$BN$2&gt;0)))</f>
        <v>1</v>
      </c>
      <c r="H281" s="0" t="n">
        <f aca="false">IF(OR($A$3=入户维修!$F281,$BN$3=1),0,3-SUMPRODUCT(--(($A$1:$A$3=入户维修!$F281)+$BN$1:$BN$3&gt;0)))</f>
        <v>2</v>
      </c>
      <c r="I281" s="0" t="n">
        <f aca="false">IF(OR($A$4=入户维修!$F281,$BN$4=1),0,4-SUMPRODUCT(--(($A$1:$A$4=入户维修!$F281)+$BN$1:$BN$4&gt;0)))</f>
        <v>3</v>
      </c>
      <c r="J281" s="0" t="n">
        <f aca="false">IF(OR($A$5=入户维修!$F281,$BN$5=1),0,5-SUMPRODUCT(--(($A$1:$A$5=入户维修!$F281)+$BN$1:$BN$5&gt;0)))</f>
        <v>4</v>
      </c>
      <c r="L281" s="0" t="str">
        <f aca="false">IFERROR(INDEX($A$1:$A$5,MATCH(1,$F281:$J281,0)),IF(1=MAX($F281:$J281)+1,"取消",""))</f>
        <v>李师傅</v>
      </c>
      <c r="M281" s="0" t="str">
        <f aca="false">IFERROR(INDEX($A$1:$A$5,MATCH(2,$F281:$J281,0)),IF(2=MAX($F281:$J281)+1,"取消",""))</f>
        <v>王师傅</v>
      </c>
      <c r="N281" s="0" t="str">
        <f aca="false">IFERROR(INDEX($A$1:$A$5,MATCH(3,$F281:$J281,0)),IF(3=MAX($F281:$J281)+1,"取消",""))</f>
        <v>陈师傅</v>
      </c>
      <c r="O281" s="0" t="str">
        <f aca="false">IFERROR(INDEX($A$1:$A$5,MATCH(4,$F281:$J281,0)),IF(4=MAX($F281:$J281)+1,"取消",""))</f>
        <v>刘师傅</v>
      </c>
      <c r="P281" s="0" t="str">
        <f aca="false">IFERROR(INDEX($A$1:$A$5,MATCH(5,$F281:$J281,0)),IF(5=MAX($F281:$J281)+1,"取消",""))</f>
        <v>取消</v>
      </c>
      <c r="Q281" s="0" t="str">
        <f aca="false">IFERROR(INDEX($A$1:$A$5,MATCH(6,$F281:$J281,0)),IF(6=MAX($F281:$J281)+1,"取消",""))</f>
        <v/>
      </c>
      <c r="S281" s="0" t="n">
        <f aca="false">IF(OR($A$1=入户维修!$F281,$A$1=入户维修!$G281,$BN$1=1),0,1-SUMPRODUCT(--(($A$1=入户维修!$F281)+($A$1=入户维修!$G281)+$BN$1&gt;0)))</f>
        <v>0</v>
      </c>
      <c r="T281" s="0" t="n">
        <f aca="false">IF(OR($A$2=入户维修!$F281,$A$2=入户维修!$G281,$BN$2=1),0,2-SUMPRODUCT(--(($A$1:$A$2=入户维修!$F281)+($A$1:$A$2=入户维修!$G281)+$BN$1:$BN$2&gt;0)))</f>
        <v>1</v>
      </c>
      <c r="U281" s="0" t="n">
        <f aca="false">IF(OR($A$3=入户维修!$F281,$A$3=入户维修!$G281,$BN$3=1),0,3-SUMPRODUCT(--(($A$1:$A$3=入户维修!$F281)+($A$1:$A$3=入户维修!$G281)+$BN$1:$BN$3&gt;0)))</f>
        <v>2</v>
      </c>
      <c r="V281" s="0" t="n">
        <f aca="false">IF(OR($A$4=入户维修!$F281,$A$4=入户维修!$G281,$BN$4=1),0,4-SUMPRODUCT(--(($A$1:$A$4=入户维修!$F281)+($A$1:$A$4=入户维修!$G281)+$BN$1:$BN$4&gt;0)))</f>
        <v>3</v>
      </c>
      <c r="W281" s="0" t="n">
        <f aca="false">IF(OR($A$5=入户维修!$F281,$A$5=入户维修!$G281,$BN$5=1),0,5-SUMPRODUCT(--(($A$1:$A$5=入户维修!$F281)+($A$1:$A$5=入户维修!$G281)+$BN$1:$BN$5&gt;0)))</f>
        <v>4</v>
      </c>
      <c r="Y281" s="0" t="str">
        <f aca="false">IFERROR(INDEX($A$1:$A$5,MATCH(1,$S281:$W281,0)),IF(1=MAX($S281:$W281)+1,"取消",""))</f>
        <v>李师傅</v>
      </c>
      <c r="Z281" s="0" t="str">
        <f aca="false">IFERROR(INDEX($A$1:$A$5,MATCH(2,$S281:$W281,0)),IF(2=MAX($S281:$W281)+1,"取消",""))</f>
        <v>王师傅</v>
      </c>
      <c r="AA281" s="0" t="str">
        <f aca="false">IFERROR(INDEX($A$1:$A$5,MATCH(3,$S281:$W281,0)),IF(3=MAX($S281:$W281)+1,"取消",""))</f>
        <v>陈师傅</v>
      </c>
      <c r="AB281" s="0" t="str">
        <f aca="false">IFERROR(INDEX($A$1:$A$5,MATCH(4,$S281:$W281,0)),IF(4=MAX($S281:$W281)+1,"取消",""))</f>
        <v>刘师傅</v>
      </c>
      <c r="AC281" s="0" t="str">
        <f aca="false">IFERROR(INDEX($A$1:$A$5,MATCH(5,$S281:$W281,0)),IF(5=MAX($S281:$W281)+1,"取消",""))</f>
        <v>取消</v>
      </c>
      <c r="AD281" s="0" t="str">
        <f aca="false">IFERROR(INDEX($A$1:$A$5,MATCH(6,$S281:$W281,0)),IF(6=MAX($S281:$W281)+1,"取消",""))</f>
        <v/>
      </c>
      <c r="AF281" s="0" t="n">
        <f aca="false">IF(OR($A$1=公区维修!$F281,$BN$1=1),0,1-SUMPRODUCT(--(($A$1=公区维修!$F281)+$BN$1&gt;0)))</f>
        <v>0</v>
      </c>
      <c r="AG281" s="0" t="n">
        <f aca="false">IF(OR($A$2=公区维修!$F281,$BN$2=1),0,2-SUMPRODUCT(--(($A$1:$A$2=公区维修!$F281)+$BN$1:$BN$2&gt;0)))</f>
        <v>1</v>
      </c>
      <c r="AH281" s="0" t="n">
        <f aca="false">IF(OR($A$3=公区维修!$F281,$BN$3=1),0,3-SUMPRODUCT(--(($A$1:$A$3=公区维修!$F281)+$BN$1:$BN$3&gt;0)))</f>
        <v>2</v>
      </c>
      <c r="AI281" s="0" t="n">
        <f aca="false">IF(OR($A$4=公区维修!$F281,$BN$4=1),0,4-SUMPRODUCT(--(($A$1:$A$4=公区维修!$F281)+$BN$1:$BN$4&gt;0)))</f>
        <v>3</v>
      </c>
      <c r="AJ281" s="0" t="n">
        <f aca="false">IF(OR($A$5=公区维修!$F281,$BN$5=1),0,5-SUMPRODUCT(--(($A$1:$A$5=公区维修!$F281)+$BN$1:$BN$5&gt;0)))</f>
        <v>4</v>
      </c>
      <c r="AL281" s="0" t="str">
        <f aca="false">IFERROR(INDEX($A$1:$A$5,MATCH(1,$AF281:$AJ281,0)),IF(1=MAX($AF281:$AJ281)+1,"取消",""))</f>
        <v>李师傅</v>
      </c>
      <c r="AM281" s="0" t="str">
        <f aca="false">IFERROR(INDEX($A$1:$A$5,MATCH(2,$AF281:$AJ281,0)),IF(2=MAX($AF281:$AJ281)+1,"取消",""))</f>
        <v>王师傅</v>
      </c>
      <c r="AN281" s="0" t="str">
        <f aca="false">IFERROR(INDEX($A$1:$A$5,MATCH(3,$AF281:$AJ281,0)),IF(3=MAX($AF281:$AJ281)+1,"取消",""))</f>
        <v>陈师傅</v>
      </c>
      <c r="AO281" s="0" t="str">
        <f aca="false">IFERROR(INDEX($A$1:$A$5,MATCH(4,$AF281:$AJ281,0)),IF(4=MAX($AF281:$AJ281)+1,"取消",""))</f>
        <v>刘师傅</v>
      </c>
      <c r="AP281" s="0" t="str">
        <f aca="false">IFERROR(INDEX($A$1:$A$5,MATCH(5,$AF281:$AJ281,0)),IF(5=MAX($AF281:$AJ281)+1,"取消",""))</f>
        <v>取消</v>
      </c>
      <c r="AQ281" s="0" t="str">
        <f aca="false">IFERROR(INDEX($A$1:$A$5,MATCH(6,$AF281:$AJ281,0)),IF(6=MAX($AF281:$AJ281)+1,"取消",""))</f>
        <v/>
      </c>
      <c r="AS281" s="0" t="n">
        <f aca="false">IF(OR($A$1=公区维修!$F281,$A$1=公区维修!$G281,$BN$1=1),0,1-SUMPRODUCT(--(($A$1=公区维修!$F281)+($A$1=公区维修!$G281)+$BN$1&gt;0)))</f>
        <v>0</v>
      </c>
      <c r="AT281" s="0" t="n">
        <f aca="false">IF(OR($A$2=公区维修!$F281,$A$2=公区维修!$G281,$BN$2=1),0,2-SUMPRODUCT(--(($A$1:$A$2=公区维修!$F281)+($A$1:$A$2=公区维修!$G281)+$BN$1:$BN$2&gt;0)))</f>
        <v>1</v>
      </c>
      <c r="AU281" s="0" t="n">
        <f aca="false">IF(OR($A$3=公区维修!$F281,$A$3=公区维修!$G281,$BN$3=1),0,3-SUMPRODUCT(--(($A$1:$A$3=公区维修!$F281)+($A$1:$A$3=公区维修!$G281)+$BN$1:$BN$3&gt;0)))</f>
        <v>2</v>
      </c>
      <c r="AV281" s="0" t="n">
        <f aca="false">IF(OR($A$4=公区维修!$F281,$A$4=公区维修!$G281,$BN$4=1),0,4-SUMPRODUCT(--(($A$1:$A$4=公区维修!$F281)+($A$1:$A$4=公区维修!$G281)+$BN$1:$BN$4&gt;0)))</f>
        <v>3</v>
      </c>
      <c r="AW281" s="0" t="n">
        <f aca="false">IF(OR($A$5=公区维修!$F281,$A$5=公区维修!$G281,$BN$5=1),0,5-SUMPRODUCT(--(($A$1:$A$5=公区维修!$F281)+($A$1:$A$5=公区维修!$G281)+$BN$1:$BN$5&gt;0)))</f>
        <v>4</v>
      </c>
      <c r="AY281" s="0" t="str">
        <f aca="false">IFERROR(INDEX($A$1:$A$5,MATCH(1,$AS281:$AW281,0)),IF(1=MAX($AS281:$AW281)+1,"取消",""))</f>
        <v>李师傅</v>
      </c>
      <c r="AZ281" s="0" t="str">
        <f aca="false">IFERROR(INDEX($A$1:$A$5,MATCH(2,$AS281:$AW281,0)),IF(2=MAX($AS281:$AW281)+1,"取消",""))</f>
        <v>王师傅</v>
      </c>
      <c r="BA281" s="0" t="str">
        <f aca="false">IFERROR(INDEX($A$1:$A$5,MATCH(3,$AS281:$AW281,0)),IF(3=MAX($AS281:$AW281)+1,"取消",""))</f>
        <v>陈师傅</v>
      </c>
      <c r="BB281" s="0" t="str">
        <f aca="false">IFERROR(INDEX($A$1:$A$5,MATCH(4,$AS281:$AW281,0)),IF(4=MAX($AS281:$AW281)+1,"取消",""))</f>
        <v>刘师傅</v>
      </c>
      <c r="BC281" s="0" t="str">
        <f aca="false">IFERROR(INDEX($A$1:$A$5,MATCH(5,$AS281:$AW281,0)),IF(5=MAX($AS281:$AW281)+1,"取消",""))</f>
        <v>取消</v>
      </c>
      <c r="BD281" s="0" t="str">
        <f aca="false">IFERROR(INDEX($A$1:$A$5,MATCH(6,$AS281:$AW281,0)),IF(6=MAX($AS281:$AW281)+1,"取消",""))</f>
        <v/>
      </c>
      <c r="FW281" s="0" t="str">
        <f aca="false">IF(AND(单元查询!$D$3&lt;&gt;"",IF(单元查询!$B$3="公区维修",公区维修!$E281&lt;&gt;"",入户维修!$E281&lt;&gt;""),IF(单元查询!$B$3="公区维修",公区维修!$C281,入户维修!$C281)=单元查询!$D$3,OR(单元查询!$F$3="",IF(单元查询!$B$3="公区维修",公区维修!$D281,入户维修!$D281)&amp;""=(单元查询!$F$3)&amp;"")),MAX($FW$4:$FW280)+1,"")</f>
        <v/>
      </c>
    </row>
    <row r="282" customFormat="false" ht="15" hidden="false" customHeight="true" outlineLevel="0" collapsed="false">
      <c r="F282" s="0" t="n">
        <f aca="false">IF(OR($A$1=入户维修!$F282,$BN$1=1),0,1-SUMPRODUCT(--(($A$1=入户维修!$F282)+$BN$1&gt;0)))</f>
        <v>0</v>
      </c>
      <c r="G282" s="0" t="n">
        <f aca="false">IF(OR($A$2=入户维修!$F282,$BN$2=1),0,2-SUMPRODUCT(--(($A$1:$A$2=入户维修!$F282)+$BN$1:$BN$2&gt;0)))</f>
        <v>1</v>
      </c>
      <c r="H282" s="0" t="n">
        <f aca="false">IF(OR($A$3=入户维修!$F282,$BN$3=1),0,3-SUMPRODUCT(--(($A$1:$A$3=入户维修!$F282)+$BN$1:$BN$3&gt;0)))</f>
        <v>2</v>
      </c>
      <c r="I282" s="0" t="n">
        <f aca="false">IF(OR($A$4=入户维修!$F282,$BN$4=1),0,4-SUMPRODUCT(--(($A$1:$A$4=入户维修!$F282)+$BN$1:$BN$4&gt;0)))</f>
        <v>3</v>
      </c>
      <c r="J282" s="0" t="n">
        <f aca="false">IF(OR($A$5=入户维修!$F282,$BN$5=1),0,5-SUMPRODUCT(--(($A$1:$A$5=入户维修!$F282)+$BN$1:$BN$5&gt;0)))</f>
        <v>4</v>
      </c>
      <c r="L282" s="0" t="str">
        <f aca="false">IFERROR(INDEX($A$1:$A$5,MATCH(1,$F282:$J282,0)),IF(1=MAX($F282:$J282)+1,"取消",""))</f>
        <v>李师傅</v>
      </c>
      <c r="M282" s="0" t="str">
        <f aca="false">IFERROR(INDEX($A$1:$A$5,MATCH(2,$F282:$J282,0)),IF(2=MAX($F282:$J282)+1,"取消",""))</f>
        <v>王师傅</v>
      </c>
      <c r="N282" s="0" t="str">
        <f aca="false">IFERROR(INDEX($A$1:$A$5,MATCH(3,$F282:$J282,0)),IF(3=MAX($F282:$J282)+1,"取消",""))</f>
        <v>陈师傅</v>
      </c>
      <c r="O282" s="0" t="str">
        <f aca="false">IFERROR(INDEX($A$1:$A$5,MATCH(4,$F282:$J282,0)),IF(4=MAX($F282:$J282)+1,"取消",""))</f>
        <v>刘师傅</v>
      </c>
      <c r="P282" s="0" t="str">
        <f aca="false">IFERROR(INDEX($A$1:$A$5,MATCH(5,$F282:$J282,0)),IF(5=MAX($F282:$J282)+1,"取消",""))</f>
        <v>取消</v>
      </c>
      <c r="Q282" s="0" t="str">
        <f aca="false">IFERROR(INDEX($A$1:$A$5,MATCH(6,$F282:$J282,0)),IF(6=MAX($F282:$J282)+1,"取消",""))</f>
        <v/>
      </c>
      <c r="S282" s="0" t="n">
        <f aca="false">IF(OR($A$1=入户维修!$F282,$A$1=入户维修!$G282,$BN$1=1),0,1-SUMPRODUCT(--(($A$1=入户维修!$F282)+($A$1=入户维修!$G282)+$BN$1&gt;0)))</f>
        <v>0</v>
      </c>
      <c r="T282" s="0" t="n">
        <f aca="false">IF(OR($A$2=入户维修!$F282,$A$2=入户维修!$G282,$BN$2=1),0,2-SUMPRODUCT(--(($A$1:$A$2=入户维修!$F282)+($A$1:$A$2=入户维修!$G282)+$BN$1:$BN$2&gt;0)))</f>
        <v>1</v>
      </c>
      <c r="U282" s="0" t="n">
        <f aca="false">IF(OR($A$3=入户维修!$F282,$A$3=入户维修!$G282,$BN$3=1),0,3-SUMPRODUCT(--(($A$1:$A$3=入户维修!$F282)+($A$1:$A$3=入户维修!$G282)+$BN$1:$BN$3&gt;0)))</f>
        <v>2</v>
      </c>
      <c r="V282" s="0" t="n">
        <f aca="false">IF(OR($A$4=入户维修!$F282,$A$4=入户维修!$G282,$BN$4=1),0,4-SUMPRODUCT(--(($A$1:$A$4=入户维修!$F282)+($A$1:$A$4=入户维修!$G282)+$BN$1:$BN$4&gt;0)))</f>
        <v>3</v>
      </c>
      <c r="W282" s="0" t="n">
        <f aca="false">IF(OR($A$5=入户维修!$F282,$A$5=入户维修!$G282,$BN$5=1),0,5-SUMPRODUCT(--(($A$1:$A$5=入户维修!$F282)+($A$1:$A$5=入户维修!$G282)+$BN$1:$BN$5&gt;0)))</f>
        <v>4</v>
      </c>
      <c r="Y282" s="0" t="str">
        <f aca="false">IFERROR(INDEX($A$1:$A$5,MATCH(1,$S282:$W282,0)),IF(1=MAX($S282:$W282)+1,"取消",""))</f>
        <v>李师傅</v>
      </c>
      <c r="Z282" s="0" t="str">
        <f aca="false">IFERROR(INDEX($A$1:$A$5,MATCH(2,$S282:$W282,0)),IF(2=MAX($S282:$W282)+1,"取消",""))</f>
        <v>王师傅</v>
      </c>
      <c r="AA282" s="0" t="str">
        <f aca="false">IFERROR(INDEX($A$1:$A$5,MATCH(3,$S282:$W282,0)),IF(3=MAX($S282:$W282)+1,"取消",""))</f>
        <v>陈师傅</v>
      </c>
      <c r="AB282" s="0" t="str">
        <f aca="false">IFERROR(INDEX($A$1:$A$5,MATCH(4,$S282:$W282,0)),IF(4=MAX($S282:$W282)+1,"取消",""))</f>
        <v>刘师傅</v>
      </c>
      <c r="AC282" s="0" t="str">
        <f aca="false">IFERROR(INDEX($A$1:$A$5,MATCH(5,$S282:$W282,0)),IF(5=MAX($S282:$W282)+1,"取消",""))</f>
        <v>取消</v>
      </c>
      <c r="AD282" s="0" t="str">
        <f aca="false">IFERROR(INDEX($A$1:$A$5,MATCH(6,$S282:$W282,0)),IF(6=MAX($S282:$W282)+1,"取消",""))</f>
        <v/>
      </c>
      <c r="AF282" s="0" t="n">
        <f aca="false">IF(OR($A$1=公区维修!$F282,$BN$1=1),0,1-SUMPRODUCT(--(($A$1=公区维修!$F282)+$BN$1&gt;0)))</f>
        <v>0</v>
      </c>
      <c r="AG282" s="0" t="n">
        <f aca="false">IF(OR($A$2=公区维修!$F282,$BN$2=1),0,2-SUMPRODUCT(--(($A$1:$A$2=公区维修!$F282)+$BN$1:$BN$2&gt;0)))</f>
        <v>1</v>
      </c>
      <c r="AH282" s="0" t="n">
        <f aca="false">IF(OR($A$3=公区维修!$F282,$BN$3=1),0,3-SUMPRODUCT(--(($A$1:$A$3=公区维修!$F282)+$BN$1:$BN$3&gt;0)))</f>
        <v>2</v>
      </c>
      <c r="AI282" s="0" t="n">
        <f aca="false">IF(OR($A$4=公区维修!$F282,$BN$4=1),0,4-SUMPRODUCT(--(($A$1:$A$4=公区维修!$F282)+$BN$1:$BN$4&gt;0)))</f>
        <v>3</v>
      </c>
      <c r="AJ282" s="0" t="n">
        <f aca="false">IF(OR($A$5=公区维修!$F282,$BN$5=1),0,5-SUMPRODUCT(--(($A$1:$A$5=公区维修!$F282)+$BN$1:$BN$5&gt;0)))</f>
        <v>4</v>
      </c>
      <c r="AL282" s="0" t="str">
        <f aca="false">IFERROR(INDEX($A$1:$A$5,MATCH(1,$AF282:$AJ282,0)),IF(1=MAX($AF282:$AJ282)+1,"取消",""))</f>
        <v>李师傅</v>
      </c>
      <c r="AM282" s="0" t="str">
        <f aca="false">IFERROR(INDEX($A$1:$A$5,MATCH(2,$AF282:$AJ282,0)),IF(2=MAX($AF282:$AJ282)+1,"取消",""))</f>
        <v>王师傅</v>
      </c>
      <c r="AN282" s="0" t="str">
        <f aca="false">IFERROR(INDEX($A$1:$A$5,MATCH(3,$AF282:$AJ282,0)),IF(3=MAX($AF282:$AJ282)+1,"取消",""))</f>
        <v>陈师傅</v>
      </c>
      <c r="AO282" s="0" t="str">
        <f aca="false">IFERROR(INDEX($A$1:$A$5,MATCH(4,$AF282:$AJ282,0)),IF(4=MAX($AF282:$AJ282)+1,"取消",""))</f>
        <v>刘师傅</v>
      </c>
      <c r="AP282" s="0" t="str">
        <f aca="false">IFERROR(INDEX($A$1:$A$5,MATCH(5,$AF282:$AJ282,0)),IF(5=MAX($AF282:$AJ282)+1,"取消",""))</f>
        <v>取消</v>
      </c>
      <c r="AQ282" s="0" t="str">
        <f aca="false">IFERROR(INDEX($A$1:$A$5,MATCH(6,$AF282:$AJ282,0)),IF(6=MAX($AF282:$AJ282)+1,"取消",""))</f>
        <v/>
      </c>
      <c r="AS282" s="0" t="n">
        <f aca="false">IF(OR($A$1=公区维修!$F282,$A$1=公区维修!$G282,$BN$1=1),0,1-SUMPRODUCT(--(($A$1=公区维修!$F282)+($A$1=公区维修!$G282)+$BN$1&gt;0)))</f>
        <v>0</v>
      </c>
      <c r="AT282" s="0" t="n">
        <f aca="false">IF(OR($A$2=公区维修!$F282,$A$2=公区维修!$G282,$BN$2=1),0,2-SUMPRODUCT(--(($A$1:$A$2=公区维修!$F282)+($A$1:$A$2=公区维修!$G282)+$BN$1:$BN$2&gt;0)))</f>
        <v>1</v>
      </c>
      <c r="AU282" s="0" t="n">
        <f aca="false">IF(OR($A$3=公区维修!$F282,$A$3=公区维修!$G282,$BN$3=1),0,3-SUMPRODUCT(--(($A$1:$A$3=公区维修!$F282)+($A$1:$A$3=公区维修!$G282)+$BN$1:$BN$3&gt;0)))</f>
        <v>2</v>
      </c>
      <c r="AV282" s="0" t="n">
        <f aca="false">IF(OR($A$4=公区维修!$F282,$A$4=公区维修!$G282,$BN$4=1),0,4-SUMPRODUCT(--(($A$1:$A$4=公区维修!$F282)+($A$1:$A$4=公区维修!$G282)+$BN$1:$BN$4&gt;0)))</f>
        <v>3</v>
      </c>
      <c r="AW282" s="0" t="n">
        <f aca="false">IF(OR($A$5=公区维修!$F282,$A$5=公区维修!$G282,$BN$5=1),0,5-SUMPRODUCT(--(($A$1:$A$5=公区维修!$F282)+($A$1:$A$5=公区维修!$G282)+$BN$1:$BN$5&gt;0)))</f>
        <v>4</v>
      </c>
      <c r="AY282" s="0" t="str">
        <f aca="false">IFERROR(INDEX($A$1:$A$5,MATCH(1,$AS282:$AW282,0)),IF(1=MAX($AS282:$AW282)+1,"取消",""))</f>
        <v>李师傅</v>
      </c>
      <c r="AZ282" s="0" t="str">
        <f aca="false">IFERROR(INDEX($A$1:$A$5,MATCH(2,$AS282:$AW282,0)),IF(2=MAX($AS282:$AW282)+1,"取消",""))</f>
        <v>王师傅</v>
      </c>
      <c r="BA282" s="0" t="str">
        <f aca="false">IFERROR(INDEX($A$1:$A$5,MATCH(3,$AS282:$AW282,0)),IF(3=MAX($AS282:$AW282)+1,"取消",""))</f>
        <v>陈师傅</v>
      </c>
      <c r="BB282" s="0" t="str">
        <f aca="false">IFERROR(INDEX($A$1:$A$5,MATCH(4,$AS282:$AW282,0)),IF(4=MAX($AS282:$AW282)+1,"取消",""))</f>
        <v>刘师傅</v>
      </c>
      <c r="BC282" s="0" t="str">
        <f aca="false">IFERROR(INDEX($A$1:$A$5,MATCH(5,$AS282:$AW282,0)),IF(5=MAX($AS282:$AW282)+1,"取消",""))</f>
        <v>取消</v>
      </c>
      <c r="BD282" s="0" t="str">
        <f aca="false">IFERROR(INDEX($A$1:$A$5,MATCH(6,$AS282:$AW282,0)),IF(6=MAX($AS282:$AW282)+1,"取消",""))</f>
        <v/>
      </c>
      <c r="FW282" s="0" t="str">
        <f aca="false">IF(AND(单元查询!$D$3&lt;&gt;"",IF(单元查询!$B$3="公区维修",公区维修!$E282&lt;&gt;"",入户维修!$E282&lt;&gt;""),IF(单元查询!$B$3="公区维修",公区维修!$C282,入户维修!$C282)=单元查询!$D$3,OR(单元查询!$F$3="",IF(单元查询!$B$3="公区维修",公区维修!$D282,入户维修!$D282)&amp;""=(单元查询!$F$3)&amp;"")),MAX($FW$4:$FW281)+1,"")</f>
        <v/>
      </c>
    </row>
    <row r="283" customFormat="false" ht="15" hidden="false" customHeight="true" outlineLevel="0" collapsed="false">
      <c r="F283" s="0" t="n">
        <f aca="false">IF(OR($A$1=入户维修!$F283,$BN$1=1),0,1-SUMPRODUCT(--(($A$1=入户维修!$F283)+$BN$1&gt;0)))</f>
        <v>0</v>
      </c>
      <c r="G283" s="0" t="n">
        <f aca="false">IF(OR($A$2=入户维修!$F283,$BN$2=1),0,2-SUMPRODUCT(--(($A$1:$A$2=入户维修!$F283)+$BN$1:$BN$2&gt;0)))</f>
        <v>1</v>
      </c>
      <c r="H283" s="0" t="n">
        <f aca="false">IF(OR($A$3=入户维修!$F283,$BN$3=1),0,3-SUMPRODUCT(--(($A$1:$A$3=入户维修!$F283)+$BN$1:$BN$3&gt;0)))</f>
        <v>2</v>
      </c>
      <c r="I283" s="0" t="n">
        <f aca="false">IF(OR($A$4=入户维修!$F283,$BN$4=1),0,4-SUMPRODUCT(--(($A$1:$A$4=入户维修!$F283)+$BN$1:$BN$4&gt;0)))</f>
        <v>3</v>
      </c>
      <c r="J283" s="0" t="n">
        <f aca="false">IF(OR($A$5=入户维修!$F283,$BN$5=1),0,5-SUMPRODUCT(--(($A$1:$A$5=入户维修!$F283)+$BN$1:$BN$5&gt;0)))</f>
        <v>4</v>
      </c>
      <c r="L283" s="0" t="str">
        <f aca="false">IFERROR(INDEX($A$1:$A$5,MATCH(1,$F283:$J283,0)),IF(1=MAX($F283:$J283)+1,"取消",""))</f>
        <v>李师傅</v>
      </c>
      <c r="M283" s="0" t="str">
        <f aca="false">IFERROR(INDEX($A$1:$A$5,MATCH(2,$F283:$J283,0)),IF(2=MAX($F283:$J283)+1,"取消",""))</f>
        <v>王师傅</v>
      </c>
      <c r="N283" s="0" t="str">
        <f aca="false">IFERROR(INDEX($A$1:$A$5,MATCH(3,$F283:$J283,0)),IF(3=MAX($F283:$J283)+1,"取消",""))</f>
        <v>陈师傅</v>
      </c>
      <c r="O283" s="0" t="str">
        <f aca="false">IFERROR(INDEX($A$1:$A$5,MATCH(4,$F283:$J283,0)),IF(4=MAX($F283:$J283)+1,"取消",""))</f>
        <v>刘师傅</v>
      </c>
      <c r="P283" s="0" t="str">
        <f aca="false">IFERROR(INDEX($A$1:$A$5,MATCH(5,$F283:$J283,0)),IF(5=MAX($F283:$J283)+1,"取消",""))</f>
        <v>取消</v>
      </c>
      <c r="Q283" s="0" t="str">
        <f aca="false">IFERROR(INDEX($A$1:$A$5,MATCH(6,$F283:$J283,0)),IF(6=MAX($F283:$J283)+1,"取消",""))</f>
        <v/>
      </c>
      <c r="S283" s="0" t="n">
        <f aca="false">IF(OR($A$1=入户维修!$F283,$A$1=入户维修!$G283,$BN$1=1),0,1-SUMPRODUCT(--(($A$1=入户维修!$F283)+($A$1=入户维修!$G283)+$BN$1&gt;0)))</f>
        <v>0</v>
      </c>
      <c r="T283" s="0" t="n">
        <f aca="false">IF(OR($A$2=入户维修!$F283,$A$2=入户维修!$G283,$BN$2=1),0,2-SUMPRODUCT(--(($A$1:$A$2=入户维修!$F283)+($A$1:$A$2=入户维修!$G283)+$BN$1:$BN$2&gt;0)))</f>
        <v>1</v>
      </c>
      <c r="U283" s="0" t="n">
        <f aca="false">IF(OR($A$3=入户维修!$F283,$A$3=入户维修!$G283,$BN$3=1),0,3-SUMPRODUCT(--(($A$1:$A$3=入户维修!$F283)+($A$1:$A$3=入户维修!$G283)+$BN$1:$BN$3&gt;0)))</f>
        <v>2</v>
      </c>
      <c r="V283" s="0" t="n">
        <f aca="false">IF(OR($A$4=入户维修!$F283,$A$4=入户维修!$G283,$BN$4=1),0,4-SUMPRODUCT(--(($A$1:$A$4=入户维修!$F283)+($A$1:$A$4=入户维修!$G283)+$BN$1:$BN$4&gt;0)))</f>
        <v>3</v>
      </c>
      <c r="W283" s="0" t="n">
        <f aca="false">IF(OR($A$5=入户维修!$F283,$A$5=入户维修!$G283,$BN$5=1),0,5-SUMPRODUCT(--(($A$1:$A$5=入户维修!$F283)+($A$1:$A$5=入户维修!$G283)+$BN$1:$BN$5&gt;0)))</f>
        <v>4</v>
      </c>
      <c r="Y283" s="0" t="str">
        <f aca="false">IFERROR(INDEX($A$1:$A$5,MATCH(1,$S283:$W283,0)),IF(1=MAX($S283:$W283)+1,"取消",""))</f>
        <v>李师傅</v>
      </c>
      <c r="Z283" s="0" t="str">
        <f aca="false">IFERROR(INDEX($A$1:$A$5,MATCH(2,$S283:$W283,0)),IF(2=MAX($S283:$W283)+1,"取消",""))</f>
        <v>王师傅</v>
      </c>
      <c r="AA283" s="0" t="str">
        <f aca="false">IFERROR(INDEX($A$1:$A$5,MATCH(3,$S283:$W283,0)),IF(3=MAX($S283:$W283)+1,"取消",""))</f>
        <v>陈师傅</v>
      </c>
      <c r="AB283" s="0" t="str">
        <f aca="false">IFERROR(INDEX($A$1:$A$5,MATCH(4,$S283:$W283,0)),IF(4=MAX($S283:$W283)+1,"取消",""))</f>
        <v>刘师傅</v>
      </c>
      <c r="AC283" s="0" t="str">
        <f aca="false">IFERROR(INDEX($A$1:$A$5,MATCH(5,$S283:$W283,0)),IF(5=MAX($S283:$W283)+1,"取消",""))</f>
        <v>取消</v>
      </c>
      <c r="AD283" s="0" t="str">
        <f aca="false">IFERROR(INDEX($A$1:$A$5,MATCH(6,$S283:$W283,0)),IF(6=MAX($S283:$W283)+1,"取消",""))</f>
        <v/>
      </c>
      <c r="AF283" s="0" t="n">
        <f aca="false">IF(OR($A$1=公区维修!$F283,$BN$1=1),0,1-SUMPRODUCT(--(($A$1=公区维修!$F283)+$BN$1&gt;0)))</f>
        <v>0</v>
      </c>
      <c r="AG283" s="0" t="n">
        <f aca="false">IF(OR($A$2=公区维修!$F283,$BN$2=1),0,2-SUMPRODUCT(--(($A$1:$A$2=公区维修!$F283)+$BN$1:$BN$2&gt;0)))</f>
        <v>1</v>
      </c>
      <c r="AH283" s="0" t="n">
        <f aca="false">IF(OR($A$3=公区维修!$F283,$BN$3=1),0,3-SUMPRODUCT(--(($A$1:$A$3=公区维修!$F283)+$BN$1:$BN$3&gt;0)))</f>
        <v>2</v>
      </c>
      <c r="AI283" s="0" t="n">
        <f aca="false">IF(OR($A$4=公区维修!$F283,$BN$4=1),0,4-SUMPRODUCT(--(($A$1:$A$4=公区维修!$F283)+$BN$1:$BN$4&gt;0)))</f>
        <v>3</v>
      </c>
      <c r="AJ283" s="0" t="n">
        <f aca="false">IF(OR($A$5=公区维修!$F283,$BN$5=1),0,5-SUMPRODUCT(--(($A$1:$A$5=公区维修!$F283)+$BN$1:$BN$5&gt;0)))</f>
        <v>4</v>
      </c>
      <c r="AL283" s="0" t="str">
        <f aca="false">IFERROR(INDEX($A$1:$A$5,MATCH(1,$AF283:$AJ283,0)),IF(1=MAX($AF283:$AJ283)+1,"取消",""))</f>
        <v>李师傅</v>
      </c>
      <c r="AM283" s="0" t="str">
        <f aca="false">IFERROR(INDEX($A$1:$A$5,MATCH(2,$AF283:$AJ283,0)),IF(2=MAX($AF283:$AJ283)+1,"取消",""))</f>
        <v>王师傅</v>
      </c>
      <c r="AN283" s="0" t="str">
        <f aca="false">IFERROR(INDEX($A$1:$A$5,MATCH(3,$AF283:$AJ283,0)),IF(3=MAX($AF283:$AJ283)+1,"取消",""))</f>
        <v>陈师傅</v>
      </c>
      <c r="AO283" s="0" t="str">
        <f aca="false">IFERROR(INDEX($A$1:$A$5,MATCH(4,$AF283:$AJ283,0)),IF(4=MAX($AF283:$AJ283)+1,"取消",""))</f>
        <v>刘师傅</v>
      </c>
      <c r="AP283" s="0" t="str">
        <f aca="false">IFERROR(INDEX($A$1:$A$5,MATCH(5,$AF283:$AJ283,0)),IF(5=MAX($AF283:$AJ283)+1,"取消",""))</f>
        <v>取消</v>
      </c>
      <c r="AQ283" s="0" t="str">
        <f aca="false">IFERROR(INDEX($A$1:$A$5,MATCH(6,$AF283:$AJ283,0)),IF(6=MAX($AF283:$AJ283)+1,"取消",""))</f>
        <v/>
      </c>
      <c r="AS283" s="0" t="n">
        <f aca="false">IF(OR($A$1=公区维修!$F283,$A$1=公区维修!$G283,$BN$1=1),0,1-SUMPRODUCT(--(($A$1=公区维修!$F283)+($A$1=公区维修!$G283)+$BN$1&gt;0)))</f>
        <v>0</v>
      </c>
      <c r="AT283" s="0" t="n">
        <f aca="false">IF(OR($A$2=公区维修!$F283,$A$2=公区维修!$G283,$BN$2=1),0,2-SUMPRODUCT(--(($A$1:$A$2=公区维修!$F283)+($A$1:$A$2=公区维修!$G283)+$BN$1:$BN$2&gt;0)))</f>
        <v>1</v>
      </c>
      <c r="AU283" s="0" t="n">
        <f aca="false">IF(OR($A$3=公区维修!$F283,$A$3=公区维修!$G283,$BN$3=1),0,3-SUMPRODUCT(--(($A$1:$A$3=公区维修!$F283)+($A$1:$A$3=公区维修!$G283)+$BN$1:$BN$3&gt;0)))</f>
        <v>2</v>
      </c>
      <c r="AV283" s="0" t="n">
        <f aca="false">IF(OR($A$4=公区维修!$F283,$A$4=公区维修!$G283,$BN$4=1),0,4-SUMPRODUCT(--(($A$1:$A$4=公区维修!$F283)+($A$1:$A$4=公区维修!$G283)+$BN$1:$BN$4&gt;0)))</f>
        <v>3</v>
      </c>
      <c r="AW283" s="0" t="n">
        <f aca="false">IF(OR($A$5=公区维修!$F283,$A$5=公区维修!$G283,$BN$5=1),0,5-SUMPRODUCT(--(($A$1:$A$5=公区维修!$F283)+($A$1:$A$5=公区维修!$G283)+$BN$1:$BN$5&gt;0)))</f>
        <v>4</v>
      </c>
      <c r="AY283" s="0" t="str">
        <f aca="false">IFERROR(INDEX($A$1:$A$5,MATCH(1,$AS283:$AW283,0)),IF(1=MAX($AS283:$AW283)+1,"取消",""))</f>
        <v>李师傅</v>
      </c>
      <c r="AZ283" s="0" t="str">
        <f aca="false">IFERROR(INDEX($A$1:$A$5,MATCH(2,$AS283:$AW283,0)),IF(2=MAX($AS283:$AW283)+1,"取消",""))</f>
        <v>王师傅</v>
      </c>
      <c r="BA283" s="0" t="str">
        <f aca="false">IFERROR(INDEX($A$1:$A$5,MATCH(3,$AS283:$AW283,0)),IF(3=MAX($AS283:$AW283)+1,"取消",""))</f>
        <v>陈师傅</v>
      </c>
      <c r="BB283" s="0" t="str">
        <f aca="false">IFERROR(INDEX($A$1:$A$5,MATCH(4,$AS283:$AW283,0)),IF(4=MAX($AS283:$AW283)+1,"取消",""))</f>
        <v>刘师傅</v>
      </c>
      <c r="BC283" s="0" t="str">
        <f aca="false">IFERROR(INDEX($A$1:$A$5,MATCH(5,$AS283:$AW283,0)),IF(5=MAX($AS283:$AW283)+1,"取消",""))</f>
        <v>取消</v>
      </c>
      <c r="BD283" s="0" t="str">
        <f aca="false">IFERROR(INDEX($A$1:$A$5,MATCH(6,$AS283:$AW283,0)),IF(6=MAX($AS283:$AW283)+1,"取消",""))</f>
        <v/>
      </c>
      <c r="FW283" s="0" t="str">
        <f aca="false">IF(AND(单元查询!$D$3&lt;&gt;"",IF(单元查询!$B$3="公区维修",公区维修!$E283&lt;&gt;"",入户维修!$E283&lt;&gt;""),IF(单元查询!$B$3="公区维修",公区维修!$C283,入户维修!$C283)=单元查询!$D$3,OR(单元查询!$F$3="",IF(单元查询!$B$3="公区维修",公区维修!$D283,入户维修!$D283)&amp;""=(单元查询!$F$3)&amp;"")),MAX($FW$4:$FW282)+1,"")</f>
        <v/>
      </c>
    </row>
    <row r="284" customFormat="false" ht="15" hidden="false" customHeight="true" outlineLevel="0" collapsed="false">
      <c r="F284" s="0" t="n">
        <f aca="false">IF(OR($A$1=入户维修!$F284,$BN$1=1),0,1-SUMPRODUCT(--(($A$1=入户维修!$F284)+$BN$1&gt;0)))</f>
        <v>0</v>
      </c>
      <c r="G284" s="0" t="n">
        <f aca="false">IF(OR($A$2=入户维修!$F284,$BN$2=1),0,2-SUMPRODUCT(--(($A$1:$A$2=入户维修!$F284)+$BN$1:$BN$2&gt;0)))</f>
        <v>1</v>
      </c>
      <c r="H284" s="0" t="n">
        <f aca="false">IF(OR($A$3=入户维修!$F284,$BN$3=1),0,3-SUMPRODUCT(--(($A$1:$A$3=入户维修!$F284)+$BN$1:$BN$3&gt;0)))</f>
        <v>2</v>
      </c>
      <c r="I284" s="0" t="n">
        <f aca="false">IF(OR($A$4=入户维修!$F284,$BN$4=1),0,4-SUMPRODUCT(--(($A$1:$A$4=入户维修!$F284)+$BN$1:$BN$4&gt;0)))</f>
        <v>3</v>
      </c>
      <c r="J284" s="0" t="n">
        <f aca="false">IF(OR($A$5=入户维修!$F284,$BN$5=1),0,5-SUMPRODUCT(--(($A$1:$A$5=入户维修!$F284)+$BN$1:$BN$5&gt;0)))</f>
        <v>4</v>
      </c>
      <c r="L284" s="0" t="str">
        <f aca="false">IFERROR(INDEX($A$1:$A$5,MATCH(1,$F284:$J284,0)),IF(1=MAX($F284:$J284)+1,"取消",""))</f>
        <v>李师傅</v>
      </c>
      <c r="M284" s="0" t="str">
        <f aca="false">IFERROR(INDEX($A$1:$A$5,MATCH(2,$F284:$J284,0)),IF(2=MAX($F284:$J284)+1,"取消",""))</f>
        <v>王师傅</v>
      </c>
      <c r="N284" s="0" t="str">
        <f aca="false">IFERROR(INDEX($A$1:$A$5,MATCH(3,$F284:$J284,0)),IF(3=MAX($F284:$J284)+1,"取消",""))</f>
        <v>陈师傅</v>
      </c>
      <c r="O284" s="0" t="str">
        <f aca="false">IFERROR(INDEX($A$1:$A$5,MATCH(4,$F284:$J284,0)),IF(4=MAX($F284:$J284)+1,"取消",""))</f>
        <v>刘师傅</v>
      </c>
      <c r="P284" s="0" t="str">
        <f aca="false">IFERROR(INDEX($A$1:$A$5,MATCH(5,$F284:$J284,0)),IF(5=MAX($F284:$J284)+1,"取消",""))</f>
        <v>取消</v>
      </c>
      <c r="Q284" s="0" t="str">
        <f aca="false">IFERROR(INDEX($A$1:$A$5,MATCH(6,$F284:$J284,0)),IF(6=MAX($F284:$J284)+1,"取消",""))</f>
        <v/>
      </c>
      <c r="S284" s="0" t="n">
        <f aca="false">IF(OR($A$1=入户维修!$F284,$A$1=入户维修!$G284,$BN$1=1),0,1-SUMPRODUCT(--(($A$1=入户维修!$F284)+($A$1=入户维修!$G284)+$BN$1&gt;0)))</f>
        <v>0</v>
      </c>
      <c r="T284" s="0" t="n">
        <f aca="false">IF(OR($A$2=入户维修!$F284,$A$2=入户维修!$G284,$BN$2=1),0,2-SUMPRODUCT(--(($A$1:$A$2=入户维修!$F284)+($A$1:$A$2=入户维修!$G284)+$BN$1:$BN$2&gt;0)))</f>
        <v>1</v>
      </c>
      <c r="U284" s="0" t="n">
        <f aca="false">IF(OR($A$3=入户维修!$F284,$A$3=入户维修!$G284,$BN$3=1),0,3-SUMPRODUCT(--(($A$1:$A$3=入户维修!$F284)+($A$1:$A$3=入户维修!$G284)+$BN$1:$BN$3&gt;0)))</f>
        <v>2</v>
      </c>
      <c r="V284" s="0" t="n">
        <f aca="false">IF(OR($A$4=入户维修!$F284,$A$4=入户维修!$G284,$BN$4=1),0,4-SUMPRODUCT(--(($A$1:$A$4=入户维修!$F284)+($A$1:$A$4=入户维修!$G284)+$BN$1:$BN$4&gt;0)))</f>
        <v>3</v>
      </c>
      <c r="W284" s="0" t="n">
        <f aca="false">IF(OR($A$5=入户维修!$F284,$A$5=入户维修!$G284,$BN$5=1),0,5-SUMPRODUCT(--(($A$1:$A$5=入户维修!$F284)+($A$1:$A$5=入户维修!$G284)+$BN$1:$BN$5&gt;0)))</f>
        <v>4</v>
      </c>
      <c r="Y284" s="0" t="str">
        <f aca="false">IFERROR(INDEX($A$1:$A$5,MATCH(1,$S284:$W284,0)),IF(1=MAX($S284:$W284)+1,"取消",""))</f>
        <v>李师傅</v>
      </c>
      <c r="Z284" s="0" t="str">
        <f aca="false">IFERROR(INDEX($A$1:$A$5,MATCH(2,$S284:$W284,0)),IF(2=MAX($S284:$W284)+1,"取消",""))</f>
        <v>王师傅</v>
      </c>
      <c r="AA284" s="0" t="str">
        <f aca="false">IFERROR(INDEX($A$1:$A$5,MATCH(3,$S284:$W284,0)),IF(3=MAX($S284:$W284)+1,"取消",""))</f>
        <v>陈师傅</v>
      </c>
      <c r="AB284" s="0" t="str">
        <f aca="false">IFERROR(INDEX($A$1:$A$5,MATCH(4,$S284:$W284,0)),IF(4=MAX($S284:$W284)+1,"取消",""))</f>
        <v>刘师傅</v>
      </c>
      <c r="AC284" s="0" t="str">
        <f aca="false">IFERROR(INDEX($A$1:$A$5,MATCH(5,$S284:$W284,0)),IF(5=MAX($S284:$W284)+1,"取消",""))</f>
        <v>取消</v>
      </c>
      <c r="AD284" s="0" t="str">
        <f aca="false">IFERROR(INDEX($A$1:$A$5,MATCH(6,$S284:$W284,0)),IF(6=MAX($S284:$W284)+1,"取消",""))</f>
        <v/>
      </c>
      <c r="AF284" s="0" t="n">
        <f aca="false">IF(OR($A$1=公区维修!$F284,$BN$1=1),0,1-SUMPRODUCT(--(($A$1=公区维修!$F284)+$BN$1&gt;0)))</f>
        <v>0</v>
      </c>
      <c r="AG284" s="0" t="n">
        <f aca="false">IF(OR($A$2=公区维修!$F284,$BN$2=1),0,2-SUMPRODUCT(--(($A$1:$A$2=公区维修!$F284)+$BN$1:$BN$2&gt;0)))</f>
        <v>1</v>
      </c>
      <c r="AH284" s="0" t="n">
        <f aca="false">IF(OR($A$3=公区维修!$F284,$BN$3=1),0,3-SUMPRODUCT(--(($A$1:$A$3=公区维修!$F284)+$BN$1:$BN$3&gt;0)))</f>
        <v>2</v>
      </c>
      <c r="AI284" s="0" t="n">
        <f aca="false">IF(OR($A$4=公区维修!$F284,$BN$4=1),0,4-SUMPRODUCT(--(($A$1:$A$4=公区维修!$F284)+$BN$1:$BN$4&gt;0)))</f>
        <v>3</v>
      </c>
      <c r="AJ284" s="0" t="n">
        <f aca="false">IF(OR($A$5=公区维修!$F284,$BN$5=1),0,5-SUMPRODUCT(--(($A$1:$A$5=公区维修!$F284)+$BN$1:$BN$5&gt;0)))</f>
        <v>4</v>
      </c>
      <c r="AL284" s="0" t="str">
        <f aca="false">IFERROR(INDEX($A$1:$A$5,MATCH(1,$AF284:$AJ284,0)),IF(1=MAX($AF284:$AJ284)+1,"取消",""))</f>
        <v>李师傅</v>
      </c>
      <c r="AM284" s="0" t="str">
        <f aca="false">IFERROR(INDEX($A$1:$A$5,MATCH(2,$AF284:$AJ284,0)),IF(2=MAX($AF284:$AJ284)+1,"取消",""))</f>
        <v>王师傅</v>
      </c>
      <c r="AN284" s="0" t="str">
        <f aca="false">IFERROR(INDEX($A$1:$A$5,MATCH(3,$AF284:$AJ284,0)),IF(3=MAX($AF284:$AJ284)+1,"取消",""))</f>
        <v>陈师傅</v>
      </c>
      <c r="AO284" s="0" t="str">
        <f aca="false">IFERROR(INDEX($A$1:$A$5,MATCH(4,$AF284:$AJ284,0)),IF(4=MAX($AF284:$AJ284)+1,"取消",""))</f>
        <v>刘师傅</v>
      </c>
      <c r="AP284" s="0" t="str">
        <f aca="false">IFERROR(INDEX($A$1:$A$5,MATCH(5,$AF284:$AJ284,0)),IF(5=MAX($AF284:$AJ284)+1,"取消",""))</f>
        <v>取消</v>
      </c>
      <c r="AQ284" s="0" t="str">
        <f aca="false">IFERROR(INDEX($A$1:$A$5,MATCH(6,$AF284:$AJ284,0)),IF(6=MAX($AF284:$AJ284)+1,"取消",""))</f>
        <v/>
      </c>
      <c r="AS284" s="0" t="n">
        <f aca="false">IF(OR($A$1=公区维修!$F284,$A$1=公区维修!$G284,$BN$1=1),0,1-SUMPRODUCT(--(($A$1=公区维修!$F284)+($A$1=公区维修!$G284)+$BN$1&gt;0)))</f>
        <v>0</v>
      </c>
      <c r="AT284" s="0" t="n">
        <f aca="false">IF(OR($A$2=公区维修!$F284,$A$2=公区维修!$G284,$BN$2=1),0,2-SUMPRODUCT(--(($A$1:$A$2=公区维修!$F284)+($A$1:$A$2=公区维修!$G284)+$BN$1:$BN$2&gt;0)))</f>
        <v>1</v>
      </c>
      <c r="AU284" s="0" t="n">
        <f aca="false">IF(OR($A$3=公区维修!$F284,$A$3=公区维修!$G284,$BN$3=1),0,3-SUMPRODUCT(--(($A$1:$A$3=公区维修!$F284)+($A$1:$A$3=公区维修!$G284)+$BN$1:$BN$3&gt;0)))</f>
        <v>2</v>
      </c>
      <c r="AV284" s="0" t="n">
        <f aca="false">IF(OR($A$4=公区维修!$F284,$A$4=公区维修!$G284,$BN$4=1),0,4-SUMPRODUCT(--(($A$1:$A$4=公区维修!$F284)+($A$1:$A$4=公区维修!$G284)+$BN$1:$BN$4&gt;0)))</f>
        <v>3</v>
      </c>
      <c r="AW284" s="0" t="n">
        <f aca="false">IF(OR($A$5=公区维修!$F284,$A$5=公区维修!$G284,$BN$5=1),0,5-SUMPRODUCT(--(($A$1:$A$5=公区维修!$F284)+($A$1:$A$5=公区维修!$G284)+$BN$1:$BN$5&gt;0)))</f>
        <v>4</v>
      </c>
      <c r="AY284" s="0" t="str">
        <f aca="false">IFERROR(INDEX($A$1:$A$5,MATCH(1,$AS284:$AW284,0)),IF(1=MAX($AS284:$AW284)+1,"取消",""))</f>
        <v>李师傅</v>
      </c>
      <c r="AZ284" s="0" t="str">
        <f aca="false">IFERROR(INDEX($A$1:$A$5,MATCH(2,$AS284:$AW284,0)),IF(2=MAX($AS284:$AW284)+1,"取消",""))</f>
        <v>王师傅</v>
      </c>
      <c r="BA284" s="0" t="str">
        <f aca="false">IFERROR(INDEX($A$1:$A$5,MATCH(3,$AS284:$AW284,0)),IF(3=MAX($AS284:$AW284)+1,"取消",""))</f>
        <v>陈师傅</v>
      </c>
      <c r="BB284" s="0" t="str">
        <f aca="false">IFERROR(INDEX($A$1:$A$5,MATCH(4,$AS284:$AW284,0)),IF(4=MAX($AS284:$AW284)+1,"取消",""))</f>
        <v>刘师傅</v>
      </c>
      <c r="BC284" s="0" t="str">
        <f aca="false">IFERROR(INDEX($A$1:$A$5,MATCH(5,$AS284:$AW284,0)),IF(5=MAX($AS284:$AW284)+1,"取消",""))</f>
        <v>取消</v>
      </c>
      <c r="BD284" s="0" t="str">
        <f aca="false">IFERROR(INDEX($A$1:$A$5,MATCH(6,$AS284:$AW284,0)),IF(6=MAX($AS284:$AW284)+1,"取消",""))</f>
        <v/>
      </c>
      <c r="FW284" s="0" t="str">
        <f aca="false">IF(AND(单元查询!$D$3&lt;&gt;"",IF(单元查询!$B$3="公区维修",公区维修!$E284&lt;&gt;"",入户维修!$E284&lt;&gt;""),IF(单元查询!$B$3="公区维修",公区维修!$C284,入户维修!$C284)=单元查询!$D$3,OR(单元查询!$F$3="",IF(单元查询!$B$3="公区维修",公区维修!$D284,入户维修!$D284)&amp;""=(单元查询!$F$3)&amp;"")),MAX($FW$4:$FW283)+1,"")</f>
        <v/>
      </c>
    </row>
    <row r="285" customFormat="false" ht="15" hidden="false" customHeight="true" outlineLevel="0" collapsed="false">
      <c r="F285" s="0" t="n">
        <f aca="false">IF(OR($A$1=入户维修!$F285,$BN$1=1),0,1-SUMPRODUCT(--(($A$1=入户维修!$F285)+$BN$1&gt;0)))</f>
        <v>0</v>
      </c>
      <c r="G285" s="0" t="n">
        <f aca="false">IF(OR($A$2=入户维修!$F285,$BN$2=1),0,2-SUMPRODUCT(--(($A$1:$A$2=入户维修!$F285)+$BN$1:$BN$2&gt;0)))</f>
        <v>1</v>
      </c>
      <c r="H285" s="0" t="n">
        <f aca="false">IF(OR($A$3=入户维修!$F285,$BN$3=1),0,3-SUMPRODUCT(--(($A$1:$A$3=入户维修!$F285)+$BN$1:$BN$3&gt;0)))</f>
        <v>2</v>
      </c>
      <c r="I285" s="0" t="n">
        <f aca="false">IF(OR($A$4=入户维修!$F285,$BN$4=1),0,4-SUMPRODUCT(--(($A$1:$A$4=入户维修!$F285)+$BN$1:$BN$4&gt;0)))</f>
        <v>3</v>
      </c>
      <c r="J285" s="0" t="n">
        <f aca="false">IF(OR($A$5=入户维修!$F285,$BN$5=1),0,5-SUMPRODUCT(--(($A$1:$A$5=入户维修!$F285)+$BN$1:$BN$5&gt;0)))</f>
        <v>4</v>
      </c>
      <c r="L285" s="0" t="str">
        <f aca="false">IFERROR(INDEX($A$1:$A$5,MATCH(1,$F285:$J285,0)),IF(1=MAX($F285:$J285)+1,"取消",""))</f>
        <v>李师傅</v>
      </c>
      <c r="M285" s="0" t="str">
        <f aca="false">IFERROR(INDEX($A$1:$A$5,MATCH(2,$F285:$J285,0)),IF(2=MAX($F285:$J285)+1,"取消",""))</f>
        <v>王师傅</v>
      </c>
      <c r="N285" s="0" t="str">
        <f aca="false">IFERROR(INDEX($A$1:$A$5,MATCH(3,$F285:$J285,0)),IF(3=MAX($F285:$J285)+1,"取消",""))</f>
        <v>陈师傅</v>
      </c>
      <c r="O285" s="0" t="str">
        <f aca="false">IFERROR(INDEX($A$1:$A$5,MATCH(4,$F285:$J285,0)),IF(4=MAX($F285:$J285)+1,"取消",""))</f>
        <v>刘师傅</v>
      </c>
      <c r="P285" s="0" t="str">
        <f aca="false">IFERROR(INDEX($A$1:$A$5,MATCH(5,$F285:$J285,0)),IF(5=MAX($F285:$J285)+1,"取消",""))</f>
        <v>取消</v>
      </c>
      <c r="Q285" s="0" t="str">
        <f aca="false">IFERROR(INDEX($A$1:$A$5,MATCH(6,$F285:$J285,0)),IF(6=MAX($F285:$J285)+1,"取消",""))</f>
        <v/>
      </c>
      <c r="S285" s="0" t="n">
        <f aca="false">IF(OR($A$1=入户维修!$F285,$A$1=入户维修!$G285,$BN$1=1),0,1-SUMPRODUCT(--(($A$1=入户维修!$F285)+($A$1=入户维修!$G285)+$BN$1&gt;0)))</f>
        <v>0</v>
      </c>
      <c r="T285" s="0" t="n">
        <f aca="false">IF(OR($A$2=入户维修!$F285,$A$2=入户维修!$G285,$BN$2=1),0,2-SUMPRODUCT(--(($A$1:$A$2=入户维修!$F285)+($A$1:$A$2=入户维修!$G285)+$BN$1:$BN$2&gt;0)))</f>
        <v>1</v>
      </c>
      <c r="U285" s="0" t="n">
        <f aca="false">IF(OR($A$3=入户维修!$F285,$A$3=入户维修!$G285,$BN$3=1),0,3-SUMPRODUCT(--(($A$1:$A$3=入户维修!$F285)+($A$1:$A$3=入户维修!$G285)+$BN$1:$BN$3&gt;0)))</f>
        <v>2</v>
      </c>
      <c r="V285" s="0" t="n">
        <f aca="false">IF(OR($A$4=入户维修!$F285,$A$4=入户维修!$G285,$BN$4=1),0,4-SUMPRODUCT(--(($A$1:$A$4=入户维修!$F285)+($A$1:$A$4=入户维修!$G285)+$BN$1:$BN$4&gt;0)))</f>
        <v>3</v>
      </c>
      <c r="W285" s="0" t="n">
        <f aca="false">IF(OR($A$5=入户维修!$F285,$A$5=入户维修!$G285,$BN$5=1),0,5-SUMPRODUCT(--(($A$1:$A$5=入户维修!$F285)+($A$1:$A$5=入户维修!$G285)+$BN$1:$BN$5&gt;0)))</f>
        <v>4</v>
      </c>
      <c r="Y285" s="0" t="str">
        <f aca="false">IFERROR(INDEX($A$1:$A$5,MATCH(1,$S285:$W285,0)),IF(1=MAX($S285:$W285)+1,"取消",""))</f>
        <v>李师傅</v>
      </c>
      <c r="Z285" s="0" t="str">
        <f aca="false">IFERROR(INDEX($A$1:$A$5,MATCH(2,$S285:$W285,0)),IF(2=MAX($S285:$W285)+1,"取消",""))</f>
        <v>王师傅</v>
      </c>
      <c r="AA285" s="0" t="str">
        <f aca="false">IFERROR(INDEX($A$1:$A$5,MATCH(3,$S285:$W285,0)),IF(3=MAX($S285:$W285)+1,"取消",""))</f>
        <v>陈师傅</v>
      </c>
      <c r="AB285" s="0" t="str">
        <f aca="false">IFERROR(INDEX($A$1:$A$5,MATCH(4,$S285:$W285,0)),IF(4=MAX($S285:$W285)+1,"取消",""))</f>
        <v>刘师傅</v>
      </c>
      <c r="AC285" s="0" t="str">
        <f aca="false">IFERROR(INDEX($A$1:$A$5,MATCH(5,$S285:$W285,0)),IF(5=MAX($S285:$W285)+1,"取消",""))</f>
        <v>取消</v>
      </c>
      <c r="AD285" s="0" t="str">
        <f aca="false">IFERROR(INDEX($A$1:$A$5,MATCH(6,$S285:$W285,0)),IF(6=MAX($S285:$W285)+1,"取消",""))</f>
        <v/>
      </c>
      <c r="AF285" s="0" t="n">
        <f aca="false">IF(OR($A$1=公区维修!$F285,$BN$1=1),0,1-SUMPRODUCT(--(($A$1=公区维修!$F285)+$BN$1&gt;0)))</f>
        <v>0</v>
      </c>
      <c r="AG285" s="0" t="n">
        <f aca="false">IF(OR($A$2=公区维修!$F285,$BN$2=1),0,2-SUMPRODUCT(--(($A$1:$A$2=公区维修!$F285)+$BN$1:$BN$2&gt;0)))</f>
        <v>1</v>
      </c>
      <c r="AH285" s="0" t="n">
        <f aca="false">IF(OR($A$3=公区维修!$F285,$BN$3=1),0,3-SUMPRODUCT(--(($A$1:$A$3=公区维修!$F285)+$BN$1:$BN$3&gt;0)))</f>
        <v>2</v>
      </c>
      <c r="AI285" s="0" t="n">
        <f aca="false">IF(OR($A$4=公区维修!$F285,$BN$4=1),0,4-SUMPRODUCT(--(($A$1:$A$4=公区维修!$F285)+$BN$1:$BN$4&gt;0)))</f>
        <v>3</v>
      </c>
      <c r="AJ285" s="0" t="n">
        <f aca="false">IF(OR($A$5=公区维修!$F285,$BN$5=1),0,5-SUMPRODUCT(--(($A$1:$A$5=公区维修!$F285)+$BN$1:$BN$5&gt;0)))</f>
        <v>4</v>
      </c>
      <c r="AL285" s="0" t="str">
        <f aca="false">IFERROR(INDEX($A$1:$A$5,MATCH(1,$AF285:$AJ285,0)),IF(1=MAX($AF285:$AJ285)+1,"取消",""))</f>
        <v>李师傅</v>
      </c>
      <c r="AM285" s="0" t="str">
        <f aca="false">IFERROR(INDEX($A$1:$A$5,MATCH(2,$AF285:$AJ285,0)),IF(2=MAX($AF285:$AJ285)+1,"取消",""))</f>
        <v>王师傅</v>
      </c>
      <c r="AN285" s="0" t="str">
        <f aca="false">IFERROR(INDEX($A$1:$A$5,MATCH(3,$AF285:$AJ285,0)),IF(3=MAX($AF285:$AJ285)+1,"取消",""))</f>
        <v>陈师傅</v>
      </c>
      <c r="AO285" s="0" t="str">
        <f aca="false">IFERROR(INDEX($A$1:$A$5,MATCH(4,$AF285:$AJ285,0)),IF(4=MAX($AF285:$AJ285)+1,"取消",""))</f>
        <v>刘师傅</v>
      </c>
      <c r="AP285" s="0" t="str">
        <f aca="false">IFERROR(INDEX($A$1:$A$5,MATCH(5,$AF285:$AJ285,0)),IF(5=MAX($AF285:$AJ285)+1,"取消",""))</f>
        <v>取消</v>
      </c>
      <c r="AQ285" s="0" t="str">
        <f aca="false">IFERROR(INDEX($A$1:$A$5,MATCH(6,$AF285:$AJ285,0)),IF(6=MAX($AF285:$AJ285)+1,"取消",""))</f>
        <v/>
      </c>
      <c r="AS285" s="0" t="n">
        <f aca="false">IF(OR($A$1=公区维修!$F285,$A$1=公区维修!$G285,$BN$1=1),0,1-SUMPRODUCT(--(($A$1=公区维修!$F285)+($A$1=公区维修!$G285)+$BN$1&gt;0)))</f>
        <v>0</v>
      </c>
      <c r="AT285" s="0" t="n">
        <f aca="false">IF(OR($A$2=公区维修!$F285,$A$2=公区维修!$G285,$BN$2=1),0,2-SUMPRODUCT(--(($A$1:$A$2=公区维修!$F285)+($A$1:$A$2=公区维修!$G285)+$BN$1:$BN$2&gt;0)))</f>
        <v>1</v>
      </c>
      <c r="AU285" s="0" t="n">
        <f aca="false">IF(OR($A$3=公区维修!$F285,$A$3=公区维修!$G285,$BN$3=1),0,3-SUMPRODUCT(--(($A$1:$A$3=公区维修!$F285)+($A$1:$A$3=公区维修!$G285)+$BN$1:$BN$3&gt;0)))</f>
        <v>2</v>
      </c>
      <c r="AV285" s="0" t="n">
        <f aca="false">IF(OR($A$4=公区维修!$F285,$A$4=公区维修!$G285,$BN$4=1),0,4-SUMPRODUCT(--(($A$1:$A$4=公区维修!$F285)+($A$1:$A$4=公区维修!$G285)+$BN$1:$BN$4&gt;0)))</f>
        <v>3</v>
      </c>
      <c r="AW285" s="0" t="n">
        <f aca="false">IF(OR($A$5=公区维修!$F285,$A$5=公区维修!$G285,$BN$5=1),0,5-SUMPRODUCT(--(($A$1:$A$5=公区维修!$F285)+($A$1:$A$5=公区维修!$G285)+$BN$1:$BN$5&gt;0)))</f>
        <v>4</v>
      </c>
      <c r="AY285" s="0" t="str">
        <f aca="false">IFERROR(INDEX($A$1:$A$5,MATCH(1,$AS285:$AW285,0)),IF(1=MAX($AS285:$AW285)+1,"取消",""))</f>
        <v>李师傅</v>
      </c>
      <c r="AZ285" s="0" t="str">
        <f aca="false">IFERROR(INDEX($A$1:$A$5,MATCH(2,$AS285:$AW285,0)),IF(2=MAX($AS285:$AW285)+1,"取消",""))</f>
        <v>王师傅</v>
      </c>
      <c r="BA285" s="0" t="str">
        <f aca="false">IFERROR(INDEX($A$1:$A$5,MATCH(3,$AS285:$AW285,0)),IF(3=MAX($AS285:$AW285)+1,"取消",""))</f>
        <v>陈师傅</v>
      </c>
      <c r="BB285" s="0" t="str">
        <f aca="false">IFERROR(INDEX($A$1:$A$5,MATCH(4,$AS285:$AW285,0)),IF(4=MAX($AS285:$AW285)+1,"取消",""))</f>
        <v>刘师傅</v>
      </c>
      <c r="BC285" s="0" t="str">
        <f aca="false">IFERROR(INDEX($A$1:$A$5,MATCH(5,$AS285:$AW285,0)),IF(5=MAX($AS285:$AW285)+1,"取消",""))</f>
        <v>取消</v>
      </c>
      <c r="BD285" s="0" t="str">
        <f aca="false">IFERROR(INDEX($A$1:$A$5,MATCH(6,$AS285:$AW285,0)),IF(6=MAX($AS285:$AW285)+1,"取消",""))</f>
        <v/>
      </c>
      <c r="FW285" s="0" t="str">
        <f aca="false">IF(AND(单元查询!$D$3&lt;&gt;"",IF(单元查询!$B$3="公区维修",公区维修!$E285&lt;&gt;"",入户维修!$E285&lt;&gt;""),IF(单元查询!$B$3="公区维修",公区维修!$C285,入户维修!$C285)=单元查询!$D$3,OR(单元查询!$F$3="",IF(单元查询!$B$3="公区维修",公区维修!$D285,入户维修!$D285)&amp;""=(单元查询!$F$3)&amp;"")),MAX($FW$4:$FW284)+1,"")</f>
        <v/>
      </c>
    </row>
    <row r="286" customFormat="false" ht="15" hidden="false" customHeight="true" outlineLevel="0" collapsed="false">
      <c r="F286" s="0" t="n">
        <f aca="false">IF(OR($A$1=入户维修!$F286,$BN$1=1),0,1-SUMPRODUCT(--(($A$1=入户维修!$F286)+$BN$1&gt;0)))</f>
        <v>0</v>
      </c>
      <c r="G286" s="0" t="n">
        <f aca="false">IF(OR($A$2=入户维修!$F286,$BN$2=1),0,2-SUMPRODUCT(--(($A$1:$A$2=入户维修!$F286)+$BN$1:$BN$2&gt;0)))</f>
        <v>1</v>
      </c>
      <c r="H286" s="0" t="n">
        <f aca="false">IF(OR($A$3=入户维修!$F286,$BN$3=1),0,3-SUMPRODUCT(--(($A$1:$A$3=入户维修!$F286)+$BN$1:$BN$3&gt;0)))</f>
        <v>2</v>
      </c>
      <c r="I286" s="0" t="n">
        <f aca="false">IF(OR($A$4=入户维修!$F286,$BN$4=1),0,4-SUMPRODUCT(--(($A$1:$A$4=入户维修!$F286)+$BN$1:$BN$4&gt;0)))</f>
        <v>3</v>
      </c>
      <c r="J286" s="0" t="n">
        <f aca="false">IF(OR($A$5=入户维修!$F286,$BN$5=1),0,5-SUMPRODUCT(--(($A$1:$A$5=入户维修!$F286)+$BN$1:$BN$5&gt;0)))</f>
        <v>4</v>
      </c>
      <c r="L286" s="0" t="str">
        <f aca="false">IFERROR(INDEX($A$1:$A$5,MATCH(1,$F286:$J286,0)),IF(1=MAX($F286:$J286)+1,"取消",""))</f>
        <v>李师傅</v>
      </c>
      <c r="M286" s="0" t="str">
        <f aca="false">IFERROR(INDEX($A$1:$A$5,MATCH(2,$F286:$J286,0)),IF(2=MAX($F286:$J286)+1,"取消",""))</f>
        <v>王师傅</v>
      </c>
      <c r="N286" s="0" t="str">
        <f aca="false">IFERROR(INDEX($A$1:$A$5,MATCH(3,$F286:$J286,0)),IF(3=MAX($F286:$J286)+1,"取消",""))</f>
        <v>陈师傅</v>
      </c>
      <c r="O286" s="0" t="str">
        <f aca="false">IFERROR(INDEX($A$1:$A$5,MATCH(4,$F286:$J286,0)),IF(4=MAX($F286:$J286)+1,"取消",""))</f>
        <v>刘师傅</v>
      </c>
      <c r="P286" s="0" t="str">
        <f aca="false">IFERROR(INDEX($A$1:$A$5,MATCH(5,$F286:$J286,0)),IF(5=MAX($F286:$J286)+1,"取消",""))</f>
        <v>取消</v>
      </c>
      <c r="Q286" s="0" t="str">
        <f aca="false">IFERROR(INDEX($A$1:$A$5,MATCH(6,$F286:$J286,0)),IF(6=MAX($F286:$J286)+1,"取消",""))</f>
        <v/>
      </c>
      <c r="S286" s="0" t="n">
        <f aca="false">IF(OR($A$1=入户维修!$F286,$A$1=入户维修!$G286,$BN$1=1),0,1-SUMPRODUCT(--(($A$1=入户维修!$F286)+($A$1=入户维修!$G286)+$BN$1&gt;0)))</f>
        <v>0</v>
      </c>
      <c r="T286" s="0" t="n">
        <f aca="false">IF(OR($A$2=入户维修!$F286,$A$2=入户维修!$G286,$BN$2=1),0,2-SUMPRODUCT(--(($A$1:$A$2=入户维修!$F286)+($A$1:$A$2=入户维修!$G286)+$BN$1:$BN$2&gt;0)))</f>
        <v>1</v>
      </c>
      <c r="U286" s="0" t="n">
        <f aca="false">IF(OR($A$3=入户维修!$F286,$A$3=入户维修!$G286,$BN$3=1),0,3-SUMPRODUCT(--(($A$1:$A$3=入户维修!$F286)+($A$1:$A$3=入户维修!$G286)+$BN$1:$BN$3&gt;0)))</f>
        <v>2</v>
      </c>
      <c r="V286" s="0" t="n">
        <f aca="false">IF(OR($A$4=入户维修!$F286,$A$4=入户维修!$G286,$BN$4=1),0,4-SUMPRODUCT(--(($A$1:$A$4=入户维修!$F286)+($A$1:$A$4=入户维修!$G286)+$BN$1:$BN$4&gt;0)))</f>
        <v>3</v>
      </c>
      <c r="W286" s="0" t="n">
        <f aca="false">IF(OR($A$5=入户维修!$F286,$A$5=入户维修!$G286,$BN$5=1),0,5-SUMPRODUCT(--(($A$1:$A$5=入户维修!$F286)+($A$1:$A$5=入户维修!$G286)+$BN$1:$BN$5&gt;0)))</f>
        <v>4</v>
      </c>
      <c r="Y286" s="0" t="str">
        <f aca="false">IFERROR(INDEX($A$1:$A$5,MATCH(1,$S286:$W286,0)),IF(1=MAX($S286:$W286)+1,"取消",""))</f>
        <v>李师傅</v>
      </c>
      <c r="Z286" s="0" t="str">
        <f aca="false">IFERROR(INDEX($A$1:$A$5,MATCH(2,$S286:$W286,0)),IF(2=MAX($S286:$W286)+1,"取消",""))</f>
        <v>王师傅</v>
      </c>
      <c r="AA286" s="0" t="str">
        <f aca="false">IFERROR(INDEX($A$1:$A$5,MATCH(3,$S286:$W286,0)),IF(3=MAX($S286:$W286)+1,"取消",""))</f>
        <v>陈师傅</v>
      </c>
      <c r="AB286" s="0" t="str">
        <f aca="false">IFERROR(INDEX($A$1:$A$5,MATCH(4,$S286:$W286,0)),IF(4=MAX($S286:$W286)+1,"取消",""))</f>
        <v>刘师傅</v>
      </c>
      <c r="AC286" s="0" t="str">
        <f aca="false">IFERROR(INDEX($A$1:$A$5,MATCH(5,$S286:$W286,0)),IF(5=MAX($S286:$W286)+1,"取消",""))</f>
        <v>取消</v>
      </c>
      <c r="AD286" s="0" t="str">
        <f aca="false">IFERROR(INDEX($A$1:$A$5,MATCH(6,$S286:$W286,0)),IF(6=MAX($S286:$W286)+1,"取消",""))</f>
        <v/>
      </c>
      <c r="AF286" s="0" t="n">
        <f aca="false">IF(OR($A$1=公区维修!$F286,$BN$1=1),0,1-SUMPRODUCT(--(($A$1=公区维修!$F286)+$BN$1&gt;0)))</f>
        <v>0</v>
      </c>
      <c r="AG286" s="0" t="n">
        <f aca="false">IF(OR($A$2=公区维修!$F286,$BN$2=1),0,2-SUMPRODUCT(--(($A$1:$A$2=公区维修!$F286)+$BN$1:$BN$2&gt;0)))</f>
        <v>1</v>
      </c>
      <c r="AH286" s="0" t="n">
        <f aca="false">IF(OR($A$3=公区维修!$F286,$BN$3=1),0,3-SUMPRODUCT(--(($A$1:$A$3=公区维修!$F286)+$BN$1:$BN$3&gt;0)))</f>
        <v>2</v>
      </c>
      <c r="AI286" s="0" t="n">
        <f aca="false">IF(OR($A$4=公区维修!$F286,$BN$4=1),0,4-SUMPRODUCT(--(($A$1:$A$4=公区维修!$F286)+$BN$1:$BN$4&gt;0)))</f>
        <v>3</v>
      </c>
      <c r="AJ286" s="0" t="n">
        <f aca="false">IF(OR($A$5=公区维修!$F286,$BN$5=1),0,5-SUMPRODUCT(--(($A$1:$A$5=公区维修!$F286)+$BN$1:$BN$5&gt;0)))</f>
        <v>4</v>
      </c>
      <c r="AL286" s="0" t="str">
        <f aca="false">IFERROR(INDEX($A$1:$A$5,MATCH(1,$AF286:$AJ286,0)),IF(1=MAX($AF286:$AJ286)+1,"取消",""))</f>
        <v>李师傅</v>
      </c>
      <c r="AM286" s="0" t="str">
        <f aca="false">IFERROR(INDEX($A$1:$A$5,MATCH(2,$AF286:$AJ286,0)),IF(2=MAX($AF286:$AJ286)+1,"取消",""))</f>
        <v>王师傅</v>
      </c>
      <c r="AN286" s="0" t="str">
        <f aca="false">IFERROR(INDEX($A$1:$A$5,MATCH(3,$AF286:$AJ286,0)),IF(3=MAX($AF286:$AJ286)+1,"取消",""))</f>
        <v>陈师傅</v>
      </c>
      <c r="AO286" s="0" t="str">
        <f aca="false">IFERROR(INDEX($A$1:$A$5,MATCH(4,$AF286:$AJ286,0)),IF(4=MAX($AF286:$AJ286)+1,"取消",""))</f>
        <v>刘师傅</v>
      </c>
      <c r="AP286" s="0" t="str">
        <f aca="false">IFERROR(INDEX($A$1:$A$5,MATCH(5,$AF286:$AJ286,0)),IF(5=MAX($AF286:$AJ286)+1,"取消",""))</f>
        <v>取消</v>
      </c>
      <c r="AQ286" s="0" t="str">
        <f aca="false">IFERROR(INDEX($A$1:$A$5,MATCH(6,$AF286:$AJ286,0)),IF(6=MAX($AF286:$AJ286)+1,"取消",""))</f>
        <v/>
      </c>
      <c r="AS286" s="0" t="n">
        <f aca="false">IF(OR($A$1=公区维修!$F286,$A$1=公区维修!$G286,$BN$1=1),0,1-SUMPRODUCT(--(($A$1=公区维修!$F286)+($A$1=公区维修!$G286)+$BN$1&gt;0)))</f>
        <v>0</v>
      </c>
      <c r="AT286" s="0" t="n">
        <f aca="false">IF(OR($A$2=公区维修!$F286,$A$2=公区维修!$G286,$BN$2=1),0,2-SUMPRODUCT(--(($A$1:$A$2=公区维修!$F286)+($A$1:$A$2=公区维修!$G286)+$BN$1:$BN$2&gt;0)))</f>
        <v>1</v>
      </c>
      <c r="AU286" s="0" t="n">
        <f aca="false">IF(OR($A$3=公区维修!$F286,$A$3=公区维修!$G286,$BN$3=1),0,3-SUMPRODUCT(--(($A$1:$A$3=公区维修!$F286)+($A$1:$A$3=公区维修!$G286)+$BN$1:$BN$3&gt;0)))</f>
        <v>2</v>
      </c>
      <c r="AV286" s="0" t="n">
        <f aca="false">IF(OR($A$4=公区维修!$F286,$A$4=公区维修!$G286,$BN$4=1),0,4-SUMPRODUCT(--(($A$1:$A$4=公区维修!$F286)+($A$1:$A$4=公区维修!$G286)+$BN$1:$BN$4&gt;0)))</f>
        <v>3</v>
      </c>
      <c r="AW286" s="0" t="n">
        <f aca="false">IF(OR($A$5=公区维修!$F286,$A$5=公区维修!$G286,$BN$5=1),0,5-SUMPRODUCT(--(($A$1:$A$5=公区维修!$F286)+($A$1:$A$5=公区维修!$G286)+$BN$1:$BN$5&gt;0)))</f>
        <v>4</v>
      </c>
      <c r="AY286" s="0" t="str">
        <f aca="false">IFERROR(INDEX($A$1:$A$5,MATCH(1,$AS286:$AW286,0)),IF(1=MAX($AS286:$AW286)+1,"取消",""))</f>
        <v>李师傅</v>
      </c>
      <c r="AZ286" s="0" t="str">
        <f aca="false">IFERROR(INDEX($A$1:$A$5,MATCH(2,$AS286:$AW286,0)),IF(2=MAX($AS286:$AW286)+1,"取消",""))</f>
        <v>王师傅</v>
      </c>
      <c r="BA286" s="0" t="str">
        <f aca="false">IFERROR(INDEX($A$1:$A$5,MATCH(3,$AS286:$AW286,0)),IF(3=MAX($AS286:$AW286)+1,"取消",""))</f>
        <v>陈师傅</v>
      </c>
      <c r="BB286" s="0" t="str">
        <f aca="false">IFERROR(INDEX($A$1:$A$5,MATCH(4,$AS286:$AW286,0)),IF(4=MAX($AS286:$AW286)+1,"取消",""))</f>
        <v>刘师傅</v>
      </c>
      <c r="BC286" s="0" t="str">
        <f aca="false">IFERROR(INDEX($A$1:$A$5,MATCH(5,$AS286:$AW286,0)),IF(5=MAX($AS286:$AW286)+1,"取消",""))</f>
        <v>取消</v>
      </c>
      <c r="BD286" s="0" t="str">
        <f aca="false">IFERROR(INDEX($A$1:$A$5,MATCH(6,$AS286:$AW286,0)),IF(6=MAX($AS286:$AW286)+1,"取消",""))</f>
        <v/>
      </c>
      <c r="FW286" s="0" t="str">
        <f aca="false">IF(AND(单元查询!$D$3&lt;&gt;"",IF(单元查询!$B$3="公区维修",公区维修!$E286&lt;&gt;"",入户维修!$E286&lt;&gt;""),IF(单元查询!$B$3="公区维修",公区维修!$C286,入户维修!$C286)=单元查询!$D$3,OR(单元查询!$F$3="",IF(单元查询!$B$3="公区维修",公区维修!$D286,入户维修!$D286)&amp;""=(单元查询!$F$3)&amp;"")),MAX($FW$4:$FW285)+1,"")</f>
        <v/>
      </c>
    </row>
    <row r="287" customFormat="false" ht="15" hidden="false" customHeight="true" outlineLevel="0" collapsed="false">
      <c r="F287" s="0" t="n">
        <f aca="false">IF(OR($A$1=入户维修!$F287,$BN$1=1),0,1-SUMPRODUCT(--(($A$1=入户维修!$F287)+$BN$1&gt;0)))</f>
        <v>0</v>
      </c>
      <c r="G287" s="0" t="n">
        <f aca="false">IF(OR($A$2=入户维修!$F287,$BN$2=1),0,2-SUMPRODUCT(--(($A$1:$A$2=入户维修!$F287)+$BN$1:$BN$2&gt;0)))</f>
        <v>1</v>
      </c>
      <c r="H287" s="0" t="n">
        <f aca="false">IF(OR($A$3=入户维修!$F287,$BN$3=1),0,3-SUMPRODUCT(--(($A$1:$A$3=入户维修!$F287)+$BN$1:$BN$3&gt;0)))</f>
        <v>2</v>
      </c>
      <c r="I287" s="0" t="n">
        <f aca="false">IF(OR($A$4=入户维修!$F287,$BN$4=1),0,4-SUMPRODUCT(--(($A$1:$A$4=入户维修!$F287)+$BN$1:$BN$4&gt;0)))</f>
        <v>3</v>
      </c>
      <c r="J287" s="0" t="n">
        <f aca="false">IF(OR($A$5=入户维修!$F287,$BN$5=1),0,5-SUMPRODUCT(--(($A$1:$A$5=入户维修!$F287)+$BN$1:$BN$5&gt;0)))</f>
        <v>4</v>
      </c>
      <c r="L287" s="0" t="str">
        <f aca="false">IFERROR(INDEX($A$1:$A$5,MATCH(1,$F287:$J287,0)),IF(1=MAX($F287:$J287)+1,"取消",""))</f>
        <v>李师傅</v>
      </c>
      <c r="M287" s="0" t="str">
        <f aca="false">IFERROR(INDEX($A$1:$A$5,MATCH(2,$F287:$J287,0)),IF(2=MAX($F287:$J287)+1,"取消",""))</f>
        <v>王师傅</v>
      </c>
      <c r="N287" s="0" t="str">
        <f aca="false">IFERROR(INDEX($A$1:$A$5,MATCH(3,$F287:$J287,0)),IF(3=MAX($F287:$J287)+1,"取消",""))</f>
        <v>陈师傅</v>
      </c>
      <c r="O287" s="0" t="str">
        <f aca="false">IFERROR(INDEX($A$1:$A$5,MATCH(4,$F287:$J287,0)),IF(4=MAX($F287:$J287)+1,"取消",""))</f>
        <v>刘师傅</v>
      </c>
      <c r="P287" s="0" t="str">
        <f aca="false">IFERROR(INDEX($A$1:$A$5,MATCH(5,$F287:$J287,0)),IF(5=MAX($F287:$J287)+1,"取消",""))</f>
        <v>取消</v>
      </c>
      <c r="Q287" s="0" t="str">
        <f aca="false">IFERROR(INDEX($A$1:$A$5,MATCH(6,$F287:$J287,0)),IF(6=MAX($F287:$J287)+1,"取消",""))</f>
        <v/>
      </c>
      <c r="S287" s="0" t="n">
        <f aca="false">IF(OR($A$1=入户维修!$F287,$A$1=入户维修!$G287,$BN$1=1),0,1-SUMPRODUCT(--(($A$1=入户维修!$F287)+($A$1=入户维修!$G287)+$BN$1&gt;0)))</f>
        <v>0</v>
      </c>
      <c r="T287" s="0" t="n">
        <f aca="false">IF(OR($A$2=入户维修!$F287,$A$2=入户维修!$G287,$BN$2=1),0,2-SUMPRODUCT(--(($A$1:$A$2=入户维修!$F287)+($A$1:$A$2=入户维修!$G287)+$BN$1:$BN$2&gt;0)))</f>
        <v>1</v>
      </c>
      <c r="U287" s="0" t="n">
        <f aca="false">IF(OR($A$3=入户维修!$F287,$A$3=入户维修!$G287,$BN$3=1),0,3-SUMPRODUCT(--(($A$1:$A$3=入户维修!$F287)+($A$1:$A$3=入户维修!$G287)+$BN$1:$BN$3&gt;0)))</f>
        <v>2</v>
      </c>
      <c r="V287" s="0" t="n">
        <f aca="false">IF(OR($A$4=入户维修!$F287,$A$4=入户维修!$G287,$BN$4=1),0,4-SUMPRODUCT(--(($A$1:$A$4=入户维修!$F287)+($A$1:$A$4=入户维修!$G287)+$BN$1:$BN$4&gt;0)))</f>
        <v>3</v>
      </c>
      <c r="W287" s="0" t="n">
        <f aca="false">IF(OR($A$5=入户维修!$F287,$A$5=入户维修!$G287,$BN$5=1),0,5-SUMPRODUCT(--(($A$1:$A$5=入户维修!$F287)+($A$1:$A$5=入户维修!$G287)+$BN$1:$BN$5&gt;0)))</f>
        <v>4</v>
      </c>
      <c r="Y287" s="0" t="str">
        <f aca="false">IFERROR(INDEX($A$1:$A$5,MATCH(1,$S287:$W287,0)),IF(1=MAX($S287:$W287)+1,"取消",""))</f>
        <v>李师傅</v>
      </c>
      <c r="Z287" s="0" t="str">
        <f aca="false">IFERROR(INDEX($A$1:$A$5,MATCH(2,$S287:$W287,0)),IF(2=MAX($S287:$W287)+1,"取消",""))</f>
        <v>王师傅</v>
      </c>
      <c r="AA287" s="0" t="str">
        <f aca="false">IFERROR(INDEX($A$1:$A$5,MATCH(3,$S287:$W287,0)),IF(3=MAX($S287:$W287)+1,"取消",""))</f>
        <v>陈师傅</v>
      </c>
      <c r="AB287" s="0" t="str">
        <f aca="false">IFERROR(INDEX($A$1:$A$5,MATCH(4,$S287:$W287,0)),IF(4=MAX($S287:$W287)+1,"取消",""))</f>
        <v>刘师傅</v>
      </c>
      <c r="AC287" s="0" t="str">
        <f aca="false">IFERROR(INDEX($A$1:$A$5,MATCH(5,$S287:$W287,0)),IF(5=MAX($S287:$W287)+1,"取消",""))</f>
        <v>取消</v>
      </c>
      <c r="AD287" s="0" t="str">
        <f aca="false">IFERROR(INDEX($A$1:$A$5,MATCH(6,$S287:$W287,0)),IF(6=MAX($S287:$W287)+1,"取消",""))</f>
        <v/>
      </c>
      <c r="AF287" s="0" t="n">
        <f aca="false">IF(OR($A$1=公区维修!$F287,$BN$1=1),0,1-SUMPRODUCT(--(($A$1=公区维修!$F287)+$BN$1&gt;0)))</f>
        <v>0</v>
      </c>
      <c r="AG287" s="0" t="n">
        <f aca="false">IF(OR($A$2=公区维修!$F287,$BN$2=1),0,2-SUMPRODUCT(--(($A$1:$A$2=公区维修!$F287)+$BN$1:$BN$2&gt;0)))</f>
        <v>1</v>
      </c>
      <c r="AH287" s="0" t="n">
        <f aca="false">IF(OR($A$3=公区维修!$F287,$BN$3=1),0,3-SUMPRODUCT(--(($A$1:$A$3=公区维修!$F287)+$BN$1:$BN$3&gt;0)))</f>
        <v>2</v>
      </c>
      <c r="AI287" s="0" t="n">
        <f aca="false">IF(OR($A$4=公区维修!$F287,$BN$4=1),0,4-SUMPRODUCT(--(($A$1:$A$4=公区维修!$F287)+$BN$1:$BN$4&gt;0)))</f>
        <v>3</v>
      </c>
      <c r="AJ287" s="0" t="n">
        <f aca="false">IF(OR($A$5=公区维修!$F287,$BN$5=1),0,5-SUMPRODUCT(--(($A$1:$A$5=公区维修!$F287)+$BN$1:$BN$5&gt;0)))</f>
        <v>4</v>
      </c>
      <c r="AL287" s="0" t="str">
        <f aca="false">IFERROR(INDEX($A$1:$A$5,MATCH(1,$AF287:$AJ287,0)),IF(1=MAX($AF287:$AJ287)+1,"取消",""))</f>
        <v>李师傅</v>
      </c>
      <c r="AM287" s="0" t="str">
        <f aca="false">IFERROR(INDEX($A$1:$A$5,MATCH(2,$AF287:$AJ287,0)),IF(2=MAX($AF287:$AJ287)+1,"取消",""))</f>
        <v>王师傅</v>
      </c>
      <c r="AN287" s="0" t="str">
        <f aca="false">IFERROR(INDEX($A$1:$A$5,MATCH(3,$AF287:$AJ287,0)),IF(3=MAX($AF287:$AJ287)+1,"取消",""))</f>
        <v>陈师傅</v>
      </c>
      <c r="AO287" s="0" t="str">
        <f aca="false">IFERROR(INDEX($A$1:$A$5,MATCH(4,$AF287:$AJ287,0)),IF(4=MAX($AF287:$AJ287)+1,"取消",""))</f>
        <v>刘师傅</v>
      </c>
      <c r="AP287" s="0" t="str">
        <f aca="false">IFERROR(INDEX($A$1:$A$5,MATCH(5,$AF287:$AJ287,0)),IF(5=MAX($AF287:$AJ287)+1,"取消",""))</f>
        <v>取消</v>
      </c>
      <c r="AQ287" s="0" t="str">
        <f aca="false">IFERROR(INDEX($A$1:$A$5,MATCH(6,$AF287:$AJ287,0)),IF(6=MAX($AF287:$AJ287)+1,"取消",""))</f>
        <v/>
      </c>
      <c r="AS287" s="0" t="n">
        <f aca="false">IF(OR($A$1=公区维修!$F287,$A$1=公区维修!$G287,$BN$1=1),0,1-SUMPRODUCT(--(($A$1=公区维修!$F287)+($A$1=公区维修!$G287)+$BN$1&gt;0)))</f>
        <v>0</v>
      </c>
      <c r="AT287" s="0" t="n">
        <f aca="false">IF(OR($A$2=公区维修!$F287,$A$2=公区维修!$G287,$BN$2=1),0,2-SUMPRODUCT(--(($A$1:$A$2=公区维修!$F287)+($A$1:$A$2=公区维修!$G287)+$BN$1:$BN$2&gt;0)))</f>
        <v>1</v>
      </c>
      <c r="AU287" s="0" t="n">
        <f aca="false">IF(OR($A$3=公区维修!$F287,$A$3=公区维修!$G287,$BN$3=1),0,3-SUMPRODUCT(--(($A$1:$A$3=公区维修!$F287)+($A$1:$A$3=公区维修!$G287)+$BN$1:$BN$3&gt;0)))</f>
        <v>2</v>
      </c>
      <c r="AV287" s="0" t="n">
        <f aca="false">IF(OR($A$4=公区维修!$F287,$A$4=公区维修!$G287,$BN$4=1),0,4-SUMPRODUCT(--(($A$1:$A$4=公区维修!$F287)+($A$1:$A$4=公区维修!$G287)+$BN$1:$BN$4&gt;0)))</f>
        <v>3</v>
      </c>
      <c r="AW287" s="0" t="n">
        <f aca="false">IF(OR($A$5=公区维修!$F287,$A$5=公区维修!$G287,$BN$5=1),0,5-SUMPRODUCT(--(($A$1:$A$5=公区维修!$F287)+($A$1:$A$5=公区维修!$G287)+$BN$1:$BN$5&gt;0)))</f>
        <v>4</v>
      </c>
      <c r="AY287" s="0" t="str">
        <f aca="false">IFERROR(INDEX($A$1:$A$5,MATCH(1,$AS287:$AW287,0)),IF(1=MAX($AS287:$AW287)+1,"取消",""))</f>
        <v>李师傅</v>
      </c>
      <c r="AZ287" s="0" t="str">
        <f aca="false">IFERROR(INDEX($A$1:$A$5,MATCH(2,$AS287:$AW287,0)),IF(2=MAX($AS287:$AW287)+1,"取消",""))</f>
        <v>王师傅</v>
      </c>
      <c r="BA287" s="0" t="str">
        <f aca="false">IFERROR(INDEX($A$1:$A$5,MATCH(3,$AS287:$AW287,0)),IF(3=MAX($AS287:$AW287)+1,"取消",""))</f>
        <v>陈师傅</v>
      </c>
      <c r="BB287" s="0" t="str">
        <f aca="false">IFERROR(INDEX($A$1:$A$5,MATCH(4,$AS287:$AW287,0)),IF(4=MAX($AS287:$AW287)+1,"取消",""))</f>
        <v>刘师傅</v>
      </c>
      <c r="BC287" s="0" t="str">
        <f aca="false">IFERROR(INDEX($A$1:$A$5,MATCH(5,$AS287:$AW287,0)),IF(5=MAX($AS287:$AW287)+1,"取消",""))</f>
        <v>取消</v>
      </c>
      <c r="BD287" s="0" t="str">
        <f aca="false">IFERROR(INDEX($A$1:$A$5,MATCH(6,$AS287:$AW287,0)),IF(6=MAX($AS287:$AW287)+1,"取消",""))</f>
        <v/>
      </c>
      <c r="FW287" s="0" t="str">
        <f aca="false">IF(AND(单元查询!$D$3&lt;&gt;"",IF(单元查询!$B$3="公区维修",公区维修!$E287&lt;&gt;"",入户维修!$E287&lt;&gt;""),IF(单元查询!$B$3="公区维修",公区维修!$C287,入户维修!$C287)=单元查询!$D$3,OR(单元查询!$F$3="",IF(单元查询!$B$3="公区维修",公区维修!$D287,入户维修!$D287)&amp;""=(单元查询!$F$3)&amp;"")),MAX($FW$4:$FW286)+1,"")</f>
        <v/>
      </c>
    </row>
    <row r="288" customFormat="false" ht="15" hidden="false" customHeight="true" outlineLevel="0" collapsed="false">
      <c r="F288" s="0" t="n">
        <f aca="false">IF(OR($A$1=入户维修!$F288,$BN$1=1),0,1-SUMPRODUCT(--(($A$1=入户维修!$F288)+$BN$1&gt;0)))</f>
        <v>0</v>
      </c>
      <c r="G288" s="0" t="n">
        <f aca="false">IF(OR($A$2=入户维修!$F288,$BN$2=1),0,2-SUMPRODUCT(--(($A$1:$A$2=入户维修!$F288)+$BN$1:$BN$2&gt;0)))</f>
        <v>1</v>
      </c>
      <c r="H288" s="0" t="n">
        <f aca="false">IF(OR($A$3=入户维修!$F288,$BN$3=1),0,3-SUMPRODUCT(--(($A$1:$A$3=入户维修!$F288)+$BN$1:$BN$3&gt;0)))</f>
        <v>2</v>
      </c>
      <c r="I288" s="0" t="n">
        <f aca="false">IF(OR($A$4=入户维修!$F288,$BN$4=1),0,4-SUMPRODUCT(--(($A$1:$A$4=入户维修!$F288)+$BN$1:$BN$4&gt;0)))</f>
        <v>3</v>
      </c>
      <c r="J288" s="0" t="n">
        <f aca="false">IF(OR($A$5=入户维修!$F288,$BN$5=1),0,5-SUMPRODUCT(--(($A$1:$A$5=入户维修!$F288)+$BN$1:$BN$5&gt;0)))</f>
        <v>4</v>
      </c>
      <c r="L288" s="0" t="str">
        <f aca="false">IFERROR(INDEX($A$1:$A$5,MATCH(1,$F288:$J288,0)),IF(1=MAX($F288:$J288)+1,"取消",""))</f>
        <v>李师傅</v>
      </c>
      <c r="M288" s="0" t="str">
        <f aca="false">IFERROR(INDEX($A$1:$A$5,MATCH(2,$F288:$J288,0)),IF(2=MAX($F288:$J288)+1,"取消",""))</f>
        <v>王师傅</v>
      </c>
      <c r="N288" s="0" t="str">
        <f aca="false">IFERROR(INDEX($A$1:$A$5,MATCH(3,$F288:$J288,0)),IF(3=MAX($F288:$J288)+1,"取消",""))</f>
        <v>陈师傅</v>
      </c>
      <c r="O288" s="0" t="str">
        <f aca="false">IFERROR(INDEX($A$1:$A$5,MATCH(4,$F288:$J288,0)),IF(4=MAX($F288:$J288)+1,"取消",""))</f>
        <v>刘师傅</v>
      </c>
      <c r="P288" s="0" t="str">
        <f aca="false">IFERROR(INDEX($A$1:$A$5,MATCH(5,$F288:$J288,0)),IF(5=MAX($F288:$J288)+1,"取消",""))</f>
        <v>取消</v>
      </c>
      <c r="Q288" s="0" t="str">
        <f aca="false">IFERROR(INDEX($A$1:$A$5,MATCH(6,$F288:$J288,0)),IF(6=MAX($F288:$J288)+1,"取消",""))</f>
        <v/>
      </c>
      <c r="S288" s="0" t="n">
        <f aca="false">IF(OR($A$1=入户维修!$F288,$A$1=入户维修!$G288,$BN$1=1),0,1-SUMPRODUCT(--(($A$1=入户维修!$F288)+($A$1=入户维修!$G288)+$BN$1&gt;0)))</f>
        <v>0</v>
      </c>
      <c r="T288" s="0" t="n">
        <f aca="false">IF(OR($A$2=入户维修!$F288,$A$2=入户维修!$G288,$BN$2=1),0,2-SUMPRODUCT(--(($A$1:$A$2=入户维修!$F288)+($A$1:$A$2=入户维修!$G288)+$BN$1:$BN$2&gt;0)))</f>
        <v>1</v>
      </c>
      <c r="U288" s="0" t="n">
        <f aca="false">IF(OR($A$3=入户维修!$F288,$A$3=入户维修!$G288,$BN$3=1),0,3-SUMPRODUCT(--(($A$1:$A$3=入户维修!$F288)+($A$1:$A$3=入户维修!$G288)+$BN$1:$BN$3&gt;0)))</f>
        <v>2</v>
      </c>
      <c r="V288" s="0" t="n">
        <f aca="false">IF(OR($A$4=入户维修!$F288,$A$4=入户维修!$G288,$BN$4=1),0,4-SUMPRODUCT(--(($A$1:$A$4=入户维修!$F288)+($A$1:$A$4=入户维修!$G288)+$BN$1:$BN$4&gt;0)))</f>
        <v>3</v>
      </c>
      <c r="W288" s="0" t="n">
        <f aca="false">IF(OR($A$5=入户维修!$F288,$A$5=入户维修!$G288,$BN$5=1),0,5-SUMPRODUCT(--(($A$1:$A$5=入户维修!$F288)+($A$1:$A$5=入户维修!$G288)+$BN$1:$BN$5&gt;0)))</f>
        <v>4</v>
      </c>
      <c r="Y288" s="0" t="str">
        <f aca="false">IFERROR(INDEX($A$1:$A$5,MATCH(1,$S288:$W288,0)),IF(1=MAX($S288:$W288)+1,"取消",""))</f>
        <v>李师傅</v>
      </c>
      <c r="Z288" s="0" t="str">
        <f aca="false">IFERROR(INDEX($A$1:$A$5,MATCH(2,$S288:$W288,0)),IF(2=MAX($S288:$W288)+1,"取消",""))</f>
        <v>王师傅</v>
      </c>
      <c r="AA288" s="0" t="str">
        <f aca="false">IFERROR(INDEX($A$1:$A$5,MATCH(3,$S288:$W288,0)),IF(3=MAX($S288:$W288)+1,"取消",""))</f>
        <v>陈师傅</v>
      </c>
      <c r="AB288" s="0" t="str">
        <f aca="false">IFERROR(INDEX($A$1:$A$5,MATCH(4,$S288:$W288,0)),IF(4=MAX($S288:$W288)+1,"取消",""))</f>
        <v>刘师傅</v>
      </c>
      <c r="AC288" s="0" t="str">
        <f aca="false">IFERROR(INDEX($A$1:$A$5,MATCH(5,$S288:$W288,0)),IF(5=MAX($S288:$W288)+1,"取消",""))</f>
        <v>取消</v>
      </c>
      <c r="AD288" s="0" t="str">
        <f aca="false">IFERROR(INDEX($A$1:$A$5,MATCH(6,$S288:$W288,0)),IF(6=MAX($S288:$W288)+1,"取消",""))</f>
        <v/>
      </c>
      <c r="AF288" s="0" t="n">
        <f aca="false">IF(OR($A$1=公区维修!$F288,$BN$1=1),0,1-SUMPRODUCT(--(($A$1=公区维修!$F288)+$BN$1&gt;0)))</f>
        <v>0</v>
      </c>
      <c r="AG288" s="0" t="n">
        <f aca="false">IF(OR($A$2=公区维修!$F288,$BN$2=1),0,2-SUMPRODUCT(--(($A$1:$A$2=公区维修!$F288)+$BN$1:$BN$2&gt;0)))</f>
        <v>1</v>
      </c>
      <c r="AH288" s="0" t="n">
        <f aca="false">IF(OR($A$3=公区维修!$F288,$BN$3=1),0,3-SUMPRODUCT(--(($A$1:$A$3=公区维修!$F288)+$BN$1:$BN$3&gt;0)))</f>
        <v>2</v>
      </c>
      <c r="AI288" s="0" t="n">
        <f aca="false">IF(OR($A$4=公区维修!$F288,$BN$4=1),0,4-SUMPRODUCT(--(($A$1:$A$4=公区维修!$F288)+$BN$1:$BN$4&gt;0)))</f>
        <v>3</v>
      </c>
      <c r="AJ288" s="0" t="n">
        <f aca="false">IF(OR($A$5=公区维修!$F288,$BN$5=1),0,5-SUMPRODUCT(--(($A$1:$A$5=公区维修!$F288)+$BN$1:$BN$5&gt;0)))</f>
        <v>4</v>
      </c>
      <c r="AL288" s="0" t="str">
        <f aca="false">IFERROR(INDEX($A$1:$A$5,MATCH(1,$AF288:$AJ288,0)),IF(1=MAX($AF288:$AJ288)+1,"取消",""))</f>
        <v>李师傅</v>
      </c>
      <c r="AM288" s="0" t="str">
        <f aca="false">IFERROR(INDEX($A$1:$A$5,MATCH(2,$AF288:$AJ288,0)),IF(2=MAX($AF288:$AJ288)+1,"取消",""))</f>
        <v>王师傅</v>
      </c>
      <c r="AN288" s="0" t="str">
        <f aca="false">IFERROR(INDEX($A$1:$A$5,MATCH(3,$AF288:$AJ288,0)),IF(3=MAX($AF288:$AJ288)+1,"取消",""))</f>
        <v>陈师傅</v>
      </c>
      <c r="AO288" s="0" t="str">
        <f aca="false">IFERROR(INDEX($A$1:$A$5,MATCH(4,$AF288:$AJ288,0)),IF(4=MAX($AF288:$AJ288)+1,"取消",""))</f>
        <v>刘师傅</v>
      </c>
      <c r="AP288" s="0" t="str">
        <f aca="false">IFERROR(INDEX($A$1:$A$5,MATCH(5,$AF288:$AJ288,0)),IF(5=MAX($AF288:$AJ288)+1,"取消",""))</f>
        <v>取消</v>
      </c>
      <c r="AQ288" s="0" t="str">
        <f aca="false">IFERROR(INDEX($A$1:$A$5,MATCH(6,$AF288:$AJ288,0)),IF(6=MAX($AF288:$AJ288)+1,"取消",""))</f>
        <v/>
      </c>
      <c r="AS288" s="0" t="n">
        <f aca="false">IF(OR($A$1=公区维修!$F288,$A$1=公区维修!$G288,$BN$1=1),0,1-SUMPRODUCT(--(($A$1=公区维修!$F288)+($A$1=公区维修!$G288)+$BN$1&gt;0)))</f>
        <v>0</v>
      </c>
      <c r="AT288" s="0" t="n">
        <f aca="false">IF(OR($A$2=公区维修!$F288,$A$2=公区维修!$G288,$BN$2=1),0,2-SUMPRODUCT(--(($A$1:$A$2=公区维修!$F288)+($A$1:$A$2=公区维修!$G288)+$BN$1:$BN$2&gt;0)))</f>
        <v>1</v>
      </c>
      <c r="AU288" s="0" t="n">
        <f aca="false">IF(OR($A$3=公区维修!$F288,$A$3=公区维修!$G288,$BN$3=1),0,3-SUMPRODUCT(--(($A$1:$A$3=公区维修!$F288)+($A$1:$A$3=公区维修!$G288)+$BN$1:$BN$3&gt;0)))</f>
        <v>2</v>
      </c>
      <c r="AV288" s="0" t="n">
        <f aca="false">IF(OR($A$4=公区维修!$F288,$A$4=公区维修!$G288,$BN$4=1),0,4-SUMPRODUCT(--(($A$1:$A$4=公区维修!$F288)+($A$1:$A$4=公区维修!$G288)+$BN$1:$BN$4&gt;0)))</f>
        <v>3</v>
      </c>
      <c r="AW288" s="0" t="n">
        <f aca="false">IF(OR($A$5=公区维修!$F288,$A$5=公区维修!$G288,$BN$5=1),0,5-SUMPRODUCT(--(($A$1:$A$5=公区维修!$F288)+($A$1:$A$5=公区维修!$G288)+$BN$1:$BN$5&gt;0)))</f>
        <v>4</v>
      </c>
      <c r="AY288" s="0" t="str">
        <f aca="false">IFERROR(INDEX($A$1:$A$5,MATCH(1,$AS288:$AW288,0)),IF(1=MAX($AS288:$AW288)+1,"取消",""))</f>
        <v>李师傅</v>
      </c>
      <c r="AZ288" s="0" t="str">
        <f aca="false">IFERROR(INDEX($A$1:$A$5,MATCH(2,$AS288:$AW288,0)),IF(2=MAX($AS288:$AW288)+1,"取消",""))</f>
        <v>王师傅</v>
      </c>
      <c r="BA288" s="0" t="str">
        <f aca="false">IFERROR(INDEX($A$1:$A$5,MATCH(3,$AS288:$AW288,0)),IF(3=MAX($AS288:$AW288)+1,"取消",""))</f>
        <v>陈师傅</v>
      </c>
      <c r="BB288" s="0" t="str">
        <f aca="false">IFERROR(INDEX($A$1:$A$5,MATCH(4,$AS288:$AW288,0)),IF(4=MAX($AS288:$AW288)+1,"取消",""))</f>
        <v>刘师傅</v>
      </c>
      <c r="BC288" s="0" t="str">
        <f aca="false">IFERROR(INDEX($A$1:$A$5,MATCH(5,$AS288:$AW288,0)),IF(5=MAX($AS288:$AW288)+1,"取消",""))</f>
        <v>取消</v>
      </c>
      <c r="BD288" s="0" t="str">
        <f aca="false">IFERROR(INDEX($A$1:$A$5,MATCH(6,$AS288:$AW288,0)),IF(6=MAX($AS288:$AW288)+1,"取消",""))</f>
        <v/>
      </c>
      <c r="FW288" s="0" t="str">
        <f aca="false">IF(AND(单元查询!$D$3&lt;&gt;"",IF(单元查询!$B$3="公区维修",公区维修!$E288&lt;&gt;"",入户维修!$E288&lt;&gt;""),IF(单元查询!$B$3="公区维修",公区维修!$C288,入户维修!$C288)=单元查询!$D$3,OR(单元查询!$F$3="",IF(单元查询!$B$3="公区维修",公区维修!$D288,入户维修!$D288)&amp;""=(单元查询!$F$3)&amp;"")),MAX($FW$4:$FW287)+1,"")</f>
        <v/>
      </c>
    </row>
    <row r="289" customFormat="false" ht="15" hidden="false" customHeight="true" outlineLevel="0" collapsed="false">
      <c r="F289" s="0" t="n">
        <f aca="false">IF(OR($A$1=入户维修!$F289,$BN$1=1),0,1-SUMPRODUCT(--(($A$1=入户维修!$F289)+$BN$1&gt;0)))</f>
        <v>0</v>
      </c>
      <c r="G289" s="0" t="n">
        <f aca="false">IF(OR($A$2=入户维修!$F289,$BN$2=1),0,2-SUMPRODUCT(--(($A$1:$A$2=入户维修!$F289)+$BN$1:$BN$2&gt;0)))</f>
        <v>1</v>
      </c>
      <c r="H289" s="0" t="n">
        <f aca="false">IF(OR($A$3=入户维修!$F289,$BN$3=1),0,3-SUMPRODUCT(--(($A$1:$A$3=入户维修!$F289)+$BN$1:$BN$3&gt;0)))</f>
        <v>2</v>
      </c>
      <c r="I289" s="0" t="n">
        <f aca="false">IF(OR($A$4=入户维修!$F289,$BN$4=1),0,4-SUMPRODUCT(--(($A$1:$A$4=入户维修!$F289)+$BN$1:$BN$4&gt;0)))</f>
        <v>3</v>
      </c>
      <c r="J289" s="0" t="n">
        <f aca="false">IF(OR($A$5=入户维修!$F289,$BN$5=1),0,5-SUMPRODUCT(--(($A$1:$A$5=入户维修!$F289)+$BN$1:$BN$5&gt;0)))</f>
        <v>4</v>
      </c>
      <c r="L289" s="0" t="str">
        <f aca="false">IFERROR(INDEX($A$1:$A$5,MATCH(1,$F289:$J289,0)),IF(1=MAX($F289:$J289)+1,"取消",""))</f>
        <v>李师傅</v>
      </c>
      <c r="M289" s="0" t="str">
        <f aca="false">IFERROR(INDEX($A$1:$A$5,MATCH(2,$F289:$J289,0)),IF(2=MAX($F289:$J289)+1,"取消",""))</f>
        <v>王师傅</v>
      </c>
      <c r="N289" s="0" t="str">
        <f aca="false">IFERROR(INDEX($A$1:$A$5,MATCH(3,$F289:$J289,0)),IF(3=MAX($F289:$J289)+1,"取消",""))</f>
        <v>陈师傅</v>
      </c>
      <c r="O289" s="0" t="str">
        <f aca="false">IFERROR(INDEX($A$1:$A$5,MATCH(4,$F289:$J289,0)),IF(4=MAX($F289:$J289)+1,"取消",""))</f>
        <v>刘师傅</v>
      </c>
      <c r="P289" s="0" t="str">
        <f aca="false">IFERROR(INDEX($A$1:$A$5,MATCH(5,$F289:$J289,0)),IF(5=MAX($F289:$J289)+1,"取消",""))</f>
        <v>取消</v>
      </c>
      <c r="Q289" s="0" t="str">
        <f aca="false">IFERROR(INDEX($A$1:$A$5,MATCH(6,$F289:$J289,0)),IF(6=MAX($F289:$J289)+1,"取消",""))</f>
        <v/>
      </c>
      <c r="S289" s="0" t="n">
        <f aca="false">IF(OR($A$1=入户维修!$F289,$A$1=入户维修!$G289,$BN$1=1),0,1-SUMPRODUCT(--(($A$1=入户维修!$F289)+($A$1=入户维修!$G289)+$BN$1&gt;0)))</f>
        <v>0</v>
      </c>
      <c r="T289" s="0" t="n">
        <f aca="false">IF(OR($A$2=入户维修!$F289,$A$2=入户维修!$G289,$BN$2=1),0,2-SUMPRODUCT(--(($A$1:$A$2=入户维修!$F289)+($A$1:$A$2=入户维修!$G289)+$BN$1:$BN$2&gt;0)))</f>
        <v>1</v>
      </c>
      <c r="U289" s="0" t="n">
        <f aca="false">IF(OR($A$3=入户维修!$F289,$A$3=入户维修!$G289,$BN$3=1),0,3-SUMPRODUCT(--(($A$1:$A$3=入户维修!$F289)+($A$1:$A$3=入户维修!$G289)+$BN$1:$BN$3&gt;0)))</f>
        <v>2</v>
      </c>
      <c r="V289" s="0" t="n">
        <f aca="false">IF(OR($A$4=入户维修!$F289,$A$4=入户维修!$G289,$BN$4=1),0,4-SUMPRODUCT(--(($A$1:$A$4=入户维修!$F289)+($A$1:$A$4=入户维修!$G289)+$BN$1:$BN$4&gt;0)))</f>
        <v>3</v>
      </c>
      <c r="W289" s="0" t="n">
        <f aca="false">IF(OR($A$5=入户维修!$F289,$A$5=入户维修!$G289,$BN$5=1),0,5-SUMPRODUCT(--(($A$1:$A$5=入户维修!$F289)+($A$1:$A$5=入户维修!$G289)+$BN$1:$BN$5&gt;0)))</f>
        <v>4</v>
      </c>
      <c r="Y289" s="0" t="str">
        <f aca="false">IFERROR(INDEX($A$1:$A$5,MATCH(1,$S289:$W289,0)),IF(1=MAX($S289:$W289)+1,"取消",""))</f>
        <v>李师傅</v>
      </c>
      <c r="Z289" s="0" t="str">
        <f aca="false">IFERROR(INDEX($A$1:$A$5,MATCH(2,$S289:$W289,0)),IF(2=MAX($S289:$W289)+1,"取消",""))</f>
        <v>王师傅</v>
      </c>
      <c r="AA289" s="0" t="str">
        <f aca="false">IFERROR(INDEX($A$1:$A$5,MATCH(3,$S289:$W289,0)),IF(3=MAX($S289:$W289)+1,"取消",""))</f>
        <v>陈师傅</v>
      </c>
      <c r="AB289" s="0" t="str">
        <f aca="false">IFERROR(INDEX($A$1:$A$5,MATCH(4,$S289:$W289,0)),IF(4=MAX($S289:$W289)+1,"取消",""))</f>
        <v>刘师傅</v>
      </c>
      <c r="AC289" s="0" t="str">
        <f aca="false">IFERROR(INDEX($A$1:$A$5,MATCH(5,$S289:$W289,0)),IF(5=MAX($S289:$W289)+1,"取消",""))</f>
        <v>取消</v>
      </c>
      <c r="AD289" s="0" t="str">
        <f aca="false">IFERROR(INDEX($A$1:$A$5,MATCH(6,$S289:$W289,0)),IF(6=MAX($S289:$W289)+1,"取消",""))</f>
        <v/>
      </c>
      <c r="AF289" s="0" t="n">
        <f aca="false">IF(OR($A$1=公区维修!$F289,$BN$1=1),0,1-SUMPRODUCT(--(($A$1=公区维修!$F289)+$BN$1&gt;0)))</f>
        <v>0</v>
      </c>
      <c r="AG289" s="0" t="n">
        <f aca="false">IF(OR($A$2=公区维修!$F289,$BN$2=1),0,2-SUMPRODUCT(--(($A$1:$A$2=公区维修!$F289)+$BN$1:$BN$2&gt;0)))</f>
        <v>1</v>
      </c>
      <c r="AH289" s="0" t="n">
        <f aca="false">IF(OR($A$3=公区维修!$F289,$BN$3=1),0,3-SUMPRODUCT(--(($A$1:$A$3=公区维修!$F289)+$BN$1:$BN$3&gt;0)))</f>
        <v>2</v>
      </c>
      <c r="AI289" s="0" t="n">
        <f aca="false">IF(OR($A$4=公区维修!$F289,$BN$4=1),0,4-SUMPRODUCT(--(($A$1:$A$4=公区维修!$F289)+$BN$1:$BN$4&gt;0)))</f>
        <v>3</v>
      </c>
      <c r="AJ289" s="0" t="n">
        <f aca="false">IF(OR($A$5=公区维修!$F289,$BN$5=1),0,5-SUMPRODUCT(--(($A$1:$A$5=公区维修!$F289)+$BN$1:$BN$5&gt;0)))</f>
        <v>4</v>
      </c>
      <c r="AL289" s="0" t="str">
        <f aca="false">IFERROR(INDEX($A$1:$A$5,MATCH(1,$AF289:$AJ289,0)),IF(1=MAX($AF289:$AJ289)+1,"取消",""))</f>
        <v>李师傅</v>
      </c>
      <c r="AM289" s="0" t="str">
        <f aca="false">IFERROR(INDEX($A$1:$A$5,MATCH(2,$AF289:$AJ289,0)),IF(2=MAX($AF289:$AJ289)+1,"取消",""))</f>
        <v>王师傅</v>
      </c>
      <c r="AN289" s="0" t="str">
        <f aca="false">IFERROR(INDEX($A$1:$A$5,MATCH(3,$AF289:$AJ289,0)),IF(3=MAX($AF289:$AJ289)+1,"取消",""))</f>
        <v>陈师傅</v>
      </c>
      <c r="AO289" s="0" t="str">
        <f aca="false">IFERROR(INDEX($A$1:$A$5,MATCH(4,$AF289:$AJ289,0)),IF(4=MAX($AF289:$AJ289)+1,"取消",""))</f>
        <v>刘师傅</v>
      </c>
      <c r="AP289" s="0" t="str">
        <f aca="false">IFERROR(INDEX($A$1:$A$5,MATCH(5,$AF289:$AJ289,0)),IF(5=MAX($AF289:$AJ289)+1,"取消",""))</f>
        <v>取消</v>
      </c>
      <c r="AQ289" s="0" t="str">
        <f aca="false">IFERROR(INDEX($A$1:$A$5,MATCH(6,$AF289:$AJ289,0)),IF(6=MAX($AF289:$AJ289)+1,"取消",""))</f>
        <v/>
      </c>
      <c r="AS289" s="0" t="n">
        <f aca="false">IF(OR($A$1=公区维修!$F289,$A$1=公区维修!$G289,$BN$1=1),0,1-SUMPRODUCT(--(($A$1=公区维修!$F289)+($A$1=公区维修!$G289)+$BN$1&gt;0)))</f>
        <v>0</v>
      </c>
      <c r="AT289" s="0" t="n">
        <f aca="false">IF(OR($A$2=公区维修!$F289,$A$2=公区维修!$G289,$BN$2=1),0,2-SUMPRODUCT(--(($A$1:$A$2=公区维修!$F289)+($A$1:$A$2=公区维修!$G289)+$BN$1:$BN$2&gt;0)))</f>
        <v>1</v>
      </c>
      <c r="AU289" s="0" t="n">
        <f aca="false">IF(OR($A$3=公区维修!$F289,$A$3=公区维修!$G289,$BN$3=1),0,3-SUMPRODUCT(--(($A$1:$A$3=公区维修!$F289)+($A$1:$A$3=公区维修!$G289)+$BN$1:$BN$3&gt;0)))</f>
        <v>2</v>
      </c>
      <c r="AV289" s="0" t="n">
        <f aca="false">IF(OR($A$4=公区维修!$F289,$A$4=公区维修!$G289,$BN$4=1),0,4-SUMPRODUCT(--(($A$1:$A$4=公区维修!$F289)+($A$1:$A$4=公区维修!$G289)+$BN$1:$BN$4&gt;0)))</f>
        <v>3</v>
      </c>
      <c r="AW289" s="0" t="n">
        <f aca="false">IF(OR($A$5=公区维修!$F289,$A$5=公区维修!$G289,$BN$5=1),0,5-SUMPRODUCT(--(($A$1:$A$5=公区维修!$F289)+($A$1:$A$5=公区维修!$G289)+$BN$1:$BN$5&gt;0)))</f>
        <v>4</v>
      </c>
      <c r="AY289" s="0" t="str">
        <f aca="false">IFERROR(INDEX($A$1:$A$5,MATCH(1,$AS289:$AW289,0)),IF(1=MAX($AS289:$AW289)+1,"取消",""))</f>
        <v>李师傅</v>
      </c>
      <c r="AZ289" s="0" t="str">
        <f aca="false">IFERROR(INDEX($A$1:$A$5,MATCH(2,$AS289:$AW289,0)),IF(2=MAX($AS289:$AW289)+1,"取消",""))</f>
        <v>王师傅</v>
      </c>
      <c r="BA289" s="0" t="str">
        <f aca="false">IFERROR(INDEX($A$1:$A$5,MATCH(3,$AS289:$AW289,0)),IF(3=MAX($AS289:$AW289)+1,"取消",""))</f>
        <v>陈师傅</v>
      </c>
      <c r="BB289" s="0" t="str">
        <f aca="false">IFERROR(INDEX($A$1:$A$5,MATCH(4,$AS289:$AW289,0)),IF(4=MAX($AS289:$AW289)+1,"取消",""))</f>
        <v>刘师傅</v>
      </c>
      <c r="BC289" s="0" t="str">
        <f aca="false">IFERROR(INDEX($A$1:$A$5,MATCH(5,$AS289:$AW289,0)),IF(5=MAX($AS289:$AW289)+1,"取消",""))</f>
        <v>取消</v>
      </c>
      <c r="BD289" s="0" t="str">
        <f aca="false">IFERROR(INDEX($A$1:$A$5,MATCH(6,$AS289:$AW289,0)),IF(6=MAX($AS289:$AW289)+1,"取消",""))</f>
        <v/>
      </c>
      <c r="FW289" s="0" t="str">
        <f aca="false">IF(AND(单元查询!$D$3&lt;&gt;"",IF(单元查询!$B$3="公区维修",公区维修!$E289&lt;&gt;"",入户维修!$E289&lt;&gt;""),IF(单元查询!$B$3="公区维修",公区维修!$C289,入户维修!$C289)=单元查询!$D$3,OR(单元查询!$F$3="",IF(单元查询!$B$3="公区维修",公区维修!$D289,入户维修!$D289)&amp;""=(单元查询!$F$3)&amp;"")),MAX($FW$4:$FW288)+1,"")</f>
        <v/>
      </c>
    </row>
    <row r="290" customFormat="false" ht="15" hidden="false" customHeight="true" outlineLevel="0" collapsed="false">
      <c r="F290" s="0" t="n">
        <f aca="false">IF(OR($A$1=入户维修!$F290,$BN$1=1),0,1-SUMPRODUCT(--(($A$1=入户维修!$F290)+$BN$1&gt;0)))</f>
        <v>0</v>
      </c>
      <c r="G290" s="0" t="n">
        <f aca="false">IF(OR($A$2=入户维修!$F290,$BN$2=1),0,2-SUMPRODUCT(--(($A$1:$A$2=入户维修!$F290)+$BN$1:$BN$2&gt;0)))</f>
        <v>1</v>
      </c>
      <c r="H290" s="0" t="n">
        <f aca="false">IF(OR($A$3=入户维修!$F290,$BN$3=1),0,3-SUMPRODUCT(--(($A$1:$A$3=入户维修!$F290)+$BN$1:$BN$3&gt;0)))</f>
        <v>2</v>
      </c>
      <c r="I290" s="0" t="n">
        <f aca="false">IF(OR($A$4=入户维修!$F290,$BN$4=1),0,4-SUMPRODUCT(--(($A$1:$A$4=入户维修!$F290)+$BN$1:$BN$4&gt;0)))</f>
        <v>3</v>
      </c>
      <c r="J290" s="0" t="n">
        <f aca="false">IF(OR($A$5=入户维修!$F290,$BN$5=1),0,5-SUMPRODUCT(--(($A$1:$A$5=入户维修!$F290)+$BN$1:$BN$5&gt;0)))</f>
        <v>4</v>
      </c>
      <c r="L290" s="0" t="str">
        <f aca="false">IFERROR(INDEX($A$1:$A$5,MATCH(1,$F290:$J290,0)),IF(1=MAX($F290:$J290)+1,"取消",""))</f>
        <v>李师傅</v>
      </c>
      <c r="M290" s="0" t="str">
        <f aca="false">IFERROR(INDEX($A$1:$A$5,MATCH(2,$F290:$J290,0)),IF(2=MAX($F290:$J290)+1,"取消",""))</f>
        <v>王师傅</v>
      </c>
      <c r="N290" s="0" t="str">
        <f aca="false">IFERROR(INDEX($A$1:$A$5,MATCH(3,$F290:$J290,0)),IF(3=MAX($F290:$J290)+1,"取消",""))</f>
        <v>陈师傅</v>
      </c>
      <c r="O290" s="0" t="str">
        <f aca="false">IFERROR(INDEX($A$1:$A$5,MATCH(4,$F290:$J290,0)),IF(4=MAX($F290:$J290)+1,"取消",""))</f>
        <v>刘师傅</v>
      </c>
      <c r="P290" s="0" t="str">
        <f aca="false">IFERROR(INDEX($A$1:$A$5,MATCH(5,$F290:$J290,0)),IF(5=MAX($F290:$J290)+1,"取消",""))</f>
        <v>取消</v>
      </c>
      <c r="Q290" s="0" t="str">
        <f aca="false">IFERROR(INDEX($A$1:$A$5,MATCH(6,$F290:$J290,0)),IF(6=MAX($F290:$J290)+1,"取消",""))</f>
        <v/>
      </c>
      <c r="S290" s="0" t="n">
        <f aca="false">IF(OR($A$1=入户维修!$F290,$A$1=入户维修!$G290,$BN$1=1),0,1-SUMPRODUCT(--(($A$1=入户维修!$F290)+($A$1=入户维修!$G290)+$BN$1&gt;0)))</f>
        <v>0</v>
      </c>
      <c r="T290" s="0" t="n">
        <f aca="false">IF(OR($A$2=入户维修!$F290,$A$2=入户维修!$G290,$BN$2=1),0,2-SUMPRODUCT(--(($A$1:$A$2=入户维修!$F290)+($A$1:$A$2=入户维修!$G290)+$BN$1:$BN$2&gt;0)))</f>
        <v>1</v>
      </c>
      <c r="U290" s="0" t="n">
        <f aca="false">IF(OR($A$3=入户维修!$F290,$A$3=入户维修!$G290,$BN$3=1),0,3-SUMPRODUCT(--(($A$1:$A$3=入户维修!$F290)+($A$1:$A$3=入户维修!$G290)+$BN$1:$BN$3&gt;0)))</f>
        <v>2</v>
      </c>
      <c r="V290" s="0" t="n">
        <f aca="false">IF(OR($A$4=入户维修!$F290,$A$4=入户维修!$G290,$BN$4=1),0,4-SUMPRODUCT(--(($A$1:$A$4=入户维修!$F290)+($A$1:$A$4=入户维修!$G290)+$BN$1:$BN$4&gt;0)))</f>
        <v>3</v>
      </c>
      <c r="W290" s="0" t="n">
        <f aca="false">IF(OR($A$5=入户维修!$F290,$A$5=入户维修!$G290,$BN$5=1),0,5-SUMPRODUCT(--(($A$1:$A$5=入户维修!$F290)+($A$1:$A$5=入户维修!$G290)+$BN$1:$BN$5&gt;0)))</f>
        <v>4</v>
      </c>
      <c r="Y290" s="0" t="str">
        <f aca="false">IFERROR(INDEX($A$1:$A$5,MATCH(1,$S290:$W290,0)),IF(1=MAX($S290:$W290)+1,"取消",""))</f>
        <v>李师傅</v>
      </c>
      <c r="Z290" s="0" t="str">
        <f aca="false">IFERROR(INDEX($A$1:$A$5,MATCH(2,$S290:$W290,0)),IF(2=MAX($S290:$W290)+1,"取消",""))</f>
        <v>王师傅</v>
      </c>
      <c r="AA290" s="0" t="str">
        <f aca="false">IFERROR(INDEX($A$1:$A$5,MATCH(3,$S290:$W290,0)),IF(3=MAX($S290:$W290)+1,"取消",""))</f>
        <v>陈师傅</v>
      </c>
      <c r="AB290" s="0" t="str">
        <f aca="false">IFERROR(INDEX($A$1:$A$5,MATCH(4,$S290:$W290,0)),IF(4=MAX($S290:$W290)+1,"取消",""))</f>
        <v>刘师傅</v>
      </c>
      <c r="AC290" s="0" t="str">
        <f aca="false">IFERROR(INDEX($A$1:$A$5,MATCH(5,$S290:$W290,0)),IF(5=MAX($S290:$W290)+1,"取消",""))</f>
        <v>取消</v>
      </c>
      <c r="AD290" s="0" t="str">
        <f aca="false">IFERROR(INDEX($A$1:$A$5,MATCH(6,$S290:$W290,0)),IF(6=MAX($S290:$W290)+1,"取消",""))</f>
        <v/>
      </c>
      <c r="AF290" s="0" t="n">
        <f aca="false">IF(OR($A$1=公区维修!$F290,$BN$1=1),0,1-SUMPRODUCT(--(($A$1=公区维修!$F290)+$BN$1&gt;0)))</f>
        <v>0</v>
      </c>
      <c r="AG290" s="0" t="n">
        <f aca="false">IF(OR($A$2=公区维修!$F290,$BN$2=1),0,2-SUMPRODUCT(--(($A$1:$A$2=公区维修!$F290)+$BN$1:$BN$2&gt;0)))</f>
        <v>1</v>
      </c>
      <c r="AH290" s="0" t="n">
        <f aca="false">IF(OR($A$3=公区维修!$F290,$BN$3=1),0,3-SUMPRODUCT(--(($A$1:$A$3=公区维修!$F290)+$BN$1:$BN$3&gt;0)))</f>
        <v>2</v>
      </c>
      <c r="AI290" s="0" t="n">
        <f aca="false">IF(OR($A$4=公区维修!$F290,$BN$4=1),0,4-SUMPRODUCT(--(($A$1:$A$4=公区维修!$F290)+$BN$1:$BN$4&gt;0)))</f>
        <v>3</v>
      </c>
      <c r="AJ290" s="0" t="n">
        <f aca="false">IF(OR($A$5=公区维修!$F290,$BN$5=1),0,5-SUMPRODUCT(--(($A$1:$A$5=公区维修!$F290)+$BN$1:$BN$5&gt;0)))</f>
        <v>4</v>
      </c>
      <c r="AL290" s="0" t="str">
        <f aca="false">IFERROR(INDEX($A$1:$A$5,MATCH(1,$AF290:$AJ290,0)),IF(1=MAX($AF290:$AJ290)+1,"取消",""))</f>
        <v>李师傅</v>
      </c>
      <c r="AM290" s="0" t="str">
        <f aca="false">IFERROR(INDEX($A$1:$A$5,MATCH(2,$AF290:$AJ290,0)),IF(2=MAX($AF290:$AJ290)+1,"取消",""))</f>
        <v>王师傅</v>
      </c>
      <c r="AN290" s="0" t="str">
        <f aca="false">IFERROR(INDEX($A$1:$A$5,MATCH(3,$AF290:$AJ290,0)),IF(3=MAX($AF290:$AJ290)+1,"取消",""))</f>
        <v>陈师傅</v>
      </c>
      <c r="AO290" s="0" t="str">
        <f aca="false">IFERROR(INDEX($A$1:$A$5,MATCH(4,$AF290:$AJ290,0)),IF(4=MAX($AF290:$AJ290)+1,"取消",""))</f>
        <v>刘师傅</v>
      </c>
      <c r="AP290" s="0" t="str">
        <f aca="false">IFERROR(INDEX($A$1:$A$5,MATCH(5,$AF290:$AJ290,0)),IF(5=MAX($AF290:$AJ290)+1,"取消",""))</f>
        <v>取消</v>
      </c>
      <c r="AQ290" s="0" t="str">
        <f aca="false">IFERROR(INDEX($A$1:$A$5,MATCH(6,$AF290:$AJ290,0)),IF(6=MAX($AF290:$AJ290)+1,"取消",""))</f>
        <v/>
      </c>
      <c r="AS290" s="0" t="n">
        <f aca="false">IF(OR($A$1=公区维修!$F290,$A$1=公区维修!$G290,$BN$1=1),0,1-SUMPRODUCT(--(($A$1=公区维修!$F290)+($A$1=公区维修!$G290)+$BN$1&gt;0)))</f>
        <v>0</v>
      </c>
      <c r="AT290" s="0" t="n">
        <f aca="false">IF(OR($A$2=公区维修!$F290,$A$2=公区维修!$G290,$BN$2=1),0,2-SUMPRODUCT(--(($A$1:$A$2=公区维修!$F290)+($A$1:$A$2=公区维修!$G290)+$BN$1:$BN$2&gt;0)))</f>
        <v>1</v>
      </c>
      <c r="AU290" s="0" t="n">
        <f aca="false">IF(OR($A$3=公区维修!$F290,$A$3=公区维修!$G290,$BN$3=1),0,3-SUMPRODUCT(--(($A$1:$A$3=公区维修!$F290)+($A$1:$A$3=公区维修!$G290)+$BN$1:$BN$3&gt;0)))</f>
        <v>2</v>
      </c>
      <c r="AV290" s="0" t="n">
        <f aca="false">IF(OR($A$4=公区维修!$F290,$A$4=公区维修!$G290,$BN$4=1),0,4-SUMPRODUCT(--(($A$1:$A$4=公区维修!$F290)+($A$1:$A$4=公区维修!$G290)+$BN$1:$BN$4&gt;0)))</f>
        <v>3</v>
      </c>
      <c r="AW290" s="0" t="n">
        <f aca="false">IF(OR($A$5=公区维修!$F290,$A$5=公区维修!$G290,$BN$5=1),0,5-SUMPRODUCT(--(($A$1:$A$5=公区维修!$F290)+($A$1:$A$5=公区维修!$G290)+$BN$1:$BN$5&gt;0)))</f>
        <v>4</v>
      </c>
      <c r="AY290" s="0" t="str">
        <f aca="false">IFERROR(INDEX($A$1:$A$5,MATCH(1,$AS290:$AW290,0)),IF(1=MAX($AS290:$AW290)+1,"取消",""))</f>
        <v>李师傅</v>
      </c>
      <c r="AZ290" s="0" t="str">
        <f aca="false">IFERROR(INDEX($A$1:$A$5,MATCH(2,$AS290:$AW290,0)),IF(2=MAX($AS290:$AW290)+1,"取消",""))</f>
        <v>王师傅</v>
      </c>
      <c r="BA290" s="0" t="str">
        <f aca="false">IFERROR(INDEX($A$1:$A$5,MATCH(3,$AS290:$AW290,0)),IF(3=MAX($AS290:$AW290)+1,"取消",""))</f>
        <v>陈师傅</v>
      </c>
      <c r="BB290" s="0" t="str">
        <f aca="false">IFERROR(INDEX($A$1:$A$5,MATCH(4,$AS290:$AW290,0)),IF(4=MAX($AS290:$AW290)+1,"取消",""))</f>
        <v>刘师傅</v>
      </c>
      <c r="BC290" s="0" t="str">
        <f aca="false">IFERROR(INDEX($A$1:$A$5,MATCH(5,$AS290:$AW290,0)),IF(5=MAX($AS290:$AW290)+1,"取消",""))</f>
        <v>取消</v>
      </c>
      <c r="BD290" s="0" t="str">
        <f aca="false">IFERROR(INDEX($A$1:$A$5,MATCH(6,$AS290:$AW290,0)),IF(6=MAX($AS290:$AW290)+1,"取消",""))</f>
        <v/>
      </c>
      <c r="FW290" s="0" t="str">
        <f aca="false">IF(AND(单元查询!$D$3&lt;&gt;"",IF(单元查询!$B$3="公区维修",公区维修!$E290&lt;&gt;"",入户维修!$E290&lt;&gt;""),IF(单元查询!$B$3="公区维修",公区维修!$C290,入户维修!$C290)=单元查询!$D$3,OR(单元查询!$F$3="",IF(单元查询!$B$3="公区维修",公区维修!$D290,入户维修!$D290)&amp;""=(单元查询!$F$3)&amp;"")),MAX($FW$4:$FW289)+1,"")</f>
        <v/>
      </c>
    </row>
    <row r="291" customFormat="false" ht="15" hidden="false" customHeight="true" outlineLevel="0" collapsed="false">
      <c r="F291" s="0" t="n">
        <f aca="false">IF(OR($A$1=入户维修!$F291,$BN$1=1),0,1-SUMPRODUCT(--(($A$1=入户维修!$F291)+$BN$1&gt;0)))</f>
        <v>0</v>
      </c>
      <c r="G291" s="0" t="n">
        <f aca="false">IF(OR($A$2=入户维修!$F291,$BN$2=1),0,2-SUMPRODUCT(--(($A$1:$A$2=入户维修!$F291)+$BN$1:$BN$2&gt;0)))</f>
        <v>1</v>
      </c>
      <c r="H291" s="0" t="n">
        <f aca="false">IF(OR($A$3=入户维修!$F291,$BN$3=1),0,3-SUMPRODUCT(--(($A$1:$A$3=入户维修!$F291)+$BN$1:$BN$3&gt;0)))</f>
        <v>2</v>
      </c>
      <c r="I291" s="0" t="n">
        <f aca="false">IF(OR($A$4=入户维修!$F291,$BN$4=1),0,4-SUMPRODUCT(--(($A$1:$A$4=入户维修!$F291)+$BN$1:$BN$4&gt;0)))</f>
        <v>3</v>
      </c>
      <c r="J291" s="0" t="n">
        <f aca="false">IF(OR($A$5=入户维修!$F291,$BN$5=1),0,5-SUMPRODUCT(--(($A$1:$A$5=入户维修!$F291)+$BN$1:$BN$5&gt;0)))</f>
        <v>4</v>
      </c>
      <c r="L291" s="0" t="str">
        <f aca="false">IFERROR(INDEX($A$1:$A$5,MATCH(1,$F291:$J291,0)),IF(1=MAX($F291:$J291)+1,"取消",""))</f>
        <v>李师傅</v>
      </c>
      <c r="M291" s="0" t="str">
        <f aca="false">IFERROR(INDEX($A$1:$A$5,MATCH(2,$F291:$J291,0)),IF(2=MAX($F291:$J291)+1,"取消",""))</f>
        <v>王师傅</v>
      </c>
      <c r="N291" s="0" t="str">
        <f aca="false">IFERROR(INDEX($A$1:$A$5,MATCH(3,$F291:$J291,0)),IF(3=MAX($F291:$J291)+1,"取消",""))</f>
        <v>陈师傅</v>
      </c>
      <c r="O291" s="0" t="str">
        <f aca="false">IFERROR(INDEX($A$1:$A$5,MATCH(4,$F291:$J291,0)),IF(4=MAX($F291:$J291)+1,"取消",""))</f>
        <v>刘师傅</v>
      </c>
      <c r="P291" s="0" t="str">
        <f aca="false">IFERROR(INDEX($A$1:$A$5,MATCH(5,$F291:$J291,0)),IF(5=MAX($F291:$J291)+1,"取消",""))</f>
        <v>取消</v>
      </c>
      <c r="Q291" s="0" t="str">
        <f aca="false">IFERROR(INDEX($A$1:$A$5,MATCH(6,$F291:$J291,0)),IF(6=MAX($F291:$J291)+1,"取消",""))</f>
        <v/>
      </c>
      <c r="S291" s="0" t="n">
        <f aca="false">IF(OR($A$1=入户维修!$F291,$A$1=入户维修!$G291,$BN$1=1),0,1-SUMPRODUCT(--(($A$1=入户维修!$F291)+($A$1=入户维修!$G291)+$BN$1&gt;0)))</f>
        <v>0</v>
      </c>
      <c r="T291" s="0" t="n">
        <f aca="false">IF(OR($A$2=入户维修!$F291,$A$2=入户维修!$G291,$BN$2=1),0,2-SUMPRODUCT(--(($A$1:$A$2=入户维修!$F291)+($A$1:$A$2=入户维修!$G291)+$BN$1:$BN$2&gt;0)))</f>
        <v>1</v>
      </c>
      <c r="U291" s="0" t="n">
        <f aca="false">IF(OR($A$3=入户维修!$F291,$A$3=入户维修!$G291,$BN$3=1),0,3-SUMPRODUCT(--(($A$1:$A$3=入户维修!$F291)+($A$1:$A$3=入户维修!$G291)+$BN$1:$BN$3&gt;0)))</f>
        <v>2</v>
      </c>
      <c r="V291" s="0" t="n">
        <f aca="false">IF(OR($A$4=入户维修!$F291,$A$4=入户维修!$G291,$BN$4=1),0,4-SUMPRODUCT(--(($A$1:$A$4=入户维修!$F291)+($A$1:$A$4=入户维修!$G291)+$BN$1:$BN$4&gt;0)))</f>
        <v>3</v>
      </c>
      <c r="W291" s="0" t="n">
        <f aca="false">IF(OR($A$5=入户维修!$F291,$A$5=入户维修!$G291,$BN$5=1),0,5-SUMPRODUCT(--(($A$1:$A$5=入户维修!$F291)+($A$1:$A$5=入户维修!$G291)+$BN$1:$BN$5&gt;0)))</f>
        <v>4</v>
      </c>
      <c r="Y291" s="0" t="str">
        <f aca="false">IFERROR(INDEX($A$1:$A$5,MATCH(1,$S291:$W291,0)),IF(1=MAX($S291:$W291)+1,"取消",""))</f>
        <v>李师傅</v>
      </c>
      <c r="Z291" s="0" t="str">
        <f aca="false">IFERROR(INDEX($A$1:$A$5,MATCH(2,$S291:$W291,0)),IF(2=MAX($S291:$W291)+1,"取消",""))</f>
        <v>王师傅</v>
      </c>
      <c r="AA291" s="0" t="str">
        <f aca="false">IFERROR(INDEX($A$1:$A$5,MATCH(3,$S291:$W291,0)),IF(3=MAX($S291:$W291)+1,"取消",""))</f>
        <v>陈师傅</v>
      </c>
      <c r="AB291" s="0" t="str">
        <f aca="false">IFERROR(INDEX($A$1:$A$5,MATCH(4,$S291:$W291,0)),IF(4=MAX($S291:$W291)+1,"取消",""))</f>
        <v>刘师傅</v>
      </c>
      <c r="AC291" s="0" t="str">
        <f aca="false">IFERROR(INDEX($A$1:$A$5,MATCH(5,$S291:$W291,0)),IF(5=MAX($S291:$W291)+1,"取消",""))</f>
        <v>取消</v>
      </c>
      <c r="AD291" s="0" t="str">
        <f aca="false">IFERROR(INDEX($A$1:$A$5,MATCH(6,$S291:$W291,0)),IF(6=MAX($S291:$W291)+1,"取消",""))</f>
        <v/>
      </c>
      <c r="AF291" s="0" t="n">
        <f aca="false">IF(OR($A$1=公区维修!$F291,$BN$1=1),0,1-SUMPRODUCT(--(($A$1=公区维修!$F291)+$BN$1&gt;0)))</f>
        <v>0</v>
      </c>
      <c r="AG291" s="0" t="n">
        <f aca="false">IF(OR($A$2=公区维修!$F291,$BN$2=1),0,2-SUMPRODUCT(--(($A$1:$A$2=公区维修!$F291)+$BN$1:$BN$2&gt;0)))</f>
        <v>1</v>
      </c>
      <c r="AH291" s="0" t="n">
        <f aca="false">IF(OR($A$3=公区维修!$F291,$BN$3=1),0,3-SUMPRODUCT(--(($A$1:$A$3=公区维修!$F291)+$BN$1:$BN$3&gt;0)))</f>
        <v>2</v>
      </c>
      <c r="AI291" s="0" t="n">
        <f aca="false">IF(OR($A$4=公区维修!$F291,$BN$4=1),0,4-SUMPRODUCT(--(($A$1:$A$4=公区维修!$F291)+$BN$1:$BN$4&gt;0)))</f>
        <v>3</v>
      </c>
      <c r="AJ291" s="0" t="n">
        <f aca="false">IF(OR($A$5=公区维修!$F291,$BN$5=1),0,5-SUMPRODUCT(--(($A$1:$A$5=公区维修!$F291)+$BN$1:$BN$5&gt;0)))</f>
        <v>4</v>
      </c>
      <c r="AL291" s="0" t="str">
        <f aca="false">IFERROR(INDEX($A$1:$A$5,MATCH(1,$AF291:$AJ291,0)),IF(1=MAX($AF291:$AJ291)+1,"取消",""))</f>
        <v>李师傅</v>
      </c>
      <c r="AM291" s="0" t="str">
        <f aca="false">IFERROR(INDEX($A$1:$A$5,MATCH(2,$AF291:$AJ291,0)),IF(2=MAX($AF291:$AJ291)+1,"取消",""))</f>
        <v>王师傅</v>
      </c>
      <c r="AN291" s="0" t="str">
        <f aca="false">IFERROR(INDEX($A$1:$A$5,MATCH(3,$AF291:$AJ291,0)),IF(3=MAX($AF291:$AJ291)+1,"取消",""))</f>
        <v>陈师傅</v>
      </c>
      <c r="AO291" s="0" t="str">
        <f aca="false">IFERROR(INDEX($A$1:$A$5,MATCH(4,$AF291:$AJ291,0)),IF(4=MAX($AF291:$AJ291)+1,"取消",""))</f>
        <v>刘师傅</v>
      </c>
      <c r="AP291" s="0" t="str">
        <f aca="false">IFERROR(INDEX($A$1:$A$5,MATCH(5,$AF291:$AJ291,0)),IF(5=MAX($AF291:$AJ291)+1,"取消",""))</f>
        <v>取消</v>
      </c>
      <c r="AQ291" s="0" t="str">
        <f aca="false">IFERROR(INDEX($A$1:$A$5,MATCH(6,$AF291:$AJ291,0)),IF(6=MAX($AF291:$AJ291)+1,"取消",""))</f>
        <v/>
      </c>
      <c r="AS291" s="0" t="n">
        <f aca="false">IF(OR($A$1=公区维修!$F291,$A$1=公区维修!$G291,$BN$1=1),0,1-SUMPRODUCT(--(($A$1=公区维修!$F291)+($A$1=公区维修!$G291)+$BN$1&gt;0)))</f>
        <v>0</v>
      </c>
      <c r="AT291" s="0" t="n">
        <f aca="false">IF(OR($A$2=公区维修!$F291,$A$2=公区维修!$G291,$BN$2=1),0,2-SUMPRODUCT(--(($A$1:$A$2=公区维修!$F291)+($A$1:$A$2=公区维修!$G291)+$BN$1:$BN$2&gt;0)))</f>
        <v>1</v>
      </c>
      <c r="AU291" s="0" t="n">
        <f aca="false">IF(OR($A$3=公区维修!$F291,$A$3=公区维修!$G291,$BN$3=1),0,3-SUMPRODUCT(--(($A$1:$A$3=公区维修!$F291)+($A$1:$A$3=公区维修!$G291)+$BN$1:$BN$3&gt;0)))</f>
        <v>2</v>
      </c>
      <c r="AV291" s="0" t="n">
        <f aca="false">IF(OR($A$4=公区维修!$F291,$A$4=公区维修!$G291,$BN$4=1),0,4-SUMPRODUCT(--(($A$1:$A$4=公区维修!$F291)+($A$1:$A$4=公区维修!$G291)+$BN$1:$BN$4&gt;0)))</f>
        <v>3</v>
      </c>
      <c r="AW291" s="0" t="n">
        <f aca="false">IF(OR($A$5=公区维修!$F291,$A$5=公区维修!$G291,$BN$5=1),0,5-SUMPRODUCT(--(($A$1:$A$5=公区维修!$F291)+($A$1:$A$5=公区维修!$G291)+$BN$1:$BN$5&gt;0)))</f>
        <v>4</v>
      </c>
      <c r="AY291" s="0" t="str">
        <f aca="false">IFERROR(INDEX($A$1:$A$5,MATCH(1,$AS291:$AW291,0)),IF(1=MAX($AS291:$AW291)+1,"取消",""))</f>
        <v>李师傅</v>
      </c>
      <c r="AZ291" s="0" t="str">
        <f aca="false">IFERROR(INDEX($A$1:$A$5,MATCH(2,$AS291:$AW291,0)),IF(2=MAX($AS291:$AW291)+1,"取消",""))</f>
        <v>王师傅</v>
      </c>
      <c r="BA291" s="0" t="str">
        <f aca="false">IFERROR(INDEX($A$1:$A$5,MATCH(3,$AS291:$AW291,0)),IF(3=MAX($AS291:$AW291)+1,"取消",""))</f>
        <v>陈师傅</v>
      </c>
      <c r="BB291" s="0" t="str">
        <f aca="false">IFERROR(INDEX($A$1:$A$5,MATCH(4,$AS291:$AW291,0)),IF(4=MAX($AS291:$AW291)+1,"取消",""))</f>
        <v>刘师傅</v>
      </c>
      <c r="BC291" s="0" t="str">
        <f aca="false">IFERROR(INDEX($A$1:$A$5,MATCH(5,$AS291:$AW291,0)),IF(5=MAX($AS291:$AW291)+1,"取消",""))</f>
        <v>取消</v>
      </c>
      <c r="BD291" s="0" t="str">
        <f aca="false">IFERROR(INDEX($A$1:$A$5,MATCH(6,$AS291:$AW291,0)),IF(6=MAX($AS291:$AW291)+1,"取消",""))</f>
        <v/>
      </c>
      <c r="FW291" s="0" t="str">
        <f aca="false">IF(AND(单元查询!$D$3&lt;&gt;"",IF(单元查询!$B$3="公区维修",公区维修!$E291&lt;&gt;"",入户维修!$E291&lt;&gt;""),IF(单元查询!$B$3="公区维修",公区维修!$C291,入户维修!$C291)=单元查询!$D$3,OR(单元查询!$F$3="",IF(单元查询!$B$3="公区维修",公区维修!$D291,入户维修!$D291)&amp;""=(单元查询!$F$3)&amp;"")),MAX($FW$4:$FW290)+1,"")</f>
        <v/>
      </c>
    </row>
    <row r="292" customFormat="false" ht="15" hidden="false" customHeight="true" outlineLevel="0" collapsed="false">
      <c r="F292" s="0" t="n">
        <f aca="false">IF(OR($A$1=入户维修!$F292,$BN$1=1),0,1-SUMPRODUCT(--(($A$1=入户维修!$F292)+$BN$1&gt;0)))</f>
        <v>0</v>
      </c>
      <c r="G292" s="0" t="n">
        <f aca="false">IF(OR($A$2=入户维修!$F292,$BN$2=1),0,2-SUMPRODUCT(--(($A$1:$A$2=入户维修!$F292)+$BN$1:$BN$2&gt;0)))</f>
        <v>1</v>
      </c>
      <c r="H292" s="0" t="n">
        <f aca="false">IF(OR($A$3=入户维修!$F292,$BN$3=1),0,3-SUMPRODUCT(--(($A$1:$A$3=入户维修!$F292)+$BN$1:$BN$3&gt;0)))</f>
        <v>2</v>
      </c>
      <c r="I292" s="0" t="n">
        <f aca="false">IF(OR($A$4=入户维修!$F292,$BN$4=1),0,4-SUMPRODUCT(--(($A$1:$A$4=入户维修!$F292)+$BN$1:$BN$4&gt;0)))</f>
        <v>3</v>
      </c>
      <c r="J292" s="0" t="n">
        <f aca="false">IF(OR($A$5=入户维修!$F292,$BN$5=1),0,5-SUMPRODUCT(--(($A$1:$A$5=入户维修!$F292)+$BN$1:$BN$5&gt;0)))</f>
        <v>4</v>
      </c>
      <c r="L292" s="0" t="str">
        <f aca="false">IFERROR(INDEX($A$1:$A$5,MATCH(1,$F292:$J292,0)),IF(1=MAX($F292:$J292)+1,"取消",""))</f>
        <v>李师傅</v>
      </c>
      <c r="M292" s="0" t="str">
        <f aca="false">IFERROR(INDEX($A$1:$A$5,MATCH(2,$F292:$J292,0)),IF(2=MAX($F292:$J292)+1,"取消",""))</f>
        <v>王师傅</v>
      </c>
      <c r="N292" s="0" t="str">
        <f aca="false">IFERROR(INDEX($A$1:$A$5,MATCH(3,$F292:$J292,0)),IF(3=MAX($F292:$J292)+1,"取消",""))</f>
        <v>陈师傅</v>
      </c>
      <c r="O292" s="0" t="str">
        <f aca="false">IFERROR(INDEX($A$1:$A$5,MATCH(4,$F292:$J292,0)),IF(4=MAX($F292:$J292)+1,"取消",""))</f>
        <v>刘师傅</v>
      </c>
      <c r="P292" s="0" t="str">
        <f aca="false">IFERROR(INDEX($A$1:$A$5,MATCH(5,$F292:$J292,0)),IF(5=MAX($F292:$J292)+1,"取消",""))</f>
        <v>取消</v>
      </c>
      <c r="Q292" s="0" t="str">
        <f aca="false">IFERROR(INDEX($A$1:$A$5,MATCH(6,$F292:$J292,0)),IF(6=MAX($F292:$J292)+1,"取消",""))</f>
        <v/>
      </c>
      <c r="S292" s="0" t="n">
        <f aca="false">IF(OR($A$1=入户维修!$F292,$A$1=入户维修!$G292,$BN$1=1),0,1-SUMPRODUCT(--(($A$1=入户维修!$F292)+($A$1=入户维修!$G292)+$BN$1&gt;0)))</f>
        <v>0</v>
      </c>
      <c r="T292" s="0" t="n">
        <f aca="false">IF(OR($A$2=入户维修!$F292,$A$2=入户维修!$G292,$BN$2=1),0,2-SUMPRODUCT(--(($A$1:$A$2=入户维修!$F292)+($A$1:$A$2=入户维修!$G292)+$BN$1:$BN$2&gt;0)))</f>
        <v>1</v>
      </c>
      <c r="U292" s="0" t="n">
        <f aca="false">IF(OR($A$3=入户维修!$F292,$A$3=入户维修!$G292,$BN$3=1),0,3-SUMPRODUCT(--(($A$1:$A$3=入户维修!$F292)+($A$1:$A$3=入户维修!$G292)+$BN$1:$BN$3&gt;0)))</f>
        <v>2</v>
      </c>
      <c r="V292" s="0" t="n">
        <f aca="false">IF(OR($A$4=入户维修!$F292,$A$4=入户维修!$G292,$BN$4=1),0,4-SUMPRODUCT(--(($A$1:$A$4=入户维修!$F292)+($A$1:$A$4=入户维修!$G292)+$BN$1:$BN$4&gt;0)))</f>
        <v>3</v>
      </c>
      <c r="W292" s="0" t="n">
        <f aca="false">IF(OR($A$5=入户维修!$F292,$A$5=入户维修!$G292,$BN$5=1),0,5-SUMPRODUCT(--(($A$1:$A$5=入户维修!$F292)+($A$1:$A$5=入户维修!$G292)+$BN$1:$BN$5&gt;0)))</f>
        <v>4</v>
      </c>
      <c r="Y292" s="0" t="str">
        <f aca="false">IFERROR(INDEX($A$1:$A$5,MATCH(1,$S292:$W292,0)),IF(1=MAX($S292:$W292)+1,"取消",""))</f>
        <v>李师傅</v>
      </c>
      <c r="Z292" s="0" t="str">
        <f aca="false">IFERROR(INDEX($A$1:$A$5,MATCH(2,$S292:$W292,0)),IF(2=MAX($S292:$W292)+1,"取消",""))</f>
        <v>王师傅</v>
      </c>
      <c r="AA292" s="0" t="str">
        <f aca="false">IFERROR(INDEX($A$1:$A$5,MATCH(3,$S292:$W292,0)),IF(3=MAX($S292:$W292)+1,"取消",""))</f>
        <v>陈师傅</v>
      </c>
      <c r="AB292" s="0" t="str">
        <f aca="false">IFERROR(INDEX($A$1:$A$5,MATCH(4,$S292:$W292,0)),IF(4=MAX($S292:$W292)+1,"取消",""))</f>
        <v>刘师傅</v>
      </c>
      <c r="AC292" s="0" t="str">
        <f aca="false">IFERROR(INDEX($A$1:$A$5,MATCH(5,$S292:$W292,0)),IF(5=MAX($S292:$W292)+1,"取消",""))</f>
        <v>取消</v>
      </c>
      <c r="AD292" s="0" t="str">
        <f aca="false">IFERROR(INDEX($A$1:$A$5,MATCH(6,$S292:$W292,0)),IF(6=MAX($S292:$W292)+1,"取消",""))</f>
        <v/>
      </c>
      <c r="AF292" s="0" t="n">
        <f aca="false">IF(OR($A$1=公区维修!$F292,$BN$1=1),0,1-SUMPRODUCT(--(($A$1=公区维修!$F292)+$BN$1&gt;0)))</f>
        <v>0</v>
      </c>
      <c r="AG292" s="0" t="n">
        <f aca="false">IF(OR($A$2=公区维修!$F292,$BN$2=1),0,2-SUMPRODUCT(--(($A$1:$A$2=公区维修!$F292)+$BN$1:$BN$2&gt;0)))</f>
        <v>1</v>
      </c>
      <c r="AH292" s="0" t="n">
        <f aca="false">IF(OR($A$3=公区维修!$F292,$BN$3=1),0,3-SUMPRODUCT(--(($A$1:$A$3=公区维修!$F292)+$BN$1:$BN$3&gt;0)))</f>
        <v>2</v>
      </c>
      <c r="AI292" s="0" t="n">
        <f aca="false">IF(OR($A$4=公区维修!$F292,$BN$4=1),0,4-SUMPRODUCT(--(($A$1:$A$4=公区维修!$F292)+$BN$1:$BN$4&gt;0)))</f>
        <v>3</v>
      </c>
      <c r="AJ292" s="0" t="n">
        <f aca="false">IF(OR($A$5=公区维修!$F292,$BN$5=1),0,5-SUMPRODUCT(--(($A$1:$A$5=公区维修!$F292)+$BN$1:$BN$5&gt;0)))</f>
        <v>4</v>
      </c>
      <c r="AL292" s="0" t="str">
        <f aca="false">IFERROR(INDEX($A$1:$A$5,MATCH(1,$AF292:$AJ292,0)),IF(1=MAX($AF292:$AJ292)+1,"取消",""))</f>
        <v>李师傅</v>
      </c>
      <c r="AM292" s="0" t="str">
        <f aca="false">IFERROR(INDEX($A$1:$A$5,MATCH(2,$AF292:$AJ292,0)),IF(2=MAX($AF292:$AJ292)+1,"取消",""))</f>
        <v>王师傅</v>
      </c>
      <c r="AN292" s="0" t="str">
        <f aca="false">IFERROR(INDEX($A$1:$A$5,MATCH(3,$AF292:$AJ292,0)),IF(3=MAX($AF292:$AJ292)+1,"取消",""))</f>
        <v>陈师傅</v>
      </c>
      <c r="AO292" s="0" t="str">
        <f aca="false">IFERROR(INDEX($A$1:$A$5,MATCH(4,$AF292:$AJ292,0)),IF(4=MAX($AF292:$AJ292)+1,"取消",""))</f>
        <v>刘师傅</v>
      </c>
      <c r="AP292" s="0" t="str">
        <f aca="false">IFERROR(INDEX($A$1:$A$5,MATCH(5,$AF292:$AJ292,0)),IF(5=MAX($AF292:$AJ292)+1,"取消",""))</f>
        <v>取消</v>
      </c>
      <c r="AQ292" s="0" t="str">
        <f aca="false">IFERROR(INDEX($A$1:$A$5,MATCH(6,$AF292:$AJ292,0)),IF(6=MAX($AF292:$AJ292)+1,"取消",""))</f>
        <v/>
      </c>
      <c r="AS292" s="0" t="n">
        <f aca="false">IF(OR($A$1=公区维修!$F292,$A$1=公区维修!$G292,$BN$1=1),0,1-SUMPRODUCT(--(($A$1=公区维修!$F292)+($A$1=公区维修!$G292)+$BN$1&gt;0)))</f>
        <v>0</v>
      </c>
      <c r="AT292" s="0" t="n">
        <f aca="false">IF(OR($A$2=公区维修!$F292,$A$2=公区维修!$G292,$BN$2=1),0,2-SUMPRODUCT(--(($A$1:$A$2=公区维修!$F292)+($A$1:$A$2=公区维修!$G292)+$BN$1:$BN$2&gt;0)))</f>
        <v>1</v>
      </c>
      <c r="AU292" s="0" t="n">
        <f aca="false">IF(OR($A$3=公区维修!$F292,$A$3=公区维修!$G292,$BN$3=1),0,3-SUMPRODUCT(--(($A$1:$A$3=公区维修!$F292)+($A$1:$A$3=公区维修!$G292)+$BN$1:$BN$3&gt;0)))</f>
        <v>2</v>
      </c>
      <c r="AV292" s="0" t="n">
        <f aca="false">IF(OR($A$4=公区维修!$F292,$A$4=公区维修!$G292,$BN$4=1),0,4-SUMPRODUCT(--(($A$1:$A$4=公区维修!$F292)+($A$1:$A$4=公区维修!$G292)+$BN$1:$BN$4&gt;0)))</f>
        <v>3</v>
      </c>
      <c r="AW292" s="0" t="n">
        <f aca="false">IF(OR($A$5=公区维修!$F292,$A$5=公区维修!$G292,$BN$5=1),0,5-SUMPRODUCT(--(($A$1:$A$5=公区维修!$F292)+($A$1:$A$5=公区维修!$G292)+$BN$1:$BN$5&gt;0)))</f>
        <v>4</v>
      </c>
      <c r="AY292" s="0" t="str">
        <f aca="false">IFERROR(INDEX($A$1:$A$5,MATCH(1,$AS292:$AW292,0)),IF(1=MAX($AS292:$AW292)+1,"取消",""))</f>
        <v>李师傅</v>
      </c>
      <c r="AZ292" s="0" t="str">
        <f aca="false">IFERROR(INDEX($A$1:$A$5,MATCH(2,$AS292:$AW292,0)),IF(2=MAX($AS292:$AW292)+1,"取消",""))</f>
        <v>王师傅</v>
      </c>
      <c r="BA292" s="0" t="str">
        <f aca="false">IFERROR(INDEX($A$1:$A$5,MATCH(3,$AS292:$AW292,0)),IF(3=MAX($AS292:$AW292)+1,"取消",""))</f>
        <v>陈师傅</v>
      </c>
      <c r="BB292" s="0" t="str">
        <f aca="false">IFERROR(INDEX($A$1:$A$5,MATCH(4,$AS292:$AW292,0)),IF(4=MAX($AS292:$AW292)+1,"取消",""))</f>
        <v>刘师傅</v>
      </c>
      <c r="BC292" s="0" t="str">
        <f aca="false">IFERROR(INDEX($A$1:$A$5,MATCH(5,$AS292:$AW292,0)),IF(5=MAX($AS292:$AW292)+1,"取消",""))</f>
        <v>取消</v>
      </c>
      <c r="BD292" s="0" t="str">
        <f aca="false">IFERROR(INDEX($A$1:$A$5,MATCH(6,$AS292:$AW292,0)),IF(6=MAX($AS292:$AW292)+1,"取消",""))</f>
        <v/>
      </c>
      <c r="FW292" s="0" t="str">
        <f aca="false">IF(AND(单元查询!$D$3&lt;&gt;"",IF(单元查询!$B$3="公区维修",公区维修!$E292&lt;&gt;"",入户维修!$E292&lt;&gt;""),IF(单元查询!$B$3="公区维修",公区维修!$C292,入户维修!$C292)=单元查询!$D$3,OR(单元查询!$F$3="",IF(单元查询!$B$3="公区维修",公区维修!$D292,入户维修!$D292)&amp;""=(单元查询!$F$3)&amp;"")),MAX($FW$4:$FW291)+1,"")</f>
        <v/>
      </c>
    </row>
    <row r="293" customFormat="false" ht="15" hidden="false" customHeight="true" outlineLevel="0" collapsed="false">
      <c r="F293" s="0" t="n">
        <f aca="false">IF(OR($A$1=入户维修!$F293,$BN$1=1),0,1-SUMPRODUCT(--(($A$1=入户维修!$F293)+$BN$1&gt;0)))</f>
        <v>0</v>
      </c>
      <c r="G293" s="0" t="n">
        <f aca="false">IF(OR($A$2=入户维修!$F293,$BN$2=1),0,2-SUMPRODUCT(--(($A$1:$A$2=入户维修!$F293)+$BN$1:$BN$2&gt;0)))</f>
        <v>1</v>
      </c>
      <c r="H293" s="0" t="n">
        <f aca="false">IF(OR($A$3=入户维修!$F293,$BN$3=1),0,3-SUMPRODUCT(--(($A$1:$A$3=入户维修!$F293)+$BN$1:$BN$3&gt;0)))</f>
        <v>2</v>
      </c>
      <c r="I293" s="0" t="n">
        <f aca="false">IF(OR($A$4=入户维修!$F293,$BN$4=1),0,4-SUMPRODUCT(--(($A$1:$A$4=入户维修!$F293)+$BN$1:$BN$4&gt;0)))</f>
        <v>3</v>
      </c>
      <c r="J293" s="0" t="n">
        <f aca="false">IF(OR($A$5=入户维修!$F293,$BN$5=1),0,5-SUMPRODUCT(--(($A$1:$A$5=入户维修!$F293)+$BN$1:$BN$5&gt;0)))</f>
        <v>4</v>
      </c>
      <c r="L293" s="0" t="str">
        <f aca="false">IFERROR(INDEX($A$1:$A$5,MATCH(1,$F293:$J293,0)),IF(1=MAX($F293:$J293)+1,"取消",""))</f>
        <v>李师傅</v>
      </c>
      <c r="M293" s="0" t="str">
        <f aca="false">IFERROR(INDEX($A$1:$A$5,MATCH(2,$F293:$J293,0)),IF(2=MAX($F293:$J293)+1,"取消",""))</f>
        <v>王师傅</v>
      </c>
      <c r="N293" s="0" t="str">
        <f aca="false">IFERROR(INDEX($A$1:$A$5,MATCH(3,$F293:$J293,0)),IF(3=MAX($F293:$J293)+1,"取消",""))</f>
        <v>陈师傅</v>
      </c>
      <c r="O293" s="0" t="str">
        <f aca="false">IFERROR(INDEX($A$1:$A$5,MATCH(4,$F293:$J293,0)),IF(4=MAX($F293:$J293)+1,"取消",""))</f>
        <v>刘师傅</v>
      </c>
      <c r="P293" s="0" t="str">
        <f aca="false">IFERROR(INDEX($A$1:$A$5,MATCH(5,$F293:$J293,0)),IF(5=MAX($F293:$J293)+1,"取消",""))</f>
        <v>取消</v>
      </c>
      <c r="Q293" s="0" t="str">
        <f aca="false">IFERROR(INDEX($A$1:$A$5,MATCH(6,$F293:$J293,0)),IF(6=MAX($F293:$J293)+1,"取消",""))</f>
        <v/>
      </c>
      <c r="S293" s="0" t="n">
        <f aca="false">IF(OR($A$1=入户维修!$F293,$A$1=入户维修!$G293,$BN$1=1),0,1-SUMPRODUCT(--(($A$1=入户维修!$F293)+($A$1=入户维修!$G293)+$BN$1&gt;0)))</f>
        <v>0</v>
      </c>
      <c r="T293" s="0" t="n">
        <f aca="false">IF(OR($A$2=入户维修!$F293,$A$2=入户维修!$G293,$BN$2=1),0,2-SUMPRODUCT(--(($A$1:$A$2=入户维修!$F293)+($A$1:$A$2=入户维修!$G293)+$BN$1:$BN$2&gt;0)))</f>
        <v>1</v>
      </c>
      <c r="U293" s="0" t="n">
        <f aca="false">IF(OR($A$3=入户维修!$F293,$A$3=入户维修!$G293,$BN$3=1),0,3-SUMPRODUCT(--(($A$1:$A$3=入户维修!$F293)+($A$1:$A$3=入户维修!$G293)+$BN$1:$BN$3&gt;0)))</f>
        <v>2</v>
      </c>
      <c r="V293" s="0" t="n">
        <f aca="false">IF(OR($A$4=入户维修!$F293,$A$4=入户维修!$G293,$BN$4=1),0,4-SUMPRODUCT(--(($A$1:$A$4=入户维修!$F293)+($A$1:$A$4=入户维修!$G293)+$BN$1:$BN$4&gt;0)))</f>
        <v>3</v>
      </c>
      <c r="W293" s="0" t="n">
        <f aca="false">IF(OR($A$5=入户维修!$F293,$A$5=入户维修!$G293,$BN$5=1),0,5-SUMPRODUCT(--(($A$1:$A$5=入户维修!$F293)+($A$1:$A$5=入户维修!$G293)+$BN$1:$BN$5&gt;0)))</f>
        <v>4</v>
      </c>
      <c r="Y293" s="0" t="str">
        <f aca="false">IFERROR(INDEX($A$1:$A$5,MATCH(1,$S293:$W293,0)),IF(1=MAX($S293:$W293)+1,"取消",""))</f>
        <v>李师傅</v>
      </c>
      <c r="Z293" s="0" t="str">
        <f aca="false">IFERROR(INDEX($A$1:$A$5,MATCH(2,$S293:$W293,0)),IF(2=MAX($S293:$W293)+1,"取消",""))</f>
        <v>王师傅</v>
      </c>
      <c r="AA293" s="0" t="str">
        <f aca="false">IFERROR(INDEX($A$1:$A$5,MATCH(3,$S293:$W293,0)),IF(3=MAX($S293:$W293)+1,"取消",""))</f>
        <v>陈师傅</v>
      </c>
      <c r="AB293" s="0" t="str">
        <f aca="false">IFERROR(INDEX($A$1:$A$5,MATCH(4,$S293:$W293,0)),IF(4=MAX($S293:$W293)+1,"取消",""))</f>
        <v>刘师傅</v>
      </c>
      <c r="AC293" s="0" t="str">
        <f aca="false">IFERROR(INDEX($A$1:$A$5,MATCH(5,$S293:$W293,0)),IF(5=MAX($S293:$W293)+1,"取消",""))</f>
        <v>取消</v>
      </c>
      <c r="AD293" s="0" t="str">
        <f aca="false">IFERROR(INDEX($A$1:$A$5,MATCH(6,$S293:$W293,0)),IF(6=MAX($S293:$W293)+1,"取消",""))</f>
        <v/>
      </c>
      <c r="AF293" s="0" t="n">
        <f aca="false">IF(OR($A$1=公区维修!$F293,$BN$1=1),0,1-SUMPRODUCT(--(($A$1=公区维修!$F293)+$BN$1&gt;0)))</f>
        <v>0</v>
      </c>
      <c r="AG293" s="0" t="n">
        <f aca="false">IF(OR($A$2=公区维修!$F293,$BN$2=1),0,2-SUMPRODUCT(--(($A$1:$A$2=公区维修!$F293)+$BN$1:$BN$2&gt;0)))</f>
        <v>1</v>
      </c>
      <c r="AH293" s="0" t="n">
        <f aca="false">IF(OR($A$3=公区维修!$F293,$BN$3=1),0,3-SUMPRODUCT(--(($A$1:$A$3=公区维修!$F293)+$BN$1:$BN$3&gt;0)))</f>
        <v>2</v>
      </c>
      <c r="AI293" s="0" t="n">
        <f aca="false">IF(OR($A$4=公区维修!$F293,$BN$4=1),0,4-SUMPRODUCT(--(($A$1:$A$4=公区维修!$F293)+$BN$1:$BN$4&gt;0)))</f>
        <v>3</v>
      </c>
      <c r="AJ293" s="0" t="n">
        <f aca="false">IF(OR($A$5=公区维修!$F293,$BN$5=1),0,5-SUMPRODUCT(--(($A$1:$A$5=公区维修!$F293)+$BN$1:$BN$5&gt;0)))</f>
        <v>4</v>
      </c>
      <c r="AL293" s="0" t="str">
        <f aca="false">IFERROR(INDEX($A$1:$A$5,MATCH(1,$AF293:$AJ293,0)),IF(1=MAX($AF293:$AJ293)+1,"取消",""))</f>
        <v>李师傅</v>
      </c>
      <c r="AM293" s="0" t="str">
        <f aca="false">IFERROR(INDEX($A$1:$A$5,MATCH(2,$AF293:$AJ293,0)),IF(2=MAX($AF293:$AJ293)+1,"取消",""))</f>
        <v>王师傅</v>
      </c>
      <c r="AN293" s="0" t="str">
        <f aca="false">IFERROR(INDEX($A$1:$A$5,MATCH(3,$AF293:$AJ293,0)),IF(3=MAX($AF293:$AJ293)+1,"取消",""))</f>
        <v>陈师傅</v>
      </c>
      <c r="AO293" s="0" t="str">
        <f aca="false">IFERROR(INDEX($A$1:$A$5,MATCH(4,$AF293:$AJ293,0)),IF(4=MAX($AF293:$AJ293)+1,"取消",""))</f>
        <v>刘师傅</v>
      </c>
      <c r="AP293" s="0" t="str">
        <f aca="false">IFERROR(INDEX($A$1:$A$5,MATCH(5,$AF293:$AJ293,0)),IF(5=MAX($AF293:$AJ293)+1,"取消",""))</f>
        <v>取消</v>
      </c>
      <c r="AQ293" s="0" t="str">
        <f aca="false">IFERROR(INDEX($A$1:$A$5,MATCH(6,$AF293:$AJ293,0)),IF(6=MAX($AF293:$AJ293)+1,"取消",""))</f>
        <v/>
      </c>
      <c r="AS293" s="0" t="n">
        <f aca="false">IF(OR($A$1=公区维修!$F293,$A$1=公区维修!$G293,$BN$1=1),0,1-SUMPRODUCT(--(($A$1=公区维修!$F293)+($A$1=公区维修!$G293)+$BN$1&gt;0)))</f>
        <v>0</v>
      </c>
      <c r="AT293" s="0" t="n">
        <f aca="false">IF(OR($A$2=公区维修!$F293,$A$2=公区维修!$G293,$BN$2=1),0,2-SUMPRODUCT(--(($A$1:$A$2=公区维修!$F293)+($A$1:$A$2=公区维修!$G293)+$BN$1:$BN$2&gt;0)))</f>
        <v>1</v>
      </c>
      <c r="AU293" s="0" t="n">
        <f aca="false">IF(OR($A$3=公区维修!$F293,$A$3=公区维修!$G293,$BN$3=1),0,3-SUMPRODUCT(--(($A$1:$A$3=公区维修!$F293)+($A$1:$A$3=公区维修!$G293)+$BN$1:$BN$3&gt;0)))</f>
        <v>2</v>
      </c>
      <c r="AV293" s="0" t="n">
        <f aca="false">IF(OR($A$4=公区维修!$F293,$A$4=公区维修!$G293,$BN$4=1),0,4-SUMPRODUCT(--(($A$1:$A$4=公区维修!$F293)+($A$1:$A$4=公区维修!$G293)+$BN$1:$BN$4&gt;0)))</f>
        <v>3</v>
      </c>
      <c r="AW293" s="0" t="n">
        <f aca="false">IF(OR($A$5=公区维修!$F293,$A$5=公区维修!$G293,$BN$5=1),0,5-SUMPRODUCT(--(($A$1:$A$5=公区维修!$F293)+($A$1:$A$5=公区维修!$G293)+$BN$1:$BN$5&gt;0)))</f>
        <v>4</v>
      </c>
      <c r="AY293" s="0" t="str">
        <f aca="false">IFERROR(INDEX($A$1:$A$5,MATCH(1,$AS293:$AW293,0)),IF(1=MAX($AS293:$AW293)+1,"取消",""))</f>
        <v>李师傅</v>
      </c>
      <c r="AZ293" s="0" t="str">
        <f aca="false">IFERROR(INDEX($A$1:$A$5,MATCH(2,$AS293:$AW293,0)),IF(2=MAX($AS293:$AW293)+1,"取消",""))</f>
        <v>王师傅</v>
      </c>
      <c r="BA293" s="0" t="str">
        <f aca="false">IFERROR(INDEX($A$1:$A$5,MATCH(3,$AS293:$AW293,0)),IF(3=MAX($AS293:$AW293)+1,"取消",""))</f>
        <v>陈师傅</v>
      </c>
      <c r="BB293" s="0" t="str">
        <f aca="false">IFERROR(INDEX($A$1:$A$5,MATCH(4,$AS293:$AW293,0)),IF(4=MAX($AS293:$AW293)+1,"取消",""))</f>
        <v>刘师傅</v>
      </c>
      <c r="BC293" s="0" t="str">
        <f aca="false">IFERROR(INDEX($A$1:$A$5,MATCH(5,$AS293:$AW293,0)),IF(5=MAX($AS293:$AW293)+1,"取消",""))</f>
        <v>取消</v>
      </c>
      <c r="BD293" s="0" t="str">
        <f aca="false">IFERROR(INDEX($A$1:$A$5,MATCH(6,$AS293:$AW293,0)),IF(6=MAX($AS293:$AW293)+1,"取消",""))</f>
        <v/>
      </c>
      <c r="FW293" s="0" t="str">
        <f aca="false">IF(AND(单元查询!$D$3&lt;&gt;"",IF(单元查询!$B$3="公区维修",公区维修!$E293&lt;&gt;"",入户维修!$E293&lt;&gt;""),IF(单元查询!$B$3="公区维修",公区维修!$C293,入户维修!$C293)=单元查询!$D$3,OR(单元查询!$F$3="",IF(单元查询!$B$3="公区维修",公区维修!$D293,入户维修!$D293)&amp;""=(单元查询!$F$3)&amp;"")),MAX($FW$4:$FW292)+1,"")</f>
        <v/>
      </c>
    </row>
    <row r="294" customFormat="false" ht="15" hidden="false" customHeight="true" outlineLevel="0" collapsed="false">
      <c r="F294" s="0" t="n">
        <f aca="false">IF(OR($A$1=入户维修!$F294,$BN$1=1),0,1-SUMPRODUCT(--(($A$1=入户维修!$F294)+$BN$1&gt;0)))</f>
        <v>0</v>
      </c>
      <c r="G294" s="0" t="n">
        <f aca="false">IF(OR($A$2=入户维修!$F294,$BN$2=1),0,2-SUMPRODUCT(--(($A$1:$A$2=入户维修!$F294)+$BN$1:$BN$2&gt;0)))</f>
        <v>1</v>
      </c>
      <c r="H294" s="0" t="n">
        <f aca="false">IF(OR($A$3=入户维修!$F294,$BN$3=1),0,3-SUMPRODUCT(--(($A$1:$A$3=入户维修!$F294)+$BN$1:$BN$3&gt;0)))</f>
        <v>2</v>
      </c>
      <c r="I294" s="0" t="n">
        <f aca="false">IF(OR($A$4=入户维修!$F294,$BN$4=1),0,4-SUMPRODUCT(--(($A$1:$A$4=入户维修!$F294)+$BN$1:$BN$4&gt;0)))</f>
        <v>3</v>
      </c>
      <c r="J294" s="0" t="n">
        <f aca="false">IF(OR($A$5=入户维修!$F294,$BN$5=1),0,5-SUMPRODUCT(--(($A$1:$A$5=入户维修!$F294)+$BN$1:$BN$5&gt;0)))</f>
        <v>4</v>
      </c>
      <c r="L294" s="0" t="str">
        <f aca="false">IFERROR(INDEX($A$1:$A$5,MATCH(1,$F294:$J294,0)),IF(1=MAX($F294:$J294)+1,"取消",""))</f>
        <v>李师傅</v>
      </c>
      <c r="M294" s="0" t="str">
        <f aca="false">IFERROR(INDEX($A$1:$A$5,MATCH(2,$F294:$J294,0)),IF(2=MAX($F294:$J294)+1,"取消",""))</f>
        <v>王师傅</v>
      </c>
      <c r="N294" s="0" t="str">
        <f aca="false">IFERROR(INDEX($A$1:$A$5,MATCH(3,$F294:$J294,0)),IF(3=MAX($F294:$J294)+1,"取消",""))</f>
        <v>陈师傅</v>
      </c>
      <c r="O294" s="0" t="str">
        <f aca="false">IFERROR(INDEX($A$1:$A$5,MATCH(4,$F294:$J294,0)),IF(4=MAX($F294:$J294)+1,"取消",""))</f>
        <v>刘师傅</v>
      </c>
      <c r="P294" s="0" t="str">
        <f aca="false">IFERROR(INDEX($A$1:$A$5,MATCH(5,$F294:$J294,0)),IF(5=MAX($F294:$J294)+1,"取消",""))</f>
        <v>取消</v>
      </c>
      <c r="Q294" s="0" t="str">
        <f aca="false">IFERROR(INDEX($A$1:$A$5,MATCH(6,$F294:$J294,0)),IF(6=MAX($F294:$J294)+1,"取消",""))</f>
        <v/>
      </c>
      <c r="S294" s="0" t="n">
        <f aca="false">IF(OR($A$1=入户维修!$F294,$A$1=入户维修!$G294,$BN$1=1),0,1-SUMPRODUCT(--(($A$1=入户维修!$F294)+($A$1=入户维修!$G294)+$BN$1&gt;0)))</f>
        <v>0</v>
      </c>
      <c r="T294" s="0" t="n">
        <f aca="false">IF(OR($A$2=入户维修!$F294,$A$2=入户维修!$G294,$BN$2=1),0,2-SUMPRODUCT(--(($A$1:$A$2=入户维修!$F294)+($A$1:$A$2=入户维修!$G294)+$BN$1:$BN$2&gt;0)))</f>
        <v>1</v>
      </c>
      <c r="U294" s="0" t="n">
        <f aca="false">IF(OR($A$3=入户维修!$F294,$A$3=入户维修!$G294,$BN$3=1),0,3-SUMPRODUCT(--(($A$1:$A$3=入户维修!$F294)+($A$1:$A$3=入户维修!$G294)+$BN$1:$BN$3&gt;0)))</f>
        <v>2</v>
      </c>
      <c r="V294" s="0" t="n">
        <f aca="false">IF(OR($A$4=入户维修!$F294,$A$4=入户维修!$G294,$BN$4=1),0,4-SUMPRODUCT(--(($A$1:$A$4=入户维修!$F294)+($A$1:$A$4=入户维修!$G294)+$BN$1:$BN$4&gt;0)))</f>
        <v>3</v>
      </c>
      <c r="W294" s="0" t="n">
        <f aca="false">IF(OR($A$5=入户维修!$F294,$A$5=入户维修!$G294,$BN$5=1),0,5-SUMPRODUCT(--(($A$1:$A$5=入户维修!$F294)+($A$1:$A$5=入户维修!$G294)+$BN$1:$BN$5&gt;0)))</f>
        <v>4</v>
      </c>
      <c r="Y294" s="0" t="str">
        <f aca="false">IFERROR(INDEX($A$1:$A$5,MATCH(1,$S294:$W294,0)),IF(1=MAX($S294:$W294)+1,"取消",""))</f>
        <v>李师傅</v>
      </c>
      <c r="Z294" s="0" t="str">
        <f aca="false">IFERROR(INDEX($A$1:$A$5,MATCH(2,$S294:$W294,0)),IF(2=MAX($S294:$W294)+1,"取消",""))</f>
        <v>王师傅</v>
      </c>
      <c r="AA294" s="0" t="str">
        <f aca="false">IFERROR(INDEX($A$1:$A$5,MATCH(3,$S294:$W294,0)),IF(3=MAX($S294:$W294)+1,"取消",""))</f>
        <v>陈师傅</v>
      </c>
      <c r="AB294" s="0" t="str">
        <f aca="false">IFERROR(INDEX($A$1:$A$5,MATCH(4,$S294:$W294,0)),IF(4=MAX($S294:$W294)+1,"取消",""))</f>
        <v>刘师傅</v>
      </c>
      <c r="AC294" s="0" t="str">
        <f aca="false">IFERROR(INDEX($A$1:$A$5,MATCH(5,$S294:$W294,0)),IF(5=MAX($S294:$W294)+1,"取消",""))</f>
        <v>取消</v>
      </c>
      <c r="AD294" s="0" t="str">
        <f aca="false">IFERROR(INDEX($A$1:$A$5,MATCH(6,$S294:$W294,0)),IF(6=MAX($S294:$W294)+1,"取消",""))</f>
        <v/>
      </c>
      <c r="AF294" s="0" t="n">
        <f aca="false">IF(OR($A$1=公区维修!$F294,$BN$1=1),0,1-SUMPRODUCT(--(($A$1=公区维修!$F294)+$BN$1&gt;0)))</f>
        <v>0</v>
      </c>
      <c r="AG294" s="0" t="n">
        <f aca="false">IF(OR($A$2=公区维修!$F294,$BN$2=1),0,2-SUMPRODUCT(--(($A$1:$A$2=公区维修!$F294)+$BN$1:$BN$2&gt;0)))</f>
        <v>1</v>
      </c>
      <c r="AH294" s="0" t="n">
        <f aca="false">IF(OR($A$3=公区维修!$F294,$BN$3=1),0,3-SUMPRODUCT(--(($A$1:$A$3=公区维修!$F294)+$BN$1:$BN$3&gt;0)))</f>
        <v>2</v>
      </c>
      <c r="AI294" s="0" t="n">
        <f aca="false">IF(OR($A$4=公区维修!$F294,$BN$4=1),0,4-SUMPRODUCT(--(($A$1:$A$4=公区维修!$F294)+$BN$1:$BN$4&gt;0)))</f>
        <v>3</v>
      </c>
      <c r="AJ294" s="0" t="n">
        <f aca="false">IF(OR($A$5=公区维修!$F294,$BN$5=1),0,5-SUMPRODUCT(--(($A$1:$A$5=公区维修!$F294)+$BN$1:$BN$5&gt;0)))</f>
        <v>4</v>
      </c>
      <c r="AL294" s="0" t="str">
        <f aca="false">IFERROR(INDEX($A$1:$A$5,MATCH(1,$AF294:$AJ294,0)),IF(1=MAX($AF294:$AJ294)+1,"取消",""))</f>
        <v>李师傅</v>
      </c>
      <c r="AM294" s="0" t="str">
        <f aca="false">IFERROR(INDEX($A$1:$A$5,MATCH(2,$AF294:$AJ294,0)),IF(2=MAX($AF294:$AJ294)+1,"取消",""))</f>
        <v>王师傅</v>
      </c>
      <c r="AN294" s="0" t="str">
        <f aca="false">IFERROR(INDEX($A$1:$A$5,MATCH(3,$AF294:$AJ294,0)),IF(3=MAX($AF294:$AJ294)+1,"取消",""))</f>
        <v>陈师傅</v>
      </c>
      <c r="AO294" s="0" t="str">
        <f aca="false">IFERROR(INDEX($A$1:$A$5,MATCH(4,$AF294:$AJ294,0)),IF(4=MAX($AF294:$AJ294)+1,"取消",""))</f>
        <v>刘师傅</v>
      </c>
      <c r="AP294" s="0" t="str">
        <f aca="false">IFERROR(INDEX($A$1:$A$5,MATCH(5,$AF294:$AJ294,0)),IF(5=MAX($AF294:$AJ294)+1,"取消",""))</f>
        <v>取消</v>
      </c>
      <c r="AQ294" s="0" t="str">
        <f aca="false">IFERROR(INDEX($A$1:$A$5,MATCH(6,$AF294:$AJ294,0)),IF(6=MAX($AF294:$AJ294)+1,"取消",""))</f>
        <v/>
      </c>
      <c r="AS294" s="0" t="n">
        <f aca="false">IF(OR($A$1=公区维修!$F294,$A$1=公区维修!$G294,$BN$1=1),0,1-SUMPRODUCT(--(($A$1=公区维修!$F294)+($A$1=公区维修!$G294)+$BN$1&gt;0)))</f>
        <v>0</v>
      </c>
      <c r="AT294" s="0" t="n">
        <f aca="false">IF(OR($A$2=公区维修!$F294,$A$2=公区维修!$G294,$BN$2=1),0,2-SUMPRODUCT(--(($A$1:$A$2=公区维修!$F294)+($A$1:$A$2=公区维修!$G294)+$BN$1:$BN$2&gt;0)))</f>
        <v>1</v>
      </c>
      <c r="AU294" s="0" t="n">
        <f aca="false">IF(OR($A$3=公区维修!$F294,$A$3=公区维修!$G294,$BN$3=1),0,3-SUMPRODUCT(--(($A$1:$A$3=公区维修!$F294)+($A$1:$A$3=公区维修!$G294)+$BN$1:$BN$3&gt;0)))</f>
        <v>2</v>
      </c>
      <c r="AV294" s="0" t="n">
        <f aca="false">IF(OR($A$4=公区维修!$F294,$A$4=公区维修!$G294,$BN$4=1),0,4-SUMPRODUCT(--(($A$1:$A$4=公区维修!$F294)+($A$1:$A$4=公区维修!$G294)+$BN$1:$BN$4&gt;0)))</f>
        <v>3</v>
      </c>
      <c r="AW294" s="0" t="n">
        <f aca="false">IF(OR($A$5=公区维修!$F294,$A$5=公区维修!$G294,$BN$5=1),0,5-SUMPRODUCT(--(($A$1:$A$5=公区维修!$F294)+($A$1:$A$5=公区维修!$G294)+$BN$1:$BN$5&gt;0)))</f>
        <v>4</v>
      </c>
      <c r="AY294" s="0" t="str">
        <f aca="false">IFERROR(INDEX($A$1:$A$5,MATCH(1,$AS294:$AW294,0)),IF(1=MAX($AS294:$AW294)+1,"取消",""))</f>
        <v>李师傅</v>
      </c>
      <c r="AZ294" s="0" t="str">
        <f aca="false">IFERROR(INDEX($A$1:$A$5,MATCH(2,$AS294:$AW294,0)),IF(2=MAX($AS294:$AW294)+1,"取消",""))</f>
        <v>王师傅</v>
      </c>
      <c r="BA294" s="0" t="str">
        <f aca="false">IFERROR(INDEX($A$1:$A$5,MATCH(3,$AS294:$AW294,0)),IF(3=MAX($AS294:$AW294)+1,"取消",""))</f>
        <v>陈师傅</v>
      </c>
      <c r="BB294" s="0" t="str">
        <f aca="false">IFERROR(INDEX($A$1:$A$5,MATCH(4,$AS294:$AW294,0)),IF(4=MAX($AS294:$AW294)+1,"取消",""))</f>
        <v>刘师傅</v>
      </c>
      <c r="BC294" s="0" t="str">
        <f aca="false">IFERROR(INDEX($A$1:$A$5,MATCH(5,$AS294:$AW294,0)),IF(5=MAX($AS294:$AW294)+1,"取消",""))</f>
        <v>取消</v>
      </c>
      <c r="BD294" s="0" t="str">
        <f aca="false">IFERROR(INDEX($A$1:$A$5,MATCH(6,$AS294:$AW294,0)),IF(6=MAX($AS294:$AW294)+1,"取消",""))</f>
        <v/>
      </c>
      <c r="FW294" s="0" t="str">
        <f aca="false">IF(AND(单元查询!$D$3&lt;&gt;"",IF(单元查询!$B$3="公区维修",公区维修!$E294&lt;&gt;"",入户维修!$E294&lt;&gt;""),IF(单元查询!$B$3="公区维修",公区维修!$C294,入户维修!$C294)=单元查询!$D$3,OR(单元查询!$F$3="",IF(单元查询!$B$3="公区维修",公区维修!$D294,入户维修!$D294)&amp;""=(单元查询!$F$3)&amp;"")),MAX($FW$4:$FW293)+1,"")</f>
        <v/>
      </c>
    </row>
    <row r="295" customFormat="false" ht="15" hidden="false" customHeight="true" outlineLevel="0" collapsed="false">
      <c r="F295" s="0" t="n">
        <f aca="false">IF(OR($A$1=入户维修!$F295,$BN$1=1),0,1-SUMPRODUCT(--(($A$1=入户维修!$F295)+$BN$1&gt;0)))</f>
        <v>0</v>
      </c>
      <c r="G295" s="0" t="n">
        <f aca="false">IF(OR($A$2=入户维修!$F295,$BN$2=1),0,2-SUMPRODUCT(--(($A$1:$A$2=入户维修!$F295)+$BN$1:$BN$2&gt;0)))</f>
        <v>1</v>
      </c>
      <c r="H295" s="0" t="n">
        <f aca="false">IF(OR($A$3=入户维修!$F295,$BN$3=1),0,3-SUMPRODUCT(--(($A$1:$A$3=入户维修!$F295)+$BN$1:$BN$3&gt;0)))</f>
        <v>2</v>
      </c>
      <c r="I295" s="0" t="n">
        <f aca="false">IF(OR($A$4=入户维修!$F295,$BN$4=1),0,4-SUMPRODUCT(--(($A$1:$A$4=入户维修!$F295)+$BN$1:$BN$4&gt;0)))</f>
        <v>3</v>
      </c>
      <c r="J295" s="0" t="n">
        <f aca="false">IF(OR($A$5=入户维修!$F295,$BN$5=1),0,5-SUMPRODUCT(--(($A$1:$A$5=入户维修!$F295)+$BN$1:$BN$5&gt;0)))</f>
        <v>4</v>
      </c>
      <c r="L295" s="0" t="str">
        <f aca="false">IFERROR(INDEX($A$1:$A$5,MATCH(1,$F295:$J295,0)),IF(1=MAX($F295:$J295)+1,"取消",""))</f>
        <v>李师傅</v>
      </c>
      <c r="M295" s="0" t="str">
        <f aca="false">IFERROR(INDEX($A$1:$A$5,MATCH(2,$F295:$J295,0)),IF(2=MAX($F295:$J295)+1,"取消",""))</f>
        <v>王师傅</v>
      </c>
      <c r="N295" s="0" t="str">
        <f aca="false">IFERROR(INDEX($A$1:$A$5,MATCH(3,$F295:$J295,0)),IF(3=MAX($F295:$J295)+1,"取消",""))</f>
        <v>陈师傅</v>
      </c>
      <c r="O295" s="0" t="str">
        <f aca="false">IFERROR(INDEX($A$1:$A$5,MATCH(4,$F295:$J295,0)),IF(4=MAX($F295:$J295)+1,"取消",""))</f>
        <v>刘师傅</v>
      </c>
      <c r="P295" s="0" t="str">
        <f aca="false">IFERROR(INDEX($A$1:$A$5,MATCH(5,$F295:$J295,0)),IF(5=MAX($F295:$J295)+1,"取消",""))</f>
        <v>取消</v>
      </c>
      <c r="Q295" s="0" t="str">
        <f aca="false">IFERROR(INDEX($A$1:$A$5,MATCH(6,$F295:$J295,0)),IF(6=MAX($F295:$J295)+1,"取消",""))</f>
        <v/>
      </c>
      <c r="S295" s="0" t="n">
        <f aca="false">IF(OR($A$1=入户维修!$F295,$A$1=入户维修!$G295,$BN$1=1),0,1-SUMPRODUCT(--(($A$1=入户维修!$F295)+($A$1=入户维修!$G295)+$BN$1&gt;0)))</f>
        <v>0</v>
      </c>
      <c r="T295" s="0" t="n">
        <f aca="false">IF(OR($A$2=入户维修!$F295,$A$2=入户维修!$G295,$BN$2=1),0,2-SUMPRODUCT(--(($A$1:$A$2=入户维修!$F295)+($A$1:$A$2=入户维修!$G295)+$BN$1:$BN$2&gt;0)))</f>
        <v>1</v>
      </c>
      <c r="U295" s="0" t="n">
        <f aca="false">IF(OR($A$3=入户维修!$F295,$A$3=入户维修!$G295,$BN$3=1),0,3-SUMPRODUCT(--(($A$1:$A$3=入户维修!$F295)+($A$1:$A$3=入户维修!$G295)+$BN$1:$BN$3&gt;0)))</f>
        <v>2</v>
      </c>
      <c r="V295" s="0" t="n">
        <f aca="false">IF(OR($A$4=入户维修!$F295,$A$4=入户维修!$G295,$BN$4=1),0,4-SUMPRODUCT(--(($A$1:$A$4=入户维修!$F295)+($A$1:$A$4=入户维修!$G295)+$BN$1:$BN$4&gt;0)))</f>
        <v>3</v>
      </c>
      <c r="W295" s="0" t="n">
        <f aca="false">IF(OR($A$5=入户维修!$F295,$A$5=入户维修!$G295,$BN$5=1),0,5-SUMPRODUCT(--(($A$1:$A$5=入户维修!$F295)+($A$1:$A$5=入户维修!$G295)+$BN$1:$BN$5&gt;0)))</f>
        <v>4</v>
      </c>
      <c r="Y295" s="0" t="str">
        <f aca="false">IFERROR(INDEX($A$1:$A$5,MATCH(1,$S295:$W295,0)),IF(1=MAX($S295:$W295)+1,"取消",""))</f>
        <v>李师傅</v>
      </c>
      <c r="Z295" s="0" t="str">
        <f aca="false">IFERROR(INDEX($A$1:$A$5,MATCH(2,$S295:$W295,0)),IF(2=MAX($S295:$W295)+1,"取消",""))</f>
        <v>王师傅</v>
      </c>
      <c r="AA295" s="0" t="str">
        <f aca="false">IFERROR(INDEX($A$1:$A$5,MATCH(3,$S295:$W295,0)),IF(3=MAX($S295:$W295)+1,"取消",""))</f>
        <v>陈师傅</v>
      </c>
      <c r="AB295" s="0" t="str">
        <f aca="false">IFERROR(INDEX($A$1:$A$5,MATCH(4,$S295:$W295,0)),IF(4=MAX($S295:$W295)+1,"取消",""))</f>
        <v>刘师傅</v>
      </c>
      <c r="AC295" s="0" t="str">
        <f aca="false">IFERROR(INDEX($A$1:$A$5,MATCH(5,$S295:$W295,0)),IF(5=MAX($S295:$W295)+1,"取消",""))</f>
        <v>取消</v>
      </c>
      <c r="AD295" s="0" t="str">
        <f aca="false">IFERROR(INDEX($A$1:$A$5,MATCH(6,$S295:$W295,0)),IF(6=MAX($S295:$W295)+1,"取消",""))</f>
        <v/>
      </c>
      <c r="AF295" s="0" t="n">
        <f aca="false">IF(OR($A$1=公区维修!$F295,$BN$1=1),0,1-SUMPRODUCT(--(($A$1=公区维修!$F295)+$BN$1&gt;0)))</f>
        <v>0</v>
      </c>
      <c r="AG295" s="0" t="n">
        <f aca="false">IF(OR($A$2=公区维修!$F295,$BN$2=1),0,2-SUMPRODUCT(--(($A$1:$A$2=公区维修!$F295)+$BN$1:$BN$2&gt;0)))</f>
        <v>1</v>
      </c>
      <c r="AH295" s="0" t="n">
        <f aca="false">IF(OR($A$3=公区维修!$F295,$BN$3=1),0,3-SUMPRODUCT(--(($A$1:$A$3=公区维修!$F295)+$BN$1:$BN$3&gt;0)))</f>
        <v>2</v>
      </c>
      <c r="AI295" s="0" t="n">
        <f aca="false">IF(OR($A$4=公区维修!$F295,$BN$4=1),0,4-SUMPRODUCT(--(($A$1:$A$4=公区维修!$F295)+$BN$1:$BN$4&gt;0)))</f>
        <v>3</v>
      </c>
      <c r="AJ295" s="0" t="n">
        <f aca="false">IF(OR($A$5=公区维修!$F295,$BN$5=1),0,5-SUMPRODUCT(--(($A$1:$A$5=公区维修!$F295)+$BN$1:$BN$5&gt;0)))</f>
        <v>4</v>
      </c>
      <c r="AL295" s="0" t="str">
        <f aca="false">IFERROR(INDEX($A$1:$A$5,MATCH(1,$AF295:$AJ295,0)),IF(1=MAX($AF295:$AJ295)+1,"取消",""))</f>
        <v>李师傅</v>
      </c>
      <c r="AM295" s="0" t="str">
        <f aca="false">IFERROR(INDEX($A$1:$A$5,MATCH(2,$AF295:$AJ295,0)),IF(2=MAX($AF295:$AJ295)+1,"取消",""))</f>
        <v>王师傅</v>
      </c>
      <c r="AN295" s="0" t="str">
        <f aca="false">IFERROR(INDEX($A$1:$A$5,MATCH(3,$AF295:$AJ295,0)),IF(3=MAX($AF295:$AJ295)+1,"取消",""))</f>
        <v>陈师傅</v>
      </c>
      <c r="AO295" s="0" t="str">
        <f aca="false">IFERROR(INDEX($A$1:$A$5,MATCH(4,$AF295:$AJ295,0)),IF(4=MAX($AF295:$AJ295)+1,"取消",""))</f>
        <v>刘师傅</v>
      </c>
      <c r="AP295" s="0" t="str">
        <f aca="false">IFERROR(INDEX($A$1:$A$5,MATCH(5,$AF295:$AJ295,0)),IF(5=MAX($AF295:$AJ295)+1,"取消",""))</f>
        <v>取消</v>
      </c>
      <c r="AQ295" s="0" t="str">
        <f aca="false">IFERROR(INDEX($A$1:$A$5,MATCH(6,$AF295:$AJ295,0)),IF(6=MAX($AF295:$AJ295)+1,"取消",""))</f>
        <v/>
      </c>
      <c r="AS295" s="0" t="n">
        <f aca="false">IF(OR($A$1=公区维修!$F295,$A$1=公区维修!$G295,$BN$1=1),0,1-SUMPRODUCT(--(($A$1=公区维修!$F295)+($A$1=公区维修!$G295)+$BN$1&gt;0)))</f>
        <v>0</v>
      </c>
      <c r="AT295" s="0" t="n">
        <f aca="false">IF(OR($A$2=公区维修!$F295,$A$2=公区维修!$G295,$BN$2=1),0,2-SUMPRODUCT(--(($A$1:$A$2=公区维修!$F295)+($A$1:$A$2=公区维修!$G295)+$BN$1:$BN$2&gt;0)))</f>
        <v>1</v>
      </c>
      <c r="AU295" s="0" t="n">
        <f aca="false">IF(OR($A$3=公区维修!$F295,$A$3=公区维修!$G295,$BN$3=1),0,3-SUMPRODUCT(--(($A$1:$A$3=公区维修!$F295)+($A$1:$A$3=公区维修!$G295)+$BN$1:$BN$3&gt;0)))</f>
        <v>2</v>
      </c>
      <c r="AV295" s="0" t="n">
        <f aca="false">IF(OR($A$4=公区维修!$F295,$A$4=公区维修!$G295,$BN$4=1),0,4-SUMPRODUCT(--(($A$1:$A$4=公区维修!$F295)+($A$1:$A$4=公区维修!$G295)+$BN$1:$BN$4&gt;0)))</f>
        <v>3</v>
      </c>
      <c r="AW295" s="0" t="n">
        <f aca="false">IF(OR($A$5=公区维修!$F295,$A$5=公区维修!$G295,$BN$5=1),0,5-SUMPRODUCT(--(($A$1:$A$5=公区维修!$F295)+($A$1:$A$5=公区维修!$G295)+$BN$1:$BN$5&gt;0)))</f>
        <v>4</v>
      </c>
      <c r="AY295" s="0" t="str">
        <f aca="false">IFERROR(INDEX($A$1:$A$5,MATCH(1,$AS295:$AW295,0)),IF(1=MAX($AS295:$AW295)+1,"取消",""))</f>
        <v>李师傅</v>
      </c>
      <c r="AZ295" s="0" t="str">
        <f aca="false">IFERROR(INDEX($A$1:$A$5,MATCH(2,$AS295:$AW295,0)),IF(2=MAX($AS295:$AW295)+1,"取消",""))</f>
        <v>王师傅</v>
      </c>
      <c r="BA295" s="0" t="str">
        <f aca="false">IFERROR(INDEX($A$1:$A$5,MATCH(3,$AS295:$AW295,0)),IF(3=MAX($AS295:$AW295)+1,"取消",""))</f>
        <v>陈师傅</v>
      </c>
      <c r="BB295" s="0" t="str">
        <f aca="false">IFERROR(INDEX($A$1:$A$5,MATCH(4,$AS295:$AW295,0)),IF(4=MAX($AS295:$AW295)+1,"取消",""))</f>
        <v>刘师傅</v>
      </c>
      <c r="BC295" s="0" t="str">
        <f aca="false">IFERROR(INDEX($A$1:$A$5,MATCH(5,$AS295:$AW295,0)),IF(5=MAX($AS295:$AW295)+1,"取消",""))</f>
        <v>取消</v>
      </c>
      <c r="BD295" s="0" t="str">
        <f aca="false">IFERROR(INDEX($A$1:$A$5,MATCH(6,$AS295:$AW295,0)),IF(6=MAX($AS295:$AW295)+1,"取消",""))</f>
        <v/>
      </c>
      <c r="FW295" s="0" t="str">
        <f aca="false">IF(AND(单元查询!$D$3&lt;&gt;"",IF(单元查询!$B$3="公区维修",公区维修!$E295&lt;&gt;"",入户维修!$E295&lt;&gt;""),IF(单元查询!$B$3="公区维修",公区维修!$C295,入户维修!$C295)=单元查询!$D$3,OR(单元查询!$F$3="",IF(单元查询!$B$3="公区维修",公区维修!$D295,入户维修!$D295)&amp;""=(单元查询!$F$3)&amp;"")),MAX($FW$4:$FW294)+1,"")</f>
        <v/>
      </c>
    </row>
    <row r="296" customFormat="false" ht="15" hidden="false" customHeight="true" outlineLevel="0" collapsed="false">
      <c r="F296" s="0" t="n">
        <f aca="false">IF(OR($A$1=入户维修!$F296,$BN$1=1),0,1-SUMPRODUCT(--(($A$1=入户维修!$F296)+$BN$1&gt;0)))</f>
        <v>0</v>
      </c>
      <c r="G296" s="0" t="n">
        <f aca="false">IF(OR($A$2=入户维修!$F296,$BN$2=1),0,2-SUMPRODUCT(--(($A$1:$A$2=入户维修!$F296)+$BN$1:$BN$2&gt;0)))</f>
        <v>1</v>
      </c>
      <c r="H296" s="0" t="n">
        <f aca="false">IF(OR($A$3=入户维修!$F296,$BN$3=1),0,3-SUMPRODUCT(--(($A$1:$A$3=入户维修!$F296)+$BN$1:$BN$3&gt;0)))</f>
        <v>2</v>
      </c>
      <c r="I296" s="0" t="n">
        <f aca="false">IF(OR($A$4=入户维修!$F296,$BN$4=1),0,4-SUMPRODUCT(--(($A$1:$A$4=入户维修!$F296)+$BN$1:$BN$4&gt;0)))</f>
        <v>3</v>
      </c>
      <c r="J296" s="0" t="n">
        <f aca="false">IF(OR($A$5=入户维修!$F296,$BN$5=1),0,5-SUMPRODUCT(--(($A$1:$A$5=入户维修!$F296)+$BN$1:$BN$5&gt;0)))</f>
        <v>4</v>
      </c>
      <c r="L296" s="0" t="str">
        <f aca="false">IFERROR(INDEX($A$1:$A$5,MATCH(1,$F296:$J296,0)),IF(1=MAX($F296:$J296)+1,"取消",""))</f>
        <v>李师傅</v>
      </c>
      <c r="M296" s="0" t="str">
        <f aca="false">IFERROR(INDEX($A$1:$A$5,MATCH(2,$F296:$J296,0)),IF(2=MAX($F296:$J296)+1,"取消",""))</f>
        <v>王师傅</v>
      </c>
      <c r="N296" s="0" t="str">
        <f aca="false">IFERROR(INDEX($A$1:$A$5,MATCH(3,$F296:$J296,0)),IF(3=MAX($F296:$J296)+1,"取消",""))</f>
        <v>陈师傅</v>
      </c>
      <c r="O296" s="0" t="str">
        <f aca="false">IFERROR(INDEX($A$1:$A$5,MATCH(4,$F296:$J296,0)),IF(4=MAX($F296:$J296)+1,"取消",""))</f>
        <v>刘师傅</v>
      </c>
      <c r="P296" s="0" t="str">
        <f aca="false">IFERROR(INDEX($A$1:$A$5,MATCH(5,$F296:$J296,0)),IF(5=MAX($F296:$J296)+1,"取消",""))</f>
        <v>取消</v>
      </c>
      <c r="Q296" s="0" t="str">
        <f aca="false">IFERROR(INDEX($A$1:$A$5,MATCH(6,$F296:$J296,0)),IF(6=MAX($F296:$J296)+1,"取消",""))</f>
        <v/>
      </c>
      <c r="S296" s="0" t="n">
        <f aca="false">IF(OR($A$1=入户维修!$F296,$A$1=入户维修!$G296,$BN$1=1),0,1-SUMPRODUCT(--(($A$1=入户维修!$F296)+($A$1=入户维修!$G296)+$BN$1&gt;0)))</f>
        <v>0</v>
      </c>
      <c r="T296" s="0" t="n">
        <f aca="false">IF(OR($A$2=入户维修!$F296,$A$2=入户维修!$G296,$BN$2=1),0,2-SUMPRODUCT(--(($A$1:$A$2=入户维修!$F296)+($A$1:$A$2=入户维修!$G296)+$BN$1:$BN$2&gt;0)))</f>
        <v>1</v>
      </c>
      <c r="U296" s="0" t="n">
        <f aca="false">IF(OR($A$3=入户维修!$F296,$A$3=入户维修!$G296,$BN$3=1),0,3-SUMPRODUCT(--(($A$1:$A$3=入户维修!$F296)+($A$1:$A$3=入户维修!$G296)+$BN$1:$BN$3&gt;0)))</f>
        <v>2</v>
      </c>
      <c r="V296" s="0" t="n">
        <f aca="false">IF(OR($A$4=入户维修!$F296,$A$4=入户维修!$G296,$BN$4=1),0,4-SUMPRODUCT(--(($A$1:$A$4=入户维修!$F296)+($A$1:$A$4=入户维修!$G296)+$BN$1:$BN$4&gt;0)))</f>
        <v>3</v>
      </c>
      <c r="W296" s="0" t="n">
        <f aca="false">IF(OR($A$5=入户维修!$F296,$A$5=入户维修!$G296,$BN$5=1),0,5-SUMPRODUCT(--(($A$1:$A$5=入户维修!$F296)+($A$1:$A$5=入户维修!$G296)+$BN$1:$BN$5&gt;0)))</f>
        <v>4</v>
      </c>
      <c r="Y296" s="0" t="str">
        <f aca="false">IFERROR(INDEX($A$1:$A$5,MATCH(1,$S296:$W296,0)),IF(1=MAX($S296:$W296)+1,"取消",""))</f>
        <v>李师傅</v>
      </c>
      <c r="Z296" s="0" t="str">
        <f aca="false">IFERROR(INDEX($A$1:$A$5,MATCH(2,$S296:$W296,0)),IF(2=MAX($S296:$W296)+1,"取消",""))</f>
        <v>王师傅</v>
      </c>
      <c r="AA296" s="0" t="str">
        <f aca="false">IFERROR(INDEX($A$1:$A$5,MATCH(3,$S296:$W296,0)),IF(3=MAX($S296:$W296)+1,"取消",""))</f>
        <v>陈师傅</v>
      </c>
      <c r="AB296" s="0" t="str">
        <f aca="false">IFERROR(INDEX($A$1:$A$5,MATCH(4,$S296:$W296,0)),IF(4=MAX($S296:$W296)+1,"取消",""))</f>
        <v>刘师傅</v>
      </c>
      <c r="AC296" s="0" t="str">
        <f aca="false">IFERROR(INDEX($A$1:$A$5,MATCH(5,$S296:$W296,0)),IF(5=MAX($S296:$W296)+1,"取消",""))</f>
        <v>取消</v>
      </c>
      <c r="AD296" s="0" t="str">
        <f aca="false">IFERROR(INDEX($A$1:$A$5,MATCH(6,$S296:$W296,0)),IF(6=MAX($S296:$W296)+1,"取消",""))</f>
        <v/>
      </c>
      <c r="AF296" s="0" t="n">
        <f aca="false">IF(OR($A$1=公区维修!$F296,$BN$1=1),0,1-SUMPRODUCT(--(($A$1=公区维修!$F296)+$BN$1&gt;0)))</f>
        <v>0</v>
      </c>
      <c r="AG296" s="0" t="n">
        <f aca="false">IF(OR($A$2=公区维修!$F296,$BN$2=1),0,2-SUMPRODUCT(--(($A$1:$A$2=公区维修!$F296)+$BN$1:$BN$2&gt;0)))</f>
        <v>1</v>
      </c>
      <c r="AH296" s="0" t="n">
        <f aca="false">IF(OR($A$3=公区维修!$F296,$BN$3=1),0,3-SUMPRODUCT(--(($A$1:$A$3=公区维修!$F296)+$BN$1:$BN$3&gt;0)))</f>
        <v>2</v>
      </c>
      <c r="AI296" s="0" t="n">
        <f aca="false">IF(OR($A$4=公区维修!$F296,$BN$4=1),0,4-SUMPRODUCT(--(($A$1:$A$4=公区维修!$F296)+$BN$1:$BN$4&gt;0)))</f>
        <v>3</v>
      </c>
      <c r="AJ296" s="0" t="n">
        <f aca="false">IF(OR($A$5=公区维修!$F296,$BN$5=1),0,5-SUMPRODUCT(--(($A$1:$A$5=公区维修!$F296)+$BN$1:$BN$5&gt;0)))</f>
        <v>4</v>
      </c>
      <c r="AL296" s="0" t="str">
        <f aca="false">IFERROR(INDEX($A$1:$A$5,MATCH(1,$AF296:$AJ296,0)),IF(1=MAX($AF296:$AJ296)+1,"取消",""))</f>
        <v>李师傅</v>
      </c>
      <c r="AM296" s="0" t="str">
        <f aca="false">IFERROR(INDEX($A$1:$A$5,MATCH(2,$AF296:$AJ296,0)),IF(2=MAX($AF296:$AJ296)+1,"取消",""))</f>
        <v>王师傅</v>
      </c>
      <c r="AN296" s="0" t="str">
        <f aca="false">IFERROR(INDEX($A$1:$A$5,MATCH(3,$AF296:$AJ296,0)),IF(3=MAX($AF296:$AJ296)+1,"取消",""))</f>
        <v>陈师傅</v>
      </c>
      <c r="AO296" s="0" t="str">
        <f aca="false">IFERROR(INDEX($A$1:$A$5,MATCH(4,$AF296:$AJ296,0)),IF(4=MAX($AF296:$AJ296)+1,"取消",""))</f>
        <v>刘师傅</v>
      </c>
      <c r="AP296" s="0" t="str">
        <f aca="false">IFERROR(INDEX($A$1:$A$5,MATCH(5,$AF296:$AJ296,0)),IF(5=MAX($AF296:$AJ296)+1,"取消",""))</f>
        <v>取消</v>
      </c>
      <c r="AQ296" s="0" t="str">
        <f aca="false">IFERROR(INDEX($A$1:$A$5,MATCH(6,$AF296:$AJ296,0)),IF(6=MAX($AF296:$AJ296)+1,"取消",""))</f>
        <v/>
      </c>
      <c r="AS296" s="0" t="n">
        <f aca="false">IF(OR($A$1=公区维修!$F296,$A$1=公区维修!$G296,$BN$1=1),0,1-SUMPRODUCT(--(($A$1=公区维修!$F296)+($A$1=公区维修!$G296)+$BN$1&gt;0)))</f>
        <v>0</v>
      </c>
      <c r="AT296" s="0" t="n">
        <f aca="false">IF(OR($A$2=公区维修!$F296,$A$2=公区维修!$G296,$BN$2=1),0,2-SUMPRODUCT(--(($A$1:$A$2=公区维修!$F296)+($A$1:$A$2=公区维修!$G296)+$BN$1:$BN$2&gt;0)))</f>
        <v>1</v>
      </c>
      <c r="AU296" s="0" t="n">
        <f aca="false">IF(OR($A$3=公区维修!$F296,$A$3=公区维修!$G296,$BN$3=1),0,3-SUMPRODUCT(--(($A$1:$A$3=公区维修!$F296)+($A$1:$A$3=公区维修!$G296)+$BN$1:$BN$3&gt;0)))</f>
        <v>2</v>
      </c>
      <c r="AV296" s="0" t="n">
        <f aca="false">IF(OR($A$4=公区维修!$F296,$A$4=公区维修!$G296,$BN$4=1),0,4-SUMPRODUCT(--(($A$1:$A$4=公区维修!$F296)+($A$1:$A$4=公区维修!$G296)+$BN$1:$BN$4&gt;0)))</f>
        <v>3</v>
      </c>
      <c r="AW296" s="0" t="n">
        <f aca="false">IF(OR($A$5=公区维修!$F296,$A$5=公区维修!$G296,$BN$5=1),0,5-SUMPRODUCT(--(($A$1:$A$5=公区维修!$F296)+($A$1:$A$5=公区维修!$G296)+$BN$1:$BN$5&gt;0)))</f>
        <v>4</v>
      </c>
      <c r="AY296" s="0" t="str">
        <f aca="false">IFERROR(INDEX($A$1:$A$5,MATCH(1,$AS296:$AW296,0)),IF(1=MAX($AS296:$AW296)+1,"取消",""))</f>
        <v>李师傅</v>
      </c>
      <c r="AZ296" s="0" t="str">
        <f aca="false">IFERROR(INDEX($A$1:$A$5,MATCH(2,$AS296:$AW296,0)),IF(2=MAX($AS296:$AW296)+1,"取消",""))</f>
        <v>王师傅</v>
      </c>
      <c r="BA296" s="0" t="str">
        <f aca="false">IFERROR(INDEX($A$1:$A$5,MATCH(3,$AS296:$AW296,0)),IF(3=MAX($AS296:$AW296)+1,"取消",""))</f>
        <v>陈师傅</v>
      </c>
      <c r="BB296" s="0" t="str">
        <f aca="false">IFERROR(INDEX($A$1:$A$5,MATCH(4,$AS296:$AW296,0)),IF(4=MAX($AS296:$AW296)+1,"取消",""))</f>
        <v>刘师傅</v>
      </c>
      <c r="BC296" s="0" t="str">
        <f aca="false">IFERROR(INDEX($A$1:$A$5,MATCH(5,$AS296:$AW296,0)),IF(5=MAX($AS296:$AW296)+1,"取消",""))</f>
        <v>取消</v>
      </c>
      <c r="BD296" s="0" t="str">
        <f aca="false">IFERROR(INDEX($A$1:$A$5,MATCH(6,$AS296:$AW296,0)),IF(6=MAX($AS296:$AW296)+1,"取消",""))</f>
        <v/>
      </c>
      <c r="FW296" s="0" t="str">
        <f aca="false">IF(AND(单元查询!$D$3&lt;&gt;"",IF(单元查询!$B$3="公区维修",公区维修!$E296&lt;&gt;"",入户维修!$E296&lt;&gt;""),IF(单元查询!$B$3="公区维修",公区维修!$C296,入户维修!$C296)=单元查询!$D$3,OR(单元查询!$F$3="",IF(单元查询!$B$3="公区维修",公区维修!$D296,入户维修!$D296)&amp;""=(单元查询!$F$3)&amp;"")),MAX($FW$4:$FW295)+1,"")</f>
        <v/>
      </c>
    </row>
    <row r="297" customFormat="false" ht="15" hidden="false" customHeight="true" outlineLevel="0" collapsed="false">
      <c r="F297" s="0" t="n">
        <f aca="false">IF(OR($A$1=入户维修!$F297,$BN$1=1),0,1-SUMPRODUCT(--(($A$1=入户维修!$F297)+$BN$1&gt;0)))</f>
        <v>0</v>
      </c>
      <c r="G297" s="0" t="n">
        <f aca="false">IF(OR($A$2=入户维修!$F297,$BN$2=1),0,2-SUMPRODUCT(--(($A$1:$A$2=入户维修!$F297)+$BN$1:$BN$2&gt;0)))</f>
        <v>1</v>
      </c>
      <c r="H297" s="0" t="n">
        <f aca="false">IF(OR($A$3=入户维修!$F297,$BN$3=1),0,3-SUMPRODUCT(--(($A$1:$A$3=入户维修!$F297)+$BN$1:$BN$3&gt;0)))</f>
        <v>2</v>
      </c>
      <c r="I297" s="0" t="n">
        <f aca="false">IF(OR($A$4=入户维修!$F297,$BN$4=1),0,4-SUMPRODUCT(--(($A$1:$A$4=入户维修!$F297)+$BN$1:$BN$4&gt;0)))</f>
        <v>3</v>
      </c>
      <c r="J297" s="0" t="n">
        <f aca="false">IF(OR($A$5=入户维修!$F297,$BN$5=1),0,5-SUMPRODUCT(--(($A$1:$A$5=入户维修!$F297)+$BN$1:$BN$5&gt;0)))</f>
        <v>4</v>
      </c>
      <c r="L297" s="0" t="str">
        <f aca="false">IFERROR(INDEX($A$1:$A$5,MATCH(1,$F297:$J297,0)),IF(1=MAX($F297:$J297)+1,"取消",""))</f>
        <v>李师傅</v>
      </c>
      <c r="M297" s="0" t="str">
        <f aca="false">IFERROR(INDEX($A$1:$A$5,MATCH(2,$F297:$J297,0)),IF(2=MAX($F297:$J297)+1,"取消",""))</f>
        <v>王师傅</v>
      </c>
      <c r="N297" s="0" t="str">
        <f aca="false">IFERROR(INDEX($A$1:$A$5,MATCH(3,$F297:$J297,0)),IF(3=MAX($F297:$J297)+1,"取消",""))</f>
        <v>陈师傅</v>
      </c>
      <c r="O297" s="0" t="str">
        <f aca="false">IFERROR(INDEX($A$1:$A$5,MATCH(4,$F297:$J297,0)),IF(4=MAX($F297:$J297)+1,"取消",""))</f>
        <v>刘师傅</v>
      </c>
      <c r="P297" s="0" t="str">
        <f aca="false">IFERROR(INDEX($A$1:$A$5,MATCH(5,$F297:$J297,0)),IF(5=MAX($F297:$J297)+1,"取消",""))</f>
        <v>取消</v>
      </c>
      <c r="Q297" s="0" t="str">
        <f aca="false">IFERROR(INDEX($A$1:$A$5,MATCH(6,$F297:$J297,0)),IF(6=MAX($F297:$J297)+1,"取消",""))</f>
        <v/>
      </c>
      <c r="S297" s="0" t="n">
        <f aca="false">IF(OR($A$1=入户维修!$F297,$A$1=入户维修!$G297,$BN$1=1),0,1-SUMPRODUCT(--(($A$1=入户维修!$F297)+($A$1=入户维修!$G297)+$BN$1&gt;0)))</f>
        <v>0</v>
      </c>
      <c r="T297" s="0" t="n">
        <f aca="false">IF(OR($A$2=入户维修!$F297,$A$2=入户维修!$G297,$BN$2=1),0,2-SUMPRODUCT(--(($A$1:$A$2=入户维修!$F297)+($A$1:$A$2=入户维修!$G297)+$BN$1:$BN$2&gt;0)))</f>
        <v>1</v>
      </c>
      <c r="U297" s="0" t="n">
        <f aca="false">IF(OR($A$3=入户维修!$F297,$A$3=入户维修!$G297,$BN$3=1),0,3-SUMPRODUCT(--(($A$1:$A$3=入户维修!$F297)+($A$1:$A$3=入户维修!$G297)+$BN$1:$BN$3&gt;0)))</f>
        <v>2</v>
      </c>
      <c r="V297" s="0" t="n">
        <f aca="false">IF(OR($A$4=入户维修!$F297,$A$4=入户维修!$G297,$BN$4=1),0,4-SUMPRODUCT(--(($A$1:$A$4=入户维修!$F297)+($A$1:$A$4=入户维修!$G297)+$BN$1:$BN$4&gt;0)))</f>
        <v>3</v>
      </c>
      <c r="W297" s="0" t="n">
        <f aca="false">IF(OR($A$5=入户维修!$F297,$A$5=入户维修!$G297,$BN$5=1),0,5-SUMPRODUCT(--(($A$1:$A$5=入户维修!$F297)+($A$1:$A$5=入户维修!$G297)+$BN$1:$BN$5&gt;0)))</f>
        <v>4</v>
      </c>
      <c r="Y297" s="0" t="str">
        <f aca="false">IFERROR(INDEX($A$1:$A$5,MATCH(1,$S297:$W297,0)),IF(1=MAX($S297:$W297)+1,"取消",""))</f>
        <v>李师傅</v>
      </c>
      <c r="Z297" s="0" t="str">
        <f aca="false">IFERROR(INDEX($A$1:$A$5,MATCH(2,$S297:$W297,0)),IF(2=MAX($S297:$W297)+1,"取消",""))</f>
        <v>王师傅</v>
      </c>
      <c r="AA297" s="0" t="str">
        <f aca="false">IFERROR(INDEX($A$1:$A$5,MATCH(3,$S297:$W297,0)),IF(3=MAX($S297:$W297)+1,"取消",""))</f>
        <v>陈师傅</v>
      </c>
      <c r="AB297" s="0" t="str">
        <f aca="false">IFERROR(INDEX($A$1:$A$5,MATCH(4,$S297:$W297,0)),IF(4=MAX($S297:$W297)+1,"取消",""))</f>
        <v>刘师傅</v>
      </c>
      <c r="AC297" s="0" t="str">
        <f aca="false">IFERROR(INDEX($A$1:$A$5,MATCH(5,$S297:$W297,0)),IF(5=MAX($S297:$W297)+1,"取消",""))</f>
        <v>取消</v>
      </c>
      <c r="AD297" s="0" t="str">
        <f aca="false">IFERROR(INDEX($A$1:$A$5,MATCH(6,$S297:$W297,0)),IF(6=MAX($S297:$W297)+1,"取消",""))</f>
        <v/>
      </c>
      <c r="AF297" s="0" t="n">
        <f aca="false">IF(OR($A$1=公区维修!$F297,$BN$1=1),0,1-SUMPRODUCT(--(($A$1=公区维修!$F297)+$BN$1&gt;0)))</f>
        <v>0</v>
      </c>
      <c r="AG297" s="0" t="n">
        <f aca="false">IF(OR($A$2=公区维修!$F297,$BN$2=1),0,2-SUMPRODUCT(--(($A$1:$A$2=公区维修!$F297)+$BN$1:$BN$2&gt;0)))</f>
        <v>1</v>
      </c>
      <c r="AH297" s="0" t="n">
        <f aca="false">IF(OR($A$3=公区维修!$F297,$BN$3=1),0,3-SUMPRODUCT(--(($A$1:$A$3=公区维修!$F297)+$BN$1:$BN$3&gt;0)))</f>
        <v>2</v>
      </c>
      <c r="AI297" s="0" t="n">
        <f aca="false">IF(OR($A$4=公区维修!$F297,$BN$4=1),0,4-SUMPRODUCT(--(($A$1:$A$4=公区维修!$F297)+$BN$1:$BN$4&gt;0)))</f>
        <v>3</v>
      </c>
      <c r="AJ297" s="0" t="n">
        <f aca="false">IF(OR($A$5=公区维修!$F297,$BN$5=1),0,5-SUMPRODUCT(--(($A$1:$A$5=公区维修!$F297)+$BN$1:$BN$5&gt;0)))</f>
        <v>4</v>
      </c>
      <c r="AL297" s="0" t="str">
        <f aca="false">IFERROR(INDEX($A$1:$A$5,MATCH(1,$AF297:$AJ297,0)),IF(1=MAX($AF297:$AJ297)+1,"取消",""))</f>
        <v>李师傅</v>
      </c>
      <c r="AM297" s="0" t="str">
        <f aca="false">IFERROR(INDEX($A$1:$A$5,MATCH(2,$AF297:$AJ297,0)),IF(2=MAX($AF297:$AJ297)+1,"取消",""))</f>
        <v>王师傅</v>
      </c>
      <c r="AN297" s="0" t="str">
        <f aca="false">IFERROR(INDEX($A$1:$A$5,MATCH(3,$AF297:$AJ297,0)),IF(3=MAX($AF297:$AJ297)+1,"取消",""))</f>
        <v>陈师傅</v>
      </c>
      <c r="AO297" s="0" t="str">
        <f aca="false">IFERROR(INDEX($A$1:$A$5,MATCH(4,$AF297:$AJ297,0)),IF(4=MAX($AF297:$AJ297)+1,"取消",""))</f>
        <v>刘师傅</v>
      </c>
      <c r="AP297" s="0" t="str">
        <f aca="false">IFERROR(INDEX($A$1:$A$5,MATCH(5,$AF297:$AJ297,0)),IF(5=MAX($AF297:$AJ297)+1,"取消",""))</f>
        <v>取消</v>
      </c>
      <c r="AQ297" s="0" t="str">
        <f aca="false">IFERROR(INDEX($A$1:$A$5,MATCH(6,$AF297:$AJ297,0)),IF(6=MAX($AF297:$AJ297)+1,"取消",""))</f>
        <v/>
      </c>
      <c r="AS297" s="0" t="n">
        <f aca="false">IF(OR($A$1=公区维修!$F297,$A$1=公区维修!$G297,$BN$1=1),0,1-SUMPRODUCT(--(($A$1=公区维修!$F297)+($A$1=公区维修!$G297)+$BN$1&gt;0)))</f>
        <v>0</v>
      </c>
      <c r="AT297" s="0" t="n">
        <f aca="false">IF(OR($A$2=公区维修!$F297,$A$2=公区维修!$G297,$BN$2=1),0,2-SUMPRODUCT(--(($A$1:$A$2=公区维修!$F297)+($A$1:$A$2=公区维修!$G297)+$BN$1:$BN$2&gt;0)))</f>
        <v>1</v>
      </c>
      <c r="AU297" s="0" t="n">
        <f aca="false">IF(OR($A$3=公区维修!$F297,$A$3=公区维修!$G297,$BN$3=1),0,3-SUMPRODUCT(--(($A$1:$A$3=公区维修!$F297)+($A$1:$A$3=公区维修!$G297)+$BN$1:$BN$3&gt;0)))</f>
        <v>2</v>
      </c>
      <c r="AV297" s="0" t="n">
        <f aca="false">IF(OR($A$4=公区维修!$F297,$A$4=公区维修!$G297,$BN$4=1),0,4-SUMPRODUCT(--(($A$1:$A$4=公区维修!$F297)+($A$1:$A$4=公区维修!$G297)+$BN$1:$BN$4&gt;0)))</f>
        <v>3</v>
      </c>
      <c r="AW297" s="0" t="n">
        <f aca="false">IF(OR($A$5=公区维修!$F297,$A$5=公区维修!$G297,$BN$5=1),0,5-SUMPRODUCT(--(($A$1:$A$5=公区维修!$F297)+($A$1:$A$5=公区维修!$G297)+$BN$1:$BN$5&gt;0)))</f>
        <v>4</v>
      </c>
      <c r="AY297" s="0" t="str">
        <f aca="false">IFERROR(INDEX($A$1:$A$5,MATCH(1,$AS297:$AW297,0)),IF(1=MAX($AS297:$AW297)+1,"取消",""))</f>
        <v>李师傅</v>
      </c>
      <c r="AZ297" s="0" t="str">
        <f aca="false">IFERROR(INDEX($A$1:$A$5,MATCH(2,$AS297:$AW297,0)),IF(2=MAX($AS297:$AW297)+1,"取消",""))</f>
        <v>王师傅</v>
      </c>
      <c r="BA297" s="0" t="str">
        <f aca="false">IFERROR(INDEX($A$1:$A$5,MATCH(3,$AS297:$AW297,0)),IF(3=MAX($AS297:$AW297)+1,"取消",""))</f>
        <v>陈师傅</v>
      </c>
      <c r="BB297" s="0" t="str">
        <f aca="false">IFERROR(INDEX($A$1:$A$5,MATCH(4,$AS297:$AW297,0)),IF(4=MAX($AS297:$AW297)+1,"取消",""))</f>
        <v>刘师傅</v>
      </c>
      <c r="BC297" s="0" t="str">
        <f aca="false">IFERROR(INDEX($A$1:$A$5,MATCH(5,$AS297:$AW297,0)),IF(5=MAX($AS297:$AW297)+1,"取消",""))</f>
        <v>取消</v>
      </c>
      <c r="BD297" s="0" t="str">
        <f aca="false">IFERROR(INDEX($A$1:$A$5,MATCH(6,$AS297:$AW297,0)),IF(6=MAX($AS297:$AW297)+1,"取消",""))</f>
        <v/>
      </c>
      <c r="FW297" s="0" t="str">
        <f aca="false">IF(AND(单元查询!$D$3&lt;&gt;"",IF(单元查询!$B$3="公区维修",公区维修!$E297&lt;&gt;"",入户维修!$E297&lt;&gt;""),IF(单元查询!$B$3="公区维修",公区维修!$C297,入户维修!$C297)=单元查询!$D$3,OR(单元查询!$F$3="",IF(单元查询!$B$3="公区维修",公区维修!$D297,入户维修!$D297)&amp;""=(单元查询!$F$3)&amp;"")),MAX($FW$4:$FW296)+1,"")</f>
        <v/>
      </c>
    </row>
    <row r="298" customFormat="false" ht="15" hidden="false" customHeight="true" outlineLevel="0" collapsed="false">
      <c r="F298" s="0" t="n">
        <f aca="false">IF(OR($A$1=入户维修!$F298,$BN$1=1),0,1-SUMPRODUCT(--(($A$1=入户维修!$F298)+$BN$1&gt;0)))</f>
        <v>0</v>
      </c>
      <c r="G298" s="0" t="n">
        <f aca="false">IF(OR($A$2=入户维修!$F298,$BN$2=1),0,2-SUMPRODUCT(--(($A$1:$A$2=入户维修!$F298)+$BN$1:$BN$2&gt;0)))</f>
        <v>1</v>
      </c>
      <c r="H298" s="0" t="n">
        <f aca="false">IF(OR($A$3=入户维修!$F298,$BN$3=1),0,3-SUMPRODUCT(--(($A$1:$A$3=入户维修!$F298)+$BN$1:$BN$3&gt;0)))</f>
        <v>2</v>
      </c>
      <c r="I298" s="0" t="n">
        <f aca="false">IF(OR($A$4=入户维修!$F298,$BN$4=1),0,4-SUMPRODUCT(--(($A$1:$A$4=入户维修!$F298)+$BN$1:$BN$4&gt;0)))</f>
        <v>3</v>
      </c>
      <c r="J298" s="0" t="n">
        <f aca="false">IF(OR($A$5=入户维修!$F298,$BN$5=1),0,5-SUMPRODUCT(--(($A$1:$A$5=入户维修!$F298)+$BN$1:$BN$5&gt;0)))</f>
        <v>4</v>
      </c>
      <c r="L298" s="0" t="str">
        <f aca="false">IFERROR(INDEX($A$1:$A$5,MATCH(1,$F298:$J298,0)),IF(1=MAX($F298:$J298)+1,"取消",""))</f>
        <v>李师傅</v>
      </c>
      <c r="M298" s="0" t="str">
        <f aca="false">IFERROR(INDEX($A$1:$A$5,MATCH(2,$F298:$J298,0)),IF(2=MAX($F298:$J298)+1,"取消",""))</f>
        <v>王师傅</v>
      </c>
      <c r="N298" s="0" t="str">
        <f aca="false">IFERROR(INDEX($A$1:$A$5,MATCH(3,$F298:$J298,0)),IF(3=MAX($F298:$J298)+1,"取消",""))</f>
        <v>陈师傅</v>
      </c>
      <c r="O298" s="0" t="str">
        <f aca="false">IFERROR(INDEX($A$1:$A$5,MATCH(4,$F298:$J298,0)),IF(4=MAX($F298:$J298)+1,"取消",""))</f>
        <v>刘师傅</v>
      </c>
      <c r="P298" s="0" t="str">
        <f aca="false">IFERROR(INDEX($A$1:$A$5,MATCH(5,$F298:$J298,0)),IF(5=MAX($F298:$J298)+1,"取消",""))</f>
        <v>取消</v>
      </c>
      <c r="Q298" s="0" t="str">
        <f aca="false">IFERROR(INDEX($A$1:$A$5,MATCH(6,$F298:$J298,0)),IF(6=MAX($F298:$J298)+1,"取消",""))</f>
        <v/>
      </c>
      <c r="S298" s="0" t="n">
        <f aca="false">IF(OR($A$1=入户维修!$F298,$A$1=入户维修!$G298,$BN$1=1),0,1-SUMPRODUCT(--(($A$1=入户维修!$F298)+($A$1=入户维修!$G298)+$BN$1&gt;0)))</f>
        <v>0</v>
      </c>
      <c r="T298" s="0" t="n">
        <f aca="false">IF(OR($A$2=入户维修!$F298,$A$2=入户维修!$G298,$BN$2=1),0,2-SUMPRODUCT(--(($A$1:$A$2=入户维修!$F298)+($A$1:$A$2=入户维修!$G298)+$BN$1:$BN$2&gt;0)))</f>
        <v>1</v>
      </c>
      <c r="U298" s="0" t="n">
        <f aca="false">IF(OR($A$3=入户维修!$F298,$A$3=入户维修!$G298,$BN$3=1),0,3-SUMPRODUCT(--(($A$1:$A$3=入户维修!$F298)+($A$1:$A$3=入户维修!$G298)+$BN$1:$BN$3&gt;0)))</f>
        <v>2</v>
      </c>
      <c r="V298" s="0" t="n">
        <f aca="false">IF(OR($A$4=入户维修!$F298,$A$4=入户维修!$G298,$BN$4=1),0,4-SUMPRODUCT(--(($A$1:$A$4=入户维修!$F298)+($A$1:$A$4=入户维修!$G298)+$BN$1:$BN$4&gt;0)))</f>
        <v>3</v>
      </c>
      <c r="W298" s="0" t="n">
        <f aca="false">IF(OR($A$5=入户维修!$F298,$A$5=入户维修!$G298,$BN$5=1),0,5-SUMPRODUCT(--(($A$1:$A$5=入户维修!$F298)+($A$1:$A$5=入户维修!$G298)+$BN$1:$BN$5&gt;0)))</f>
        <v>4</v>
      </c>
      <c r="Y298" s="0" t="str">
        <f aca="false">IFERROR(INDEX($A$1:$A$5,MATCH(1,$S298:$W298,0)),IF(1=MAX($S298:$W298)+1,"取消",""))</f>
        <v>李师傅</v>
      </c>
      <c r="Z298" s="0" t="str">
        <f aca="false">IFERROR(INDEX($A$1:$A$5,MATCH(2,$S298:$W298,0)),IF(2=MAX($S298:$W298)+1,"取消",""))</f>
        <v>王师傅</v>
      </c>
      <c r="AA298" s="0" t="str">
        <f aca="false">IFERROR(INDEX($A$1:$A$5,MATCH(3,$S298:$W298,0)),IF(3=MAX($S298:$W298)+1,"取消",""))</f>
        <v>陈师傅</v>
      </c>
      <c r="AB298" s="0" t="str">
        <f aca="false">IFERROR(INDEX($A$1:$A$5,MATCH(4,$S298:$W298,0)),IF(4=MAX($S298:$W298)+1,"取消",""))</f>
        <v>刘师傅</v>
      </c>
      <c r="AC298" s="0" t="str">
        <f aca="false">IFERROR(INDEX($A$1:$A$5,MATCH(5,$S298:$W298,0)),IF(5=MAX($S298:$W298)+1,"取消",""))</f>
        <v>取消</v>
      </c>
      <c r="AD298" s="0" t="str">
        <f aca="false">IFERROR(INDEX($A$1:$A$5,MATCH(6,$S298:$W298,0)),IF(6=MAX($S298:$W298)+1,"取消",""))</f>
        <v/>
      </c>
      <c r="AF298" s="0" t="n">
        <f aca="false">IF(OR($A$1=公区维修!$F298,$BN$1=1),0,1-SUMPRODUCT(--(($A$1=公区维修!$F298)+$BN$1&gt;0)))</f>
        <v>0</v>
      </c>
      <c r="AG298" s="0" t="n">
        <f aca="false">IF(OR($A$2=公区维修!$F298,$BN$2=1),0,2-SUMPRODUCT(--(($A$1:$A$2=公区维修!$F298)+$BN$1:$BN$2&gt;0)))</f>
        <v>1</v>
      </c>
      <c r="AH298" s="0" t="n">
        <f aca="false">IF(OR($A$3=公区维修!$F298,$BN$3=1),0,3-SUMPRODUCT(--(($A$1:$A$3=公区维修!$F298)+$BN$1:$BN$3&gt;0)))</f>
        <v>2</v>
      </c>
      <c r="AI298" s="0" t="n">
        <f aca="false">IF(OR($A$4=公区维修!$F298,$BN$4=1),0,4-SUMPRODUCT(--(($A$1:$A$4=公区维修!$F298)+$BN$1:$BN$4&gt;0)))</f>
        <v>3</v>
      </c>
      <c r="AJ298" s="0" t="n">
        <f aca="false">IF(OR($A$5=公区维修!$F298,$BN$5=1),0,5-SUMPRODUCT(--(($A$1:$A$5=公区维修!$F298)+$BN$1:$BN$5&gt;0)))</f>
        <v>4</v>
      </c>
      <c r="AL298" s="0" t="str">
        <f aca="false">IFERROR(INDEX($A$1:$A$5,MATCH(1,$AF298:$AJ298,0)),IF(1=MAX($AF298:$AJ298)+1,"取消",""))</f>
        <v>李师傅</v>
      </c>
      <c r="AM298" s="0" t="str">
        <f aca="false">IFERROR(INDEX($A$1:$A$5,MATCH(2,$AF298:$AJ298,0)),IF(2=MAX($AF298:$AJ298)+1,"取消",""))</f>
        <v>王师傅</v>
      </c>
      <c r="AN298" s="0" t="str">
        <f aca="false">IFERROR(INDEX($A$1:$A$5,MATCH(3,$AF298:$AJ298,0)),IF(3=MAX($AF298:$AJ298)+1,"取消",""))</f>
        <v>陈师傅</v>
      </c>
      <c r="AO298" s="0" t="str">
        <f aca="false">IFERROR(INDEX($A$1:$A$5,MATCH(4,$AF298:$AJ298,0)),IF(4=MAX($AF298:$AJ298)+1,"取消",""))</f>
        <v>刘师傅</v>
      </c>
      <c r="AP298" s="0" t="str">
        <f aca="false">IFERROR(INDEX($A$1:$A$5,MATCH(5,$AF298:$AJ298,0)),IF(5=MAX($AF298:$AJ298)+1,"取消",""))</f>
        <v>取消</v>
      </c>
      <c r="AQ298" s="0" t="str">
        <f aca="false">IFERROR(INDEX($A$1:$A$5,MATCH(6,$AF298:$AJ298,0)),IF(6=MAX($AF298:$AJ298)+1,"取消",""))</f>
        <v/>
      </c>
      <c r="AS298" s="0" t="n">
        <f aca="false">IF(OR($A$1=公区维修!$F298,$A$1=公区维修!$G298,$BN$1=1),0,1-SUMPRODUCT(--(($A$1=公区维修!$F298)+($A$1=公区维修!$G298)+$BN$1&gt;0)))</f>
        <v>0</v>
      </c>
      <c r="AT298" s="0" t="n">
        <f aca="false">IF(OR($A$2=公区维修!$F298,$A$2=公区维修!$G298,$BN$2=1),0,2-SUMPRODUCT(--(($A$1:$A$2=公区维修!$F298)+($A$1:$A$2=公区维修!$G298)+$BN$1:$BN$2&gt;0)))</f>
        <v>1</v>
      </c>
      <c r="AU298" s="0" t="n">
        <f aca="false">IF(OR($A$3=公区维修!$F298,$A$3=公区维修!$G298,$BN$3=1),0,3-SUMPRODUCT(--(($A$1:$A$3=公区维修!$F298)+($A$1:$A$3=公区维修!$G298)+$BN$1:$BN$3&gt;0)))</f>
        <v>2</v>
      </c>
      <c r="AV298" s="0" t="n">
        <f aca="false">IF(OR($A$4=公区维修!$F298,$A$4=公区维修!$G298,$BN$4=1),0,4-SUMPRODUCT(--(($A$1:$A$4=公区维修!$F298)+($A$1:$A$4=公区维修!$G298)+$BN$1:$BN$4&gt;0)))</f>
        <v>3</v>
      </c>
      <c r="AW298" s="0" t="n">
        <f aca="false">IF(OR($A$5=公区维修!$F298,$A$5=公区维修!$G298,$BN$5=1),0,5-SUMPRODUCT(--(($A$1:$A$5=公区维修!$F298)+($A$1:$A$5=公区维修!$G298)+$BN$1:$BN$5&gt;0)))</f>
        <v>4</v>
      </c>
      <c r="AY298" s="0" t="str">
        <f aca="false">IFERROR(INDEX($A$1:$A$5,MATCH(1,$AS298:$AW298,0)),IF(1=MAX($AS298:$AW298)+1,"取消",""))</f>
        <v>李师傅</v>
      </c>
      <c r="AZ298" s="0" t="str">
        <f aca="false">IFERROR(INDEX($A$1:$A$5,MATCH(2,$AS298:$AW298,0)),IF(2=MAX($AS298:$AW298)+1,"取消",""))</f>
        <v>王师傅</v>
      </c>
      <c r="BA298" s="0" t="str">
        <f aca="false">IFERROR(INDEX($A$1:$A$5,MATCH(3,$AS298:$AW298,0)),IF(3=MAX($AS298:$AW298)+1,"取消",""))</f>
        <v>陈师傅</v>
      </c>
      <c r="BB298" s="0" t="str">
        <f aca="false">IFERROR(INDEX($A$1:$A$5,MATCH(4,$AS298:$AW298,0)),IF(4=MAX($AS298:$AW298)+1,"取消",""))</f>
        <v>刘师傅</v>
      </c>
      <c r="BC298" s="0" t="str">
        <f aca="false">IFERROR(INDEX($A$1:$A$5,MATCH(5,$AS298:$AW298,0)),IF(5=MAX($AS298:$AW298)+1,"取消",""))</f>
        <v>取消</v>
      </c>
      <c r="BD298" s="0" t="str">
        <f aca="false">IFERROR(INDEX($A$1:$A$5,MATCH(6,$AS298:$AW298,0)),IF(6=MAX($AS298:$AW298)+1,"取消",""))</f>
        <v/>
      </c>
      <c r="FW298" s="0" t="str">
        <f aca="false">IF(AND(单元查询!$D$3&lt;&gt;"",IF(单元查询!$B$3="公区维修",公区维修!$E298&lt;&gt;"",入户维修!$E298&lt;&gt;""),IF(单元查询!$B$3="公区维修",公区维修!$C298,入户维修!$C298)=单元查询!$D$3,OR(单元查询!$F$3="",IF(单元查询!$B$3="公区维修",公区维修!$D298,入户维修!$D298)&amp;""=(单元查询!$F$3)&amp;"")),MAX($FW$4:$FW297)+1,"")</f>
        <v/>
      </c>
    </row>
    <row r="299" customFormat="false" ht="15" hidden="false" customHeight="true" outlineLevel="0" collapsed="false">
      <c r="F299" s="0" t="n">
        <f aca="false">IF(OR($A$1=入户维修!$F299,$BN$1=1),0,1-SUMPRODUCT(--(($A$1=入户维修!$F299)+$BN$1&gt;0)))</f>
        <v>0</v>
      </c>
      <c r="G299" s="0" t="n">
        <f aca="false">IF(OR($A$2=入户维修!$F299,$BN$2=1),0,2-SUMPRODUCT(--(($A$1:$A$2=入户维修!$F299)+$BN$1:$BN$2&gt;0)))</f>
        <v>1</v>
      </c>
      <c r="H299" s="0" t="n">
        <f aca="false">IF(OR($A$3=入户维修!$F299,$BN$3=1),0,3-SUMPRODUCT(--(($A$1:$A$3=入户维修!$F299)+$BN$1:$BN$3&gt;0)))</f>
        <v>2</v>
      </c>
      <c r="I299" s="0" t="n">
        <f aca="false">IF(OR($A$4=入户维修!$F299,$BN$4=1),0,4-SUMPRODUCT(--(($A$1:$A$4=入户维修!$F299)+$BN$1:$BN$4&gt;0)))</f>
        <v>3</v>
      </c>
      <c r="J299" s="0" t="n">
        <f aca="false">IF(OR($A$5=入户维修!$F299,$BN$5=1),0,5-SUMPRODUCT(--(($A$1:$A$5=入户维修!$F299)+$BN$1:$BN$5&gt;0)))</f>
        <v>4</v>
      </c>
      <c r="L299" s="0" t="str">
        <f aca="false">IFERROR(INDEX($A$1:$A$5,MATCH(1,$F299:$J299,0)),IF(1=MAX($F299:$J299)+1,"取消",""))</f>
        <v>李师傅</v>
      </c>
      <c r="M299" s="0" t="str">
        <f aca="false">IFERROR(INDEX($A$1:$A$5,MATCH(2,$F299:$J299,0)),IF(2=MAX($F299:$J299)+1,"取消",""))</f>
        <v>王师傅</v>
      </c>
      <c r="N299" s="0" t="str">
        <f aca="false">IFERROR(INDEX($A$1:$A$5,MATCH(3,$F299:$J299,0)),IF(3=MAX($F299:$J299)+1,"取消",""))</f>
        <v>陈师傅</v>
      </c>
      <c r="O299" s="0" t="str">
        <f aca="false">IFERROR(INDEX($A$1:$A$5,MATCH(4,$F299:$J299,0)),IF(4=MAX($F299:$J299)+1,"取消",""))</f>
        <v>刘师傅</v>
      </c>
      <c r="P299" s="0" t="str">
        <f aca="false">IFERROR(INDEX($A$1:$A$5,MATCH(5,$F299:$J299,0)),IF(5=MAX($F299:$J299)+1,"取消",""))</f>
        <v>取消</v>
      </c>
      <c r="Q299" s="0" t="str">
        <f aca="false">IFERROR(INDEX($A$1:$A$5,MATCH(6,$F299:$J299,0)),IF(6=MAX($F299:$J299)+1,"取消",""))</f>
        <v/>
      </c>
      <c r="S299" s="0" t="n">
        <f aca="false">IF(OR($A$1=入户维修!$F299,$A$1=入户维修!$G299,$BN$1=1),0,1-SUMPRODUCT(--(($A$1=入户维修!$F299)+($A$1=入户维修!$G299)+$BN$1&gt;0)))</f>
        <v>0</v>
      </c>
      <c r="T299" s="0" t="n">
        <f aca="false">IF(OR($A$2=入户维修!$F299,$A$2=入户维修!$G299,$BN$2=1),0,2-SUMPRODUCT(--(($A$1:$A$2=入户维修!$F299)+($A$1:$A$2=入户维修!$G299)+$BN$1:$BN$2&gt;0)))</f>
        <v>1</v>
      </c>
      <c r="U299" s="0" t="n">
        <f aca="false">IF(OR($A$3=入户维修!$F299,$A$3=入户维修!$G299,$BN$3=1),0,3-SUMPRODUCT(--(($A$1:$A$3=入户维修!$F299)+($A$1:$A$3=入户维修!$G299)+$BN$1:$BN$3&gt;0)))</f>
        <v>2</v>
      </c>
      <c r="V299" s="0" t="n">
        <f aca="false">IF(OR($A$4=入户维修!$F299,$A$4=入户维修!$G299,$BN$4=1),0,4-SUMPRODUCT(--(($A$1:$A$4=入户维修!$F299)+($A$1:$A$4=入户维修!$G299)+$BN$1:$BN$4&gt;0)))</f>
        <v>3</v>
      </c>
      <c r="W299" s="0" t="n">
        <f aca="false">IF(OR($A$5=入户维修!$F299,$A$5=入户维修!$G299,$BN$5=1),0,5-SUMPRODUCT(--(($A$1:$A$5=入户维修!$F299)+($A$1:$A$5=入户维修!$G299)+$BN$1:$BN$5&gt;0)))</f>
        <v>4</v>
      </c>
      <c r="Y299" s="0" t="str">
        <f aca="false">IFERROR(INDEX($A$1:$A$5,MATCH(1,$S299:$W299,0)),IF(1=MAX($S299:$W299)+1,"取消",""))</f>
        <v>李师傅</v>
      </c>
      <c r="Z299" s="0" t="str">
        <f aca="false">IFERROR(INDEX($A$1:$A$5,MATCH(2,$S299:$W299,0)),IF(2=MAX($S299:$W299)+1,"取消",""))</f>
        <v>王师傅</v>
      </c>
      <c r="AA299" s="0" t="str">
        <f aca="false">IFERROR(INDEX($A$1:$A$5,MATCH(3,$S299:$W299,0)),IF(3=MAX($S299:$W299)+1,"取消",""))</f>
        <v>陈师傅</v>
      </c>
      <c r="AB299" s="0" t="str">
        <f aca="false">IFERROR(INDEX($A$1:$A$5,MATCH(4,$S299:$W299,0)),IF(4=MAX($S299:$W299)+1,"取消",""))</f>
        <v>刘师傅</v>
      </c>
      <c r="AC299" s="0" t="str">
        <f aca="false">IFERROR(INDEX($A$1:$A$5,MATCH(5,$S299:$W299,0)),IF(5=MAX($S299:$W299)+1,"取消",""))</f>
        <v>取消</v>
      </c>
      <c r="AD299" s="0" t="str">
        <f aca="false">IFERROR(INDEX($A$1:$A$5,MATCH(6,$S299:$W299,0)),IF(6=MAX($S299:$W299)+1,"取消",""))</f>
        <v/>
      </c>
      <c r="AF299" s="0" t="n">
        <f aca="false">IF(OR($A$1=公区维修!$F299,$BN$1=1),0,1-SUMPRODUCT(--(($A$1=公区维修!$F299)+$BN$1&gt;0)))</f>
        <v>0</v>
      </c>
      <c r="AG299" s="0" t="n">
        <f aca="false">IF(OR($A$2=公区维修!$F299,$BN$2=1),0,2-SUMPRODUCT(--(($A$1:$A$2=公区维修!$F299)+$BN$1:$BN$2&gt;0)))</f>
        <v>1</v>
      </c>
      <c r="AH299" s="0" t="n">
        <f aca="false">IF(OR($A$3=公区维修!$F299,$BN$3=1),0,3-SUMPRODUCT(--(($A$1:$A$3=公区维修!$F299)+$BN$1:$BN$3&gt;0)))</f>
        <v>2</v>
      </c>
      <c r="AI299" s="0" t="n">
        <f aca="false">IF(OR($A$4=公区维修!$F299,$BN$4=1),0,4-SUMPRODUCT(--(($A$1:$A$4=公区维修!$F299)+$BN$1:$BN$4&gt;0)))</f>
        <v>3</v>
      </c>
      <c r="AJ299" s="0" t="n">
        <f aca="false">IF(OR($A$5=公区维修!$F299,$BN$5=1),0,5-SUMPRODUCT(--(($A$1:$A$5=公区维修!$F299)+$BN$1:$BN$5&gt;0)))</f>
        <v>4</v>
      </c>
      <c r="AL299" s="0" t="str">
        <f aca="false">IFERROR(INDEX($A$1:$A$5,MATCH(1,$AF299:$AJ299,0)),IF(1=MAX($AF299:$AJ299)+1,"取消",""))</f>
        <v>李师傅</v>
      </c>
      <c r="AM299" s="0" t="str">
        <f aca="false">IFERROR(INDEX($A$1:$A$5,MATCH(2,$AF299:$AJ299,0)),IF(2=MAX($AF299:$AJ299)+1,"取消",""))</f>
        <v>王师傅</v>
      </c>
      <c r="AN299" s="0" t="str">
        <f aca="false">IFERROR(INDEX($A$1:$A$5,MATCH(3,$AF299:$AJ299,0)),IF(3=MAX($AF299:$AJ299)+1,"取消",""))</f>
        <v>陈师傅</v>
      </c>
      <c r="AO299" s="0" t="str">
        <f aca="false">IFERROR(INDEX($A$1:$A$5,MATCH(4,$AF299:$AJ299,0)),IF(4=MAX($AF299:$AJ299)+1,"取消",""))</f>
        <v>刘师傅</v>
      </c>
      <c r="AP299" s="0" t="str">
        <f aca="false">IFERROR(INDEX($A$1:$A$5,MATCH(5,$AF299:$AJ299,0)),IF(5=MAX($AF299:$AJ299)+1,"取消",""))</f>
        <v>取消</v>
      </c>
      <c r="AQ299" s="0" t="str">
        <f aca="false">IFERROR(INDEX($A$1:$A$5,MATCH(6,$AF299:$AJ299,0)),IF(6=MAX($AF299:$AJ299)+1,"取消",""))</f>
        <v/>
      </c>
      <c r="AS299" s="0" t="n">
        <f aca="false">IF(OR($A$1=公区维修!$F299,$A$1=公区维修!$G299,$BN$1=1),0,1-SUMPRODUCT(--(($A$1=公区维修!$F299)+($A$1=公区维修!$G299)+$BN$1&gt;0)))</f>
        <v>0</v>
      </c>
      <c r="AT299" s="0" t="n">
        <f aca="false">IF(OR($A$2=公区维修!$F299,$A$2=公区维修!$G299,$BN$2=1),0,2-SUMPRODUCT(--(($A$1:$A$2=公区维修!$F299)+($A$1:$A$2=公区维修!$G299)+$BN$1:$BN$2&gt;0)))</f>
        <v>1</v>
      </c>
      <c r="AU299" s="0" t="n">
        <f aca="false">IF(OR($A$3=公区维修!$F299,$A$3=公区维修!$G299,$BN$3=1),0,3-SUMPRODUCT(--(($A$1:$A$3=公区维修!$F299)+($A$1:$A$3=公区维修!$G299)+$BN$1:$BN$3&gt;0)))</f>
        <v>2</v>
      </c>
      <c r="AV299" s="0" t="n">
        <f aca="false">IF(OR($A$4=公区维修!$F299,$A$4=公区维修!$G299,$BN$4=1),0,4-SUMPRODUCT(--(($A$1:$A$4=公区维修!$F299)+($A$1:$A$4=公区维修!$G299)+$BN$1:$BN$4&gt;0)))</f>
        <v>3</v>
      </c>
      <c r="AW299" s="0" t="n">
        <f aca="false">IF(OR($A$5=公区维修!$F299,$A$5=公区维修!$G299,$BN$5=1),0,5-SUMPRODUCT(--(($A$1:$A$5=公区维修!$F299)+($A$1:$A$5=公区维修!$G299)+$BN$1:$BN$5&gt;0)))</f>
        <v>4</v>
      </c>
      <c r="AY299" s="0" t="str">
        <f aca="false">IFERROR(INDEX($A$1:$A$5,MATCH(1,$AS299:$AW299,0)),IF(1=MAX($AS299:$AW299)+1,"取消",""))</f>
        <v>李师傅</v>
      </c>
      <c r="AZ299" s="0" t="str">
        <f aca="false">IFERROR(INDEX($A$1:$A$5,MATCH(2,$AS299:$AW299,0)),IF(2=MAX($AS299:$AW299)+1,"取消",""))</f>
        <v>王师傅</v>
      </c>
      <c r="BA299" s="0" t="str">
        <f aca="false">IFERROR(INDEX($A$1:$A$5,MATCH(3,$AS299:$AW299,0)),IF(3=MAX($AS299:$AW299)+1,"取消",""))</f>
        <v>陈师傅</v>
      </c>
      <c r="BB299" s="0" t="str">
        <f aca="false">IFERROR(INDEX($A$1:$A$5,MATCH(4,$AS299:$AW299,0)),IF(4=MAX($AS299:$AW299)+1,"取消",""))</f>
        <v>刘师傅</v>
      </c>
      <c r="BC299" s="0" t="str">
        <f aca="false">IFERROR(INDEX($A$1:$A$5,MATCH(5,$AS299:$AW299,0)),IF(5=MAX($AS299:$AW299)+1,"取消",""))</f>
        <v>取消</v>
      </c>
      <c r="BD299" s="0" t="str">
        <f aca="false">IFERROR(INDEX($A$1:$A$5,MATCH(6,$AS299:$AW299,0)),IF(6=MAX($AS299:$AW299)+1,"取消",""))</f>
        <v/>
      </c>
      <c r="FW299" s="0" t="str">
        <f aca="false">IF(AND(单元查询!$D$3&lt;&gt;"",IF(单元查询!$B$3="公区维修",公区维修!$E299&lt;&gt;"",入户维修!$E299&lt;&gt;""),IF(单元查询!$B$3="公区维修",公区维修!$C299,入户维修!$C299)=单元查询!$D$3,OR(单元查询!$F$3="",IF(单元查询!$B$3="公区维修",公区维修!$D299,入户维修!$D299)&amp;""=(单元查询!$F$3)&amp;"")),MAX($FW$4:$FW298)+1,"")</f>
        <v/>
      </c>
    </row>
    <row r="300" customFormat="false" ht="15" hidden="false" customHeight="true" outlineLevel="0" collapsed="false">
      <c r="F300" s="0" t="n">
        <f aca="false">IF(OR($A$1=入户维修!$F300,$BN$1=1),0,1-SUMPRODUCT(--(($A$1=入户维修!$F300)+$BN$1&gt;0)))</f>
        <v>0</v>
      </c>
      <c r="G300" s="0" t="n">
        <f aca="false">IF(OR($A$2=入户维修!$F300,$BN$2=1),0,2-SUMPRODUCT(--(($A$1:$A$2=入户维修!$F300)+$BN$1:$BN$2&gt;0)))</f>
        <v>1</v>
      </c>
      <c r="H300" s="0" t="n">
        <f aca="false">IF(OR($A$3=入户维修!$F300,$BN$3=1),0,3-SUMPRODUCT(--(($A$1:$A$3=入户维修!$F300)+$BN$1:$BN$3&gt;0)))</f>
        <v>2</v>
      </c>
      <c r="I300" s="0" t="n">
        <f aca="false">IF(OR($A$4=入户维修!$F300,$BN$4=1),0,4-SUMPRODUCT(--(($A$1:$A$4=入户维修!$F300)+$BN$1:$BN$4&gt;0)))</f>
        <v>3</v>
      </c>
      <c r="J300" s="0" t="n">
        <f aca="false">IF(OR($A$5=入户维修!$F300,$BN$5=1),0,5-SUMPRODUCT(--(($A$1:$A$5=入户维修!$F300)+$BN$1:$BN$5&gt;0)))</f>
        <v>4</v>
      </c>
      <c r="L300" s="0" t="str">
        <f aca="false">IFERROR(INDEX($A$1:$A$5,MATCH(1,$F300:$J300,0)),IF(1=MAX($F300:$J300)+1,"取消",""))</f>
        <v>李师傅</v>
      </c>
      <c r="M300" s="0" t="str">
        <f aca="false">IFERROR(INDEX($A$1:$A$5,MATCH(2,$F300:$J300,0)),IF(2=MAX($F300:$J300)+1,"取消",""))</f>
        <v>王师傅</v>
      </c>
      <c r="N300" s="0" t="str">
        <f aca="false">IFERROR(INDEX($A$1:$A$5,MATCH(3,$F300:$J300,0)),IF(3=MAX($F300:$J300)+1,"取消",""))</f>
        <v>陈师傅</v>
      </c>
      <c r="O300" s="0" t="str">
        <f aca="false">IFERROR(INDEX($A$1:$A$5,MATCH(4,$F300:$J300,0)),IF(4=MAX($F300:$J300)+1,"取消",""))</f>
        <v>刘师傅</v>
      </c>
      <c r="P300" s="0" t="str">
        <f aca="false">IFERROR(INDEX($A$1:$A$5,MATCH(5,$F300:$J300,0)),IF(5=MAX($F300:$J300)+1,"取消",""))</f>
        <v>取消</v>
      </c>
      <c r="Q300" s="0" t="str">
        <f aca="false">IFERROR(INDEX($A$1:$A$5,MATCH(6,$F300:$J300,0)),IF(6=MAX($F300:$J300)+1,"取消",""))</f>
        <v/>
      </c>
      <c r="S300" s="0" t="n">
        <f aca="false">IF(OR($A$1=入户维修!$F300,$A$1=入户维修!$G300,$BN$1=1),0,1-SUMPRODUCT(--(($A$1=入户维修!$F300)+($A$1=入户维修!$G300)+$BN$1&gt;0)))</f>
        <v>0</v>
      </c>
      <c r="T300" s="0" t="n">
        <f aca="false">IF(OR($A$2=入户维修!$F300,$A$2=入户维修!$G300,$BN$2=1),0,2-SUMPRODUCT(--(($A$1:$A$2=入户维修!$F300)+($A$1:$A$2=入户维修!$G300)+$BN$1:$BN$2&gt;0)))</f>
        <v>1</v>
      </c>
      <c r="U300" s="0" t="n">
        <f aca="false">IF(OR($A$3=入户维修!$F300,$A$3=入户维修!$G300,$BN$3=1),0,3-SUMPRODUCT(--(($A$1:$A$3=入户维修!$F300)+($A$1:$A$3=入户维修!$G300)+$BN$1:$BN$3&gt;0)))</f>
        <v>2</v>
      </c>
      <c r="V300" s="0" t="n">
        <f aca="false">IF(OR($A$4=入户维修!$F300,$A$4=入户维修!$G300,$BN$4=1),0,4-SUMPRODUCT(--(($A$1:$A$4=入户维修!$F300)+($A$1:$A$4=入户维修!$G300)+$BN$1:$BN$4&gt;0)))</f>
        <v>3</v>
      </c>
      <c r="W300" s="0" t="n">
        <f aca="false">IF(OR($A$5=入户维修!$F300,$A$5=入户维修!$G300,$BN$5=1),0,5-SUMPRODUCT(--(($A$1:$A$5=入户维修!$F300)+($A$1:$A$5=入户维修!$G300)+$BN$1:$BN$5&gt;0)))</f>
        <v>4</v>
      </c>
      <c r="Y300" s="0" t="str">
        <f aca="false">IFERROR(INDEX($A$1:$A$5,MATCH(1,$S300:$W300,0)),IF(1=MAX($S300:$W300)+1,"取消",""))</f>
        <v>李师傅</v>
      </c>
      <c r="Z300" s="0" t="str">
        <f aca="false">IFERROR(INDEX($A$1:$A$5,MATCH(2,$S300:$W300,0)),IF(2=MAX($S300:$W300)+1,"取消",""))</f>
        <v>王师傅</v>
      </c>
      <c r="AA300" s="0" t="str">
        <f aca="false">IFERROR(INDEX($A$1:$A$5,MATCH(3,$S300:$W300,0)),IF(3=MAX($S300:$W300)+1,"取消",""))</f>
        <v>陈师傅</v>
      </c>
      <c r="AB300" s="0" t="str">
        <f aca="false">IFERROR(INDEX($A$1:$A$5,MATCH(4,$S300:$W300,0)),IF(4=MAX($S300:$W300)+1,"取消",""))</f>
        <v>刘师傅</v>
      </c>
      <c r="AC300" s="0" t="str">
        <f aca="false">IFERROR(INDEX($A$1:$A$5,MATCH(5,$S300:$W300,0)),IF(5=MAX($S300:$W300)+1,"取消",""))</f>
        <v>取消</v>
      </c>
      <c r="AD300" s="0" t="str">
        <f aca="false">IFERROR(INDEX($A$1:$A$5,MATCH(6,$S300:$W300,0)),IF(6=MAX($S300:$W300)+1,"取消",""))</f>
        <v/>
      </c>
      <c r="AF300" s="0" t="n">
        <f aca="false">IF(OR($A$1=公区维修!$F300,$BN$1=1),0,1-SUMPRODUCT(--(($A$1=公区维修!$F300)+$BN$1&gt;0)))</f>
        <v>0</v>
      </c>
      <c r="AG300" s="0" t="n">
        <f aca="false">IF(OR($A$2=公区维修!$F300,$BN$2=1),0,2-SUMPRODUCT(--(($A$1:$A$2=公区维修!$F300)+$BN$1:$BN$2&gt;0)))</f>
        <v>1</v>
      </c>
      <c r="AH300" s="0" t="n">
        <f aca="false">IF(OR($A$3=公区维修!$F300,$BN$3=1),0,3-SUMPRODUCT(--(($A$1:$A$3=公区维修!$F300)+$BN$1:$BN$3&gt;0)))</f>
        <v>2</v>
      </c>
      <c r="AI300" s="0" t="n">
        <f aca="false">IF(OR($A$4=公区维修!$F300,$BN$4=1),0,4-SUMPRODUCT(--(($A$1:$A$4=公区维修!$F300)+$BN$1:$BN$4&gt;0)))</f>
        <v>3</v>
      </c>
      <c r="AJ300" s="0" t="n">
        <f aca="false">IF(OR($A$5=公区维修!$F300,$BN$5=1),0,5-SUMPRODUCT(--(($A$1:$A$5=公区维修!$F300)+$BN$1:$BN$5&gt;0)))</f>
        <v>4</v>
      </c>
      <c r="AL300" s="0" t="str">
        <f aca="false">IFERROR(INDEX($A$1:$A$5,MATCH(1,$AF300:$AJ300,0)),IF(1=MAX($AF300:$AJ300)+1,"取消",""))</f>
        <v>李师傅</v>
      </c>
      <c r="AM300" s="0" t="str">
        <f aca="false">IFERROR(INDEX($A$1:$A$5,MATCH(2,$AF300:$AJ300,0)),IF(2=MAX($AF300:$AJ300)+1,"取消",""))</f>
        <v>王师傅</v>
      </c>
      <c r="AN300" s="0" t="str">
        <f aca="false">IFERROR(INDEX($A$1:$A$5,MATCH(3,$AF300:$AJ300,0)),IF(3=MAX($AF300:$AJ300)+1,"取消",""))</f>
        <v>陈师傅</v>
      </c>
      <c r="AO300" s="0" t="str">
        <f aca="false">IFERROR(INDEX($A$1:$A$5,MATCH(4,$AF300:$AJ300,0)),IF(4=MAX($AF300:$AJ300)+1,"取消",""))</f>
        <v>刘师傅</v>
      </c>
      <c r="AP300" s="0" t="str">
        <f aca="false">IFERROR(INDEX($A$1:$A$5,MATCH(5,$AF300:$AJ300,0)),IF(5=MAX($AF300:$AJ300)+1,"取消",""))</f>
        <v>取消</v>
      </c>
      <c r="AQ300" s="0" t="str">
        <f aca="false">IFERROR(INDEX($A$1:$A$5,MATCH(6,$AF300:$AJ300,0)),IF(6=MAX($AF300:$AJ300)+1,"取消",""))</f>
        <v/>
      </c>
      <c r="AS300" s="0" t="n">
        <f aca="false">IF(OR($A$1=公区维修!$F300,$A$1=公区维修!$G300,$BN$1=1),0,1-SUMPRODUCT(--(($A$1=公区维修!$F300)+($A$1=公区维修!$G300)+$BN$1&gt;0)))</f>
        <v>0</v>
      </c>
      <c r="AT300" s="0" t="n">
        <f aca="false">IF(OR($A$2=公区维修!$F300,$A$2=公区维修!$G300,$BN$2=1),0,2-SUMPRODUCT(--(($A$1:$A$2=公区维修!$F300)+($A$1:$A$2=公区维修!$G300)+$BN$1:$BN$2&gt;0)))</f>
        <v>1</v>
      </c>
      <c r="AU300" s="0" t="n">
        <f aca="false">IF(OR($A$3=公区维修!$F300,$A$3=公区维修!$G300,$BN$3=1),0,3-SUMPRODUCT(--(($A$1:$A$3=公区维修!$F300)+($A$1:$A$3=公区维修!$G300)+$BN$1:$BN$3&gt;0)))</f>
        <v>2</v>
      </c>
      <c r="AV300" s="0" t="n">
        <f aca="false">IF(OR($A$4=公区维修!$F300,$A$4=公区维修!$G300,$BN$4=1),0,4-SUMPRODUCT(--(($A$1:$A$4=公区维修!$F300)+($A$1:$A$4=公区维修!$G300)+$BN$1:$BN$4&gt;0)))</f>
        <v>3</v>
      </c>
      <c r="AW300" s="0" t="n">
        <f aca="false">IF(OR($A$5=公区维修!$F300,$A$5=公区维修!$G300,$BN$5=1),0,5-SUMPRODUCT(--(($A$1:$A$5=公区维修!$F300)+($A$1:$A$5=公区维修!$G300)+$BN$1:$BN$5&gt;0)))</f>
        <v>4</v>
      </c>
      <c r="AY300" s="0" t="str">
        <f aca="false">IFERROR(INDEX($A$1:$A$5,MATCH(1,$AS300:$AW300,0)),IF(1=MAX($AS300:$AW300)+1,"取消",""))</f>
        <v>李师傅</v>
      </c>
      <c r="AZ300" s="0" t="str">
        <f aca="false">IFERROR(INDEX($A$1:$A$5,MATCH(2,$AS300:$AW300,0)),IF(2=MAX($AS300:$AW300)+1,"取消",""))</f>
        <v>王师傅</v>
      </c>
      <c r="BA300" s="0" t="str">
        <f aca="false">IFERROR(INDEX($A$1:$A$5,MATCH(3,$AS300:$AW300,0)),IF(3=MAX($AS300:$AW300)+1,"取消",""))</f>
        <v>陈师傅</v>
      </c>
      <c r="BB300" s="0" t="str">
        <f aca="false">IFERROR(INDEX($A$1:$A$5,MATCH(4,$AS300:$AW300,0)),IF(4=MAX($AS300:$AW300)+1,"取消",""))</f>
        <v>刘师傅</v>
      </c>
      <c r="BC300" s="0" t="str">
        <f aca="false">IFERROR(INDEX($A$1:$A$5,MATCH(5,$AS300:$AW300,0)),IF(5=MAX($AS300:$AW300)+1,"取消",""))</f>
        <v>取消</v>
      </c>
      <c r="BD300" s="0" t="str">
        <f aca="false">IFERROR(INDEX($A$1:$A$5,MATCH(6,$AS300:$AW300,0)),IF(6=MAX($AS300:$AW300)+1,"取消",""))</f>
        <v/>
      </c>
      <c r="FW300" s="0" t="str">
        <f aca="false">IF(AND(单元查询!$D$3&lt;&gt;"",IF(单元查询!$B$3="公区维修",公区维修!$E300&lt;&gt;"",入户维修!$E300&lt;&gt;""),IF(单元查询!$B$3="公区维修",公区维修!$C300,入户维修!$C300)=单元查询!$D$3,OR(单元查询!$F$3="",IF(单元查询!$B$3="公区维修",公区维修!$D300,入户维修!$D300)&amp;""=(单元查询!$F$3)&amp;"")),MAX($FW$4:$FW299)+1,"")</f>
        <v/>
      </c>
    </row>
    <row r="301" customFormat="false" ht="15" hidden="false" customHeight="true" outlineLevel="0" collapsed="false">
      <c r="F301" s="0" t="n">
        <f aca="false">IF(OR($A$1=入户维修!$F301,$BN$1=1),0,1-SUMPRODUCT(--(($A$1=入户维修!$F301)+$BN$1&gt;0)))</f>
        <v>0</v>
      </c>
      <c r="G301" s="0" t="n">
        <f aca="false">IF(OR($A$2=入户维修!$F301,$BN$2=1),0,2-SUMPRODUCT(--(($A$1:$A$2=入户维修!$F301)+$BN$1:$BN$2&gt;0)))</f>
        <v>1</v>
      </c>
      <c r="H301" s="0" t="n">
        <f aca="false">IF(OR($A$3=入户维修!$F301,$BN$3=1),0,3-SUMPRODUCT(--(($A$1:$A$3=入户维修!$F301)+$BN$1:$BN$3&gt;0)))</f>
        <v>2</v>
      </c>
      <c r="I301" s="0" t="n">
        <f aca="false">IF(OR($A$4=入户维修!$F301,$BN$4=1),0,4-SUMPRODUCT(--(($A$1:$A$4=入户维修!$F301)+$BN$1:$BN$4&gt;0)))</f>
        <v>3</v>
      </c>
      <c r="J301" s="0" t="n">
        <f aca="false">IF(OR($A$5=入户维修!$F301,$BN$5=1),0,5-SUMPRODUCT(--(($A$1:$A$5=入户维修!$F301)+$BN$1:$BN$5&gt;0)))</f>
        <v>4</v>
      </c>
      <c r="L301" s="0" t="str">
        <f aca="false">IFERROR(INDEX($A$1:$A$5,MATCH(1,$F301:$J301,0)),IF(1=MAX($F301:$J301)+1,"取消",""))</f>
        <v>李师傅</v>
      </c>
      <c r="M301" s="0" t="str">
        <f aca="false">IFERROR(INDEX($A$1:$A$5,MATCH(2,$F301:$J301,0)),IF(2=MAX($F301:$J301)+1,"取消",""))</f>
        <v>王师傅</v>
      </c>
      <c r="N301" s="0" t="str">
        <f aca="false">IFERROR(INDEX($A$1:$A$5,MATCH(3,$F301:$J301,0)),IF(3=MAX($F301:$J301)+1,"取消",""))</f>
        <v>陈师傅</v>
      </c>
      <c r="O301" s="0" t="str">
        <f aca="false">IFERROR(INDEX($A$1:$A$5,MATCH(4,$F301:$J301,0)),IF(4=MAX($F301:$J301)+1,"取消",""))</f>
        <v>刘师傅</v>
      </c>
      <c r="P301" s="0" t="str">
        <f aca="false">IFERROR(INDEX($A$1:$A$5,MATCH(5,$F301:$J301,0)),IF(5=MAX($F301:$J301)+1,"取消",""))</f>
        <v>取消</v>
      </c>
      <c r="Q301" s="0" t="str">
        <f aca="false">IFERROR(INDEX($A$1:$A$5,MATCH(6,$F301:$J301,0)),IF(6=MAX($F301:$J301)+1,"取消",""))</f>
        <v/>
      </c>
      <c r="S301" s="0" t="n">
        <f aca="false">IF(OR($A$1=入户维修!$F301,$A$1=入户维修!$G301,$BN$1=1),0,1-SUMPRODUCT(--(($A$1=入户维修!$F301)+($A$1=入户维修!$G301)+$BN$1&gt;0)))</f>
        <v>0</v>
      </c>
      <c r="T301" s="0" t="n">
        <f aca="false">IF(OR($A$2=入户维修!$F301,$A$2=入户维修!$G301,$BN$2=1),0,2-SUMPRODUCT(--(($A$1:$A$2=入户维修!$F301)+($A$1:$A$2=入户维修!$G301)+$BN$1:$BN$2&gt;0)))</f>
        <v>1</v>
      </c>
      <c r="U301" s="0" t="n">
        <f aca="false">IF(OR($A$3=入户维修!$F301,$A$3=入户维修!$G301,$BN$3=1),0,3-SUMPRODUCT(--(($A$1:$A$3=入户维修!$F301)+($A$1:$A$3=入户维修!$G301)+$BN$1:$BN$3&gt;0)))</f>
        <v>2</v>
      </c>
      <c r="V301" s="0" t="n">
        <f aca="false">IF(OR($A$4=入户维修!$F301,$A$4=入户维修!$G301,$BN$4=1),0,4-SUMPRODUCT(--(($A$1:$A$4=入户维修!$F301)+($A$1:$A$4=入户维修!$G301)+$BN$1:$BN$4&gt;0)))</f>
        <v>3</v>
      </c>
      <c r="W301" s="0" t="n">
        <f aca="false">IF(OR($A$5=入户维修!$F301,$A$5=入户维修!$G301,$BN$5=1),0,5-SUMPRODUCT(--(($A$1:$A$5=入户维修!$F301)+($A$1:$A$5=入户维修!$G301)+$BN$1:$BN$5&gt;0)))</f>
        <v>4</v>
      </c>
      <c r="Y301" s="0" t="str">
        <f aca="false">IFERROR(INDEX($A$1:$A$5,MATCH(1,$S301:$W301,0)),IF(1=MAX($S301:$W301)+1,"取消",""))</f>
        <v>李师傅</v>
      </c>
      <c r="Z301" s="0" t="str">
        <f aca="false">IFERROR(INDEX($A$1:$A$5,MATCH(2,$S301:$W301,0)),IF(2=MAX($S301:$W301)+1,"取消",""))</f>
        <v>王师傅</v>
      </c>
      <c r="AA301" s="0" t="str">
        <f aca="false">IFERROR(INDEX($A$1:$A$5,MATCH(3,$S301:$W301,0)),IF(3=MAX($S301:$W301)+1,"取消",""))</f>
        <v>陈师傅</v>
      </c>
      <c r="AB301" s="0" t="str">
        <f aca="false">IFERROR(INDEX($A$1:$A$5,MATCH(4,$S301:$W301,0)),IF(4=MAX($S301:$W301)+1,"取消",""))</f>
        <v>刘师傅</v>
      </c>
      <c r="AC301" s="0" t="str">
        <f aca="false">IFERROR(INDEX($A$1:$A$5,MATCH(5,$S301:$W301,0)),IF(5=MAX($S301:$W301)+1,"取消",""))</f>
        <v>取消</v>
      </c>
      <c r="AD301" s="0" t="str">
        <f aca="false">IFERROR(INDEX($A$1:$A$5,MATCH(6,$S301:$W301,0)),IF(6=MAX($S301:$W301)+1,"取消",""))</f>
        <v/>
      </c>
      <c r="AF301" s="0" t="n">
        <f aca="false">IF(OR($A$1=公区维修!$F301,$BN$1=1),0,1-SUMPRODUCT(--(($A$1=公区维修!$F301)+$BN$1&gt;0)))</f>
        <v>0</v>
      </c>
      <c r="AG301" s="0" t="n">
        <f aca="false">IF(OR($A$2=公区维修!$F301,$BN$2=1),0,2-SUMPRODUCT(--(($A$1:$A$2=公区维修!$F301)+$BN$1:$BN$2&gt;0)))</f>
        <v>1</v>
      </c>
      <c r="AH301" s="0" t="n">
        <f aca="false">IF(OR($A$3=公区维修!$F301,$BN$3=1),0,3-SUMPRODUCT(--(($A$1:$A$3=公区维修!$F301)+$BN$1:$BN$3&gt;0)))</f>
        <v>2</v>
      </c>
      <c r="AI301" s="0" t="n">
        <f aca="false">IF(OR($A$4=公区维修!$F301,$BN$4=1),0,4-SUMPRODUCT(--(($A$1:$A$4=公区维修!$F301)+$BN$1:$BN$4&gt;0)))</f>
        <v>3</v>
      </c>
      <c r="AJ301" s="0" t="n">
        <f aca="false">IF(OR($A$5=公区维修!$F301,$BN$5=1),0,5-SUMPRODUCT(--(($A$1:$A$5=公区维修!$F301)+$BN$1:$BN$5&gt;0)))</f>
        <v>4</v>
      </c>
      <c r="AL301" s="0" t="str">
        <f aca="false">IFERROR(INDEX($A$1:$A$5,MATCH(1,$AF301:$AJ301,0)),IF(1=MAX($AF301:$AJ301)+1,"取消",""))</f>
        <v>李师傅</v>
      </c>
      <c r="AM301" s="0" t="str">
        <f aca="false">IFERROR(INDEX($A$1:$A$5,MATCH(2,$AF301:$AJ301,0)),IF(2=MAX($AF301:$AJ301)+1,"取消",""))</f>
        <v>王师傅</v>
      </c>
      <c r="AN301" s="0" t="str">
        <f aca="false">IFERROR(INDEX($A$1:$A$5,MATCH(3,$AF301:$AJ301,0)),IF(3=MAX($AF301:$AJ301)+1,"取消",""))</f>
        <v>陈师傅</v>
      </c>
      <c r="AO301" s="0" t="str">
        <f aca="false">IFERROR(INDEX($A$1:$A$5,MATCH(4,$AF301:$AJ301,0)),IF(4=MAX($AF301:$AJ301)+1,"取消",""))</f>
        <v>刘师傅</v>
      </c>
      <c r="AP301" s="0" t="str">
        <f aca="false">IFERROR(INDEX($A$1:$A$5,MATCH(5,$AF301:$AJ301,0)),IF(5=MAX($AF301:$AJ301)+1,"取消",""))</f>
        <v>取消</v>
      </c>
      <c r="AQ301" s="0" t="str">
        <f aca="false">IFERROR(INDEX($A$1:$A$5,MATCH(6,$AF301:$AJ301,0)),IF(6=MAX($AF301:$AJ301)+1,"取消",""))</f>
        <v/>
      </c>
      <c r="AS301" s="0" t="n">
        <f aca="false">IF(OR($A$1=公区维修!$F301,$A$1=公区维修!$G301,$BN$1=1),0,1-SUMPRODUCT(--(($A$1=公区维修!$F301)+($A$1=公区维修!$G301)+$BN$1&gt;0)))</f>
        <v>0</v>
      </c>
      <c r="AT301" s="0" t="n">
        <f aca="false">IF(OR($A$2=公区维修!$F301,$A$2=公区维修!$G301,$BN$2=1),0,2-SUMPRODUCT(--(($A$1:$A$2=公区维修!$F301)+($A$1:$A$2=公区维修!$G301)+$BN$1:$BN$2&gt;0)))</f>
        <v>1</v>
      </c>
      <c r="AU301" s="0" t="n">
        <f aca="false">IF(OR($A$3=公区维修!$F301,$A$3=公区维修!$G301,$BN$3=1),0,3-SUMPRODUCT(--(($A$1:$A$3=公区维修!$F301)+($A$1:$A$3=公区维修!$G301)+$BN$1:$BN$3&gt;0)))</f>
        <v>2</v>
      </c>
      <c r="AV301" s="0" t="n">
        <f aca="false">IF(OR($A$4=公区维修!$F301,$A$4=公区维修!$G301,$BN$4=1),0,4-SUMPRODUCT(--(($A$1:$A$4=公区维修!$F301)+($A$1:$A$4=公区维修!$G301)+$BN$1:$BN$4&gt;0)))</f>
        <v>3</v>
      </c>
      <c r="AW301" s="0" t="n">
        <f aca="false">IF(OR($A$5=公区维修!$F301,$A$5=公区维修!$G301,$BN$5=1),0,5-SUMPRODUCT(--(($A$1:$A$5=公区维修!$F301)+($A$1:$A$5=公区维修!$G301)+$BN$1:$BN$5&gt;0)))</f>
        <v>4</v>
      </c>
      <c r="AY301" s="0" t="str">
        <f aca="false">IFERROR(INDEX($A$1:$A$5,MATCH(1,$AS301:$AW301,0)),IF(1=MAX($AS301:$AW301)+1,"取消",""))</f>
        <v>李师傅</v>
      </c>
      <c r="AZ301" s="0" t="str">
        <f aca="false">IFERROR(INDEX($A$1:$A$5,MATCH(2,$AS301:$AW301,0)),IF(2=MAX($AS301:$AW301)+1,"取消",""))</f>
        <v>王师傅</v>
      </c>
      <c r="BA301" s="0" t="str">
        <f aca="false">IFERROR(INDEX($A$1:$A$5,MATCH(3,$AS301:$AW301,0)),IF(3=MAX($AS301:$AW301)+1,"取消",""))</f>
        <v>陈师傅</v>
      </c>
      <c r="BB301" s="0" t="str">
        <f aca="false">IFERROR(INDEX($A$1:$A$5,MATCH(4,$AS301:$AW301,0)),IF(4=MAX($AS301:$AW301)+1,"取消",""))</f>
        <v>刘师傅</v>
      </c>
      <c r="BC301" s="0" t="str">
        <f aca="false">IFERROR(INDEX($A$1:$A$5,MATCH(5,$AS301:$AW301,0)),IF(5=MAX($AS301:$AW301)+1,"取消",""))</f>
        <v>取消</v>
      </c>
      <c r="BD301" s="0" t="str">
        <f aca="false">IFERROR(INDEX($A$1:$A$5,MATCH(6,$AS301:$AW301,0)),IF(6=MAX($AS301:$AW301)+1,"取消",""))</f>
        <v/>
      </c>
      <c r="FW301" s="0" t="str">
        <f aca="false">IF(AND(单元查询!$D$3&lt;&gt;"",IF(单元查询!$B$3="公区维修",公区维修!$E301&lt;&gt;"",入户维修!$E301&lt;&gt;""),IF(单元查询!$B$3="公区维修",公区维修!$C301,入户维修!$C301)=单元查询!$D$3,OR(单元查询!$F$3="",IF(单元查询!$B$3="公区维修",公区维修!$D301,入户维修!$D301)&amp;""=(单元查询!$F$3)&amp;"")),MAX($FW$4:$FW300)+1,"")</f>
        <v/>
      </c>
    </row>
    <row r="302" customFormat="false" ht="15" hidden="false" customHeight="true" outlineLevel="0" collapsed="false">
      <c r="F302" s="0" t="n">
        <f aca="false">IF(OR($A$1=入户维修!$F302,$BN$1=1),0,1-SUMPRODUCT(--(($A$1=入户维修!$F302)+$BN$1&gt;0)))</f>
        <v>0</v>
      </c>
      <c r="G302" s="0" t="n">
        <f aca="false">IF(OR($A$2=入户维修!$F302,$BN$2=1),0,2-SUMPRODUCT(--(($A$1:$A$2=入户维修!$F302)+$BN$1:$BN$2&gt;0)))</f>
        <v>1</v>
      </c>
      <c r="H302" s="0" t="n">
        <f aca="false">IF(OR($A$3=入户维修!$F302,$BN$3=1),0,3-SUMPRODUCT(--(($A$1:$A$3=入户维修!$F302)+$BN$1:$BN$3&gt;0)))</f>
        <v>2</v>
      </c>
      <c r="I302" s="0" t="n">
        <f aca="false">IF(OR($A$4=入户维修!$F302,$BN$4=1),0,4-SUMPRODUCT(--(($A$1:$A$4=入户维修!$F302)+$BN$1:$BN$4&gt;0)))</f>
        <v>3</v>
      </c>
      <c r="J302" s="0" t="n">
        <f aca="false">IF(OR($A$5=入户维修!$F302,$BN$5=1),0,5-SUMPRODUCT(--(($A$1:$A$5=入户维修!$F302)+$BN$1:$BN$5&gt;0)))</f>
        <v>4</v>
      </c>
      <c r="L302" s="0" t="str">
        <f aca="false">IFERROR(INDEX($A$1:$A$5,MATCH(1,$F302:$J302,0)),IF(1=MAX($F302:$J302)+1,"取消",""))</f>
        <v>李师傅</v>
      </c>
      <c r="M302" s="0" t="str">
        <f aca="false">IFERROR(INDEX($A$1:$A$5,MATCH(2,$F302:$J302,0)),IF(2=MAX($F302:$J302)+1,"取消",""))</f>
        <v>王师傅</v>
      </c>
      <c r="N302" s="0" t="str">
        <f aca="false">IFERROR(INDEX($A$1:$A$5,MATCH(3,$F302:$J302,0)),IF(3=MAX($F302:$J302)+1,"取消",""))</f>
        <v>陈师傅</v>
      </c>
      <c r="O302" s="0" t="str">
        <f aca="false">IFERROR(INDEX($A$1:$A$5,MATCH(4,$F302:$J302,0)),IF(4=MAX($F302:$J302)+1,"取消",""))</f>
        <v>刘师傅</v>
      </c>
      <c r="P302" s="0" t="str">
        <f aca="false">IFERROR(INDEX($A$1:$A$5,MATCH(5,$F302:$J302,0)),IF(5=MAX($F302:$J302)+1,"取消",""))</f>
        <v>取消</v>
      </c>
      <c r="Q302" s="0" t="str">
        <f aca="false">IFERROR(INDEX($A$1:$A$5,MATCH(6,$F302:$J302,0)),IF(6=MAX($F302:$J302)+1,"取消",""))</f>
        <v/>
      </c>
      <c r="S302" s="0" t="n">
        <f aca="false">IF(OR($A$1=入户维修!$F302,$A$1=入户维修!$G302,$BN$1=1),0,1-SUMPRODUCT(--(($A$1=入户维修!$F302)+($A$1=入户维修!$G302)+$BN$1&gt;0)))</f>
        <v>0</v>
      </c>
      <c r="T302" s="0" t="n">
        <f aca="false">IF(OR($A$2=入户维修!$F302,$A$2=入户维修!$G302,$BN$2=1),0,2-SUMPRODUCT(--(($A$1:$A$2=入户维修!$F302)+($A$1:$A$2=入户维修!$G302)+$BN$1:$BN$2&gt;0)))</f>
        <v>1</v>
      </c>
      <c r="U302" s="0" t="n">
        <f aca="false">IF(OR($A$3=入户维修!$F302,$A$3=入户维修!$G302,$BN$3=1),0,3-SUMPRODUCT(--(($A$1:$A$3=入户维修!$F302)+($A$1:$A$3=入户维修!$G302)+$BN$1:$BN$3&gt;0)))</f>
        <v>2</v>
      </c>
      <c r="V302" s="0" t="n">
        <f aca="false">IF(OR($A$4=入户维修!$F302,$A$4=入户维修!$G302,$BN$4=1),0,4-SUMPRODUCT(--(($A$1:$A$4=入户维修!$F302)+($A$1:$A$4=入户维修!$G302)+$BN$1:$BN$4&gt;0)))</f>
        <v>3</v>
      </c>
      <c r="W302" s="0" t="n">
        <f aca="false">IF(OR($A$5=入户维修!$F302,$A$5=入户维修!$G302,$BN$5=1),0,5-SUMPRODUCT(--(($A$1:$A$5=入户维修!$F302)+($A$1:$A$5=入户维修!$G302)+$BN$1:$BN$5&gt;0)))</f>
        <v>4</v>
      </c>
      <c r="Y302" s="0" t="str">
        <f aca="false">IFERROR(INDEX($A$1:$A$5,MATCH(1,$S302:$W302,0)),IF(1=MAX($S302:$W302)+1,"取消",""))</f>
        <v>李师傅</v>
      </c>
      <c r="Z302" s="0" t="str">
        <f aca="false">IFERROR(INDEX($A$1:$A$5,MATCH(2,$S302:$W302,0)),IF(2=MAX($S302:$W302)+1,"取消",""))</f>
        <v>王师傅</v>
      </c>
      <c r="AA302" s="0" t="str">
        <f aca="false">IFERROR(INDEX($A$1:$A$5,MATCH(3,$S302:$W302,0)),IF(3=MAX($S302:$W302)+1,"取消",""))</f>
        <v>陈师傅</v>
      </c>
      <c r="AB302" s="0" t="str">
        <f aca="false">IFERROR(INDEX($A$1:$A$5,MATCH(4,$S302:$W302,0)),IF(4=MAX($S302:$W302)+1,"取消",""))</f>
        <v>刘师傅</v>
      </c>
      <c r="AC302" s="0" t="str">
        <f aca="false">IFERROR(INDEX($A$1:$A$5,MATCH(5,$S302:$W302,0)),IF(5=MAX($S302:$W302)+1,"取消",""))</f>
        <v>取消</v>
      </c>
      <c r="AD302" s="0" t="str">
        <f aca="false">IFERROR(INDEX($A$1:$A$5,MATCH(6,$S302:$W302,0)),IF(6=MAX($S302:$W302)+1,"取消",""))</f>
        <v/>
      </c>
      <c r="AF302" s="0" t="n">
        <f aca="false">IF(OR($A$1=公区维修!$F302,$BN$1=1),0,1-SUMPRODUCT(--(($A$1=公区维修!$F302)+$BN$1&gt;0)))</f>
        <v>0</v>
      </c>
      <c r="AG302" s="0" t="n">
        <f aca="false">IF(OR($A$2=公区维修!$F302,$BN$2=1),0,2-SUMPRODUCT(--(($A$1:$A$2=公区维修!$F302)+$BN$1:$BN$2&gt;0)))</f>
        <v>1</v>
      </c>
      <c r="AH302" s="0" t="n">
        <f aca="false">IF(OR($A$3=公区维修!$F302,$BN$3=1),0,3-SUMPRODUCT(--(($A$1:$A$3=公区维修!$F302)+$BN$1:$BN$3&gt;0)))</f>
        <v>2</v>
      </c>
      <c r="AI302" s="0" t="n">
        <f aca="false">IF(OR($A$4=公区维修!$F302,$BN$4=1),0,4-SUMPRODUCT(--(($A$1:$A$4=公区维修!$F302)+$BN$1:$BN$4&gt;0)))</f>
        <v>3</v>
      </c>
      <c r="AJ302" s="0" t="n">
        <f aca="false">IF(OR($A$5=公区维修!$F302,$BN$5=1),0,5-SUMPRODUCT(--(($A$1:$A$5=公区维修!$F302)+$BN$1:$BN$5&gt;0)))</f>
        <v>4</v>
      </c>
      <c r="AL302" s="0" t="str">
        <f aca="false">IFERROR(INDEX($A$1:$A$5,MATCH(1,$AF302:$AJ302,0)),IF(1=MAX($AF302:$AJ302)+1,"取消",""))</f>
        <v>李师傅</v>
      </c>
      <c r="AM302" s="0" t="str">
        <f aca="false">IFERROR(INDEX($A$1:$A$5,MATCH(2,$AF302:$AJ302,0)),IF(2=MAX($AF302:$AJ302)+1,"取消",""))</f>
        <v>王师傅</v>
      </c>
      <c r="AN302" s="0" t="str">
        <f aca="false">IFERROR(INDEX($A$1:$A$5,MATCH(3,$AF302:$AJ302,0)),IF(3=MAX($AF302:$AJ302)+1,"取消",""))</f>
        <v>陈师傅</v>
      </c>
      <c r="AO302" s="0" t="str">
        <f aca="false">IFERROR(INDEX($A$1:$A$5,MATCH(4,$AF302:$AJ302,0)),IF(4=MAX($AF302:$AJ302)+1,"取消",""))</f>
        <v>刘师傅</v>
      </c>
      <c r="AP302" s="0" t="str">
        <f aca="false">IFERROR(INDEX($A$1:$A$5,MATCH(5,$AF302:$AJ302,0)),IF(5=MAX($AF302:$AJ302)+1,"取消",""))</f>
        <v>取消</v>
      </c>
      <c r="AQ302" s="0" t="str">
        <f aca="false">IFERROR(INDEX($A$1:$A$5,MATCH(6,$AF302:$AJ302,0)),IF(6=MAX($AF302:$AJ302)+1,"取消",""))</f>
        <v/>
      </c>
      <c r="AS302" s="0" t="n">
        <f aca="false">IF(OR($A$1=公区维修!$F302,$A$1=公区维修!$G302,$BN$1=1),0,1-SUMPRODUCT(--(($A$1=公区维修!$F302)+($A$1=公区维修!$G302)+$BN$1&gt;0)))</f>
        <v>0</v>
      </c>
      <c r="AT302" s="0" t="n">
        <f aca="false">IF(OR($A$2=公区维修!$F302,$A$2=公区维修!$G302,$BN$2=1),0,2-SUMPRODUCT(--(($A$1:$A$2=公区维修!$F302)+($A$1:$A$2=公区维修!$G302)+$BN$1:$BN$2&gt;0)))</f>
        <v>1</v>
      </c>
      <c r="AU302" s="0" t="n">
        <f aca="false">IF(OR($A$3=公区维修!$F302,$A$3=公区维修!$G302,$BN$3=1),0,3-SUMPRODUCT(--(($A$1:$A$3=公区维修!$F302)+($A$1:$A$3=公区维修!$G302)+$BN$1:$BN$3&gt;0)))</f>
        <v>2</v>
      </c>
      <c r="AV302" s="0" t="n">
        <f aca="false">IF(OR($A$4=公区维修!$F302,$A$4=公区维修!$G302,$BN$4=1),0,4-SUMPRODUCT(--(($A$1:$A$4=公区维修!$F302)+($A$1:$A$4=公区维修!$G302)+$BN$1:$BN$4&gt;0)))</f>
        <v>3</v>
      </c>
      <c r="AW302" s="0" t="n">
        <f aca="false">IF(OR($A$5=公区维修!$F302,$A$5=公区维修!$G302,$BN$5=1),0,5-SUMPRODUCT(--(($A$1:$A$5=公区维修!$F302)+($A$1:$A$5=公区维修!$G302)+$BN$1:$BN$5&gt;0)))</f>
        <v>4</v>
      </c>
      <c r="AY302" s="0" t="str">
        <f aca="false">IFERROR(INDEX($A$1:$A$5,MATCH(1,$AS302:$AW302,0)),IF(1=MAX($AS302:$AW302)+1,"取消",""))</f>
        <v>李师傅</v>
      </c>
      <c r="AZ302" s="0" t="str">
        <f aca="false">IFERROR(INDEX($A$1:$A$5,MATCH(2,$AS302:$AW302,0)),IF(2=MAX($AS302:$AW302)+1,"取消",""))</f>
        <v>王师傅</v>
      </c>
      <c r="BA302" s="0" t="str">
        <f aca="false">IFERROR(INDEX($A$1:$A$5,MATCH(3,$AS302:$AW302,0)),IF(3=MAX($AS302:$AW302)+1,"取消",""))</f>
        <v>陈师傅</v>
      </c>
      <c r="BB302" s="0" t="str">
        <f aca="false">IFERROR(INDEX($A$1:$A$5,MATCH(4,$AS302:$AW302,0)),IF(4=MAX($AS302:$AW302)+1,"取消",""))</f>
        <v>刘师傅</v>
      </c>
      <c r="BC302" s="0" t="str">
        <f aca="false">IFERROR(INDEX($A$1:$A$5,MATCH(5,$AS302:$AW302,0)),IF(5=MAX($AS302:$AW302)+1,"取消",""))</f>
        <v>取消</v>
      </c>
      <c r="BD302" s="0" t="str">
        <f aca="false">IFERROR(INDEX($A$1:$A$5,MATCH(6,$AS302:$AW302,0)),IF(6=MAX($AS302:$AW302)+1,"取消",""))</f>
        <v/>
      </c>
      <c r="FW302" s="0" t="str">
        <f aca="false">IF(AND(单元查询!$D$3&lt;&gt;"",IF(单元查询!$B$3="公区维修",公区维修!$E302&lt;&gt;"",入户维修!$E302&lt;&gt;""),IF(单元查询!$B$3="公区维修",公区维修!$C302,入户维修!$C302)=单元查询!$D$3,OR(单元查询!$F$3="",IF(单元查询!$B$3="公区维修",公区维修!$D302,入户维修!$D302)&amp;""=(单元查询!$F$3)&amp;"")),MAX($FW$4:$FW301)+1,"")</f>
        <v/>
      </c>
    </row>
    <row r="303" customFormat="false" ht="15" hidden="false" customHeight="true" outlineLevel="0" collapsed="false">
      <c r="F303" s="0" t="n">
        <f aca="false">IF(OR($A$1=入户维修!$F303,$BN$1=1),0,1-SUMPRODUCT(--(($A$1=入户维修!$F303)+$BN$1&gt;0)))</f>
        <v>0</v>
      </c>
      <c r="G303" s="0" t="n">
        <f aca="false">IF(OR($A$2=入户维修!$F303,$BN$2=1),0,2-SUMPRODUCT(--(($A$1:$A$2=入户维修!$F303)+$BN$1:$BN$2&gt;0)))</f>
        <v>1</v>
      </c>
      <c r="H303" s="0" t="n">
        <f aca="false">IF(OR($A$3=入户维修!$F303,$BN$3=1),0,3-SUMPRODUCT(--(($A$1:$A$3=入户维修!$F303)+$BN$1:$BN$3&gt;0)))</f>
        <v>2</v>
      </c>
      <c r="I303" s="0" t="n">
        <f aca="false">IF(OR($A$4=入户维修!$F303,$BN$4=1),0,4-SUMPRODUCT(--(($A$1:$A$4=入户维修!$F303)+$BN$1:$BN$4&gt;0)))</f>
        <v>3</v>
      </c>
      <c r="J303" s="0" t="n">
        <f aca="false">IF(OR($A$5=入户维修!$F303,$BN$5=1),0,5-SUMPRODUCT(--(($A$1:$A$5=入户维修!$F303)+$BN$1:$BN$5&gt;0)))</f>
        <v>4</v>
      </c>
      <c r="L303" s="0" t="str">
        <f aca="false">IFERROR(INDEX($A$1:$A$5,MATCH(1,$F303:$J303,0)),IF(1=MAX($F303:$J303)+1,"取消",""))</f>
        <v>李师傅</v>
      </c>
      <c r="M303" s="0" t="str">
        <f aca="false">IFERROR(INDEX($A$1:$A$5,MATCH(2,$F303:$J303,0)),IF(2=MAX($F303:$J303)+1,"取消",""))</f>
        <v>王师傅</v>
      </c>
      <c r="N303" s="0" t="str">
        <f aca="false">IFERROR(INDEX($A$1:$A$5,MATCH(3,$F303:$J303,0)),IF(3=MAX($F303:$J303)+1,"取消",""))</f>
        <v>陈师傅</v>
      </c>
      <c r="O303" s="0" t="str">
        <f aca="false">IFERROR(INDEX($A$1:$A$5,MATCH(4,$F303:$J303,0)),IF(4=MAX($F303:$J303)+1,"取消",""))</f>
        <v>刘师傅</v>
      </c>
      <c r="P303" s="0" t="str">
        <f aca="false">IFERROR(INDEX($A$1:$A$5,MATCH(5,$F303:$J303,0)),IF(5=MAX($F303:$J303)+1,"取消",""))</f>
        <v>取消</v>
      </c>
      <c r="Q303" s="0" t="str">
        <f aca="false">IFERROR(INDEX($A$1:$A$5,MATCH(6,$F303:$J303,0)),IF(6=MAX($F303:$J303)+1,"取消",""))</f>
        <v/>
      </c>
      <c r="S303" s="0" t="n">
        <f aca="false">IF(OR($A$1=入户维修!$F303,$A$1=入户维修!$G303,$BN$1=1),0,1-SUMPRODUCT(--(($A$1=入户维修!$F303)+($A$1=入户维修!$G303)+$BN$1&gt;0)))</f>
        <v>0</v>
      </c>
      <c r="T303" s="0" t="n">
        <f aca="false">IF(OR($A$2=入户维修!$F303,$A$2=入户维修!$G303,$BN$2=1),0,2-SUMPRODUCT(--(($A$1:$A$2=入户维修!$F303)+($A$1:$A$2=入户维修!$G303)+$BN$1:$BN$2&gt;0)))</f>
        <v>1</v>
      </c>
      <c r="U303" s="0" t="n">
        <f aca="false">IF(OR($A$3=入户维修!$F303,$A$3=入户维修!$G303,$BN$3=1),0,3-SUMPRODUCT(--(($A$1:$A$3=入户维修!$F303)+($A$1:$A$3=入户维修!$G303)+$BN$1:$BN$3&gt;0)))</f>
        <v>2</v>
      </c>
      <c r="V303" s="0" t="n">
        <f aca="false">IF(OR($A$4=入户维修!$F303,$A$4=入户维修!$G303,$BN$4=1),0,4-SUMPRODUCT(--(($A$1:$A$4=入户维修!$F303)+($A$1:$A$4=入户维修!$G303)+$BN$1:$BN$4&gt;0)))</f>
        <v>3</v>
      </c>
      <c r="W303" s="0" t="n">
        <f aca="false">IF(OR($A$5=入户维修!$F303,$A$5=入户维修!$G303,$BN$5=1),0,5-SUMPRODUCT(--(($A$1:$A$5=入户维修!$F303)+($A$1:$A$5=入户维修!$G303)+$BN$1:$BN$5&gt;0)))</f>
        <v>4</v>
      </c>
      <c r="Y303" s="0" t="str">
        <f aca="false">IFERROR(INDEX($A$1:$A$5,MATCH(1,$S303:$W303,0)),IF(1=MAX($S303:$W303)+1,"取消",""))</f>
        <v>李师傅</v>
      </c>
      <c r="Z303" s="0" t="str">
        <f aca="false">IFERROR(INDEX($A$1:$A$5,MATCH(2,$S303:$W303,0)),IF(2=MAX($S303:$W303)+1,"取消",""))</f>
        <v>王师傅</v>
      </c>
      <c r="AA303" s="0" t="str">
        <f aca="false">IFERROR(INDEX($A$1:$A$5,MATCH(3,$S303:$W303,0)),IF(3=MAX($S303:$W303)+1,"取消",""))</f>
        <v>陈师傅</v>
      </c>
      <c r="AB303" s="0" t="str">
        <f aca="false">IFERROR(INDEX($A$1:$A$5,MATCH(4,$S303:$W303,0)),IF(4=MAX($S303:$W303)+1,"取消",""))</f>
        <v>刘师傅</v>
      </c>
      <c r="AC303" s="0" t="str">
        <f aca="false">IFERROR(INDEX($A$1:$A$5,MATCH(5,$S303:$W303,0)),IF(5=MAX($S303:$W303)+1,"取消",""))</f>
        <v>取消</v>
      </c>
      <c r="AD303" s="0" t="str">
        <f aca="false">IFERROR(INDEX($A$1:$A$5,MATCH(6,$S303:$W303,0)),IF(6=MAX($S303:$W303)+1,"取消",""))</f>
        <v/>
      </c>
      <c r="AF303" s="0" t="n">
        <f aca="false">IF(OR($A$1=公区维修!$F303,$BN$1=1),0,1-SUMPRODUCT(--(($A$1=公区维修!$F303)+$BN$1&gt;0)))</f>
        <v>0</v>
      </c>
      <c r="AG303" s="0" t="n">
        <f aca="false">IF(OR($A$2=公区维修!$F303,$BN$2=1),0,2-SUMPRODUCT(--(($A$1:$A$2=公区维修!$F303)+$BN$1:$BN$2&gt;0)))</f>
        <v>1</v>
      </c>
      <c r="AH303" s="0" t="n">
        <f aca="false">IF(OR($A$3=公区维修!$F303,$BN$3=1),0,3-SUMPRODUCT(--(($A$1:$A$3=公区维修!$F303)+$BN$1:$BN$3&gt;0)))</f>
        <v>2</v>
      </c>
      <c r="AI303" s="0" t="n">
        <f aca="false">IF(OR($A$4=公区维修!$F303,$BN$4=1),0,4-SUMPRODUCT(--(($A$1:$A$4=公区维修!$F303)+$BN$1:$BN$4&gt;0)))</f>
        <v>3</v>
      </c>
      <c r="AJ303" s="0" t="n">
        <f aca="false">IF(OR($A$5=公区维修!$F303,$BN$5=1),0,5-SUMPRODUCT(--(($A$1:$A$5=公区维修!$F303)+$BN$1:$BN$5&gt;0)))</f>
        <v>4</v>
      </c>
      <c r="AL303" s="0" t="str">
        <f aca="false">IFERROR(INDEX($A$1:$A$5,MATCH(1,$AF303:$AJ303,0)),IF(1=MAX($AF303:$AJ303)+1,"取消",""))</f>
        <v>李师傅</v>
      </c>
      <c r="AM303" s="0" t="str">
        <f aca="false">IFERROR(INDEX($A$1:$A$5,MATCH(2,$AF303:$AJ303,0)),IF(2=MAX($AF303:$AJ303)+1,"取消",""))</f>
        <v>王师傅</v>
      </c>
      <c r="AN303" s="0" t="str">
        <f aca="false">IFERROR(INDEX($A$1:$A$5,MATCH(3,$AF303:$AJ303,0)),IF(3=MAX($AF303:$AJ303)+1,"取消",""))</f>
        <v>陈师傅</v>
      </c>
      <c r="AO303" s="0" t="str">
        <f aca="false">IFERROR(INDEX($A$1:$A$5,MATCH(4,$AF303:$AJ303,0)),IF(4=MAX($AF303:$AJ303)+1,"取消",""))</f>
        <v>刘师傅</v>
      </c>
      <c r="AP303" s="0" t="str">
        <f aca="false">IFERROR(INDEX($A$1:$A$5,MATCH(5,$AF303:$AJ303,0)),IF(5=MAX($AF303:$AJ303)+1,"取消",""))</f>
        <v>取消</v>
      </c>
      <c r="AQ303" s="0" t="str">
        <f aca="false">IFERROR(INDEX($A$1:$A$5,MATCH(6,$AF303:$AJ303,0)),IF(6=MAX($AF303:$AJ303)+1,"取消",""))</f>
        <v/>
      </c>
      <c r="AS303" s="0" t="n">
        <f aca="false">IF(OR($A$1=公区维修!$F303,$A$1=公区维修!$G303,$BN$1=1),0,1-SUMPRODUCT(--(($A$1=公区维修!$F303)+($A$1=公区维修!$G303)+$BN$1&gt;0)))</f>
        <v>0</v>
      </c>
      <c r="AT303" s="0" t="n">
        <f aca="false">IF(OR($A$2=公区维修!$F303,$A$2=公区维修!$G303,$BN$2=1),0,2-SUMPRODUCT(--(($A$1:$A$2=公区维修!$F303)+($A$1:$A$2=公区维修!$G303)+$BN$1:$BN$2&gt;0)))</f>
        <v>1</v>
      </c>
      <c r="AU303" s="0" t="n">
        <f aca="false">IF(OR($A$3=公区维修!$F303,$A$3=公区维修!$G303,$BN$3=1),0,3-SUMPRODUCT(--(($A$1:$A$3=公区维修!$F303)+($A$1:$A$3=公区维修!$G303)+$BN$1:$BN$3&gt;0)))</f>
        <v>2</v>
      </c>
      <c r="AV303" s="0" t="n">
        <f aca="false">IF(OR($A$4=公区维修!$F303,$A$4=公区维修!$G303,$BN$4=1),0,4-SUMPRODUCT(--(($A$1:$A$4=公区维修!$F303)+($A$1:$A$4=公区维修!$G303)+$BN$1:$BN$4&gt;0)))</f>
        <v>3</v>
      </c>
      <c r="AW303" s="0" t="n">
        <f aca="false">IF(OR($A$5=公区维修!$F303,$A$5=公区维修!$G303,$BN$5=1),0,5-SUMPRODUCT(--(($A$1:$A$5=公区维修!$F303)+($A$1:$A$5=公区维修!$G303)+$BN$1:$BN$5&gt;0)))</f>
        <v>4</v>
      </c>
      <c r="AY303" s="0" t="str">
        <f aca="false">IFERROR(INDEX($A$1:$A$5,MATCH(1,$AS303:$AW303,0)),IF(1=MAX($AS303:$AW303)+1,"取消",""))</f>
        <v>李师傅</v>
      </c>
      <c r="AZ303" s="0" t="str">
        <f aca="false">IFERROR(INDEX($A$1:$A$5,MATCH(2,$AS303:$AW303,0)),IF(2=MAX($AS303:$AW303)+1,"取消",""))</f>
        <v>王师傅</v>
      </c>
      <c r="BA303" s="0" t="str">
        <f aca="false">IFERROR(INDEX($A$1:$A$5,MATCH(3,$AS303:$AW303,0)),IF(3=MAX($AS303:$AW303)+1,"取消",""))</f>
        <v>陈师傅</v>
      </c>
      <c r="BB303" s="0" t="str">
        <f aca="false">IFERROR(INDEX($A$1:$A$5,MATCH(4,$AS303:$AW303,0)),IF(4=MAX($AS303:$AW303)+1,"取消",""))</f>
        <v>刘师傅</v>
      </c>
      <c r="BC303" s="0" t="str">
        <f aca="false">IFERROR(INDEX($A$1:$A$5,MATCH(5,$AS303:$AW303,0)),IF(5=MAX($AS303:$AW303)+1,"取消",""))</f>
        <v>取消</v>
      </c>
      <c r="BD303" s="0" t="str">
        <f aca="false">IFERROR(INDEX($A$1:$A$5,MATCH(6,$AS303:$AW303,0)),IF(6=MAX($AS303:$AW303)+1,"取消",""))</f>
        <v/>
      </c>
      <c r="FW303" s="0" t="str">
        <f aca="false">IF(AND(单元查询!$D$3&lt;&gt;"",IF(单元查询!$B$3="公区维修",公区维修!$E303&lt;&gt;"",入户维修!$E303&lt;&gt;""),IF(单元查询!$B$3="公区维修",公区维修!$C303,入户维修!$C303)=单元查询!$D$3,OR(单元查询!$F$3="",IF(单元查询!$B$3="公区维修",公区维修!$D303,入户维修!$D303)&amp;""=(单元查询!$F$3)&amp;"")),MAX($FW$4:$FW302)+1,"")</f>
        <v/>
      </c>
    </row>
    <row r="304" customFormat="false" ht="15" hidden="false" customHeight="true" outlineLevel="0" collapsed="false">
      <c r="F304" s="0" t="n">
        <f aca="false">IF(OR($A$1=入户维修!$F304,$BN$1=1),0,1-SUMPRODUCT(--(($A$1=入户维修!$F304)+$BN$1&gt;0)))</f>
        <v>0</v>
      </c>
      <c r="G304" s="0" t="n">
        <f aca="false">IF(OR($A$2=入户维修!$F304,$BN$2=1),0,2-SUMPRODUCT(--(($A$1:$A$2=入户维修!$F304)+$BN$1:$BN$2&gt;0)))</f>
        <v>1</v>
      </c>
      <c r="H304" s="0" t="n">
        <f aca="false">IF(OR($A$3=入户维修!$F304,$BN$3=1),0,3-SUMPRODUCT(--(($A$1:$A$3=入户维修!$F304)+$BN$1:$BN$3&gt;0)))</f>
        <v>2</v>
      </c>
      <c r="I304" s="0" t="n">
        <f aca="false">IF(OR($A$4=入户维修!$F304,$BN$4=1),0,4-SUMPRODUCT(--(($A$1:$A$4=入户维修!$F304)+$BN$1:$BN$4&gt;0)))</f>
        <v>3</v>
      </c>
      <c r="J304" s="0" t="n">
        <f aca="false">IF(OR($A$5=入户维修!$F304,$BN$5=1),0,5-SUMPRODUCT(--(($A$1:$A$5=入户维修!$F304)+$BN$1:$BN$5&gt;0)))</f>
        <v>4</v>
      </c>
      <c r="L304" s="0" t="str">
        <f aca="false">IFERROR(INDEX($A$1:$A$5,MATCH(1,$F304:$J304,0)),IF(1=MAX($F304:$J304)+1,"取消",""))</f>
        <v>李师傅</v>
      </c>
      <c r="M304" s="0" t="str">
        <f aca="false">IFERROR(INDEX($A$1:$A$5,MATCH(2,$F304:$J304,0)),IF(2=MAX($F304:$J304)+1,"取消",""))</f>
        <v>王师傅</v>
      </c>
      <c r="N304" s="0" t="str">
        <f aca="false">IFERROR(INDEX($A$1:$A$5,MATCH(3,$F304:$J304,0)),IF(3=MAX($F304:$J304)+1,"取消",""))</f>
        <v>陈师傅</v>
      </c>
      <c r="O304" s="0" t="str">
        <f aca="false">IFERROR(INDEX($A$1:$A$5,MATCH(4,$F304:$J304,0)),IF(4=MAX($F304:$J304)+1,"取消",""))</f>
        <v>刘师傅</v>
      </c>
      <c r="P304" s="0" t="str">
        <f aca="false">IFERROR(INDEX($A$1:$A$5,MATCH(5,$F304:$J304,0)),IF(5=MAX($F304:$J304)+1,"取消",""))</f>
        <v>取消</v>
      </c>
      <c r="Q304" s="0" t="str">
        <f aca="false">IFERROR(INDEX($A$1:$A$5,MATCH(6,$F304:$J304,0)),IF(6=MAX($F304:$J304)+1,"取消",""))</f>
        <v/>
      </c>
      <c r="S304" s="0" t="n">
        <f aca="false">IF(OR($A$1=入户维修!$F304,$A$1=入户维修!$G304,$BN$1=1),0,1-SUMPRODUCT(--(($A$1=入户维修!$F304)+($A$1=入户维修!$G304)+$BN$1&gt;0)))</f>
        <v>0</v>
      </c>
      <c r="T304" s="0" t="n">
        <f aca="false">IF(OR($A$2=入户维修!$F304,$A$2=入户维修!$G304,$BN$2=1),0,2-SUMPRODUCT(--(($A$1:$A$2=入户维修!$F304)+($A$1:$A$2=入户维修!$G304)+$BN$1:$BN$2&gt;0)))</f>
        <v>1</v>
      </c>
      <c r="U304" s="0" t="n">
        <f aca="false">IF(OR($A$3=入户维修!$F304,$A$3=入户维修!$G304,$BN$3=1),0,3-SUMPRODUCT(--(($A$1:$A$3=入户维修!$F304)+($A$1:$A$3=入户维修!$G304)+$BN$1:$BN$3&gt;0)))</f>
        <v>2</v>
      </c>
      <c r="V304" s="0" t="n">
        <f aca="false">IF(OR($A$4=入户维修!$F304,$A$4=入户维修!$G304,$BN$4=1),0,4-SUMPRODUCT(--(($A$1:$A$4=入户维修!$F304)+($A$1:$A$4=入户维修!$G304)+$BN$1:$BN$4&gt;0)))</f>
        <v>3</v>
      </c>
      <c r="W304" s="0" t="n">
        <f aca="false">IF(OR($A$5=入户维修!$F304,$A$5=入户维修!$G304,$BN$5=1),0,5-SUMPRODUCT(--(($A$1:$A$5=入户维修!$F304)+($A$1:$A$5=入户维修!$G304)+$BN$1:$BN$5&gt;0)))</f>
        <v>4</v>
      </c>
      <c r="Y304" s="0" t="str">
        <f aca="false">IFERROR(INDEX($A$1:$A$5,MATCH(1,$S304:$W304,0)),IF(1=MAX($S304:$W304)+1,"取消",""))</f>
        <v>李师傅</v>
      </c>
      <c r="Z304" s="0" t="str">
        <f aca="false">IFERROR(INDEX($A$1:$A$5,MATCH(2,$S304:$W304,0)),IF(2=MAX($S304:$W304)+1,"取消",""))</f>
        <v>王师傅</v>
      </c>
      <c r="AA304" s="0" t="str">
        <f aca="false">IFERROR(INDEX($A$1:$A$5,MATCH(3,$S304:$W304,0)),IF(3=MAX($S304:$W304)+1,"取消",""))</f>
        <v>陈师傅</v>
      </c>
      <c r="AB304" s="0" t="str">
        <f aca="false">IFERROR(INDEX($A$1:$A$5,MATCH(4,$S304:$W304,0)),IF(4=MAX($S304:$W304)+1,"取消",""))</f>
        <v>刘师傅</v>
      </c>
      <c r="AC304" s="0" t="str">
        <f aca="false">IFERROR(INDEX($A$1:$A$5,MATCH(5,$S304:$W304,0)),IF(5=MAX($S304:$W304)+1,"取消",""))</f>
        <v>取消</v>
      </c>
      <c r="AD304" s="0" t="str">
        <f aca="false">IFERROR(INDEX($A$1:$A$5,MATCH(6,$S304:$W304,0)),IF(6=MAX($S304:$W304)+1,"取消",""))</f>
        <v/>
      </c>
      <c r="AF304" s="0" t="n">
        <f aca="false">IF(OR($A$1=公区维修!$F304,$BN$1=1),0,1-SUMPRODUCT(--(($A$1=公区维修!$F304)+$BN$1&gt;0)))</f>
        <v>0</v>
      </c>
      <c r="AG304" s="0" t="n">
        <f aca="false">IF(OR($A$2=公区维修!$F304,$BN$2=1),0,2-SUMPRODUCT(--(($A$1:$A$2=公区维修!$F304)+$BN$1:$BN$2&gt;0)))</f>
        <v>1</v>
      </c>
      <c r="AH304" s="0" t="n">
        <f aca="false">IF(OR($A$3=公区维修!$F304,$BN$3=1),0,3-SUMPRODUCT(--(($A$1:$A$3=公区维修!$F304)+$BN$1:$BN$3&gt;0)))</f>
        <v>2</v>
      </c>
      <c r="AI304" s="0" t="n">
        <f aca="false">IF(OR($A$4=公区维修!$F304,$BN$4=1),0,4-SUMPRODUCT(--(($A$1:$A$4=公区维修!$F304)+$BN$1:$BN$4&gt;0)))</f>
        <v>3</v>
      </c>
      <c r="AJ304" s="0" t="n">
        <f aca="false">IF(OR($A$5=公区维修!$F304,$BN$5=1),0,5-SUMPRODUCT(--(($A$1:$A$5=公区维修!$F304)+$BN$1:$BN$5&gt;0)))</f>
        <v>4</v>
      </c>
      <c r="AL304" s="0" t="str">
        <f aca="false">IFERROR(INDEX($A$1:$A$5,MATCH(1,$AF304:$AJ304,0)),IF(1=MAX($AF304:$AJ304)+1,"取消",""))</f>
        <v>李师傅</v>
      </c>
      <c r="AM304" s="0" t="str">
        <f aca="false">IFERROR(INDEX($A$1:$A$5,MATCH(2,$AF304:$AJ304,0)),IF(2=MAX($AF304:$AJ304)+1,"取消",""))</f>
        <v>王师傅</v>
      </c>
      <c r="AN304" s="0" t="str">
        <f aca="false">IFERROR(INDEX($A$1:$A$5,MATCH(3,$AF304:$AJ304,0)),IF(3=MAX($AF304:$AJ304)+1,"取消",""))</f>
        <v>陈师傅</v>
      </c>
      <c r="AO304" s="0" t="str">
        <f aca="false">IFERROR(INDEX($A$1:$A$5,MATCH(4,$AF304:$AJ304,0)),IF(4=MAX($AF304:$AJ304)+1,"取消",""))</f>
        <v>刘师傅</v>
      </c>
      <c r="AP304" s="0" t="str">
        <f aca="false">IFERROR(INDEX($A$1:$A$5,MATCH(5,$AF304:$AJ304,0)),IF(5=MAX($AF304:$AJ304)+1,"取消",""))</f>
        <v>取消</v>
      </c>
      <c r="AQ304" s="0" t="str">
        <f aca="false">IFERROR(INDEX($A$1:$A$5,MATCH(6,$AF304:$AJ304,0)),IF(6=MAX($AF304:$AJ304)+1,"取消",""))</f>
        <v/>
      </c>
      <c r="AS304" s="0" t="n">
        <f aca="false">IF(OR($A$1=公区维修!$F304,$A$1=公区维修!$G304,$BN$1=1),0,1-SUMPRODUCT(--(($A$1=公区维修!$F304)+($A$1=公区维修!$G304)+$BN$1&gt;0)))</f>
        <v>0</v>
      </c>
      <c r="AT304" s="0" t="n">
        <f aca="false">IF(OR($A$2=公区维修!$F304,$A$2=公区维修!$G304,$BN$2=1),0,2-SUMPRODUCT(--(($A$1:$A$2=公区维修!$F304)+($A$1:$A$2=公区维修!$G304)+$BN$1:$BN$2&gt;0)))</f>
        <v>1</v>
      </c>
      <c r="AU304" s="0" t="n">
        <f aca="false">IF(OR($A$3=公区维修!$F304,$A$3=公区维修!$G304,$BN$3=1),0,3-SUMPRODUCT(--(($A$1:$A$3=公区维修!$F304)+($A$1:$A$3=公区维修!$G304)+$BN$1:$BN$3&gt;0)))</f>
        <v>2</v>
      </c>
      <c r="AV304" s="0" t="n">
        <f aca="false">IF(OR($A$4=公区维修!$F304,$A$4=公区维修!$G304,$BN$4=1),0,4-SUMPRODUCT(--(($A$1:$A$4=公区维修!$F304)+($A$1:$A$4=公区维修!$G304)+$BN$1:$BN$4&gt;0)))</f>
        <v>3</v>
      </c>
      <c r="AW304" s="0" t="n">
        <f aca="false">IF(OR($A$5=公区维修!$F304,$A$5=公区维修!$G304,$BN$5=1),0,5-SUMPRODUCT(--(($A$1:$A$5=公区维修!$F304)+($A$1:$A$5=公区维修!$G304)+$BN$1:$BN$5&gt;0)))</f>
        <v>4</v>
      </c>
      <c r="AY304" s="0" t="str">
        <f aca="false">IFERROR(INDEX($A$1:$A$5,MATCH(1,$AS304:$AW304,0)),IF(1=MAX($AS304:$AW304)+1,"取消",""))</f>
        <v>李师傅</v>
      </c>
      <c r="AZ304" s="0" t="str">
        <f aca="false">IFERROR(INDEX($A$1:$A$5,MATCH(2,$AS304:$AW304,0)),IF(2=MAX($AS304:$AW304)+1,"取消",""))</f>
        <v>王师傅</v>
      </c>
      <c r="BA304" s="0" t="str">
        <f aca="false">IFERROR(INDEX($A$1:$A$5,MATCH(3,$AS304:$AW304,0)),IF(3=MAX($AS304:$AW304)+1,"取消",""))</f>
        <v>陈师傅</v>
      </c>
      <c r="BB304" s="0" t="str">
        <f aca="false">IFERROR(INDEX($A$1:$A$5,MATCH(4,$AS304:$AW304,0)),IF(4=MAX($AS304:$AW304)+1,"取消",""))</f>
        <v>刘师傅</v>
      </c>
      <c r="BC304" s="0" t="str">
        <f aca="false">IFERROR(INDEX($A$1:$A$5,MATCH(5,$AS304:$AW304,0)),IF(5=MAX($AS304:$AW304)+1,"取消",""))</f>
        <v>取消</v>
      </c>
      <c r="BD304" s="0" t="str">
        <f aca="false">IFERROR(INDEX($A$1:$A$5,MATCH(6,$AS304:$AW304,0)),IF(6=MAX($AS304:$AW304)+1,"取消",""))</f>
        <v/>
      </c>
      <c r="FW304" s="0" t="str">
        <f aca="false">IF(AND(单元查询!$D$3&lt;&gt;"",IF(单元查询!$B$3="公区维修",公区维修!$E304&lt;&gt;"",入户维修!$E304&lt;&gt;""),IF(单元查询!$B$3="公区维修",公区维修!$C304,入户维修!$C304)=单元查询!$D$3,OR(单元查询!$F$3="",IF(单元查询!$B$3="公区维修",公区维修!$D304,入户维修!$D304)&amp;""=(单元查询!$F$3)&amp;"")),MAX($FW$4:$FW303)+1,"")</f>
        <v/>
      </c>
    </row>
    <row r="305" customFormat="false" ht="15" hidden="false" customHeight="true" outlineLevel="0" collapsed="false">
      <c r="F305" s="0" t="n">
        <f aca="false">IF(OR($A$1=入户维修!$F305,$BN$1=1),0,1-SUMPRODUCT(--(($A$1=入户维修!$F305)+$BN$1&gt;0)))</f>
        <v>0</v>
      </c>
      <c r="G305" s="0" t="n">
        <f aca="false">IF(OR($A$2=入户维修!$F305,$BN$2=1),0,2-SUMPRODUCT(--(($A$1:$A$2=入户维修!$F305)+$BN$1:$BN$2&gt;0)))</f>
        <v>1</v>
      </c>
      <c r="H305" s="0" t="n">
        <f aca="false">IF(OR($A$3=入户维修!$F305,$BN$3=1),0,3-SUMPRODUCT(--(($A$1:$A$3=入户维修!$F305)+$BN$1:$BN$3&gt;0)))</f>
        <v>2</v>
      </c>
      <c r="I305" s="0" t="n">
        <f aca="false">IF(OR($A$4=入户维修!$F305,$BN$4=1),0,4-SUMPRODUCT(--(($A$1:$A$4=入户维修!$F305)+$BN$1:$BN$4&gt;0)))</f>
        <v>3</v>
      </c>
      <c r="J305" s="0" t="n">
        <f aca="false">IF(OR($A$5=入户维修!$F305,$BN$5=1),0,5-SUMPRODUCT(--(($A$1:$A$5=入户维修!$F305)+$BN$1:$BN$5&gt;0)))</f>
        <v>4</v>
      </c>
      <c r="L305" s="0" t="str">
        <f aca="false">IFERROR(INDEX($A$1:$A$5,MATCH(1,$F305:$J305,0)),IF(1=MAX($F305:$J305)+1,"取消",""))</f>
        <v>李师傅</v>
      </c>
      <c r="M305" s="0" t="str">
        <f aca="false">IFERROR(INDEX($A$1:$A$5,MATCH(2,$F305:$J305,0)),IF(2=MAX($F305:$J305)+1,"取消",""))</f>
        <v>王师傅</v>
      </c>
      <c r="N305" s="0" t="str">
        <f aca="false">IFERROR(INDEX($A$1:$A$5,MATCH(3,$F305:$J305,0)),IF(3=MAX($F305:$J305)+1,"取消",""))</f>
        <v>陈师傅</v>
      </c>
      <c r="O305" s="0" t="str">
        <f aca="false">IFERROR(INDEX($A$1:$A$5,MATCH(4,$F305:$J305,0)),IF(4=MAX($F305:$J305)+1,"取消",""))</f>
        <v>刘师傅</v>
      </c>
      <c r="P305" s="0" t="str">
        <f aca="false">IFERROR(INDEX($A$1:$A$5,MATCH(5,$F305:$J305,0)),IF(5=MAX($F305:$J305)+1,"取消",""))</f>
        <v>取消</v>
      </c>
      <c r="Q305" s="0" t="str">
        <f aca="false">IFERROR(INDEX($A$1:$A$5,MATCH(6,$F305:$J305,0)),IF(6=MAX($F305:$J305)+1,"取消",""))</f>
        <v/>
      </c>
      <c r="S305" s="0" t="n">
        <f aca="false">IF(OR($A$1=入户维修!$F305,$A$1=入户维修!$G305,$BN$1=1),0,1-SUMPRODUCT(--(($A$1=入户维修!$F305)+($A$1=入户维修!$G305)+$BN$1&gt;0)))</f>
        <v>0</v>
      </c>
      <c r="T305" s="0" t="n">
        <f aca="false">IF(OR($A$2=入户维修!$F305,$A$2=入户维修!$G305,$BN$2=1),0,2-SUMPRODUCT(--(($A$1:$A$2=入户维修!$F305)+($A$1:$A$2=入户维修!$G305)+$BN$1:$BN$2&gt;0)))</f>
        <v>1</v>
      </c>
      <c r="U305" s="0" t="n">
        <f aca="false">IF(OR($A$3=入户维修!$F305,$A$3=入户维修!$G305,$BN$3=1),0,3-SUMPRODUCT(--(($A$1:$A$3=入户维修!$F305)+($A$1:$A$3=入户维修!$G305)+$BN$1:$BN$3&gt;0)))</f>
        <v>2</v>
      </c>
      <c r="V305" s="0" t="n">
        <f aca="false">IF(OR($A$4=入户维修!$F305,$A$4=入户维修!$G305,$BN$4=1),0,4-SUMPRODUCT(--(($A$1:$A$4=入户维修!$F305)+($A$1:$A$4=入户维修!$G305)+$BN$1:$BN$4&gt;0)))</f>
        <v>3</v>
      </c>
      <c r="W305" s="0" t="n">
        <f aca="false">IF(OR($A$5=入户维修!$F305,$A$5=入户维修!$G305,$BN$5=1),0,5-SUMPRODUCT(--(($A$1:$A$5=入户维修!$F305)+($A$1:$A$5=入户维修!$G305)+$BN$1:$BN$5&gt;0)))</f>
        <v>4</v>
      </c>
      <c r="Y305" s="0" t="str">
        <f aca="false">IFERROR(INDEX($A$1:$A$5,MATCH(1,$S305:$W305,0)),IF(1=MAX($S305:$W305)+1,"取消",""))</f>
        <v>李师傅</v>
      </c>
      <c r="Z305" s="0" t="str">
        <f aca="false">IFERROR(INDEX($A$1:$A$5,MATCH(2,$S305:$W305,0)),IF(2=MAX($S305:$W305)+1,"取消",""))</f>
        <v>王师傅</v>
      </c>
      <c r="AA305" s="0" t="str">
        <f aca="false">IFERROR(INDEX($A$1:$A$5,MATCH(3,$S305:$W305,0)),IF(3=MAX($S305:$W305)+1,"取消",""))</f>
        <v>陈师傅</v>
      </c>
      <c r="AB305" s="0" t="str">
        <f aca="false">IFERROR(INDEX($A$1:$A$5,MATCH(4,$S305:$W305,0)),IF(4=MAX($S305:$W305)+1,"取消",""))</f>
        <v>刘师傅</v>
      </c>
      <c r="AC305" s="0" t="str">
        <f aca="false">IFERROR(INDEX($A$1:$A$5,MATCH(5,$S305:$W305,0)),IF(5=MAX($S305:$W305)+1,"取消",""))</f>
        <v>取消</v>
      </c>
      <c r="AD305" s="0" t="str">
        <f aca="false">IFERROR(INDEX($A$1:$A$5,MATCH(6,$S305:$W305,0)),IF(6=MAX($S305:$W305)+1,"取消",""))</f>
        <v/>
      </c>
      <c r="AF305" s="0" t="n">
        <f aca="false">IF(OR($A$1=公区维修!$F305,$BN$1=1),0,1-SUMPRODUCT(--(($A$1=公区维修!$F305)+$BN$1&gt;0)))</f>
        <v>0</v>
      </c>
      <c r="AG305" s="0" t="n">
        <f aca="false">IF(OR($A$2=公区维修!$F305,$BN$2=1),0,2-SUMPRODUCT(--(($A$1:$A$2=公区维修!$F305)+$BN$1:$BN$2&gt;0)))</f>
        <v>1</v>
      </c>
      <c r="AH305" s="0" t="n">
        <f aca="false">IF(OR($A$3=公区维修!$F305,$BN$3=1),0,3-SUMPRODUCT(--(($A$1:$A$3=公区维修!$F305)+$BN$1:$BN$3&gt;0)))</f>
        <v>2</v>
      </c>
      <c r="AI305" s="0" t="n">
        <f aca="false">IF(OR($A$4=公区维修!$F305,$BN$4=1),0,4-SUMPRODUCT(--(($A$1:$A$4=公区维修!$F305)+$BN$1:$BN$4&gt;0)))</f>
        <v>3</v>
      </c>
      <c r="AJ305" s="0" t="n">
        <f aca="false">IF(OR($A$5=公区维修!$F305,$BN$5=1),0,5-SUMPRODUCT(--(($A$1:$A$5=公区维修!$F305)+$BN$1:$BN$5&gt;0)))</f>
        <v>4</v>
      </c>
      <c r="AL305" s="0" t="str">
        <f aca="false">IFERROR(INDEX($A$1:$A$5,MATCH(1,$AF305:$AJ305,0)),IF(1=MAX($AF305:$AJ305)+1,"取消",""))</f>
        <v>李师傅</v>
      </c>
      <c r="AM305" s="0" t="str">
        <f aca="false">IFERROR(INDEX($A$1:$A$5,MATCH(2,$AF305:$AJ305,0)),IF(2=MAX($AF305:$AJ305)+1,"取消",""))</f>
        <v>王师傅</v>
      </c>
      <c r="AN305" s="0" t="str">
        <f aca="false">IFERROR(INDEX($A$1:$A$5,MATCH(3,$AF305:$AJ305,0)),IF(3=MAX($AF305:$AJ305)+1,"取消",""))</f>
        <v>陈师傅</v>
      </c>
      <c r="AO305" s="0" t="str">
        <f aca="false">IFERROR(INDEX($A$1:$A$5,MATCH(4,$AF305:$AJ305,0)),IF(4=MAX($AF305:$AJ305)+1,"取消",""))</f>
        <v>刘师傅</v>
      </c>
      <c r="AP305" s="0" t="str">
        <f aca="false">IFERROR(INDEX($A$1:$A$5,MATCH(5,$AF305:$AJ305,0)),IF(5=MAX($AF305:$AJ305)+1,"取消",""))</f>
        <v>取消</v>
      </c>
      <c r="AQ305" s="0" t="str">
        <f aca="false">IFERROR(INDEX($A$1:$A$5,MATCH(6,$AF305:$AJ305,0)),IF(6=MAX($AF305:$AJ305)+1,"取消",""))</f>
        <v/>
      </c>
      <c r="AS305" s="0" t="n">
        <f aca="false">IF(OR($A$1=公区维修!$F305,$A$1=公区维修!$G305,$BN$1=1),0,1-SUMPRODUCT(--(($A$1=公区维修!$F305)+($A$1=公区维修!$G305)+$BN$1&gt;0)))</f>
        <v>0</v>
      </c>
      <c r="AT305" s="0" t="n">
        <f aca="false">IF(OR($A$2=公区维修!$F305,$A$2=公区维修!$G305,$BN$2=1),0,2-SUMPRODUCT(--(($A$1:$A$2=公区维修!$F305)+($A$1:$A$2=公区维修!$G305)+$BN$1:$BN$2&gt;0)))</f>
        <v>1</v>
      </c>
      <c r="AU305" s="0" t="n">
        <f aca="false">IF(OR($A$3=公区维修!$F305,$A$3=公区维修!$G305,$BN$3=1),0,3-SUMPRODUCT(--(($A$1:$A$3=公区维修!$F305)+($A$1:$A$3=公区维修!$G305)+$BN$1:$BN$3&gt;0)))</f>
        <v>2</v>
      </c>
      <c r="AV305" s="0" t="n">
        <f aca="false">IF(OR($A$4=公区维修!$F305,$A$4=公区维修!$G305,$BN$4=1),0,4-SUMPRODUCT(--(($A$1:$A$4=公区维修!$F305)+($A$1:$A$4=公区维修!$G305)+$BN$1:$BN$4&gt;0)))</f>
        <v>3</v>
      </c>
      <c r="AW305" s="0" t="n">
        <f aca="false">IF(OR($A$5=公区维修!$F305,$A$5=公区维修!$G305,$BN$5=1),0,5-SUMPRODUCT(--(($A$1:$A$5=公区维修!$F305)+($A$1:$A$5=公区维修!$G305)+$BN$1:$BN$5&gt;0)))</f>
        <v>4</v>
      </c>
      <c r="AY305" s="0" t="str">
        <f aca="false">IFERROR(INDEX($A$1:$A$5,MATCH(1,$AS305:$AW305,0)),IF(1=MAX($AS305:$AW305)+1,"取消",""))</f>
        <v>李师傅</v>
      </c>
      <c r="AZ305" s="0" t="str">
        <f aca="false">IFERROR(INDEX($A$1:$A$5,MATCH(2,$AS305:$AW305,0)),IF(2=MAX($AS305:$AW305)+1,"取消",""))</f>
        <v>王师傅</v>
      </c>
      <c r="BA305" s="0" t="str">
        <f aca="false">IFERROR(INDEX($A$1:$A$5,MATCH(3,$AS305:$AW305,0)),IF(3=MAX($AS305:$AW305)+1,"取消",""))</f>
        <v>陈师傅</v>
      </c>
      <c r="BB305" s="0" t="str">
        <f aca="false">IFERROR(INDEX($A$1:$A$5,MATCH(4,$AS305:$AW305,0)),IF(4=MAX($AS305:$AW305)+1,"取消",""))</f>
        <v>刘师傅</v>
      </c>
      <c r="BC305" s="0" t="str">
        <f aca="false">IFERROR(INDEX($A$1:$A$5,MATCH(5,$AS305:$AW305,0)),IF(5=MAX($AS305:$AW305)+1,"取消",""))</f>
        <v>取消</v>
      </c>
      <c r="BD305" s="0" t="str">
        <f aca="false">IFERROR(INDEX($A$1:$A$5,MATCH(6,$AS305:$AW305,0)),IF(6=MAX($AS305:$AW305)+1,"取消",""))</f>
        <v/>
      </c>
      <c r="FW305" s="0" t="str">
        <f aca="false">IF(AND(单元查询!$D$3&lt;&gt;"",IF(单元查询!$B$3="公区维修",公区维修!$E305&lt;&gt;"",入户维修!$E305&lt;&gt;""),IF(单元查询!$B$3="公区维修",公区维修!$C305,入户维修!$C305)=单元查询!$D$3,OR(单元查询!$F$3="",IF(单元查询!$B$3="公区维修",公区维修!$D305,入户维修!$D305)&amp;""=(单元查询!$F$3)&amp;"")),MAX($FW$4:$FW304)+1,"")</f>
        <v/>
      </c>
    </row>
    <row r="306" customFormat="false" ht="15" hidden="false" customHeight="true" outlineLevel="0" collapsed="false">
      <c r="F306" s="0" t="n">
        <f aca="false">IF(OR($A$1=入户维修!$F306,$BN$1=1),0,1-SUMPRODUCT(--(($A$1=入户维修!$F306)+$BN$1&gt;0)))</f>
        <v>0</v>
      </c>
      <c r="G306" s="0" t="n">
        <f aca="false">IF(OR($A$2=入户维修!$F306,$BN$2=1),0,2-SUMPRODUCT(--(($A$1:$A$2=入户维修!$F306)+$BN$1:$BN$2&gt;0)))</f>
        <v>1</v>
      </c>
      <c r="H306" s="0" t="n">
        <f aca="false">IF(OR($A$3=入户维修!$F306,$BN$3=1),0,3-SUMPRODUCT(--(($A$1:$A$3=入户维修!$F306)+$BN$1:$BN$3&gt;0)))</f>
        <v>2</v>
      </c>
      <c r="I306" s="0" t="n">
        <f aca="false">IF(OR($A$4=入户维修!$F306,$BN$4=1),0,4-SUMPRODUCT(--(($A$1:$A$4=入户维修!$F306)+$BN$1:$BN$4&gt;0)))</f>
        <v>3</v>
      </c>
      <c r="J306" s="0" t="n">
        <f aca="false">IF(OR($A$5=入户维修!$F306,$BN$5=1),0,5-SUMPRODUCT(--(($A$1:$A$5=入户维修!$F306)+$BN$1:$BN$5&gt;0)))</f>
        <v>4</v>
      </c>
      <c r="L306" s="0" t="str">
        <f aca="false">IFERROR(INDEX($A$1:$A$5,MATCH(1,$F306:$J306,0)),IF(1=MAX($F306:$J306)+1,"取消",""))</f>
        <v>李师傅</v>
      </c>
      <c r="M306" s="0" t="str">
        <f aca="false">IFERROR(INDEX($A$1:$A$5,MATCH(2,$F306:$J306,0)),IF(2=MAX($F306:$J306)+1,"取消",""))</f>
        <v>王师傅</v>
      </c>
      <c r="N306" s="0" t="str">
        <f aca="false">IFERROR(INDEX($A$1:$A$5,MATCH(3,$F306:$J306,0)),IF(3=MAX($F306:$J306)+1,"取消",""))</f>
        <v>陈师傅</v>
      </c>
      <c r="O306" s="0" t="str">
        <f aca="false">IFERROR(INDEX($A$1:$A$5,MATCH(4,$F306:$J306,0)),IF(4=MAX($F306:$J306)+1,"取消",""))</f>
        <v>刘师傅</v>
      </c>
      <c r="P306" s="0" t="str">
        <f aca="false">IFERROR(INDEX($A$1:$A$5,MATCH(5,$F306:$J306,0)),IF(5=MAX($F306:$J306)+1,"取消",""))</f>
        <v>取消</v>
      </c>
      <c r="Q306" s="0" t="str">
        <f aca="false">IFERROR(INDEX($A$1:$A$5,MATCH(6,$F306:$J306,0)),IF(6=MAX($F306:$J306)+1,"取消",""))</f>
        <v/>
      </c>
      <c r="S306" s="0" t="n">
        <f aca="false">IF(OR($A$1=入户维修!$F306,$A$1=入户维修!$G306,$BN$1=1),0,1-SUMPRODUCT(--(($A$1=入户维修!$F306)+($A$1=入户维修!$G306)+$BN$1&gt;0)))</f>
        <v>0</v>
      </c>
      <c r="T306" s="0" t="n">
        <f aca="false">IF(OR($A$2=入户维修!$F306,$A$2=入户维修!$G306,$BN$2=1),0,2-SUMPRODUCT(--(($A$1:$A$2=入户维修!$F306)+($A$1:$A$2=入户维修!$G306)+$BN$1:$BN$2&gt;0)))</f>
        <v>1</v>
      </c>
      <c r="U306" s="0" t="n">
        <f aca="false">IF(OR($A$3=入户维修!$F306,$A$3=入户维修!$G306,$BN$3=1),0,3-SUMPRODUCT(--(($A$1:$A$3=入户维修!$F306)+($A$1:$A$3=入户维修!$G306)+$BN$1:$BN$3&gt;0)))</f>
        <v>2</v>
      </c>
      <c r="V306" s="0" t="n">
        <f aca="false">IF(OR($A$4=入户维修!$F306,$A$4=入户维修!$G306,$BN$4=1),0,4-SUMPRODUCT(--(($A$1:$A$4=入户维修!$F306)+($A$1:$A$4=入户维修!$G306)+$BN$1:$BN$4&gt;0)))</f>
        <v>3</v>
      </c>
      <c r="W306" s="0" t="n">
        <f aca="false">IF(OR($A$5=入户维修!$F306,$A$5=入户维修!$G306,$BN$5=1),0,5-SUMPRODUCT(--(($A$1:$A$5=入户维修!$F306)+($A$1:$A$5=入户维修!$G306)+$BN$1:$BN$5&gt;0)))</f>
        <v>4</v>
      </c>
      <c r="Y306" s="0" t="str">
        <f aca="false">IFERROR(INDEX($A$1:$A$5,MATCH(1,$S306:$W306,0)),IF(1=MAX($S306:$W306)+1,"取消",""))</f>
        <v>李师傅</v>
      </c>
      <c r="Z306" s="0" t="str">
        <f aca="false">IFERROR(INDEX($A$1:$A$5,MATCH(2,$S306:$W306,0)),IF(2=MAX($S306:$W306)+1,"取消",""))</f>
        <v>王师傅</v>
      </c>
      <c r="AA306" s="0" t="str">
        <f aca="false">IFERROR(INDEX($A$1:$A$5,MATCH(3,$S306:$W306,0)),IF(3=MAX($S306:$W306)+1,"取消",""))</f>
        <v>陈师傅</v>
      </c>
      <c r="AB306" s="0" t="str">
        <f aca="false">IFERROR(INDEX($A$1:$A$5,MATCH(4,$S306:$W306,0)),IF(4=MAX($S306:$W306)+1,"取消",""))</f>
        <v>刘师傅</v>
      </c>
      <c r="AC306" s="0" t="str">
        <f aca="false">IFERROR(INDEX($A$1:$A$5,MATCH(5,$S306:$W306,0)),IF(5=MAX($S306:$W306)+1,"取消",""))</f>
        <v>取消</v>
      </c>
      <c r="AD306" s="0" t="str">
        <f aca="false">IFERROR(INDEX($A$1:$A$5,MATCH(6,$S306:$W306,0)),IF(6=MAX($S306:$W306)+1,"取消",""))</f>
        <v/>
      </c>
      <c r="AF306" s="0" t="n">
        <f aca="false">IF(OR($A$1=公区维修!$F306,$BN$1=1),0,1-SUMPRODUCT(--(($A$1=公区维修!$F306)+$BN$1&gt;0)))</f>
        <v>0</v>
      </c>
      <c r="AG306" s="0" t="n">
        <f aca="false">IF(OR($A$2=公区维修!$F306,$BN$2=1),0,2-SUMPRODUCT(--(($A$1:$A$2=公区维修!$F306)+$BN$1:$BN$2&gt;0)))</f>
        <v>1</v>
      </c>
      <c r="AH306" s="0" t="n">
        <f aca="false">IF(OR($A$3=公区维修!$F306,$BN$3=1),0,3-SUMPRODUCT(--(($A$1:$A$3=公区维修!$F306)+$BN$1:$BN$3&gt;0)))</f>
        <v>2</v>
      </c>
      <c r="AI306" s="0" t="n">
        <f aca="false">IF(OR($A$4=公区维修!$F306,$BN$4=1),0,4-SUMPRODUCT(--(($A$1:$A$4=公区维修!$F306)+$BN$1:$BN$4&gt;0)))</f>
        <v>3</v>
      </c>
      <c r="AJ306" s="0" t="n">
        <f aca="false">IF(OR($A$5=公区维修!$F306,$BN$5=1),0,5-SUMPRODUCT(--(($A$1:$A$5=公区维修!$F306)+$BN$1:$BN$5&gt;0)))</f>
        <v>4</v>
      </c>
      <c r="AL306" s="0" t="str">
        <f aca="false">IFERROR(INDEX($A$1:$A$5,MATCH(1,$AF306:$AJ306,0)),IF(1=MAX($AF306:$AJ306)+1,"取消",""))</f>
        <v>李师傅</v>
      </c>
      <c r="AM306" s="0" t="str">
        <f aca="false">IFERROR(INDEX($A$1:$A$5,MATCH(2,$AF306:$AJ306,0)),IF(2=MAX($AF306:$AJ306)+1,"取消",""))</f>
        <v>王师傅</v>
      </c>
      <c r="AN306" s="0" t="str">
        <f aca="false">IFERROR(INDEX($A$1:$A$5,MATCH(3,$AF306:$AJ306,0)),IF(3=MAX($AF306:$AJ306)+1,"取消",""))</f>
        <v>陈师傅</v>
      </c>
      <c r="AO306" s="0" t="str">
        <f aca="false">IFERROR(INDEX($A$1:$A$5,MATCH(4,$AF306:$AJ306,0)),IF(4=MAX($AF306:$AJ306)+1,"取消",""))</f>
        <v>刘师傅</v>
      </c>
      <c r="AP306" s="0" t="str">
        <f aca="false">IFERROR(INDEX($A$1:$A$5,MATCH(5,$AF306:$AJ306,0)),IF(5=MAX($AF306:$AJ306)+1,"取消",""))</f>
        <v>取消</v>
      </c>
      <c r="AQ306" s="0" t="str">
        <f aca="false">IFERROR(INDEX($A$1:$A$5,MATCH(6,$AF306:$AJ306,0)),IF(6=MAX($AF306:$AJ306)+1,"取消",""))</f>
        <v/>
      </c>
      <c r="AS306" s="0" t="n">
        <f aca="false">IF(OR($A$1=公区维修!$F306,$A$1=公区维修!$G306,$BN$1=1),0,1-SUMPRODUCT(--(($A$1=公区维修!$F306)+($A$1=公区维修!$G306)+$BN$1&gt;0)))</f>
        <v>0</v>
      </c>
      <c r="AT306" s="0" t="n">
        <f aca="false">IF(OR($A$2=公区维修!$F306,$A$2=公区维修!$G306,$BN$2=1),0,2-SUMPRODUCT(--(($A$1:$A$2=公区维修!$F306)+($A$1:$A$2=公区维修!$G306)+$BN$1:$BN$2&gt;0)))</f>
        <v>1</v>
      </c>
      <c r="AU306" s="0" t="n">
        <f aca="false">IF(OR($A$3=公区维修!$F306,$A$3=公区维修!$G306,$BN$3=1),0,3-SUMPRODUCT(--(($A$1:$A$3=公区维修!$F306)+($A$1:$A$3=公区维修!$G306)+$BN$1:$BN$3&gt;0)))</f>
        <v>2</v>
      </c>
      <c r="AV306" s="0" t="n">
        <f aca="false">IF(OR($A$4=公区维修!$F306,$A$4=公区维修!$G306,$BN$4=1),0,4-SUMPRODUCT(--(($A$1:$A$4=公区维修!$F306)+($A$1:$A$4=公区维修!$G306)+$BN$1:$BN$4&gt;0)))</f>
        <v>3</v>
      </c>
      <c r="AW306" s="0" t="n">
        <f aca="false">IF(OR($A$5=公区维修!$F306,$A$5=公区维修!$G306,$BN$5=1),0,5-SUMPRODUCT(--(($A$1:$A$5=公区维修!$F306)+($A$1:$A$5=公区维修!$G306)+$BN$1:$BN$5&gt;0)))</f>
        <v>4</v>
      </c>
      <c r="AY306" s="0" t="str">
        <f aca="false">IFERROR(INDEX($A$1:$A$5,MATCH(1,$AS306:$AW306,0)),IF(1=MAX($AS306:$AW306)+1,"取消",""))</f>
        <v>李师傅</v>
      </c>
      <c r="AZ306" s="0" t="str">
        <f aca="false">IFERROR(INDEX($A$1:$A$5,MATCH(2,$AS306:$AW306,0)),IF(2=MAX($AS306:$AW306)+1,"取消",""))</f>
        <v>王师傅</v>
      </c>
      <c r="BA306" s="0" t="str">
        <f aca="false">IFERROR(INDEX($A$1:$A$5,MATCH(3,$AS306:$AW306,0)),IF(3=MAX($AS306:$AW306)+1,"取消",""))</f>
        <v>陈师傅</v>
      </c>
      <c r="BB306" s="0" t="str">
        <f aca="false">IFERROR(INDEX($A$1:$A$5,MATCH(4,$AS306:$AW306,0)),IF(4=MAX($AS306:$AW306)+1,"取消",""))</f>
        <v>刘师傅</v>
      </c>
      <c r="BC306" s="0" t="str">
        <f aca="false">IFERROR(INDEX($A$1:$A$5,MATCH(5,$AS306:$AW306,0)),IF(5=MAX($AS306:$AW306)+1,"取消",""))</f>
        <v>取消</v>
      </c>
      <c r="BD306" s="0" t="str">
        <f aca="false">IFERROR(INDEX($A$1:$A$5,MATCH(6,$AS306:$AW306,0)),IF(6=MAX($AS306:$AW306)+1,"取消",""))</f>
        <v/>
      </c>
      <c r="FW306" s="0" t="str">
        <f aca="false">IF(AND(单元查询!$D$3&lt;&gt;"",IF(单元查询!$B$3="公区维修",公区维修!$E306&lt;&gt;"",入户维修!$E306&lt;&gt;""),IF(单元查询!$B$3="公区维修",公区维修!$C306,入户维修!$C306)=单元查询!$D$3,OR(单元查询!$F$3="",IF(单元查询!$B$3="公区维修",公区维修!$D306,入户维修!$D306)&amp;""=(单元查询!$F$3)&amp;"")),MAX($FW$4:$FW305)+1,"")</f>
        <v/>
      </c>
    </row>
    <row r="307" customFormat="false" ht="15" hidden="false" customHeight="true" outlineLevel="0" collapsed="false">
      <c r="F307" s="0" t="n">
        <f aca="false">IF(OR($A$1=入户维修!$F307,$BN$1=1),0,1-SUMPRODUCT(--(($A$1=入户维修!$F307)+$BN$1&gt;0)))</f>
        <v>0</v>
      </c>
      <c r="G307" s="0" t="n">
        <f aca="false">IF(OR($A$2=入户维修!$F307,$BN$2=1),0,2-SUMPRODUCT(--(($A$1:$A$2=入户维修!$F307)+$BN$1:$BN$2&gt;0)))</f>
        <v>1</v>
      </c>
      <c r="H307" s="0" t="n">
        <f aca="false">IF(OR($A$3=入户维修!$F307,$BN$3=1),0,3-SUMPRODUCT(--(($A$1:$A$3=入户维修!$F307)+$BN$1:$BN$3&gt;0)))</f>
        <v>2</v>
      </c>
      <c r="I307" s="0" t="n">
        <f aca="false">IF(OR($A$4=入户维修!$F307,$BN$4=1),0,4-SUMPRODUCT(--(($A$1:$A$4=入户维修!$F307)+$BN$1:$BN$4&gt;0)))</f>
        <v>3</v>
      </c>
      <c r="J307" s="0" t="n">
        <f aca="false">IF(OR($A$5=入户维修!$F307,$BN$5=1),0,5-SUMPRODUCT(--(($A$1:$A$5=入户维修!$F307)+$BN$1:$BN$5&gt;0)))</f>
        <v>4</v>
      </c>
      <c r="L307" s="0" t="str">
        <f aca="false">IFERROR(INDEX($A$1:$A$5,MATCH(1,$F307:$J307,0)),IF(1=MAX($F307:$J307)+1,"取消",""))</f>
        <v>李师傅</v>
      </c>
      <c r="M307" s="0" t="str">
        <f aca="false">IFERROR(INDEX($A$1:$A$5,MATCH(2,$F307:$J307,0)),IF(2=MAX($F307:$J307)+1,"取消",""))</f>
        <v>王师傅</v>
      </c>
      <c r="N307" s="0" t="str">
        <f aca="false">IFERROR(INDEX($A$1:$A$5,MATCH(3,$F307:$J307,0)),IF(3=MAX($F307:$J307)+1,"取消",""))</f>
        <v>陈师傅</v>
      </c>
      <c r="O307" s="0" t="str">
        <f aca="false">IFERROR(INDEX($A$1:$A$5,MATCH(4,$F307:$J307,0)),IF(4=MAX($F307:$J307)+1,"取消",""))</f>
        <v>刘师傅</v>
      </c>
      <c r="P307" s="0" t="str">
        <f aca="false">IFERROR(INDEX($A$1:$A$5,MATCH(5,$F307:$J307,0)),IF(5=MAX($F307:$J307)+1,"取消",""))</f>
        <v>取消</v>
      </c>
      <c r="Q307" s="0" t="str">
        <f aca="false">IFERROR(INDEX($A$1:$A$5,MATCH(6,$F307:$J307,0)),IF(6=MAX($F307:$J307)+1,"取消",""))</f>
        <v/>
      </c>
      <c r="S307" s="0" t="n">
        <f aca="false">IF(OR($A$1=入户维修!$F307,$A$1=入户维修!$G307,$BN$1=1),0,1-SUMPRODUCT(--(($A$1=入户维修!$F307)+($A$1=入户维修!$G307)+$BN$1&gt;0)))</f>
        <v>0</v>
      </c>
      <c r="T307" s="0" t="n">
        <f aca="false">IF(OR($A$2=入户维修!$F307,$A$2=入户维修!$G307,$BN$2=1),0,2-SUMPRODUCT(--(($A$1:$A$2=入户维修!$F307)+($A$1:$A$2=入户维修!$G307)+$BN$1:$BN$2&gt;0)))</f>
        <v>1</v>
      </c>
      <c r="U307" s="0" t="n">
        <f aca="false">IF(OR($A$3=入户维修!$F307,$A$3=入户维修!$G307,$BN$3=1),0,3-SUMPRODUCT(--(($A$1:$A$3=入户维修!$F307)+($A$1:$A$3=入户维修!$G307)+$BN$1:$BN$3&gt;0)))</f>
        <v>2</v>
      </c>
      <c r="V307" s="0" t="n">
        <f aca="false">IF(OR($A$4=入户维修!$F307,$A$4=入户维修!$G307,$BN$4=1),0,4-SUMPRODUCT(--(($A$1:$A$4=入户维修!$F307)+($A$1:$A$4=入户维修!$G307)+$BN$1:$BN$4&gt;0)))</f>
        <v>3</v>
      </c>
      <c r="W307" s="0" t="n">
        <f aca="false">IF(OR($A$5=入户维修!$F307,$A$5=入户维修!$G307,$BN$5=1),0,5-SUMPRODUCT(--(($A$1:$A$5=入户维修!$F307)+($A$1:$A$5=入户维修!$G307)+$BN$1:$BN$5&gt;0)))</f>
        <v>4</v>
      </c>
      <c r="Y307" s="0" t="str">
        <f aca="false">IFERROR(INDEX($A$1:$A$5,MATCH(1,$S307:$W307,0)),IF(1=MAX($S307:$W307)+1,"取消",""))</f>
        <v>李师傅</v>
      </c>
      <c r="Z307" s="0" t="str">
        <f aca="false">IFERROR(INDEX($A$1:$A$5,MATCH(2,$S307:$W307,0)),IF(2=MAX($S307:$W307)+1,"取消",""))</f>
        <v>王师傅</v>
      </c>
      <c r="AA307" s="0" t="str">
        <f aca="false">IFERROR(INDEX($A$1:$A$5,MATCH(3,$S307:$W307,0)),IF(3=MAX($S307:$W307)+1,"取消",""))</f>
        <v>陈师傅</v>
      </c>
      <c r="AB307" s="0" t="str">
        <f aca="false">IFERROR(INDEX($A$1:$A$5,MATCH(4,$S307:$W307,0)),IF(4=MAX($S307:$W307)+1,"取消",""))</f>
        <v>刘师傅</v>
      </c>
      <c r="AC307" s="0" t="str">
        <f aca="false">IFERROR(INDEX($A$1:$A$5,MATCH(5,$S307:$W307,0)),IF(5=MAX($S307:$W307)+1,"取消",""))</f>
        <v>取消</v>
      </c>
      <c r="AD307" s="0" t="str">
        <f aca="false">IFERROR(INDEX($A$1:$A$5,MATCH(6,$S307:$W307,0)),IF(6=MAX($S307:$W307)+1,"取消",""))</f>
        <v/>
      </c>
      <c r="AF307" s="0" t="n">
        <f aca="false">IF(OR($A$1=公区维修!$F307,$BN$1=1),0,1-SUMPRODUCT(--(($A$1=公区维修!$F307)+$BN$1&gt;0)))</f>
        <v>0</v>
      </c>
      <c r="AG307" s="0" t="n">
        <f aca="false">IF(OR($A$2=公区维修!$F307,$BN$2=1),0,2-SUMPRODUCT(--(($A$1:$A$2=公区维修!$F307)+$BN$1:$BN$2&gt;0)))</f>
        <v>1</v>
      </c>
      <c r="AH307" s="0" t="n">
        <f aca="false">IF(OR($A$3=公区维修!$F307,$BN$3=1),0,3-SUMPRODUCT(--(($A$1:$A$3=公区维修!$F307)+$BN$1:$BN$3&gt;0)))</f>
        <v>2</v>
      </c>
      <c r="AI307" s="0" t="n">
        <f aca="false">IF(OR($A$4=公区维修!$F307,$BN$4=1),0,4-SUMPRODUCT(--(($A$1:$A$4=公区维修!$F307)+$BN$1:$BN$4&gt;0)))</f>
        <v>3</v>
      </c>
      <c r="AJ307" s="0" t="n">
        <f aca="false">IF(OR($A$5=公区维修!$F307,$BN$5=1),0,5-SUMPRODUCT(--(($A$1:$A$5=公区维修!$F307)+$BN$1:$BN$5&gt;0)))</f>
        <v>4</v>
      </c>
      <c r="AL307" s="0" t="str">
        <f aca="false">IFERROR(INDEX($A$1:$A$5,MATCH(1,$AF307:$AJ307,0)),IF(1=MAX($AF307:$AJ307)+1,"取消",""))</f>
        <v>李师傅</v>
      </c>
      <c r="AM307" s="0" t="str">
        <f aca="false">IFERROR(INDEX($A$1:$A$5,MATCH(2,$AF307:$AJ307,0)),IF(2=MAX($AF307:$AJ307)+1,"取消",""))</f>
        <v>王师傅</v>
      </c>
      <c r="AN307" s="0" t="str">
        <f aca="false">IFERROR(INDEX($A$1:$A$5,MATCH(3,$AF307:$AJ307,0)),IF(3=MAX($AF307:$AJ307)+1,"取消",""))</f>
        <v>陈师傅</v>
      </c>
      <c r="AO307" s="0" t="str">
        <f aca="false">IFERROR(INDEX($A$1:$A$5,MATCH(4,$AF307:$AJ307,0)),IF(4=MAX($AF307:$AJ307)+1,"取消",""))</f>
        <v>刘师傅</v>
      </c>
      <c r="AP307" s="0" t="str">
        <f aca="false">IFERROR(INDEX($A$1:$A$5,MATCH(5,$AF307:$AJ307,0)),IF(5=MAX($AF307:$AJ307)+1,"取消",""))</f>
        <v>取消</v>
      </c>
      <c r="AQ307" s="0" t="str">
        <f aca="false">IFERROR(INDEX($A$1:$A$5,MATCH(6,$AF307:$AJ307,0)),IF(6=MAX($AF307:$AJ307)+1,"取消",""))</f>
        <v/>
      </c>
      <c r="AS307" s="0" t="n">
        <f aca="false">IF(OR($A$1=公区维修!$F307,$A$1=公区维修!$G307,$BN$1=1),0,1-SUMPRODUCT(--(($A$1=公区维修!$F307)+($A$1=公区维修!$G307)+$BN$1&gt;0)))</f>
        <v>0</v>
      </c>
      <c r="AT307" s="0" t="n">
        <f aca="false">IF(OR($A$2=公区维修!$F307,$A$2=公区维修!$G307,$BN$2=1),0,2-SUMPRODUCT(--(($A$1:$A$2=公区维修!$F307)+($A$1:$A$2=公区维修!$G307)+$BN$1:$BN$2&gt;0)))</f>
        <v>1</v>
      </c>
      <c r="AU307" s="0" t="n">
        <f aca="false">IF(OR($A$3=公区维修!$F307,$A$3=公区维修!$G307,$BN$3=1),0,3-SUMPRODUCT(--(($A$1:$A$3=公区维修!$F307)+($A$1:$A$3=公区维修!$G307)+$BN$1:$BN$3&gt;0)))</f>
        <v>2</v>
      </c>
      <c r="AV307" s="0" t="n">
        <f aca="false">IF(OR($A$4=公区维修!$F307,$A$4=公区维修!$G307,$BN$4=1),0,4-SUMPRODUCT(--(($A$1:$A$4=公区维修!$F307)+($A$1:$A$4=公区维修!$G307)+$BN$1:$BN$4&gt;0)))</f>
        <v>3</v>
      </c>
      <c r="AW307" s="0" t="n">
        <f aca="false">IF(OR($A$5=公区维修!$F307,$A$5=公区维修!$G307,$BN$5=1),0,5-SUMPRODUCT(--(($A$1:$A$5=公区维修!$F307)+($A$1:$A$5=公区维修!$G307)+$BN$1:$BN$5&gt;0)))</f>
        <v>4</v>
      </c>
      <c r="AY307" s="0" t="str">
        <f aca="false">IFERROR(INDEX($A$1:$A$5,MATCH(1,$AS307:$AW307,0)),IF(1=MAX($AS307:$AW307)+1,"取消",""))</f>
        <v>李师傅</v>
      </c>
      <c r="AZ307" s="0" t="str">
        <f aca="false">IFERROR(INDEX($A$1:$A$5,MATCH(2,$AS307:$AW307,0)),IF(2=MAX($AS307:$AW307)+1,"取消",""))</f>
        <v>王师傅</v>
      </c>
      <c r="BA307" s="0" t="str">
        <f aca="false">IFERROR(INDEX($A$1:$A$5,MATCH(3,$AS307:$AW307,0)),IF(3=MAX($AS307:$AW307)+1,"取消",""))</f>
        <v>陈师傅</v>
      </c>
      <c r="BB307" s="0" t="str">
        <f aca="false">IFERROR(INDEX($A$1:$A$5,MATCH(4,$AS307:$AW307,0)),IF(4=MAX($AS307:$AW307)+1,"取消",""))</f>
        <v>刘师傅</v>
      </c>
      <c r="BC307" s="0" t="str">
        <f aca="false">IFERROR(INDEX($A$1:$A$5,MATCH(5,$AS307:$AW307,0)),IF(5=MAX($AS307:$AW307)+1,"取消",""))</f>
        <v>取消</v>
      </c>
      <c r="BD307" s="0" t="str">
        <f aca="false">IFERROR(INDEX($A$1:$A$5,MATCH(6,$AS307:$AW307,0)),IF(6=MAX($AS307:$AW307)+1,"取消",""))</f>
        <v/>
      </c>
      <c r="FW307" s="0" t="str">
        <f aca="false">IF(AND(单元查询!$D$3&lt;&gt;"",IF(单元查询!$B$3="公区维修",公区维修!$E307&lt;&gt;"",入户维修!$E307&lt;&gt;""),IF(单元查询!$B$3="公区维修",公区维修!$C307,入户维修!$C307)=单元查询!$D$3,OR(单元查询!$F$3="",IF(单元查询!$B$3="公区维修",公区维修!$D307,入户维修!$D307)&amp;""=(单元查询!$F$3)&amp;"")),MAX($FW$4:$FW306)+1,"")</f>
        <v/>
      </c>
    </row>
    <row r="308" customFormat="false" ht="15" hidden="false" customHeight="true" outlineLevel="0" collapsed="false">
      <c r="F308" s="0" t="n">
        <f aca="false">IF(OR($A$1=入户维修!$F308,$BN$1=1),0,1-SUMPRODUCT(--(($A$1=入户维修!$F308)+$BN$1&gt;0)))</f>
        <v>0</v>
      </c>
      <c r="G308" s="0" t="n">
        <f aca="false">IF(OR($A$2=入户维修!$F308,$BN$2=1),0,2-SUMPRODUCT(--(($A$1:$A$2=入户维修!$F308)+$BN$1:$BN$2&gt;0)))</f>
        <v>1</v>
      </c>
      <c r="H308" s="0" t="n">
        <f aca="false">IF(OR($A$3=入户维修!$F308,$BN$3=1),0,3-SUMPRODUCT(--(($A$1:$A$3=入户维修!$F308)+$BN$1:$BN$3&gt;0)))</f>
        <v>2</v>
      </c>
      <c r="I308" s="0" t="n">
        <f aca="false">IF(OR($A$4=入户维修!$F308,$BN$4=1),0,4-SUMPRODUCT(--(($A$1:$A$4=入户维修!$F308)+$BN$1:$BN$4&gt;0)))</f>
        <v>3</v>
      </c>
      <c r="J308" s="0" t="n">
        <f aca="false">IF(OR($A$5=入户维修!$F308,$BN$5=1),0,5-SUMPRODUCT(--(($A$1:$A$5=入户维修!$F308)+$BN$1:$BN$5&gt;0)))</f>
        <v>4</v>
      </c>
      <c r="L308" s="0" t="str">
        <f aca="false">IFERROR(INDEX($A$1:$A$5,MATCH(1,$F308:$J308,0)),IF(1=MAX($F308:$J308)+1,"取消",""))</f>
        <v>李师傅</v>
      </c>
      <c r="M308" s="0" t="str">
        <f aca="false">IFERROR(INDEX($A$1:$A$5,MATCH(2,$F308:$J308,0)),IF(2=MAX($F308:$J308)+1,"取消",""))</f>
        <v>王师傅</v>
      </c>
      <c r="N308" s="0" t="str">
        <f aca="false">IFERROR(INDEX($A$1:$A$5,MATCH(3,$F308:$J308,0)),IF(3=MAX($F308:$J308)+1,"取消",""))</f>
        <v>陈师傅</v>
      </c>
      <c r="O308" s="0" t="str">
        <f aca="false">IFERROR(INDEX($A$1:$A$5,MATCH(4,$F308:$J308,0)),IF(4=MAX($F308:$J308)+1,"取消",""))</f>
        <v>刘师傅</v>
      </c>
      <c r="P308" s="0" t="str">
        <f aca="false">IFERROR(INDEX($A$1:$A$5,MATCH(5,$F308:$J308,0)),IF(5=MAX($F308:$J308)+1,"取消",""))</f>
        <v>取消</v>
      </c>
      <c r="Q308" s="0" t="str">
        <f aca="false">IFERROR(INDEX($A$1:$A$5,MATCH(6,$F308:$J308,0)),IF(6=MAX($F308:$J308)+1,"取消",""))</f>
        <v/>
      </c>
      <c r="S308" s="0" t="n">
        <f aca="false">IF(OR($A$1=入户维修!$F308,$A$1=入户维修!$G308,$BN$1=1),0,1-SUMPRODUCT(--(($A$1=入户维修!$F308)+($A$1=入户维修!$G308)+$BN$1&gt;0)))</f>
        <v>0</v>
      </c>
      <c r="T308" s="0" t="n">
        <f aca="false">IF(OR($A$2=入户维修!$F308,$A$2=入户维修!$G308,$BN$2=1),0,2-SUMPRODUCT(--(($A$1:$A$2=入户维修!$F308)+($A$1:$A$2=入户维修!$G308)+$BN$1:$BN$2&gt;0)))</f>
        <v>1</v>
      </c>
      <c r="U308" s="0" t="n">
        <f aca="false">IF(OR($A$3=入户维修!$F308,$A$3=入户维修!$G308,$BN$3=1),0,3-SUMPRODUCT(--(($A$1:$A$3=入户维修!$F308)+($A$1:$A$3=入户维修!$G308)+$BN$1:$BN$3&gt;0)))</f>
        <v>2</v>
      </c>
      <c r="V308" s="0" t="n">
        <f aca="false">IF(OR($A$4=入户维修!$F308,$A$4=入户维修!$G308,$BN$4=1),0,4-SUMPRODUCT(--(($A$1:$A$4=入户维修!$F308)+($A$1:$A$4=入户维修!$G308)+$BN$1:$BN$4&gt;0)))</f>
        <v>3</v>
      </c>
      <c r="W308" s="0" t="n">
        <f aca="false">IF(OR($A$5=入户维修!$F308,$A$5=入户维修!$G308,$BN$5=1),0,5-SUMPRODUCT(--(($A$1:$A$5=入户维修!$F308)+($A$1:$A$5=入户维修!$G308)+$BN$1:$BN$5&gt;0)))</f>
        <v>4</v>
      </c>
      <c r="Y308" s="0" t="str">
        <f aca="false">IFERROR(INDEX($A$1:$A$5,MATCH(1,$S308:$W308,0)),IF(1=MAX($S308:$W308)+1,"取消",""))</f>
        <v>李师傅</v>
      </c>
      <c r="Z308" s="0" t="str">
        <f aca="false">IFERROR(INDEX($A$1:$A$5,MATCH(2,$S308:$W308,0)),IF(2=MAX($S308:$W308)+1,"取消",""))</f>
        <v>王师傅</v>
      </c>
      <c r="AA308" s="0" t="str">
        <f aca="false">IFERROR(INDEX($A$1:$A$5,MATCH(3,$S308:$W308,0)),IF(3=MAX($S308:$W308)+1,"取消",""))</f>
        <v>陈师傅</v>
      </c>
      <c r="AB308" s="0" t="str">
        <f aca="false">IFERROR(INDEX($A$1:$A$5,MATCH(4,$S308:$W308,0)),IF(4=MAX($S308:$W308)+1,"取消",""))</f>
        <v>刘师傅</v>
      </c>
      <c r="AC308" s="0" t="str">
        <f aca="false">IFERROR(INDEX($A$1:$A$5,MATCH(5,$S308:$W308,0)),IF(5=MAX($S308:$W308)+1,"取消",""))</f>
        <v>取消</v>
      </c>
      <c r="AD308" s="0" t="str">
        <f aca="false">IFERROR(INDEX($A$1:$A$5,MATCH(6,$S308:$W308,0)),IF(6=MAX($S308:$W308)+1,"取消",""))</f>
        <v/>
      </c>
      <c r="AF308" s="0" t="n">
        <f aca="false">IF(OR($A$1=公区维修!$F308,$BN$1=1),0,1-SUMPRODUCT(--(($A$1=公区维修!$F308)+$BN$1&gt;0)))</f>
        <v>0</v>
      </c>
      <c r="AG308" s="0" t="n">
        <f aca="false">IF(OR($A$2=公区维修!$F308,$BN$2=1),0,2-SUMPRODUCT(--(($A$1:$A$2=公区维修!$F308)+$BN$1:$BN$2&gt;0)))</f>
        <v>1</v>
      </c>
      <c r="AH308" s="0" t="n">
        <f aca="false">IF(OR($A$3=公区维修!$F308,$BN$3=1),0,3-SUMPRODUCT(--(($A$1:$A$3=公区维修!$F308)+$BN$1:$BN$3&gt;0)))</f>
        <v>2</v>
      </c>
      <c r="AI308" s="0" t="n">
        <f aca="false">IF(OR($A$4=公区维修!$F308,$BN$4=1),0,4-SUMPRODUCT(--(($A$1:$A$4=公区维修!$F308)+$BN$1:$BN$4&gt;0)))</f>
        <v>3</v>
      </c>
      <c r="AJ308" s="0" t="n">
        <f aca="false">IF(OR($A$5=公区维修!$F308,$BN$5=1),0,5-SUMPRODUCT(--(($A$1:$A$5=公区维修!$F308)+$BN$1:$BN$5&gt;0)))</f>
        <v>4</v>
      </c>
      <c r="AL308" s="0" t="str">
        <f aca="false">IFERROR(INDEX($A$1:$A$5,MATCH(1,$AF308:$AJ308,0)),IF(1=MAX($AF308:$AJ308)+1,"取消",""))</f>
        <v>李师傅</v>
      </c>
      <c r="AM308" s="0" t="str">
        <f aca="false">IFERROR(INDEX($A$1:$A$5,MATCH(2,$AF308:$AJ308,0)),IF(2=MAX($AF308:$AJ308)+1,"取消",""))</f>
        <v>王师傅</v>
      </c>
      <c r="AN308" s="0" t="str">
        <f aca="false">IFERROR(INDEX($A$1:$A$5,MATCH(3,$AF308:$AJ308,0)),IF(3=MAX($AF308:$AJ308)+1,"取消",""))</f>
        <v>陈师傅</v>
      </c>
      <c r="AO308" s="0" t="str">
        <f aca="false">IFERROR(INDEX($A$1:$A$5,MATCH(4,$AF308:$AJ308,0)),IF(4=MAX($AF308:$AJ308)+1,"取消",""))</f>
        <v>刘师傅</v>
      </c>
      <c r="AP308" s="0" t="str">
        <f aca="false">IFERROR(INDEX($A$1:$A$5,MATCH(5,$AF308:$AJ308,0)),IF(5=MAX($AF308:$AJ308)+1,"取消",""))</f>
        <v>取消</v>
      </c>
      <c r="AQ308" s="0" t="str">
        <f aca="false">IFERROR(INDEX($A$1:$A$5,MATCH(6,$AF308:$AJ308,0)),IF(6=MAX($AF308:$AJ308)+1,"取消",""))</f>
        <v/>
      </c>
      <c r="AS308" s="0" t="n">
        <f aca="false">IF(OR($A$1=公区维修!$F308,$A$1=公区维修!$G308,$BN$1=1),0,1-SUMPRODUCT(--(($A$1=公区维修!$F308)+($A$1=公区维修!$G308)+$BN$1&gt;0)))</f>
        <v>0</v>
      </c>
      <c r="AT308" s="0" t="n">
        <f aca="false">IF(OR($A$2=公区维修!$F308,$A$2=公区维修!$G308,$BN$2=1),0,2-SUMPRODUCT(--(($A$1:$A$2=公区维修!$F308)+($A$1:$A$2=公区维修!$G308)+$BN$1:$BN$2&gt;0)))</f>
        <v>1</v>
      </c>
      <c r="AU308" s="0" t="n">
        <f aca="false">IF(OR($A$3=公区维修!$F308,$A$3=公区维修!$G308,$BN$3=1),0,3-SUMPRODUCT(--(($A$1:$A$3=公区维修!$F308)+($A$1:$A$3=公区维修!$G308)+$BN$1:$BN$3&gt;0)))</f>
        <v>2</v>
      </c>
      <c r="AV308" s="0" t="n">
        <f aca="false">IF(OR($A$4=公区维修!$F308,$A$4=公区维修!$G308,$BN$4=1),0,4-SUMPRODUCT(--(($A$1:$A$4=公区维修!$F308)+($A$1:$A$4=公区维修!$G308)+$BN$1:$BN$4&gt;0)))</f>
        <v>3</v>
      </c>
      <c r="AW308" s="0" t="n">
        <f aca="false">IF(OR($A$5=公区维修!$F308,$A$5=公区维修!$G308,$BN$5=1),0,5-SUMPRODUCT(--(($A$1:$A$5=公区维修!$F308)+($A$1:$A$5=公区维修!$G308)+$BN$1:$BN$5&gt;0)))</f>
        <v>4</v>
      </c>
      <c r="AY308" s="0" t="str">
        <f aca="false">IFERROR(INDEX($A$1:$A$5,MATCH(1,$AS308:$AW308,0)),IF(1=MAX($AS308:$AW308)+1,"取消",""))</f>
        <v>李师傅</v>
      </c>
      <c r="AZ308" s="0" t="str">
        <f aca="false">IFERROR(INDEX($A$1:$A$5,MATCH(2,$AS308:$AW308,0)),IF(2=MAX($AS308:$AW308)+1,"取消",""))</f>
        <v>王师傅</v>
      </c>
      <c r="BA308" s="0" t="str">
        <f aca="false">IFERROR(INDEX($A$1:$A$5,MATCH(3,$AS308:$AW308,0)),IF(3=MAX($AS308:$AW308)+1,"取消",""))</f>
        <v>陈师傅</v>
      </c>
      <c r="BB308" s="0" t="str">
        <f aca="false">IFERROR(INDEX($A$1:$A$5,MATCH(4,$AS308:$AW308,0)),IF(4=MAX($AS308:$AW308)+1,"取消",""))</f>
        <v>刘师傅</v>
      </c>
      <c r="BC308" s="0" t="str">
        <f aca="false">IFERROR(INDEX($A$1:$A$5,MATCH(5,$AS308:$AW308,0)),IF(5=MAX($AS308:$AW308)+1,"取消",""))</f>
        <v>取消</v>
      </c>
      <c r="BD308" s="0" t="str">
        <f aca="false">IFERROR(INDEX($A$1:$A$5,MATCH(6,$AS308:$AW308,0)),IF(6=MAX($AS308:$AW308)+1,"取消",""))</f>
        <v/>
      </c>
      <c r="FW308" s="0" t="str">
        <f aca="false">IF(AND(单元查询!$D$3&lt;&gt;"",IF(单元查询!$B$3="公区维修",公区维修!$E308&lt;&gt;"",入户维修!$E308&lt;&gt;""),IF(单元查询!$B$3="公区维修",公区维修!$C308,入户维修!$C308)=单元查询!$D$3,OR(单元查询!$F$3="",IF(单元查询!$B$3="公区维修",公区维修!$D308,入户维修!$D308)&amp;""=(单元查询!$F$3)&amp;"")),MAX($FW$4:$FW307)+1,"")</f>
        <v/>
      </c>
    </row>
    <row r="309" customFormat="false" ht="15" hidden="false" customHeight="true" outlineLevel="0" collapsed="false">
      <c r="F309" s="0" t="n">
        <f aca="false">IF(OR($A$1=入户维修!$F309,$BN$1=1),0,1-SUMPRODUCT(--(($A$1=入户维修!$F309)+$BN$1&gt;0)))</f>
        <v>0</v>
      </c>
      <c r="G309" s="0" t="n">
        <f aca="false">IF(OR($A$2=入户维修!$F309,$BN$2=1),0,2-SUMPRODUCT(--(($A$1:$A$2=入户维修!$F309)+$BN$1:$BN$2&gt;0)))</f>
        <v>1</v>
      </c>
      <c r="H309" s="0" t="n">
        <f aca="false">IF(OR($A$3=入户维修!$F309,$BN$3=1),0,3-SUMPRODUCT(--(($A$1:$A$3=入户维修!$F309)+$BN$1:$BN$3&gt;0)))</f>
        <v>2</v>
      </c>
      <c r="I309" s="0" t="n">
        <f aca="false">IF(OR($A$4=入户维修!$F309,$BN$4=1),0,4-SUMPRODUCT(--(($A$1:$A$4=入户维修!$F309)+$BN$1:$BN$4&gt;0)))</f>
        <v>3</v>
      </c>
      <c r="J309" s="0" t="n">
        <f aca="false">IF(OR($A$5=入户维修!$F309,$BN$5=1),0,5-SUMPRODUCT(--(($A$1:$A$5=入户维修!$F309)+$BN$1:$BN$5&gt;0)))</f>
        <v>4</v>
      </c>
      <c r="L309" s="0" t="str">
        <f aca="false">IFERROR(INDEX($A$1:$A$5,MATCH(1,$F309:$J309,0)),IF(1=MAX($F309:$J309)+1,"取消",""))</f>
        <v>李师傅</v>
      </c>
      <c r="M309" s="0" t="str">
        <f aca="false">IFERROR(INDEX($A$1:$A$5,MATCH(2,$F309:$J309,0)),IF(2=MAX($F309:$J309)+1,"取消",""))</f>
        <v>王师傅</v>
      </c>
      <c r="N309" s="0" t="str">
        <f aca="false">IFERROR(INDEX($A$1:$A$5,MATCH(3,$F309:$J309,0)),IF(3=MAX($F309:$J309)+1,"取消",""))</f>
        <v>陈师傅</v>
      </c>
      <c r="O309" s="0" t="str">
        <f aca="false">IFERROR(INDEX($A$1:$A$5,MATCH(4,$F309:$J309,0)),IF(4=MAX($F309:$J309)+1,"取消",""))</f>
        <v>刘师傅</v>
      </c>
      <c r="P309" s="0" t="str">
        <f aca="false">IFERROR(INDEX($A$1:$A$5,MATCH(5,$F309:$J309,0)),IF(5=MAX($F309:$J309)+1,"取消",""))</f>
        <v>取消</v>
      </c>
      <c r="Q309" s="0" t="str">
        <f aca="false">IFERROR(INDEX($A$1:$A$5,MATCH(6,$F309:$J309,0)),IF(6=MAX($F309:$J309)+1,"取消",""))</f>
        <v/>
      </c>
      <c r="S309" s="0" t="n">
        <f aca="false">IF(OR($A$1=入户维修!$F309,$A$1=入户维修!$G309,$BN$1=1),0,1-SUMPRODUCT(--(($A$1=入户维修!$F309)+($A$1=入户维修!$G309)+$BN$1&gt;0)))</f>
        <v>0</v>
      </c>
      <c r="T309" s="0" t="n">
        <f aca="false">IF(OR($A$2=入户维修!$F309,$A$2=入户维修!$G309,$BN$2=1),0,2-SUMPRODUCT(--(($A$1:$A$2=入户维修!$F309)+($A$1:$A$2=入户维修!$G309)+$BN$1:$BN$2&gt;0)))</f>
        <v>1</v>
      </c>
      <c r="U309" s="0" t="n">
        <f aca="false">IF(OR($A$3=入户维修!$F309,$A$3=入户维修!$G309,$BN$3=1),0,3-SUMPRODUCT(--(($A$1:$A$3=入户维修!$F309)+($A$1:$A$3=入户维修!$G309)+$BN$1:$BN$3&gt;0)))</f>
        <v>2</v>
      </c>
      <c r="V309" s="0" t="n">
        <f aca="false">IF(OR($A$4=入户维修!$F309,$A$4=入户维修!$G309,$BN$4=1),0,4-SUMPRODUCT(--(($A$1:$A$4=入户维修!$F309)+($A$1:$A$4=入户维修!$G309)+$BN$1:$BN$4&gt;0)))</f>
        <v>3</v>
      </c>
      <c r="W309" s="0" t="n">
        <f aca="false">IF(OR($A$5=入户维修!$F309,$A$5=入户维修!$G309,$BN$5=1),0,5-SUMPRODUCT(--(($A$1:$A$5=入户维修!$F309)+($A$1:$A$5=入户维修!$G309)+$BN$1:$BN$5&gt;0)))</f>
        <v>4</v>
      </c>
      <c r="Y309" s="0" t="str">
        <f aca="false">IFERROR(INDEX($A$1:$A$5,MATCH(1,$S309:$W309,0)),IF(1=MAX($S309:$W309)+1,"取消",""))</f>
        <v>李师傅</v>
      </c>
      <c r="Z309" s="0" t="str">
        <f aca="false">IFERROR(INDEX($A$1:$A$5,MATCH(2,$S309:$W309,0)),IF(2=MAX($S309:$W309)+1,"取消",""))</f>
        <v>王师傅</v>
      </c>
      <c r="AA309" s="0" t="str">
        <f aca="false">IFERROR(INDEX($A$1:$A$5,MATCH(3,$S309:$W309,0)),IF(3=MAX($S309:$W309)+1,"取消",""))</f>
        <v>陈师傅</v>
      </c>
      <c r="AB309" s="0" t="str">
        <f aca="false">IFERROR(INDEX($A$1:$A$5,MATCH(4,$S309:$W309,0)),IF(4=MAX($S309:$W309)+1,"取消",""))</f>
        <v>刘师傅</v>
      </c>
      <c r="AC309" s="0" t="str">
        <f aca="false">IFERROR(INDEX($A$1:$A$5,MATCH(5,$S309:$W309,0)),IF(5=MAX($S309:$W309)+1,"取消",""))</f>
        <v>取消</v>
      </c>
      <c r="AD309" s="0" t="str">
        <f aca="false">IFERROR(INDEX($A$1:$A$5,MATCH(6,$S309:$W309,0)),IF(6=MAX($S309:$W309)+1,"取消",""))</f>
        <v/>
      </c>
      <c r="AF309" s="0" t="n">
        <f aca="false">IF(OR($A$1=公区维修!$F309,$BN$1=1),0,1-SUMPRODUCT(--(($A$1=公区维修!$F309)+$BN$1&gt;0)))</f>
        <v>0</v>
      </c>
      <c r="AG309" s="0" t="n">
        <f aca="false">IF(OR($A$2=公区维修!$F309,$BN$2=1),0,2-SUMPRODUCT(--(($A$1:$A$2=公区维修!$F309)+$BN$1:$BN$2&gt;0)))</f>
        <v>1</v>
      </c>
      <c r="AH309" s="0" t="n">
        <f aca="false">IF(OR($A$3=公区维修!$F309,$BN$3=1),0,3-SUMPRODUCT(--(($A$1:$A$3=公区维修!$F309)+$BN$1:$BN$3&gt;0)))</f>
        <v>2</v>
      </c>
      <c r="AI309" s="0" t="n">
        <f aca="false">IF(OR($A$4=公区维修!$F309,$BN$4=1),0,4-SUMPRODUCT(--(($A$1:$A$4=公区维修!$F309)+$BN$1:$BN$4&gt;0)))</f>
        <v>3</v>
      </c>
      <c r="AJ309" s="0" t="n">
        <f aca="false">IF(OR($A$5=公区维修!$F309,$BN$5=1),0,5-SUMPRODUCT(--(($A$1:$A$5=公区维修!$F309)+$BN$1:$BN$5&gt;0)))</f>
        <v>4</v>
      </c>
      <c r="AL309" s="0" t="str">
        <f aca="false">IFERROR(INDEX($A$1:$A$5,MATCH(1,$AF309:$AJ309,0)),IF(1=MAX($AF309:$AJ309)+1,"取消",""))</f>
        <v>李师傅</v>
      </c>
      <c r="AM309" s="0" t="str">
        <f aca="false">IFERROR(INDEX($A$1:$A$5,MATCH(2,$AF309:$AJ309,0)),IF(2=MAX($AF309:$AJ309)+1,"取消",""))</f>
        <v>王师傅</v>
      </c>
      <c r="AN309" s="0" t="str">
        <f aca="false">IFERROR(INDEX($A$1:$A$5,MATCH(3,$AF309:$AJ309,0)),IF(3=MAX($AF309:$AJ309)+1,"取消",""))</f>
        <v>陈师傅</v>
      </c>
      <c r="AO309" s="0" t="str">
        <f aca="false">IFERROR(INDEX($A$1:$A$5,MATCH(4,$AF309:$AJ309,0)),IF(4=MAX($AF309:$AJ309)+1,"取消",""))</f>
        <v>刘师傅</v>
      </c>
      <c r="AP309" s="0" t="str">
        <f aca="false">IFERROR(INDEX($A$1:$A$5,MATCH(5,$AF309:$AJ309,0)),IF(5=MAX($AF309:$AJ309)+1,"取消",""))</f>
        <v>取消</v>
      </c>
      <c r="AQ309" s="0" t="str">
        <f aca="false">IFERROR(INDEX($A$1:$A$5,MATCH(6,$AF309:$AJ309,0)),IF(6=MAX($AF309:$AJ309)+1,"取消",""))</f>
        <v/>
      </c>
      <c r="AS309" s="0" t="n">
        <f aca="false">IF(OR($A$1=公区维修!$F309,$A$1=公区维修!$G309,$BN$1=1),0,1-SUMPRODUCT(--(($A$1=公区维修!$F309)+($A$1=公区维修!$G309)+$BN$1&gt;0)))</f>
        <v>0</v>
      </c>
      <c r="AT309" s="0" t="n">
        <f aca="false">IF(OR($A$2=公区维修!$F309,$A$2=公区维修!$G309,$BN$2=1),0,2-SUMPRODUCT(--(($A$1:$A$2=公区维修!$F309)+($A$1:$A$2=公区维修!$G309)+$BN$1:$BN$2&gt;0)))</f>
        <v>1</v>
      </c>
      <c r="AU309" s="0" t="n">
        <f aca="false">IF(OR($A$3=公区维修!$F309,$A$3=公区维修!$G309,$BN$3=1),0,3-SUMPRODUCT(--(($A$1:$A$3=公区维修!$F309)+($A$1:$A$3=公区维修!$G309)+$BN$1:$BN$3&gt;0)))</f>
        <v>2</v>
      </c>
      <c r="AV309" s="0" t="n">
        <f aca="false">IF(OR($A$4=公区维修!$F309,$A$4=公区维修!$G309,$BN$4=1),0,4-SUMPRODUCT(--(($A$1:$A$4=公区维修!$F309)+($A$1:$A$4=公区维修!$G309)+$BN$1:$BN$4&gt;0)))</f>
        <v>3</v>
      </c>
      <c r="AW309" s="0" t="n">
        <f aca="false">IF(OR($A$5=公区维修!$F309,$A$5=公区维修!$G309,$BN$5=1),0,5-SUMPRODUCT(--(($A$1:$A$5=公区维修!$F309)+($A$1:$A$5=公区维修!$G309)+$BN$1:$BN$5&gt;0)))</f>
        <v>4</v>
      </c>
      <c r="AY309" s="0" t="str">
        <f aca="false">IFERROR(INDEX($A$1:$A$5,MATCH(1,$AS309:$AW309,0)),IF(1=MAX($AS309:$AW309)+1,"取消",""))</f>
        <v>李师傅</v>
      </c>
      <c r="AZ309" s="0" t="str">
        <f aca="false">IFERROR(INDEX($A$1:$A$5,MATCH(2,$AS309:$AW309,0)),IF(2=MAX($AS309:$AW309)+1,"取消",""))</f>
        <v>王师傅</v>
      </c>
      <c r="BA309" s="0" t="str">
        <f aca="false">IFERROR(INDEX($A$1:$A$5,MATCH(3,$AS309:$AW309,0)),IF(3=MAX($AS309:$AW309)+1,"取消",""))</f>
        <v>陈师傅</v>
      </c>
      <c r="BB309" s="0" t="str">
        <f aca="false">IFERROR(INDEX($A$1:$A$5,MATCH(4,$AS309:$AW309,0)),IF(4=MAX($AS309:$AW309)+1,"取消",""))</f>
        <v>刘师傅</v>
      </c>
      <c r="BC309" s="0" t="str">
        <f aca="false">IFERROR(INDEX($A$1:$A$5,MATCH(5,$AS309:$AW309,0)),IF(5=MAX($AS309:$AW309)+1,"取消",""))</f>
        <v>取消</v>
      </c>
      <c r="BD309" s="0" t="str">
        <f aca="false">IFERROR(INDEX($A$1:$A$5,MATCH(6,$AS309:$AW309,0)),IF(6=MAX($AS309:$AW309)+1,"取消",""))</f>
        <v/>
      </c>
      <c r="FW309" s="0" t="str">
        <f aca="false">IF(AND(单元查询!$D$3&lt;&gt;"",IF(单元查询!$B$3="公区维修",公区维修!$E309&lt;&gt;"",入户维修!$E309&lt;&gt;""),IF(单元查询!$B$3="公区维修",公区维修!$C309,入户维修!$C309)=单元查询!$D$3,OR(单元查询!$F$3="",IF(单元查询!$B$3="公区维修",公区维修!$D309,入户维修!$D309)&amp;""=(单元查询!$F$3)&amp;"")),MAX($FW$4:$FW308)+1,"")</f>
        <v/>
      </c>
    </row>
    <row r="310" customFormat="false" ht="15" hidden="false" customHeight="true" outlineLevel="0" collapsed="false">
      <c r="F310" s="0" t="n">
        <f aca="false">IF(OR($A$1=入户维修!$F310,$BN$1=1),0,1-SUMPRODUCT(--(($A$1=入户维修!$F310)+$BN$1&gt;0)))</f>
        <v>0</v>
      </c>
      <c r="G310" s="0" t="n">
        <f aca="false">IF(OR($A$2=入户维修!$F310,$BN$2=1),0,2-SUMPRODUCT(--(($A$1:$A$2=入户维修!$F310)+$BN$1:$BN$2&gt;0)))</f>
        <v>1</v>
      </c>
      <c r="H310" s="0" t="n">
        <f aca="false">IF(OR($A$3=入户维修!$F310,$BN$3=1),0,3-SUMPRODUCT(--(($A$1:$A$3=入户维修!$F310)+$BN$1:$BN$3&gt;0)))</f>
        <v>2</v>
      </c>
      <c r="I310" s="0" t="n">
        <f aca="false">IF(OR($A$4=入户维修!$F310,$BN$4=1),0,4-SUMPRODUCT(--(($A$1:$A$4=入户维修!$F310)+$BN$1:$BN$4&gt;0)))</f>
        <v>3</v>
      </c>
      <c r="J310" s="0" t="n">
        <f aca="false">IF(OR($A$5=入户维修!$F310,$BN$5=1),0,5-SUMPRODUCT(--(($A$1:$A$5=入户维修!$F310)+$BN$1:$BN$5&gt;0)))</f>
        <v>4</v>
      </c>
      <c r="L310" s="0" t="str">
        <f aca="false">IFERROR(INDEX($A$1:$A$5,MATCH(1,$F310:$J310,0)),IF(1=MAX($F310:$J310)+1,"取消",""))</f>
        <v>李师傅</v>
      </c>
      <c r="M310" s="0" t="str">
        <f aca="false">IFERROR(INDEX($A$1:$A$5,MATCH(2,$F310:$J310,0)),IF(2=MAX($F310:$J310)+1,"取消",""))</f>
        <v>王师傅</v>
      </c>
      <c r="N310" s="0" t="str">
        <f aca="false">IFERROR(INDEX($A$1:$A$5,MATCH(3,$F310:$J310,0)),IF(3=MAX($F310:$J310)+1,"取消",""))</f>
        <v>陈师傅</v>
      </c>
      <c r="O310" s="0" t="str">
        <f aca="false">IFERROR(INDEX($A$1:$A$5,MATCH(4,$F310:$J310,0)),IF(4=MAX($F310:$J310)+1,"取消",""))</f>
        <v>刘师傅</v>
      </c>
      <c r="P310" s="0" t="str">
        <f aca="false">IFERROR(INDEX($A$1:$A$5,MATCH(5,$F310:$J310,0)),IF(5=MAX($F310:$J310)+1,"取消",""))</f>
        <v>取消</v>
      </c>
      <c r="Q310" s="0" t="str">
        <f aca="false">IFERROR(INDEX($A$1:$A$5,MATCH(6,$F310:$J310,0)),IF(6=MAX($F310:$J310)+1,"取消",""))</f>
        <v/>
      </c>
      <c r="S310" s="0" t="n">
        <f aca="false">IF(OR($A$1=入户维修!$F310,$A$1=入户维修!$G310,$BN$1=1),0,1-SUMPRODUCT(--(($A$1=入户维修!$F310)+($A$1=入户维修!$G310)+$BN$1&gt;0)))</f>
        <v>0</v>
      </c>
      <c r="T310" s="0" t="n">
        <f aca="false">IF(OR($A$2=入户维修!$F310,$A$2=入户维修!$G310,$BN$2=1),0,2-SUMPRODUCT(--(($A$1:$A$2=入户维修!$F310)+($A$1:$A$2=入户维修!$G310)+$BN$1:$BN$2&gt;0)))</f>
        <v>1</v>
      </c>
      <c r="U310" s="0" t="n">
        <f aca="false">IF(OR($A$3=入户维修!$F310,$A$3=入户维修!$G310,$BN$3=1),0,3-SUMPRODUCT(--(($A$1:$A$3=入户维修!$F310)+($A$1:$A$3=入户维修!$G310)+$BN$1:$BN$3&gt;0)))</f>
        <v>2</v>
      </c>
      <c r="V310" s="0" t="n">
        <f aca="false">IF(OR($A$4=入户维修!$F310,$A$4=入户维修!$G310,$BN$4=1),0,4-SUMPRODUCT(--(($A$1:$A$4=入户维修!$F310)+($A$1:$A$4=入户维修!$G310)+$BN$1:$BN$4&gt;0)))</f>
        <v>3</v>
      </c>
      <c r="W310" s="0" t="n">
        <f aca="false">IF(OR($A$5=入户维修!$F310,$A$5=入户维修!$G310,$BN$5=1),0,5-SUMPRODUCT(--(($A$1:$A$5=入户维修!$F310)+($A$1:$A$5=入户维修!$G310)+$BN$1:$BN$5&gt;0)))</f>
        <v>4</v>
      </c>
      <c r="Y310" s="0" t="str">
        <f aca="false">IFERROR(INDEX($A$1:$A$5,MATCH(1,$S310:$W310,0)),IF(1=MAX($S310:$W310)+1,"取消",""))</f>
        <v>李师傅</v>
      </c>
      <c r="Z310" s="0" t="str">
        <f aca="false">IFERROR(INDEX($A$1:$A$5,MATCH(2,$S310:$W310,0)),IF(2=MAX($S310:$W310)+1,"取消",""))</f>
        <v>王师傅</v>
      </c>
      <c r="AA310" s="0" t="str">
        <f aca="false">IFERROR(INDEX($A$1:$A$5,MATCH(3,$S310:$W310,0)),IF(3=MAX($S310:$W310)+1,"取消",""))</f>
        <v>陈师傅</v>
      </c>
      <c r="AB310" s="0" t="str">
        <f aca="false">IFERROR(INDEX($A$1:$A$5,MATCH(4,$S310:$W310,0)),IF(4=MAX($S310:$W310)+1,"取消",""))</f>
        <v>刘师傅</v>
      </c>
      <c r="AC310" s="0" t="str">
        <f aca="false">IFERROR(INDEX($A$1:$A$5,MATCH(5,$S310:$W310,0)),IF(5=MAX($S310:$W310)+1,"取消",""))</f>
        <v>取消</v>
      </c>
      <c r="AD310" s="0" t="str">
        <f aca="false">IFERROR(INDEX($A$1:$A$5,MATCH(6,$S310:$W310,0)),IF(6=MAX($S310:$W310)+1,"取消",""))</f>
        <v/>
      </c>
      <c r="AF310" s="0" t="n">
        <f aca="false">IF(OR($A$1=公区维修!$F310,$BN$1=1),0,1-SUMPRODUCT(--(($A$1=公区维修!$F310)+$BN$1&gt;0)))</f>
        <v>0</v>
      </c>
      <c r="AG310" s="0" t="n">
        <f aca="false">IF(OR($A$2=公区维修!$F310,$BN$2=1),0,2-SUMPRODUCT(--(($A$1:$A$2=公区维修!$F310)+$BN$1:$BN$2&gt;0)))</f>
        <v>1</v>
      </c>
      <c r="AH310" s="0" t="n">
        <f aca="false">IF(OR($A$3=公区维修!$F310,$BN$3=1),0,3-SUMPRODUCT(--(($A$1:$A$3=公区维修!$F310)+$BN$1:$BN$3&gt;0)))</f>
        <v>2</v>
      </c>
      <c r="AI310" s="0" t="n">
        <f aca="false">IF(OR($A$4=公区维修!$F310,$BN$4=1),0,4-SUMPRODUCT(--(($A$1:$A$4=公区维修!$F310)+$BN$1:$BN$4&gt;0)))</f>
        <v>3</v>
      </c>
      <c r="AJ310" s="0" t="n">
        <f aca="false">IF(OR($A$5=公区维修!$F310,$BN$5=1),0,5-SUMPRODUCT(--(($A$1:$A$5=公区维修!$F310)+$BN$1:$BN$5&gt;0)))</f>
        <v>4</v>
      </c>
      <c r="AL310" s="0" t="str">
        <f aca="false">IFERROR(INDEX($A$1:$A$5,MATCH(1,$AF310:$AJ310,0)),IF(1=MAX($AF310:$AJ310)+1,"取消",""))</f>
        <v>李师傅</v>
      </c>
      <c r="AM310" s="0" t="str">
        <f aca="false">IFERROR(INDEX($A$1:$A$5,MATCH(2,$AF310:$AJ310,0)),IF(2=MAX($AF310:$AJ310)+1,"取消",""))</f>
        <v>王师傅</v>
      </c>
      <c r="AN310" s="0" t="str">
        <f aca="false">IFERROR(INDEX($A$1:$A$5,MATCH(3,$AF310:$AJ310,0)),IF(3=MAX($AF310:$AJ310)+1,"取消",""))</f>
        <v>陈师傅</v>
      </c>
      <c r="AO310" s="0" t="str">
        <f aca="false">IFERROR(INDEX($A$1:$A$5,MATCH(4,$AF310:$AJ310,0)),IF(4=MAX($AF310:$AJ310)+1,"取消",""))</f>
        <v>刘师傅</v>
      </c>
      <c r="AP310" s="0" t="str">
        <f aca="false">IFERROR(INDEX($A$1:$A$5,MATCH(5,$AF310:$AJ310,0)),IF(5=MAX($AF310:$AJ310)+1,"取消",""))</f>
        <v>取消</v>
      </c>
      <c r="AQ310" s="0" t="str">
        <f aca="false">IFERROR(INDEX($A$1:$A$5,MATCH(6,$AF310:$AJ310,0)),IF(6=MAX($AF310:$AJ310)+1,"取消",""))</f>
        <v/>
      </c>
      <c r="AS310" s="0" t="n">
        <f aca="false">IF(OR($A$1=公区维修!$F310,$A$1=公区维修!$G310,$BN$1=1),0,1-SUMPRODUCT(--(($A$1=公区维修!$F310)+($A$1=公区维修!$G310)+$BN$1&gt;0)))</f>
        <v>0</v>
      </c>
      <c r="AT310" s="0" t="n">
        <f aca="false">IF(OR($A$2=公区维修!$F310,$A$2=公区维修!$G310,$BN$2=1),0,2-SUMPRODUCT(--(($A$1:$A$2=公区维修!$F310)+($A$1:$A$2=公区维修!$G310)+$BN$1:$BN$2&gt;0)))</f>
        <v>1</v>
      </c>
      <c r="AU310" s="0" t="n">
        <f aca="false">IF(OR($A$3=公区维修!$F310,$A$3=公区维修!$G310,$BN$3=1),0,3-SUMPRODUCT(--(($A$1:$A$3=公区维修!$F310)+($A$1:$A$3=公区维修!$G310)+$BN$1:$BN$3&gt;0)))</f>
        <v>2</v>
      </c>
      <c r="AV310" s="0" t="n">
        <f aca="false">IF(OR($A$4=公区维修!$F310,$A$4=公区维修!$G310,$BN$4=1),0,4-SUMPRODUCT(--(($A$1:$A$4=公区维修!$F310)+($A$1:$A$4=公区维修!$G310)+$BN$1:$BN$4&gt;0)))</f>
        <v>3</v>
      </c>
      <c r="AW310" s="0" t="n">
        <f aca="false">IF(OR($A$5=公区维修!$F310,$A$5=公区维修!$G310,$BN$5=1),0,5-SUMPRODUCT(--(($A$1:$A$5=公区维修!$F310)+($A$1:$A$5=公区维修!$G310)+$BN$1:$BN$5&gt;0)))</f>
        <v>4</v>
      </c>
      <c r="AY310" s="0" t="str">
        <f aca="false">IFERROR(INDEX($A$1:$A$5,MATCH(1,$AS310:$AW310,0)),IF(1=MAX($AS310:$AW310)+1,"取消",""))</f>
        <v>李师傅</v>
      </c>
      <c r="AZ310" s="0" t="str">
        <f aca="false">IFERROR(INDEX($A$1:$A$5,MATCH(2,$AS310:$AW310,0)),IF(2=MAX($AS310:$AW310)+1,"取消",""))</f>
        <v>王师傅</v>
      </c>
      <c r="BA310" s="0" t="str">
        <f aca="false">IFERROR(INDEX($A$1:$A$5,MATCH(3,$AS310:$AW310,0)),IF(3=MAX($AS310:$AW310)+1,"取消",""))</f>
        <v>陈师傅</v>
      </c>
      <c r="BB310" s="0" t="str">
        <f aca="false">IFERROR(INDEX($A$1:$A$5,MATCH(4,$AS310:$AW310,0)),IF(4=MAX($AS310:$AW310)+1,"取消",""))</f>
        <v>刘师傅</v>
      </c>
      <c r="BC310" s="0" t="str">
        <f aca="false">IFERROR(INDEX($A$1:$A$5,MATCH(5,$AS310:$AW310,0)),IF(5=MAX($AS310:$AW310)+1,"取消",""))</f>
        <v>取消</v>
      </c>
      <c r="BD310" s="0" t="str">
        <f aca="false">IFERROR(INDEX($A$1:$A$5,MATCH(6,$AS310:$AW310,0)),IF(6=MAX($AS310:$AW310)+1,"取消",""))</f>
        <v/>
      </c>
      <c r="FW310" s="0" t="str">
        <f aca="false">IF(AND(单元查询!$D$3&lt;&gt;"",IF(单元查询!$B$3="公区维修",公区维修!$E310&lt;&gt;"",入户维修!$E310&lt;&gt;""),IF(单元查询!$B$3="公区维修",公区维修!$C310,入户维修!$C310)=单元查询!$D$3,OR(单元查询!$F$3="",IF(单元查询!$B$3="公区维修",公区维修!$D310,入户维修!$D310)&amp;""=(单元查询!$F$3)&amp;"")),MAX($FW$4:$FW309)+1,"")</f>
        <v/>
      </c>
    </row>
    <row r="311" customFormat="false" ht="15" hidden="false" customHeight="true" outlineLevel="0" collapsed="false">
      <c r="F311" s="0" t="n">
        <f aca="false">IF(OR($A$1=入户维修!$F311,$BN$1=1),0,1-SUMPRODUCT(--(($A$1=入户维修!$F311)+$BN$1&gt;0)))</f>
        <v>0</v>
      </c>
      <c r="G311" s="0" t="n">
        <f aca="false">IF(OR($A$2=入户维修!$F311,$BN$2=1),0,2-SUMPRODUCT(--(($A$1:$A$2=入户维修!$F311)+$BN$1:$BN$2&gt;0)))</f>
        <v>1</v>
      </c>
      <c r="H311" s="0" t="n">
        <f aca="false">IF(OR($A$3=入户维修!$F311,$BN$3=1),0,3-SUMPRODUCT(--(($A$1:$A$3=入户维修!$F311)+$BN$1:$BN$3&gt;0)))</f>
        <v>2</v>
      </c>
      <c r="I311" s="0" t="n">
        <f aca="false">IF(OR($A$4=入户维修!$F311,$BN$4=1),0,4-SUMPRODUCT(--(($A$1:$A$4=入户维修!$F311)+$BN$1:$BN$4&gt;0)))</f>
        <v>3</v>
      </c>
      <c r="J311" s="0" t="n">
        <f aca="false">IF(OR($A$5=入户维修!$F311,$BN$5=1),0,5-SUMPRODUCT(--(($A$1:$A$5=入户维修!$F311)+$BN$1:$BN$5&gt;0)))</f>
        <v>4</v>
      </c>
      <c r="L311" s="0" t="str">
        <f aca="false">IFERROR(INDEX($A$1:$A$5,MATCH(1,$F311:$J311,0)),IF(1=MAX($F311:$J311)+1,"取消",""))</f>
        <v>李师傅</v>
      </c>
      <c r="M311" s="0" t="str">
        <f aca="false">IFERROR(INDEX($A$1:$A$5,MATCH(2,$F311:$J311,0)),IF(2=MAX($F311:$J311)+1,"取消",""))</f>
        <v>王师傅</v>
      </c>
      <c r="N311" s="0" t="str">
        <f aca="false">IFERROR(INDEX($A$1:$A$5,MATCH(3,$F311:$J311,0)),IF(3=MAX($F311:$J311)+1,"取消",""))</f>
        <v>陈师傅</v>
      </c>
      <c r="O311" s="0" t="str">
        <f aca="false">IFERROR(INDEX($A$1:$A$5,MATCH(4,$F311:$J311,0)),IF(4=MAX($F311:$J311)+1,"取消",""))</f>
        <v>刘师傅</v>
      </c>
      <c r="P311" s="0" t="str">
        <f aca="false">IFERROR(INDEX($A$1:$A$5,MATCH(5,$F311:$J311,0)),IF(5=MAX($F311:$J311)+1,"取消",""))</f>
        <v>取消</v>
      </c>
      <c r="Q311" s="0" t="str">
        <f aca="false">IFERROR(INDEX($A$1:$A$5,MATCH(6,$F311:$J311,0)),IF(6=MAX($F311:$J311)+1,"取消",""))</f>
        <v/>
      </c>
      <c r="S311" s="0" t="n">
        <f aca="false">IF(OR($A$1=入户维修!$F311,$A$1=入户维修!$G311,$BN$1=1),0,1-SUMPRODUCT(--(($A$1=入户维修!$F311)+($A$1=入户维修!$G311)+$BN$1&gt;0)))</f>
        <v>0</v>
      </c>
      <c r="T311" s="0" t="n">
        <f aca="false">IF(OR($A$2=入户维修!$F311,$A$2=入户维修!$G311,$BN$2=1),0,2-SUMPRODUCT(--(($A$1:$A$2=入户维修!$F311)+($A$1:$A$2=入户维修!$G311)+$BN$1:$BN$2&gt;0)))</f>
        <v>1</v>
      </c>
      <c r="U311" s="0" t="n">
        <f aca="false">IF(OR($A$3=入户维修!$F311,$A$3=入户维修!$G311,$BN$3=1),0,3-SUMPRODUCT(--(($A$1:$A$3=入户维修!$F311)+($A$1:$A$3=入户维修!$G311)+$BN$1:$BN$3&gt;0)))</f>
        <v>2</v>
      </c>
      <c r="V311" s="0" t="n">
        <f aca="false">IF(OR($A$4=入户维修!$F311,$A$4=入户维修!$G311,$BN$4=1),0,4-SUMPRODUCT(--(($A$1:$A$4=入户维修!$F311)+($A$1:$A$4=入户维修!$G311)+$BN$1:$BN$4&gt;0)))</f>
        <v>3</v>
      </c>
      <c r="W311" s="0" t="n">
        <f aca="false">IF(OR($A$5=入户维修!$F311,$A$5=入户维修!$G311,$BN$5=1),0,5-SUMPRODUCT(--(($A$1:$A$5=入户维修!$F311)+($A$1:$A$5=入户维修!$G311)+$BN$1:$BN$5&gt;0)))</f>
        <v>4</v>
      </c>
      <c r="Y311" s="0" t="str">
        <f aca="false">IFERROR(INDEX($A$1:$A$5,MATCH(1,$S311:$W311,0)),IF(1=MAX($S311:$W311)+1,"取消",""))</f>
        <v>李师傅</v>
      </c>
      <c r="Z311" s="0" t="str">
        <f aca="false">IFERROR(INDEX($A$1:$A$5,MATCH(2,$S311:$W311,0)),IF(2=MAX($S311:$W311)+1,"取消",""))</f>
        <v>王师傅</v>
      </c>
      <c r="AA311" s="0" t="str">
        <f aca="false">IFERROR(INDEX($A$1:$A$5,MATCH(3,$S311:$W311,0)),IF(3=MAX($S311:$W311)+1,"取消",""))</f>
        <v>陈师傅</v>
      </c>
      <c r="AB311" s="0" t="str">
        <f aca="false">IFERROR(INDEX($A$1:$A$5,MATCH(4,$S311:$W311,0)),IF(4=MAX($S311:$W311)+1,"取消",""))</f>
        <v>刘师傅</v>
      </c>
      <c r="AC311" s="0" t="str">
        <f aca="false">IFERROR(INDEX($A$1:$A$5,MATCH(5,$S311:$W311,0)),IF(5=MAX($S311:$W311)+1,"取消",""))</f>
        <v>取消</v>
      </c>
      <c r="AD311" s="0" t="str">
        <f aca="false">IFERROR(INDEX($A$1:$A$5,MATCH(6,$S311:$W311,0)),IF(6=MAX($S311:$W311)+1,"取消",""))</f>
        <v/>
      </c>
      <c r="AF311" s="0" t="n">
        <f aca="false">IF(OR($A$1=公区维修!$F311,$BN$1=1),0,1-SUMPRODUCT(--(($A$1=公区维修!$F311)+$BN$1&gt;0)))</f>
        <v>0</v>
      </c>
      <c r="AG311" s="0" t="n">
        <f aca="false">IF(OR($A$2=公区维修!$F311,$BN$2=1),0,2-SUMPRODUCT(--(($A$1:$A$2=公区维修!$F311)+$BN$1:$BN$2&gt;0)))</f>
        <v>1</v>
      </c>
      <c r="AH311" s="0" t="n">
        <f aca="false">IF(OR($A$3=公区维修!$F311,$BN$3=1),0,3-SUMPRODUCT(--(($A$1:$A$3=公区维修!$F311)+$BN$1:$BN$3&gt;0)))</f>
        <v>2</v>
      </c>
      <c r="AI311" s="0" t="n">
        <f aca="false">IF(OR($A$4=公区维修!$F311,$BN$4=1),0,4-SUMPRODUCT(--(($A$1:$A$4=公区维修!$F311)+$BN$1:$BN$4&gt;0)))</f>
        <v>3</v>
      </c>
      <c r="AJ311" s="0" t="n">
        <f aca="false">IF(OR($A$5=公区维修!$F311,$BN$5=1),0,5-SUMPRODUCT(--(($A$1:$A$5=公区维修!$F311)+$BN$1:$BN$5&gt;0)))</f>
        <v>4</v>
      </c>
      <c r="AL311" s="0" t="str">
        <f aca="false">IFERROR(INDEX($A$1:$A$5,MATCH(1,$AF311:$AJ311,0)),IF(1=MAX($AF311:$AJ311)+1,"取消",""))</f>
        <v>李师傅</v>
      </c>
      <c r="AM311" s="0" t="str">
        <f aca="false">IFERROR(INDEX($A$1:$A$5,MATCH(2,$AF311:$AJ311,0)),IF(2=MAX($AF311:$AJ311)+1,"取消",""))</f>
        <v>王师傅</v>
      </c>
      <c r="AN311" s="0" t="str">
        <f aca="false">IFERROR(INDEX($A$1:$A$5,MATCH(3,$AF311:$AJ311,0)),IF(3=MAX($AF311:$AJ311)+1,"取消",""))</f>
        <v>陈师傅</v>
      </c>
      <c r="AO311" s="0" t="str">
        <f aca="false">IFERROR(INDEX($A$1:$A$5,MATCH(4,$AF311:$AJ311,0)),IF(4=MAX($AF311:$AJ311)+1,"取消",""))</f>
        <v>刘师傅</v>
      </c>
      <c r="AP311" s="0" t="str">
        <f aca="false">IFERROR(INDEX($A$1:$A$5,MATCH(5,$AF311:$AJ311,0)),IF(5=MAX($AF311:$AJ311)+1,"取消",""))</f>
        <v>取消</v>
      </c>
      <c r="AQ311" s="0" t="str">
        <f aca="false">IFERROR(INDEX($A$1:$A$5,MATCH(6,$AF311:$AJ311,0)),IF(6=MAX($AF311:$AJ311)+1,"取消",""))</f>
        <v/>
      </c>
      <c r="AS311" s="0" t="n">
        <f aca="false">IF(OR($A$1=公区维修!$F311,$A$1=公区维修!$G311,$BN$1=1),0,1-SUMPRODUCT(--(($A$1=公区维修!$F311)+($A$1=公区维修!$G311)+$BN$1&gt;0)))</f>
        <v>0</v>
      </c>
      <c r="AT311" s="0" t="n">
        <f aca="false">IF(OR($A$2=公区维修!$F311,$A$2=公区维修!$G311,$BN$2=1),0,2-SUMPRODUCT(--(($A$1:$A$2=公区维修!$F311)+($A$1:$A$2=公区维修!$G311)+$BN$1:$BN$2&gt;0)))</f>
        <v>1</v>
      </c>
      <c r="AU311" s="0" t="n">
        <f aca="false">IF(OR($A$3=公区维修!$F311,$A$3=公区维修!$G311,$BN$3=1),0,3-SUMPRODUCT(--(($A$1:$A$3=公区维修!$F311)+($A$1:$A$3=公区维修!$G311)+$BN$1:$BN$3&gt;0)))</f>
        <v>2</v>
      </c>
      <c r="AV311" s="0" t="n">
        <f aca="false">IF(OR($A$4=公区维修!$F311,$A$4=公区维修!$G311,$BN$4=1),0,4-SUMPRODUCT(--(($A$1:$A$4=公区维修!$F311)+($A$1:$A$4=公区维修!$G311)+$BN$1:$BN$4&gt;0)))</f>
        <v>3</v>
      </c>
      <c r="AW311" s="0" t="n">
        <f aca="false">IF(OR($A$5=公区维修!$F311,$A$5=公区维修!$G311,$BN$5=1),0,5-SUMPRODUCT(--(($A$1:$A$5=公区维修!$F311)+($A$1:$A$5=公区维修!$G311)+$BN$1:$BN$5&gt;0)))</f>
        <v>4</v>
      </c>
      <c r="AY311" s="0" t="str">
        <f aca="false">IFERROR(INDEX($A$1:$A$5,MATCH(1,$AS311:$AW311,0)),IF(1=MAX($AS311:$AW311)+1,"取消",""))</f>
        <v>李师傅</v>
      </c>
      <c r="AZ311" s="0" t="str">
        <f aca="false">IFERROR(INDEX($A$1:$A$5,MATCH(2,$AS311:$AW311,0)),IF(2=MAX($AS311:$AW311)+1,"取消",""))</f>
        <v>王师傅</v>
      </c>
      <c r="BA311" s="0" t="str">
        <f aca="false">IFERROR(INDEX($A$1:$A$5,MATCH(3,$AS311:$AW311,0)),IF(3=MAX($AS311:$AW311)+1,"取消",""))</f>
        <v>陈师傅</v>
      </c>
      <c r="BB311" s="0" t="str">
        <f aca="false">IFERROR(INDEX($A$1:$A$5,MATCH(4,$AS311:$AW311,0)),IF(4=MAX($AS311:$AW311)+1,"取消",""))</f>
        <v>刘师傅</v>
      </c>
      <c r="BC311" s="0" t="str">
        <f aca="false">IFERROR(INDEX($A$1:$A$5,MATCH(5,$AS311:$AW311,0)),IF(5=MAX($AS311:$AW311)+1,"取消",""))</f>
        <v>取消</v>
      </c>
      <c r="BD311" s="0" t="str">
        <f aca="false">IFERROR(INDEX($A$1:$A$5,MATCH(6,$AS311:$AW311,0)),IF(6=MAX($AS311:$AW311)+1,"取消",""))</f>
        <v/>
      </c>
      <c r="FW311" s="0" t="str">
        <f aca="false">IF(AND(单元查询!$D$3&lt;&gt;"",IF(单元查询!$B$3="公区维修",公区维修!$E311&lt;&gt;"",入户维修!$E311&lt;&gt;""),IF(单元查询!$B$3="公区维修",公区维修!$C311,入户维修!$C311)=单元查询!$D$3,OR(单元查询!$F$3="",IF(单元查询!$B$3="公区维修",公区维修!$D311,入户维修!$D311)&amp;""=(单元查询!$F$3)&amp;"")),MAX($FW$4:$FW310)+1,"")</f>
        <v/>
      </c>
    </row>
    <row r="312" customFormat="false" ht="15" hidden="false" customHeight="true" outlineLevel="0" collapsed="false">
      <c r="F312" s="0" t="n">
        <f aca="false">IF(OR($A$1=入户维修!$F312,$BN$1=1),0,1-SUMPRODUCT(--(($A$1=入户维修!$F312)+$BN$1&gt;0)))</f>
        <v>0</v>
      </c>
      <c r="G312" s="0" t="n">
        <f aca="false">IF(OR($A$2=入户维修!$F312,$BN$2=1),0,2-SUMPRODUCT(--(($A$1:$A$2=入户维修!$F312)+$BN$1:$BN$2&gt;0)))</f>
        <v>1</v>
      </c>
      <c r="H312" s="0" t="n">
        <f aca="false">IF(OR($A$3=入户维修!$F312,$BN$3=1),0,3-SUMPRODUCT(--(($A$1:$A$3=入户维修!$F312)+$BN$1:$BN$3&gt;0)))</f>
        <v>2</v>
      </c>
      <c r="I312" s="0" t="n">
        <f aca="false">IF(OR($A$4=入户维修!$F312,$BN$4=1),0,4-SUMPRODUCT(--(($A$1:$A$4=入户维修!$F312)+$BN$1:$BN$4&gt;0)))</f>
        <v>3</v>
      </c>
      <c r="J312" s="0" t="n">
        <f aca="false">IF(OR($A$5=入户维修!$F312,$BN$5=1),0,5-SUMPRODUCT(--(($A$1:$A$5=入户维修!$F312)+$BN$1:$BN$5&gt;0)))</f>
        <v>4</v>
      </c>
      <c r="L312" s="0" t="str">
        <f aca="false">IFERROR(INDEX($A$1:$A$5,MATCH(1,$F312:$J312,0)),IF(1=MAX($F312:$J312)+1,"取消",""))</f>
        <v>李师傅</v>
      </c>
      <c r="M312" s="0" t="str">
        <f aca="false">IFERROR(INDEX($A$1:$A$5,MATCH(2,$F312:$J312,0)),IF(2=MAX($F312:$J312)+1,"取消",""))</f>
        <v>王师傅</v>
      </c>
      <c r="N312" s="0" t="str">
        <f aca="false">IFERROR(INDEX($A$1:$A$5,MATCH(3,$F312:$J312,0)),IF(3=MAX($F312:$J312)+1,"取消",""))</f>
        <v>陈师傅</v>
      </c>
      <c r="O312" s="0" t="str">
        <f aca="false">IFERROR(INDEX($A$1:$A$5,MATCH(4,$F312:$J312,0)),IF(4=MAX($F312:$J312)+1,"取消",""))</f>
        <v>刘师傅</v>
      </c>
      <c r="P312" s="0" t="str">
        <f aca="false">IFERROR(INDEX($A$1:$A$5,MATCH(5,$F312:$J312,0)),IF(5=MAX($F312:$J312)+1,"取消",""))</f>
        <v>取消</v>
      </c>
      <c r="Q312" s="0" t="str">
        <f aca="false">IFERROR(INDEX($A$1:$A$5,MATCH(6,$F312:$J312,0)),IF(6=MAX($F312:$J312)+1,"取消",""))</f>
        <v/>
      </c>
      <c r="S312" s="0" t="n">
        <f aca="false">IF(OR($A$1=入户维修!$F312,$A$1=入户维修!$G312,$BN$1=1),0,1-SUMPRODUCT(--(($A$1=入户维修!$F312)+($A$1=入户维修!$G312)+$BN$1&gt;0)))</f>
        <v>0</v>
      </c>
      <c r="T312" s="0" t="n">
        <f aca="false">IF(OR($A$2=入户维修!$F312,$A$2=入户维修!$G312,$BN$2=1),0,2-SUMPRODUCT(--(($A$1:$A$2=入户维修!$F312)+($A$1:$A$2=入户维修!$G312)+$BN$1:$BN$2&gt;0)))</f>
        <v>1</v>
      </c>
      <c r="U312" s="0" t="n">
        <f aca="false">IF(OR($A$3=入户维修!$F312,$A$3=入户维修!$G312,$BN$3=1),0,3-SUMPRODUCT(--(($A$1:$A$3=入户维修!$F312)+($A$1:$A$3=入户维修!$G312)+$BN$1:$BN$3&gt;0)))</f>
        <v>2</v>
      </c>
      <c r="V312" s="0" t="n">
        <f aca="false">IF(OR($A$4=入户维修!$F312,$A$4=入户维修!$G312,$BN$4=1),0,4-SUMPRODUCT(--(($A$1:$A$4=入户维修!$F312)+($A$1:$A$4=入户维修!$G312)+$BN$1:$BN$4&gt;0)))</f>
        <v>3</v>
      </c>
      <c r="W312" s="0" t="n">
        <f aca="false">IF(OR($A$5=入户维修!$F312,$A$5=入户维修!$G312,$BN$5=1),0,5-SUMPRODUCT(--(($A$1:$A$5=入户维修!$F312)+($A$1:$A$5=入户维修!$G312)+$BN$1:$BN$5&gt;0)))</f>
        <v>4</v>
      </c>
      <c r="Y312" s="0" t="str">
        <f aca="false">IFERROR(INDEX($A$1:$A$5,MATCH(1,$S312:$W312,0)),IF(1=MAX($S312:$W312)+1,"取消",""))</f>
        <v>李师傅</v>
      </c>
      <c r="Z312" s="0" t="str">
        <f aca="false">IFERROR(INDEX($A$1:$A$5,MATCH(2,$S312:$W312,0)),IF(2=MAX($S312:$W312)+1,"取消",""))</f>
        <v>王师傅</v>
      </c>
      <c r="AA312" s="0" t="str">
        <f aca="false">IFERROR(INDEX($A$1:$A$5,MATCH(3,$S312:$W312,0)),IF(3=MAX($S312:$W312)+1,"取消",""))</f>
        <v>陈师傅</v>
      </c>
      <c r="AB312" s="0" t="str">
        <f aca="false">IFERROR(INDEX($A$1:$A$5,MATCH(4,$S312:$W312,0)),IF(4=MAX($S312:$W312)+1,"取消",""))</f>
        <v>刘师傅</v>
      </c>
      <c r="AC312" s="0" t="str">
        <f aca="false">IFERROR(INDEX($A$1:$A$5,MATCH(5,$S312:$W312,0)),IF(5=MAX($S312:$W312)+1,"取消",""))</f>
        <v>取消</v>
      </c>
      <c r="AD312" s="0" t="str">
        <f aca="false">IFERROR(INDEX($A$1:$A$5,MATCH(6,$S312:$W312,0)),IF(6=MAX($S312:$W312)+1,"取消",""))</f>
        <v/>
      </c>
      <c r="AF312" s="0" t="n">
        <f aca="false">IF(OR($A$1=公区维修!$F312,$BN$1=1),0,1-SUMPRODUCT(--(($A$1=公区维修!$F312)+$BN$1&gt;0)))</f>
        <v>0</v>
      </c>
      <c r="AG312" s="0" t="n">
        <f aca="false">IF(OR($A$2=公区维修!$F312,$BN$2=1),0,2-SUMPRODUCT(--(($A$1:$A$2=公区维修!$F312)+$BN$1:$BN$2&gt;0)))</f>
        <v>1</v>
      </c>
      <c r="AH312" s="0" t="n">
        <f aca="false">IF(OR($A$3=公区维修!$F312,$BN$3=1),0,3-SUMPRODUCT(--(($A$1:$A$3=公区维修!$F312)+$BN$1:$BN$3&gt;0)))</f>
        <v>2</v>
      </c>
      <c r="AI312" s="0" t="n">
        <f aca="false">IF(OR($A$4=公区维修!$F312,$BN$4=1),0,4-SUMPRODUCT(--(($A$1:$A$4=公区维修!$F312)+$BN$1:$BN$4&gt;0)))</f>
        <v>3</v>
      </c>
      <c r="AJ312" s="0" t="n">
        <f aca="false">IF(OR($A$5=公区维修!$F312,$BN$5=1),0,5-SUMPRODUCT(--(($A$1:$A$5=公区维修!$F312)+$BN$1:$BN$5&gt;0)))</f>
        <v>4</v>
      </c>
      <c r="AL312" s="0" t="str">
        <f aca="false">IFERROR(INDEX($A$1:$A$5,MATCH(1,$AF312:$AJ312,0)),IF(1=MAX($AF312:$AJ312)+1,"取消",""))</f>
        <v>李师傅</v>
      </c>
      <c r="AM312" s="0" t="str">
        <f aca="false">IFERROR(INDEX($A$1:$A$5,MATCH(2,$AF312:$AJ312,0)),IF(2=MAX($AF312:$AJ312)+1,"取消",""))</f>
        <v>王师傅</v>
      </c>
      <c r="AN312" s="0" t="str">
        <f aca="false">IFERROR(INDEX($A$1:$A$5,MATCH(3,$AF312:$AJ312,0)),IF(3=MAX($AF312:$AJ312)+1,"取消",""))</f>
        <v>陈师傅</v>
      </c>
      <c r="AO312" s="0" t="str">
        <f aca="false">IFERROR(INDEX($A$1:$A$5,MATCH(4,$AF312:$AJ312,0)),IF(4=MAX($AF312:$AJ312)+1,"取消",""))</f>
        <v>刘师傅</v>
      </c>
      <c r="AP312" s="0" t="str">
        <f aca="false">IFERROR(INDEX($A$1:$A$5,MATCH(5,$AF312:$AJ312,0)),IF(5=MAX($AF312:$AJ312)+1,"取消",""))</f>
        <v>取消</v>
      </c>
      <c r="AQ312" s="0" t="str">
        <f aca="false">IFERROR(INDEX($A$1:$A$5,MATCH(6,$AF312:$AJ312,0)),IF(6=MAX($AF312:$AJ312)+1,"取消",""))</f>
        <v/>
      </c>
      <c r="AS312" s="0" t="n">
        <f aca="false">IF(OR($A$1=公区维修!$F312,$A$1=公区维修!$G312,$BN$1=1),0,1-SUMPRODUCT(--(($A$1=公区维修!$F312)+($A$1=公区维修!$G312)+$BN$1&gt;0)))</f>
        <v>0</v>
      </c>
      <c r="AT312" s="0" t="n">
        <f aca="false">IF(OR($A$2=公区维修!$F312,$A$2=公区维修!$G312,$BN$2=1),0,2-SUMPRODUCT(--(($A$1:$A$2=公区维修!$F312)+($A$1:$A$2=公区维修!$G312)+$BN$1:$BN$2&gt;0)))</f>
        <v>1</v>
      </c>
      <c r="AU312" s="0" t="n">
        <f aca="false">IF(OR($A$3=公区维修!$F312,$A$3=公区维修!$G312,$BN$3=1),0,3-SUMPRODUCT(--(($A$1:$A$3=公区维修!$F312)+($A$1:$A$3=公区维修!$G312)+$BN$1:$BN$3&gt;0)))</f>
        <v>2</v>
      </c>
      <c r="AV312" s="0" t="n">
        <f aca="false">IF(OR($A$4=公区维修!$F312,$A$4=公区维修!$G312,$BN$4=1),0,4-SUMPRODUCT(--(($A$1:$A$4=公区维修!$F312)+($A$1:$A$4=公区维修!$G312)+$BN$1:$BN$4&gt;0)))</f>
        <v>3</v>
      </c>
      <c r="AW312" s="0" t="n">
        <f aca="false">IF(OR($A$5=公区维修!$F312,$A$5=公区维修!$G312,$BN$5=1),0,5-SUMPRODUCT(--(($A$1:$A$5=公区维修!$F312)+($A$1:$A$5=公区维修!$G312)+$BN$1:$BN$5&gt;0)))</f>
        <v>4</v>
      </c>
      <c r="AY312" s="0" t="str">
        <f aca="false">IFERROR(INDEX($A$1:$A$5,MATCH(1,$AS312:$AW312,0)),IF(1=MAX($AS312:$AW312)+1,"取消",""))</f>
        <v>李师傅</v>
      </c>
      <c r="AZ312" s="0" t="str">
        <f aca="false">IFERROR(INDEX($A$1:$A$5,MATCH(2,$AS312:$AW312,0)),IF(2=MAX($AS312:$AW312)+1,"取消",""))</f>
        <v>王师傅</v>
      </c>
      <c r="BA312" s="0" t="str">
        <f aca="false">IFERROR(INDEX($A$1:$A$5,MATCH(3,$AS312:$AW312,0)),IF(3=MAX($AS312:$AW312)+1,"取消",""))</f>
        <v>陈师傅</v>
      </c>
      <c r="BB312" s="0" t="str">
        <f aca="false">IFERROR(INDEX($A$1:$A$5,MATCH(4,$AS312:$AW312,0)),IF(4=MAX($AS312:$AW312)+1,"取消",""))</f>
        <v>刘师傅</v>
      </c>
      <c r="BC312" s="0" t="str">
        <f aca="false">IFERROR(INDEX($A$1:$A$5,MATCH(5,$AS312:$AW312,0)),IF(5=MAX($AS312:$AW312)+1,"取消",""))</f>
        <v>取消</v>
      </c>
      <c r="BD312" s="0" t="str">
        <f aca="false">IFERROR(INDEX($A$1:$A$5,MATCH(6,$AS312:$AW312,0)),IF(6=MAX($AS312:$AW312)+1,"取消",""))</f>
        <v/>
      </c>
      <c r="FW312" s="0" t="str">
        <f aca="false">IF(AND(单元查询!$D$3&lt;&gt;"",IF(单元查询!$B$3="公区维修",公区维修!$E312&lt;&gt;"",入户维修!$E312&lt;&gt;""),IF(单元查询!$B$3="公区维修",公区维修!$C312,入户维修!$C312)=单元查询!$D$3,OR(单元查询!$F$3="",IF(单元查询!$B$3="公区维修",公区维修!$D312,入户维修!$D312)&amp;""=(单元查询!$F$3)&amp;"")),MAX($FW$4:$FW311)+1,"")</f>
        <v/>
      </c>
    </row>
    <row r="313" customFormat="false" ht="15" hidden="false" customHeight="true" outlineLevel="0" collapsed="false">
      <c r="F313" s="0" t="n">
        <f aca="false">IF(OR($A$1=入户维修!$F313,$BN$1=1),0,1-SUMPRODUCT(--(($A$1=入户维修!$F313)+$BN$1&gt;0)))</f>
        <v>0</v>
      </c>
      <c r="G313" s="0" t="n">
        <f aca="false">IF(OR($A$2=入户维修!$F313,$BN$2=1),0,2-SUMPRODUCT(--(($A$1:$A$2=入户维修!$F313)+$BN$1:$BN$2&gt;0)))</f>
        <v>1</v>
      </c>
      <c r="H313" s="0" t="n">
        <f aca="false">IF(OR($A$3=入户维修!$F313,$BN$3=1),0,3-SUMPRODUCT(--(($A$1:$A$3=入户维修!$F313)+$BN$1:$BN$3&gt;0)))</f>
        <v>2</v>
      </c>
      <c r="I313" s="0" t="n">
        <f aca="false">IF(OR($A$4=入户维修!$F313,$BN$4=1),0,4-SUMPRODUCT(--(($A$1:$A$4=入户维修!$F313)+$BN$1:$BN$4&gt;0)))</f>
        <v>3</v>
      </c>
      <c r="J313" s="0" t="n">
        <f aca="false">IF(OR($A$5=入户维修!$F313,$BN$5=1),0,5-SUMPRODUCT(--(($A$1:$A$5=入户维修!$F313)+$BN$1:$BN$5&gt;0)))</f>
        <v>4</v>
      </c>
      <c r="L313" s="0" t="str">
        <f aca="false">IFERROR(INDEX($A$1:$A$5,MATCH(1,$F313:$J313,0)),IF(1=MAX($F313:$J313)+1,"取消",""))</f>
        <v>李师傅</v>
      </c>
      <c r="M313" s="0" t="str">
        <f aca="false">IFERROR(INDEX($A$1:$A$5,MATCH(2,$F313:$J313,0)),IF(2=MAX($F313:$J313)+1,"取消",""))</f>
        <v>王师傅</v>
      </c>
      <c r="N313" s="0" t="str">
        <f aca="false">IFERROR(INDEX($A$1:$A$5,MATCH(3,$F313:$J313,0)),IF(3=MAX($F313:$J313)+1,"取消",""))</f>
        <v>陈师傅</v>
      </c>
      <c r="O313" s="0" t="str">
        <f aca="false">IFERROR(INDEX($A$1:$A$5,MATCH(4,$F313:$J313,0)),IF(4=MAX($F313:$J313)+1,"取消",""))</f>
        <v>刘师傅</v>
      </c>
      <c r="P313" s="0" t="str">
        <f aca="false">IFERROR(INDEX($A$1:$A$5,MATCH(5,$F313:$J313,0)),IF(5=MAX($F313:$J313)+1,"取消",""))</f>
        <v>取消</v>
      </c>
      <c r="Q313" s="0" t="str">
        <f aca="false">IFERROR(INDEX($A$1:$A$5,MATCH(6,$F313:$J313,0)),IF(6=MAX($F313:$J313)+1,"取消",""))</f>
        <v/>
      </c>
      <c r="S313" s="0" t="n">
        <f aca="false">IF(OR($A$1=入户维修!$F313,$A$1=入户维修!$G313,$BN$1=1),0,1-SUMPRODUCT(--(($A$1=入户维修!$F313)+($A$1=入户维修!$G313)+$BN$1&gt;0)))</f>
        <v>0</v>
      </c>
      <c r="T313" s="0" t="n">
        <f aca="false">IF(OR($A$2=入户维修!$F313,$A$2=入户维修!$G313,$BN$2=1),0,2-SUMPRODUCT(--(($A$1:$A$2=入户维修!$F313)+($A$1:$A$2=入户维修!$G313)+$BN$1:$BN$2&gt;0)))</f>
        <v>1</v>
      </c>
      <c r="U313" s="0" t="n">
        <f aca="false">IF(OR($A$3=入户维修!$F313,$A$3=入户维修!$G313,$BN$3=1),0,3-SUMPRODUCT(--(($A$1:$A$3=入户维修!$F313)+($A$1:$A$3=入户维修!$G313)+$BN$1:$BN$3&gt;0)))</f>
        <v>2</v>
      </c>
      <c r="V313" s="0" t="n">
        <f aca="false">IF(OR($A$4=入户维修!$F313,$A$4=入户维修!$G313,$BN$4=1),0,4-SUMPRODUCT(--(($A$1:$A$4=入户维修!$F313)+($A$1:$A$4=入户维修!$G313)+$BN$1:$BN$4&gt;0)))</f>
        <v>3</v>
      </c>
      <c r="W313" s="0" t="n">
        <f aca="false">IF(OR($A$5=入户维修!$F313,$A$5=入户维修!$G313,$BN$5=1),0,5-SUMPRODUCT(--(($A$1:$A$5=入户维修!$F313)+($A$1:$A$5=入户维修!$G313)+$BN$1:$BN$5&gt;0)))</f>
        <v>4</v>
      </c>
      <c r="Y313" s="0" t="str">
        <f aca="false">IFERROR(INDEX($A$1:$A$5,MATCH(1,$S313:$W313,0)),IF(1=MAX($S313:$W313)+1,"取消",""))</f>
        <v>李师傅</v>
      </c>
      <c r="Z313" s="0" t="str">
        <f aca="false">IFERROR(INDEX($A$1:$A$5,MATCH(2,$S313:$W313,0)),IF(2=MAX($S313:$W313)+1,"取消",""))</f>
        <v>王师傅</v>
      </c>
      <c r="AA313" s="0" t="str">
        <f aca="false">IFERROR(INDEX($A$1:$A$5,MATCH(3,$S313:$W313,0)),IF(3=MAX($S313:$W313)+1,"取消",""))</f>
        <v>陈师傅</v>
      </c>
      <c r="AB313" s="0" t="str">
        <f aca="false">IFERROR(INDEX($A$1:$A$5,MATCH(4,$S313:$W313,0)),IF(4=MAX($S313:$W313)+1,"取消",""))</f>
        <v>刘师傅</v>
      </c>
      <c r="AC313" s="0" t="str">
        <f aca="false">IFERROR(INDEX($A$1:$A$5,MATCH(5,$S313:$W313,0)),IF(5=MAX($S313:$W313)+1,"取消",""))</f>
        <v>取消</v>
      </c>
      <c r="AD313" s="0" t="str">
        <f aca="false">IFERROR(INDEX($A$1:$A$5,MATCH(6,$S313:$W313,0)),IF(6=MAX($S313:$W313)+1,"取消",""))</f>
        <v/>
      </c>
      <c r="AF313" s="0" t="n">
        <f aca="false">IF(OR($A$1=公区维修!$F313,$BN$1=1),0,1-SUMPRODUCT(--(($A$1=公区维修!$F313)+$BN$1&gt;0)))</f>
        <v>0</v>
      </c>
      <c r="AG313" s="0" t="n">
        <f aca="false">IF(OR($A$2=公区维修!$F313,$BN$2=1),0,2-SUMPRODUCT(--(($A$1:$A$2=公区维修!$F313)+$BN$1:$BN$2&gt;0)))</f>
        <v>1</v>
      </c>
      <c r="AH313" s="0" t="n">
        <f aca="false">IF(OR($A$3=公区维修!$F313,$BN$3=1),0,3-SUMPRODUCT(--(($A$1:$A$3=公区维修!$F313)+$BN$1:$BN$3&gt;0)))</f>
        <v>2</v>
      </c>
      <c r="AI313" s="0" t="n">
        <f aca="false">IF(OR($A$4=公区维修!$F313,$BN$4=1),0,4-SUMPRODUCT(--(($A$1:$A$4=公区维修!$F313)+$BN$1:$BN$4&gt;0)))</f>
        <v>3</v>
      </c>
      <c r="AJ313" s="0" t="n">
        <f aca="false">IF(OR($A$5=公区维修!$F313,$BN$5=1),0,5-SUMPRODUCT(--(($A$1:$A$5=公区维修!$F313)+$BN$1:$BN$5&gt;0)))</f>
        <v>4</v>
      </c>
      <c r="AL313" s="0" t="str">
        <f aca="false">IFERROR(INDEX($A$1:$A$5,MATCH(1,$AF313:$AJ313,0)),IF(1=MAX($AF313:$AJ313)+1,"取消",""))</f>
        <v>李师傅</v>
      </c>
      <c r="AM313" s="0" t="str">
        <f aca="false">IFERROR(INDEX($A$1:$A$5,MATCH(2,$AF313:$AJ313,0)),IF(2=MAX($AF313:$AJ313)+1,"取消",""))</f>
        <v>王师傅</v>
      </c>
      <c r="AN313" s="0" t="str">
        <f aca="false">IFERROR(INDEX($A$1:$A$5,MATCH(3,$AF313:$AJ313,0)),IF(3=MAX($AF313:$AJ313)+1,"取消",""))</f>
        <v>陈师傅</v>
      </c>
      <c r="AO313" s="0" t="str">
        <f aca="false">IFERROR(INDEX($A$1:$A$5,MATCH(4,$AF313:$AJ313,0)),IF(4=MAX($AF313:$AJ313)+1,"取消",""))</f>
        <v>刘师傅</v>
      </c>
      <c r="AP313" s="0" t="str">
        <f aca="false">IFERROR(INDEX($A$1:$A$5,MATCH(5,$AF313:$AJ313,0)),IF(5=MAX($AF313:$AJ313)+1,"取消",""))</f>
        <v>取消</v>
      </c>
      <c r="AQ313" s="0" t="str">
        <f aca="false">IFERROR(INDEX($A$1:$A$5,MATCH(6,$AF313:$AJ313,0)),IF(6=MAX($AF313:$AJ313)+1,"取消",""))</f>
        <v/>
      </c>
      <c r="AS313" s="0" t="n">
        <f aca="false">IF(OR($A$1=公区维修!$F313,$A$1=公区维修!$G313,$BN$1=1),0,1-SUMPRODUCT(--(($A$1=公区维修!$F313)+($A$1=公区维修!$G313)+$BN$1&gt;0)))</f>
        <v>0</v>
      </c>
      <c r="AT313" s="0" t="n">
        <f aca="false">IF(OR($A$2=公区维修!$F313,$A$2=公区维修!$G313,$BN$2=1),0,2-SUMPRODUCT(--(($A$1:$A$2=公区维修!$F313)+($A$1:$A$2=公区维修!$G313)+$BN$1:$BN$2&gt;0)))</f>
        <v>1</v>
      </c>
      <c r="AU313" s="0" t="n">
        <f aca="false">IF(OR($A$3=公区维修!$F313,$A$3=公区维修!$G313,$BN$3=1),0,3-SUMPRODUCT(--(($A$1:$A$3=公区维修!$F313)+($A$1:$A$3=公区维修!$G313)+$BN$1:$BN$3&gt;0)))</f>
        <v>2</v>
      </c>
      <c r="AV313" s="0" t="n">
        <f aca="false">IF(OR($A$4=公区维修!$F313,$A$4=公区维修!$G313,$BN$4=1),0,4-SUMPRODUCT(--(($A$1:$A$4=公区维修!$F313)+($A$1:$A$4=公区维修!$G313)+$BN$1:$BN$4&gt;0)))</f>
        <v>3</v>
      </c>
      <c r="AW313" s="0" t="n">
        <f aca="false">IF(OR($A$5=公区维修!$F313,$A$5=公区维修!$G313,$BN$5=1),0,5-SUMPRODUCT(--(($A$1:$A$5=公区维修!$F313)+($A$1:$A$5=公区维修!$G313)+$BN$1:$BN$5&gt;0)))</f>
        <v>4</v>
      </c>
      <c r="AY313" s="0" t="str">
        <f aca="false">IFERROR(INDEX($A$1:$A$5,MATCH(1,$AS313:$AW313,0)),IF(1=MAX($AS313:$AW313)+1,"取消",""))</f>
        <v>李师傅</v>
      </c>
      <c r="AZ313" s="0" t="str">
        <f aca="false">IFERROR(INDEX($A$1:$A$5,MATCH(2,$AS313:$AW313,0)),IF(2=MAX($AS313:$AW313)+1,"取消",""))</f>
        <v>王师傅</v>
      </c>
      <c r="BA313" s="0" t="str">
        <f aca="false">IFERROR(INDEX($A$1:$A$5,MATCH(3,$AS313:$AW313,0)),IF(3=MAX($AS313:$AW313)+1,"取消",""))</f>
        <v>陈师傅</v>
      </c>
      <c r="BB313" s="0" t="str">
        <f aca="false">IFERROR(INDEX($A$1:$A$5,MATCH(4,$AS313:$AW313,0)),IF(4=MAX($AS313:$AW313)+1,"取消",""))</f>
        <v>刘师傅</v>
      </c>
      <c r="BC313" s="0" t="str">
        <f aca="false">IFERROR(INDEX($A$1:$A$5,MATCH(5,$AS313:$AW313,0)),IF(5=MAX($AS313:$AW313)+1,"取消",""))</f>
        <v>取消</v>
      </c>
      <c r="BD313" s="0" t="str">
        <f aca="false">IFERROR(INDEX($A$1:$A$5,MATCH(6,$AS313:$AW313,0)),IF(6=MAX($AS313:$AW313)+1,"取消",""))</f>
        <v/>
      </c>
      <c r="FW313" s="0" t="str">
        <f aca="false">IF(AND(单元查询!$D$3&lt;&gt;"",IF(单元查询!$B$3="公区维修",公区维修!$E313&lt;&gt;"",入户维修!$E313&lt;&gt;""),IF(单元查询!$B$3="公区维修",公区维修!$C313,入户维修!$C313)=单元查询!$D$3,OR(单元查询!$F$3="",IF(单元查询!$B$3="公区维修",公区维修!$D313,入户维修!$D313)&amp;""=(单元查询!$F$3)&amp;"")),MAX($FW$4:$FW312)+1,"")</f>
        <v/>
      </c>
    </row>
    <row r="314" customFormat="false" ht="15" hidden="false" customHeight="true" outlineLevel="0" collapsed="false">
      <c r="F314" s="0" t="n">
        <f aca="false">IF(OR($A$1=入户维修!$F314,$BN$1=1),0,1-SUMPRODUCT(--(($A$1=入户维修!$F314)+$BN$1&gt;0)))</f>
        <v>0</v>
      </c>
      <c r="G314" s="0" t="n">
        <f aca="false">IF(OR($A$2=入户维修!$F314,$BN$2=1),0,2-SUMPRODUCT(--(($A$1:$A$2=入户维修!$F314)+$BN$1:$BN$2&gt;0)))</f>
        <v>1</v>
      </c>
      <c r="H314" s="0" t="n">
        <f aca="false">IF(OR($A$3=入户维修!$F314,$BN$3=1),0,3-SUMPRODUCT(--(($A$1:$A$3=入户维修!$F314)+$BN$1:$BN$3&gt;0)))</f>
        <v>2</v>
      </c>
      <c r="I314" s="0" t="n">
        <f aca="false">IF(OR($A$4=入户维修!$F314,$BN$4=1),0,4-SUMPRODUCT(--(($A$1:$A$4=入户维修!$F314)+$BN$1:$BN$4&gt;0)))</f>
        <v>3</v>
      </c>
      <c r="J314" s="0" t="n">
        <f aca="false">IF(OR($A$5=入户维修!$F314,$BN$5=1),0,5-SUMPRODUCT(--(($A$1:$A$5=入户维修!$F314)+$BN$1:$BN$5&gt;0)))</f>
        <v>4</v>
      </c>
      <c r="L314" s="0" t="str">
        <f aca="false">IFERROR(INDEX($A$1:$A$5,MATCH(1,$F314:$J314,0)),IF(1=MAX($F314:$J314)+1,"取消",""))</f>
        <v>李师傅</v>
      </c>
      <c r="M314" s="0" t="str">
        <f aca="false">IFERROR(INDEX($A$1:$A$5,MATCH(2,$F314:$J314,0)),IF(2=MAX($F314:$J314)+1,"取消",""))</f>
        <v>王师傅</v>
      </c>
      <c r="N314" s="0" t="str">
        <f aca="false">IFERROR(INDEX($A$1:$A$5,MATCH(3,$F314:$J314,0)),IF(3=MAX($F314:$J314)+1,"取消",""))</f>
        <v>陈师傅</v>
      </c>
      <c r="O314" s="0" t="str">
        <f aca="false">IFERROR(INDEX($A$1:$A$5,MATCH(4,$F314:$J314,0)),IF(4=MAX($F314:$J314)+1,"取消",""))</f>
        <v>刘师傅</v>
      </c>
      <c r="P314" s="0" t="str">
        <f aca="false">IFERROR(INDEX($A$1:$A$5,MATCH(5,$F314:$J314,0)),IF(5=MAX($F314:$J314)+1,"取消",""))</f>
        <v>取消</v>
      </c>
      <c r="Q314" s="0" t="str">
        <f aca="false">IFERROR(INDEX($A$1:$A$5,MATCH(6,$F314:$J314,0)),IF(6=MAX($F314:$J314)+1,"取消",""))</f>
        <v/>
      </c>
      <c r="S314" s="0" t="n">
        <f aca="false">IF(OR($A$1=入户维修!$F314,$A$1=入户维修!$G314,$BN$1=1),0,1-SUMPRODUCT(--(($A$1=入户维修!$F314)+($A$1=入户维修!$G314)+$BN$1&gt;0)))</f>
        <v>0</v>
      </c>
      <c r="T314" s="0" t="n">
        <f aca="false">IF(OR($A$2=入户维修!$F314,$A$2=入户维修!$G314,$BN$2=1),0,2-SUMPRODUCT(--(($A$1:$A$2=入户维修!$F314)+($A$1:$A$2=入户维修!$G314)+$BN$1:$BN$2&gt;0)))</f>
        <v>1</v>
      </c>
      <c r="U314" s="0" t="n">
        <f aca="false">IF(OR($A$3=入户维修!$F314,$A$3=入户维修!$G314,$BN$3=1),0,3-SUMPRODUCT(--(($A$1:$A$3=入户维修!$F314)+($A$1:$A$3=入户维修!$G314)+$BN$1:$BN$3&gt;0)))</f>
        <v>2</v>
      </c>
      <c r="V314" s="0" t="n">
        <f aca="false">IF(OR($A$4=入户维修!$F314,$A$4=入户维修!$G314,$BN$4=1),0,4-SUMPRODUCT(--(($A$1:$A$4=入户维修!$F314)+($A$1:$A$4=入户维修!$G314)+$BN$1:$BN$4&gt;0)))</f>
        <v>3</v>
      </c>
      <c r="W314" s="0" t="n">
        <f aca="false">IF(OR($A$5=入户维修!$F314,$A$5=入户维修!$G314,$BN$5=1),0,5-SUMPRODUCT(--(($A$1:$A$5=入户维修!$F314)+($A$1:$A$5=入户维修!$G314)+$BN$1:$BN$5&gt;0)))</f>
        <v>4</v>
      </c>
      <c r="Y314" s="0" t="str">
        <f aca="false">IFERROR(INDEX($A$1:$A$5,MATCH(1,$S314:$W314,0)),IF(1=MAX($S314:$W314)+1,"取消",""))</f>
        <v>李师傅</v>
      </c>
      <c r="Z314" s="0" t="str">
        <f aca="false">IFERROR(INDEX($A$1:$A$5,MATCH(2,$S314:$W314,0)),IF(2=MAX($S314:$W314)+1,"取消",""))</f>
        <v>王师傅</v>
      </c>
      <c r="AA314" s="0" t="str">
        <f aca="false">IFERROR(INDEX($A$1:$A$5,MATCH(3,$S314:$W314,0)),IF(3=MAX($S314:$W314)+1,"取消",""))</f>
        <v>陈师傅</v>
      </c>
      <c r="AB314" s="0" t="str">
        <f aca="false">IFERROR(INDEX($A$1:$A$5,MATCH(4,$S314:$W314,0)),IF(4=MAX($S314:$W314)+1,"取消",""))</f>
        <v>刘师傅</v>
      </c>
      <c r="AC314" s="0" t="str">
        <f aca="false">IFERROR(INDEX($A$1:$A$5,MATCH(5,$S314:$W314,0)),IF(5=MAX($S314:$W314)+1,"取消",""))</f>
        <v>取消</v>
      </c>
      <c r="AD314" s="0" t="str">
        <f aca="false">IFERROR(INDEX($A$1:$A$5,MATCH(6,$S314:$W314,0)),IF(6=MAX($S314:$W314)+1,"取消",""))</f>
        <v/>
      </c>
      <c r="AF314" s="0" t="n">
        <f aca="false">IF(OR($A$1=公区维修!$F314,$BN$1=1),0,1-SUMPRODUCT(--(($A$1=公区维修!$F314)+$BN$1&gt;0)))</f>
        <v>0</v>
      </c>
      <c r="AG314" s="0" t="n">
        <f aca="false">IF(OR($A$2=公区维修!$F314,$BN$2=1),0,2-SUMPRODUCT(--(($A$1:$A$2=公区维修!$F314)+$BN$1:$BN$2&gt;0)))</f>
        <v>1</v>
      </c>
      <c r="AH314" s="0" t="n">
        <f aca="false">IF(OR($A$3=公区维修!$F314,$BN$3=1),0,3-SUMPRODUCT(--(($A$1:$A$3=公区维修!$F314)+$BN$1:$BN$3&gt;0)))</f>
        <v>2</v>
      </c>
      <c r="AI314" s="0" t="n">
        <f aca="false">IF(OR($A$4=公区维修!$F314,$BN$4=1),0,4-SUMPRODUCT(--(($A$1:$A$4=公区维修!$F314)+$BN$1:$BN$4&gt;0)))</f>
        <v>3</v>
      </c>
      <c r="AJ314" s="0" t="n">
        <f aca="false">IF(OR($A$5=公区维修!$F314,$BN$5=1),0,5-SUMPRODUCT(--(($A$1:$A$5=公区维修!$F314)+$BN$1:$BN$5&gt;0)))</f>
        <v>4</v>
      </c>
      <c r="AL314" s="0" t="str">
        <f aca="false">IFERROR(INDEX($A$1:$A$5,MATCH(1,$AF314:$AJ314,0)),IF(1=MAX($AF314:$AJ314)+1,"取消",""))</f>
        <v>李师傅</v>
      </c>
      <c r="AM314" s="0" t="str">
        <f aca="false">IFERROR(INDEX($A$1:$A$5,MATCH(2,$AF314:$AJ314,0)),IF(2=MAX($AF314:$AJ314)+1,"取消",""))</f>
        <v>王师傅</v>
      </c>
      <c r="AN314" s="0" t="str">
        <f aca="false">IFERROR(INDEX($A$1:$A$5,MATCH(3,$AF314:$AJ314,0)),IF(3=MAX($AF314:$AJ314)+1,"取消",""))</f>
        <v>陈师傅</v>
      </c>
      <c r="AO314" s="0" t="str">
        <f aca="false">IFERROR(INDEX($A$1:$A$5,MATCH(4,$AF314:$AJ314,0)),IF(4=MAX($AF314:$AJ314)+1,"取消",""))</f>
        <v>刘师傅</v>
      </c>
      <c r="AP314" s="0" t="str">
        <f aca="false">IFERROR(INDEX($A$1:$A$5,MATCH(5,$AF314:$AJ314,0)),IF(5=MAX($AF314:$AJ314)+1,"取消",""))</f>
        <v>取消</v>
      </c>
      <c r="AQ314" s="0" t="str">
        <f aca="false">IFERROR(INDEX($A$1:$A$5,MATCH(6,$AF314:$AJ314,0)),IF(6=MAX($AF314:$AJ314)+1,"取消",""))</f>
        <v/>
      </c>
      <c r="AS314" s="0" t="n">
        <f aca="false">IF(OR($A$1=公区维修!$F314,$A$1=公区维修!$G314,$BN$1=1),0,1-SUMPRODUCT(--(($A$1=公区维修!$F314)+($A$1=公区维修!$G314)+$BN$1&gt;0)))</f>
        <v>0</v>
      </c>
      <c r="AT314" s="0" t="n">
        <f aca="false">IF(OR($A$2=公区维修!$F314,$A$2=公区维修!$G314,$BN$2=1),0,2-SUMPRODUCT(--(($A$1:$A$2=公区维修!$F314)+($A$1:$A$2=公区维修!$G314)+$BN$1:$BN$2&gt;0)))</f>
        <v>1</v>
      </c>
      <c r="AU314" s="0" t="n">
        <f aca="false">IF(OR($A$3=公区维修!$F314,$A$3=公区维修!$G314,$BN$3=1),0,3-SUMPRODUCT(--(($A$1:$A$3=公区维修!$F314)+($A$1:$A$3=公区维修!$G314)+$BN$1:$BN$3&gt;0)))</f>
        <v>2</v>
      </c>
      <c r="AV314" s="0" t="n">
        <f aca="false">IF(OR($A$4=公区维修!$F314,$A$4=公区维修!$G314,$BN$4=1),0,4-SUMPRODUCT(--(($A$1:$A$4=公区维修!$F314)+($A$1:$A$4=公区维修!$G314)+$BN$1:$BN$4&gt;0)))</f>
        <v>3</v>
      </c>
      <c r="AW314" s="0" t="n">
        <f aca="false">IF(OR($A$5=公区维修!$F314,$A$5=公区维修!$G314,$BN$5=1),0,5-SUMPRODUCT(--(($A$1:$A$5=公区维修!$F314)+($A$1:$A$5=公区维修!$G314)+$BN$1:$BN$5&gt;0)))</f>
        <v>4</v>
      </c>
      <c r="AY314" s="0" t="str">
        <f aca="false">IFERROR(INDEX($A$1:$A$5,MATCH(1,$AS314:$AW314,0)),IF(1=MAX($AS314:$AW314)+1,"取消",""))</f>
        <v>李师傅</v>
      </c>
      <c r="AZ314" s="0" t="str">
        <f aca="false">IFERROR(INDEX($A$1:$A$5,MATCH(2,$AS314:$AW314,0)),IF(2=MAX($AS314:$AW314)+1,"取消",""))</f>
        <v>王师傅</v>
      </c>
      <c r="BA314" s="0" t="str">
        <f aca="false">IFERROR(INDEX($A$1:$A$5,MATCH(3,$AS314:$AW314,0)),IF(3=MAX($AS314:$AW314)+1,"取消",""))</f>
        <v>陈师傅</v>
      </c>
      <c r="BB314" s="0" t="str">
        <f aca="false">IFERROR(INDEX($A$1:$A$5,MATCH(4,$AS314:$AW314,0)),IF(4=MAX($AS314:$AW314)+1,"取消",""))</f>
        <v>刘师傅</v>
      </c>
      <c r="BC314" s="0" t="str">
        <f aca="false">IFERROR(INDEX($A$1:$A$5,MATCH(5,$AS314:$AW314,0)),IF(5=MAX($AS314:$AW314)+1,"取消",""))</f>
        <v>取消</v>
      </c>
      <c r="BD314" s="0" t="str">
        <f aca="false">IFERROR(INDEX($A$1:$A$5,MATCH(6,$AS314:$AW314,0)),IF(6=MAX($AS314:$AW314)+1,"取消",""))</f>
        <v/>
      </c>
      <c r="FW314" s="0" t="str">
        <f aca="false">IF(AND(单元查询!$D$3&lt;&gt;"",IF(单元查询!$B$3="公区维修",公区维修!$E314&lt;&gt;"",入户维修!$E314&lt;&gt;""),IF(单元查询!$B$3="公区维修",公区维修!$C314,入户维修!$C314)=单元查询!$D$3,OR(单元查询!$F$3="",IF(单元查询!$B$3="公区维修",公区维修!$D314,入户维修!$D314)&amp;""=(单元查询!$F$3)&amp;"")),MAX($FW$4:$FW313)+1,"")</f>
        <v/>
      </c>
    </row>
    <row r="315" customFormat="false" ht="15" hidden="false" customHeight="true" outlineLevel="0" collapsed="false">
      <c r="F315" s="0" t="n">
        <f aca="false">IF(OR($A$1=入户维修!$F315,$BN$1=1),0,1-SUMPRODUCT(--(($A$1=入户维修!$F315)+$BN$1&gt;0)))</f>
        <v>0</v>
      </c>
      <c r="G315" s="0" t="n">
        <f aca="false">IF(OR($A$2=入户维修!$F315,$BN$2=1),0,2-SUMPRODUCT(--(($A$1:$A$2=入户维修!$F315)+$BN$1:$BN$2&gt;0)))</f>
        <v>1</v>
      </c>
      <c r="H315" s="0" t="n">
        <f aca="false">IF(OR($A$3=入户维修!$F315,$BN$3=1),0,3-SUMPRODUCT(--(($A$1:$A$3=入户维修!$F315)+$BN$1:$BN$3&gt;0)))</f>
        <v>2</v>
      </c>
      <c r="I315" s="0" t="n">
        <f aca="false">IF(OR($A$4=入户维修!$F315,$BN$4=1),0,4-SUMPRODUCT(--(($A$1:$A$4=入户维修!$F315)+$BN$1:$BN$4&gt;0)))</f>
        <v>3</v>
      </c>
      <c r="J315" s="0" t="n">
        <f aca="false">IF(OR($A$5=入户维修!$F315,$BN$5=1),0,5-SUMPRODUCT(--(($A$1:$A$5=入户维修!$F315)+$BN$1:$BN$5&gt;0)))</f>
        <v>4</v>
      </c>
      <c r="L315" s="0" t="str">
        <f aca="false">IFERROR(INDEX($A$1:$A$5,MATCH(1,$F315:$J315,0)),IF(1=MAX($F315:$J315)+1,"取消",""))</f>
        <v>李师傅</v>
      </c>
      <c r="M315" s="0" t="str">
        <f aca="false">IFERROR(INDEX($A$1:$A$5,MATCH(2,$F315:$J315,0)),IF(2=MAX($F315:$J315)+1,"取消",""))</f>
        <v>王师傅</v>
      </c>
      <c r="N315" s="0" t="str">
        <f aca="false">IFERROR(INDEX($A$1:$A$5,MATCH(3,$F315:$J315,0)),IF(3=MAX($F315:$J315)+1,"取消",""))</f>
        <v>陈师傅</v>
      </c>
      <c r="O315" s="0" t="str">
        <f aca="false">IFERROR(INDEX($A$1:$A$5,MATCH(4,$F315:$J315,0)),IF(4=MAX($F315:$J315)+1,"取消",""))</f>
        <v>刘师傅</v>
      </c>
      <c r="P315" s="0" t="str">
        <f aca="false">IFERROR(INDEX($A$1:$A$5,MATCH(5,$F315:$J315,0)),IF(5=MAX($F315:$J315)+1,"取消",""))</f>
        <v>取消</v>
      </c>
      <c r="Q315" s="0" t="str">
        <f aca="false">IFERROR(INDEX($A$1:$A$5,MATCH(6,$F315:$J315,0)),IF(6=MAX($F315:$J315)+1,"取消",""))</f>
        <v/>
      </c>
      <c r="S315" s="0" t="n">
        <f aca="false">IF(OR($A$1=入户维修!$F315,$A$1=入户维修!$G315,$BN$1=1),0,1-SUMPRODUCT(--(($A$1=入户维修!$F315)+($A$1=入户维修!$G315)+$BN$1&gt;0)))</f>
        <v>0</v>
      </c>
      <c r="T315" s="0" t="n">
        <f aca="false">IF(OR($A$2=入户维修!$F315,$A$2=入户维修!$G315,$BN$2=1),0,2-SUMPRODUCT(--(($A$1:$A$2=入户维修!$F315)+($A$1:$A$2=入户维修!$G315)+$BN$1:$BN$2&gt;0)))</f>
        <v>1</v>
      </c>
      <c r="U315" s="0" t="n">
        <f aca="false">IF(OR($A$3=入户维修!$F315,$A$3=入户维修!$G315,$BN$3=1),0,3-SUMPRODUCT(--(($A$1:$A$3=入户维修!$F315)+($A$1:$A$3=入户维修!$G315)+$BN$1:$BN$3&gt;0)))</f>
        <v>2</v>
      </c>
      <c r="V315" s="0" t="n">
        <f aca="false">IF(OR($A$4=入户维修!$F315,$A$4=入户维修!$G315,$BN$4=1),0,4-SUMPRODUCT(--(($A$1:$A$4=入户维修!$F315)+($A$1:$A$4=入户维修!$G315)+$BN$1:$BN$4&gt;0)))</f>
        <v>3</v>
      </c>
      <c r="W315" s="0" t="n">
        <f aca="false">IF(OR($A$5=入户维修!$F315,$A$5=入户维修!$G315,$BN$5=1),0,5-SUMPRODUCT(--(($A$1:$A$5=入户维修!$F315)+($A$1:$A$5=入户维修!$G315)+$BN$1:$BN$5&gt;0)))</f>
        <v>4</v>
      </c>
      <c r="Y315" s="0" t="str">
        <f aca="false">IFERROR(INDEX($A$1:$A$5,MATCH(1,$S315:$W315,0)),IF(1=MAX($S315:$W315)+1,"取消",""))</f>
        <v>李师傅</v>
      </c>
      <c r="Z315" s="0" t="str">
        <f aca="false">IFERROR(INDEX($A$1:$A$5,MATCH(2,$S315:$W315,0)),IF(2=MAX($S315:$W315)+1,"取消",""))</f>
        <v>王师傅</v>
      </c>
      <c r="AA315" s="0" t="str">
        <f aca="false">IFERROR(INDEX($A$1:$A$5,MATCH(3,$S315:$W315,0)),IF(3=MAX($S315:$W315)+1,"取消",""))</f>
        <v>陈师傅</v>
      </c>
      <c r="AB315" s="0" t="str">
        <f aca="false">IFERROR(INDEX($A$1:$A$5,MATCH(4,$S315:$W315,0)),IF(4=MAX($S315:$W315)+1,"取消",""))</f>
        <v>刘师傅</v>
      </c>
      <c r="AC315" s="0" t="str">
        <f aca="false">IFERROR(INDEX($A$1:$A$5,MATCH(5,$S315:$W315,0)),IF(5=MAX($S315:$W315)+1,"取消",""))</f>
        <v>取消</v>
      </c>
      <c r="AD315" s="0" t="str">
        <f aca="false">IFERROR(INDEX($A$1:$A$5,MATCH(6,$S315:$W315,0)),IF(6=MAX($S315:$W315)+1,"取消",""))</f>
        <v/>
      </c>
      <c r="AF315" s="0" t="n">
        <f aca="false">IF(OR($A$1=公区维修!$F315,$BN$1=1),0,1-SUMPRODUCT(--(($A$1=公区维修!$F315)+$BN$1&gt;0)))</f>
        <v>0</v>
      </c>
      <c r="AG315" s="0" t="n">
        <f aca="false">IF(OR($A$2=公区维修!$F315,$BN$2=1),0,2-SUMPRODUCT(--(($A$1:$A$2=公区维修!$F315)+$BN$1:$BN$2&gt;0)))</f>
        <v>1</v>
      </c>
      <c r="AH315" s="0" t="n">
        <f aca="false">IF(OR($A$3=公区维修!$F315,$BN$3=1),0,3-SUMPRODUCT(--(($A$1:$A$3=公区维修!$F315)+$BN$1:$BN$3&gt;0)))</f>
        <v>2</v>
      </c>
      <c r="AI315" s="0" t="n">
        <f aca="false">IF(OR($A$4=公区维修!$F315,$BN$4=1),0,4-SUMPRODUCT(--(($A$1:$A$4=公区维修!$F315)+$BN$1:$BN$4&gt;0)))</f>
        <v>3</v>
      </c>
      <c r="AJ315" s="0" t="n">
        <f aca="false">IF(OR($A$5=公区维修!$F315,$BN$5=1),0,5-SUMPRODUCT(--(($A$1:$A$5=公区维修!$F315)+$BN$1:$BN$5&gt;0)))</f>
        <v>4</v>
      </c>
      <c r="AL315" s="0" t="str">
        <f aca="false">IFERROR(INDEX($A$1:$A$5,MATCH(1,$AF315:$AJ315,0)),IF(1=MAX($AF315:$AJ315)+1,"取消",""))</f>
        <v>李师傅</v>
      </c>
      <c r="AM315" s="0" t="str">
        <f aca="false">IFERROR(INDEX($A$1:$A$5,MATCH(2,$AF315:$AJ315,0)),IF(2=MAX($AF315:$AJ315)+1,"取消",""))</f>
        <v>王师傅</v>
      </c>
      <c r="AN315" s="0" t="str">
        <f aca="false">IFERROR(INDEX($A$1:$A$5,MATCH(3,$AF315:$AJ315,0)),IF(3=MAX($AF315:$AJ315)+1,"取消",""))</f>
        <v>陈师傅</v>
      </c>
      <c r="AO315" s="0" t="str">
        <f aca="false">IFERROR(INDEX($A$1:$A$5,MATCH(4,$AF315:$AJ315,0)),IF(4=MAX($AF315:$AJ315)+1,"取消",""))</f>
        <v>刘师傅</v>
      </c>
      <c r="AP315" s="0" t="str">
        <f aca="false">IFERROR(INDEX($A$1:$A$5,MATCH(5,$AF315:$AJ315,0)),IF(5=MAX($AF315:$AJ315)+1,"取消",""))</f>
        <v>取消</v>
      </c>
      <c r="AQ315" s="0" t="str">
        <f aca="false">IFERROR(INDEX($A$1:$A$5,MATCH(6,$AF315:$AJ315,0)),IF(6=MAX($AF315:$AJ315)+1,"取消",""))</f>
        <v/>
      </c>
      <c r="AS315" s="0" t="n">
        <f aca="false">IF(OR($A$1=公区维修!$F315,$A$1=公区维修!$G315,$BN$1=1),0,1-SUMPRODUCT(--(($A$1=公区维修!$F315)+($A$1=公区维修!$G315)+$BN$1&gt;0)))</f>
        <v>0</v>
      </c>
      <c r="AT315" s="0" t="n">
        <f aca="false">IF(OR($A$2=公区维修!$F315,$A$2=公区维修!$G315,$BN$2=1),0,2-SUMPRODUCT(--(($A$1:$A$2=公区维修!$F315)+($A$1:$A$2=公区维修!$G315)+$BN$1:$BN$2&gt;0)))</f>
        <v>1</v>
      </c>
      <c r="AU315" s="0" t="n">
        <f aca="false">IF(OR($A$3=公区维修!$F315,$A$3=公区维修!$G315,$BN$3=1),0,3-SUMPRODUCT(--(($A$1:$A$3=公区维修!$F315)+($A$1:$A$3=公区维修!$G315)+$BN$1:$BN$3&gt;0)))</f>
        <v>2</v>
      </c>
      <c r="AV315" s="0" t="n">
        <f aca="false">IF(OR($A$4=公区维修!$F315,$A$4=公区维修!$G315,$BN$4=1),0,4-SUMPRODUCT(--(($A$1:$A$4=公区维修!$F315)+($A$1:$A$4=公区维修!$G315)+$BN$1:$BN$4&gt;0)))</f>
        <v>3</v>
      </c>
      <c r="AW315" s="0" t="n">
        <f aca="false">IF(OR($A$5=公区维修!$F315,$A$5=公区维修!$G315,$BN$5=1),0,5-SUMPRODUCT(--(($A$1:$A$5=公区维修!$F315)+($A$1:$A$5=公区维修!$G315)+$BN$1:$BN$5&gt;0)))</f>
        <v>4</v>
      </c>
      <c r="AY315" s="0" t="str">
        <f aca="false">IFERROR(INDEX($A$1:$A$5,MATCH(1,$AS315:$AW315,0)),IF(1=MAX($AS315:$AW315)+1,"取消",""))</f>
        <v>李师傅</v>
      </c>
      <c r="AZ315" s="0" t="str">
        <f aca="false">IFERROR(INDEX($A$1:$A$5,MATCH(2,$AS315:$AW315,0)),IF(2=MAX($AS315:$AW315)+1,"取消",""))</f>
        <v>王师傅</v>
      </c>
      <c r="BA315" s="0" t="str">
        <f aca="false">IFERROR(INDEX($A$1:$A$5,MATCH(3,$AS315:$AW315,0)),IF(3=MAX($AS315:$AW315)+1,"取消",""))</f>
        <v>陈师傅</v>
      </c>
      <c r="BB315" s="0" t="str">
        <f aca="false">IFERROR(INDEX($A$1:$A$5,MATCH(4,$AS315:$AW315,0)),IF(4=MAX($AS315:$AW315)+1,"取消",""))</f>
        <v>刘师傅</v>
      </c>
      <c r="BC315" s="0" t="str">
        <f aca="false">IFERROR(INDEX($A$1:$A$5,MATCH(5,$AS315:$AW315,0)),IF(5=MAX($AS315:$AW315)+1,"取消",""))</f>
        <v>取消</v>
      </c>
      <c r="BD315" s="0" t="str">
        <f aca="false">IFERROR(INDEX($A$1:$A$5,MATCH(6,$AS315:$AW315,0)),IF(6=MAX($AS315:$AW315)+1,"取消",""))</f>
        <v/>
      </c>
      <c r="FW315" s="0" t="str">
        <f aca="false">IF(AND(单元查询!$D$3&lt;&gt;"",IF(单元查询!$B$3="公区维修",公区维修!$E315&lt;&gt;"",入户维修!$E315&lt;&gt;""),IF(单元查询!$B$3="公区维修",公区维修!$C315,入户维修!$C315)=单元查询!$D$3,OR(单元查询!$F$3="",IF(单元查询!$B$3="公区维修",公区维修!$D315,入户维修!$D315)&amp;""=(单元查询!$F$3)&amp;"")),MAX($FW$4:$FW314)+1,"")</f>
        <v/>
      </c>
    </row>
    <row r="316" customFormat="false" ht="15" hidden="false" customHeight="true" outlineLevel="0" collapsed="false">
      <c r="F316" s="0" t="n">
        <f aca="false">IF(OR($A$1=入户维修!$F316,$BN$1=1),0,1-SUMPRODUCT(--(($A$1=入户维修!$F316)+$BN$1&gt;0)))</f>
        <v>0</v>
      </c>
      <c r="G316" s="0" t="n">
        <f aca="false">IF(OR($A$2=入户维修!$F316,$BN$2=1),0,2-SUMPRODUCT(--(($A$1:$A$2=入户维修!$F316)+$BN$1:$BN$2&gt;0)))</f>
        <v>1</v>
      </c>
      <c r="H316" s="0" t="n">
        <f aca="false">IF(OR($A$3=入户维修!$F316,$BN$3=1),0,3-SUMPRODUCT(--(($A$1:$A$3=入户维修!$F316)+$BN$1:$BN$3&gt;0)))</f>
        <v>2</v>
      </c>
      <c r="I316" s="0" t="n">
        <f aca="false">IF(OR($A$4=入户维修!$F316,$BN$4=1),0,4-SUMPRODUCT(--(($A$1:$A$4=入户维修!$F316)+$BN$1:$BN$4&gt;0)))</f>
        <v>3</v>
      </c>
      <c r="J316" s="0" t="n">
        <f aca="false">IF(OR($A$5=入户维修!$F316,$BN$5=1),0,5-SUMPRODUCT(--(($A$1:$A$5=入户维修!$F316)+$BN$1:$BN$5&gt;0)))</f>
        <v>4</v>
      </c>
      <c r="L316" s="0" t="str">
        <f aca="false">IFERROR(INDEX($A$1:$A$5,MATCH(1,$F316:$J316,0)),IF(1=MAX($F316:$J316)+1,"取消",""))</f>
        <v>李师傅</v>
      </c>
      <c r="M316" s="0" t="str">
        <f aca="false">IFERROR(INDEX($A$1:$A$5,MATCH(2,$F316:$J316,0)),IF(2=MAX($F316:$J316)+1,"取消",""))</f>
        <v>王师傅</v>
      </c>
      <c r="N316" s="0" t="str">
        <f aca="false">IFERROR(INDEX($A$1:$A$5,MATCH(3,$F316:$J316,0)),IF(3=MAX($F316:$J316)+1,"取消",""))</f>
        <v>陈师傅</v>
      </c>
      <c r="O316" s="0" t="str">
        <f aca="false">IFERROR(INDEX($A$1:$A$5,MATCH(4,$F316:$J316,0)),IF(4=MAX($F316:$J316)+1,"取消",""))</f>
        <v>刘师傅</v>
      </c>
      <c r="P316" s="0" t="str">
        <f aca="false">IFERROR(INDEX($A$1:$A$5,MATCH(5,$F316:$J316,0)),IF(5=MAX($F316:$J316)+1,"取消",""))</f>
        <v>取消</v>
      </c>
      <c r="Q316" s="0" t="str">
        <f aca="false">IFERROR(INDEX($A$1:$A$5,MATCH(6,$F316:$J316,0)),IF(6=MAX($F316:$J316)+1,"取消",""))</f>
        <v/>
      </c>
      <c r="S316" s="0" t="n">
        <f aca="false">IF(OR($A$1=入户维修!$F316,$A$1=入户维修!$G316,$BN$1=1),0,1-SUMPRODUCT(--(($A$1=入户维修!$F316)+($A$1=入户维修!$G316)+$BN$1&gt;0)))</f>
        <v>0</v>
      </c>
      <c r="T316" s="0" t="n">
        <f aca="false">IF(OR($A$2=入户维修!$F316,$A$2=入户维修!$G316,$BN$2=1),0,2-SUMPRODUCT(--(($A$1:$A$2=入户维修!$F316)+($A$1:$A$2=入户维修!$G316)+$BN$1:$BN$2&gt;0)))</f>
        <v>1</v>
      </c>
      <c r="U316" s="0" t="n">
        <f aca="false">IF(OR($A$3=入户维修!$F316,$A$3=入户维修!$G316,$BN$3=1),0,3-SUMPRODUCT(--(($A$1:$A$3=入户维修!$F316)+($A$1:$A$3=入户维修!$G316)+$BN$1:$BN$3&gt;0)))</f>
        <v>2</v>
      </c>
      <c r="V316" s="0" t="n">
        <f aca="false">IF(OR($A$4=入户维修!$F316,$A$4=入户维修!$G316,$BN$4=1),0,4-SUMPRODUCT(--(($A$1:$A$4=入户维修!$F316)+($A$1:$A$4=入户维修!$G316)+$BN$1:$BN$4&gt;0)))</f>
        <v>3</v>
      </c>
      <c r="W316" s="0" t="n">
        <f aca="false">IF(OR($A$5=入户维修!$F316,$A$5=入户维修!$G316,$BN$5=1),0,5-SUMPRODUCT(--(($A$1:$A$5=入户维修!$F316)+($A$1:$A$5=入户维修!$G316)+$BN$1:$BN$5&gt;0)))</f>
        <v>4</v>
      </c>
      <c r="Y316" s="0" t="str">
        <f aca="false">IFERROR(INDEX($A$1:$A$5,MATCH(1,$S316:$W316,0)),IF(1=MAX($S316:$W316)+1,"取消",""))</f>
        <v>李师傅</v>
      </c>
      <c r="Z316" s="0" t="str">
        <f aca="false">IFERROR(INDEX($A$1:$A$5,MATCH(2,$S316:$W316,0)),IF(2=MAX($S316:$W316)+1,"取消",""))</f>
        <v>王师傅</v>
      </c>
      <c r="AA316" s="0" t="str">
        <f aca="false">IFERROR(INDEX($A$1:$A$5,MATCH(3,$S316:$W316,0)),IF(3=MAX($S316:$W316)+1,"取消",""))</f>
        <v>陈师傅</v>
      </c>
      <c r="AB316" s="0" t="str">
        <f aca="false">IFERROR(INDEX($A$1:$A$5,MATCH(4,$S316:$W316,0)),IF(4=MAX($S316:$W316)+1,"取消",""))</f>
        <v>刘师傅</v>
      </c>
      <c r="AC316" s="0" t="str">
        <f aca="false">IFERROR(INDEX($A$1:$A$5,MATCH(5,$S316:$W316,0)),IF(5=MAX($S316:$W316)+1,"取消",""))</f>
        <v>取消</v>
      </c>
      <c r="AD316" s="0" t="str">
        <f aca="false">IFERROR(INDEX($A$1:$A$5,MATCH(6,$S316:$W316,0)),IF(6=MAX($S316:$W316)+1,"取消",""))</f>
        <v/>
      </c>
      <c r="AF316" s="0" t="n">
        <f aca="false">IF(OR($A$1=公区维修!$F316,$BN$1=1),0,1-SUMPRODUCT(--(($A$1=公区维修!$F316)+$BN$1&gt;0)))</f>
        <v>0</v>
      </c>
      <c r="AG316" s="0" t="n">
        <f aca="false">IF(OR($A$2=公区维修!$F316,$BN$2=1),0,2-SUMPRODUCT(--(($A$1:$A$2=公区维修!$F316)+$BN$1:$BN$2&gt;0)))</f>
        <v>1</v>
      </c>
      <c r="AH316" s="0" t="n">
        <f aca="false">IF(OR($A$3=公区维修!$F316,$BN$3=1),0,3-SUMPRODUCT(--(($A$1:$A$3=公区维修!$F316)+$BN$1:$BN$3&gt;0)))</f>
        <v>2</v>
      </c>
      <c r="AI316" s="0" t="n">
        <f aca="false">IF(OR($A$4=公区维修!$F316,$BN$4=1),0,4-SUMPRODUCT(--(($A$1:$A$4=公区维修!$F316)+$BN$1:$BN$4&gt;0)))</f>
        <v>3</v>
      </c>
      <c r="AJ316" s="0" t="n">
        <f aca="false">IF(OR($A$5=公区维修!$F316,$BN$5=1),0,5-SUMPRODUCT(--(($A$1:$A$5=公区维修!$F316)+$BN$1:$BN$5&gt;0)))</f>
        <v>4</v>
      </c>
      <c r="AL316" s="0" t="str">
        <f aca="false">IFERROR(INDEX($A$1:$A$5,MATCH(1,$AF316:$AJ316,0)),IF(1=MAX($AF316:$AJ316)+1,"取消",""))</f>
        <v>李师傅</v>
      </c>
      <c r="AM316" s="0" t="str">
        <f aca="false">IFERROR(INDEX($A$1:$A$5,MATCH(2,$AF316:$AJ316,0)),IF(2=MAX($AF316:$AJ316)+1,"取消",""))</f>
        <v>王师傅</v>
      </c>
      <c r="AN316" s="0" t="str">
        <f aca="false">IFERROR(INDEX($A$1:$A$5,MATCH(3,$AF316:$AJ316,0)),IF(3=MAX($AF316:$AJ316)+1,"取消",""))</f>
        <v>陈师傅</v>
      </c>
      <c r="AO316" s="0" t="str">
        <f aca="false">IFERROR(INDEX($A$1:$A$5,MATCH(4,$AF316:$AJ316,0)),IF(4=MAX($AF316:$AJ316)+1,"取消",""))</f>
        <v>刘师傅</v>
      </c>
      <c r="AP316" s="0" t="str">
        <f aca="false">IFERROR(INDEX($A$1:$A$5,MATCH(5,$AF316:$AJ316,0)),IF(5=MAX($AF316:$AJ316)+1,"取消",""))</f>
        <v>取消</v>
      </c>
      <c r="AQ316" s="0" t="str">
        <f aca="false">IFERROR(INDEX($A$1:$A$5,MATCH(6,$AF316:$AJ316,0)),IF(6=MAX($AF316:$AJ316)+1,"取消",""))</f>
        <v/>
      </c>
      <c r="AS316" s="0" t="n">
        <f aca="false">IF(OR($A$1=公区维修!$F316,$A$1=公区维修!$G316,$BN$1=1),0,1-SUMPRODUCT(--(($A$1=公区维修!$F316)+($A$1=公区维修!$G316)+$BN$1&gt;0)))</f>
        <v>0</v>
      </c>
      <c r="AT316" s="0" t="n">
        <f aca="false">IF(OR($A$2=公区维修!$F316,$A$2=公区维修!$G316,$BN$2=1),0,2-SUMPRODUCT(--(($A$1:$A$2=公区维修!$F316)+($A$1:$A$2=公区维修!$G316)+$BN$1:$BN$2&gt;0)))</f>
        <v>1</v>
      </c>
      <c r="AU316" s="0" t="n">
        <f aca="false">IF(OR($A$3=公区维修!$F316,$A$3=公区维修!$G316,$BN$3=1),0,3-SUMPRODUCT(--(($A$1:$A$3=公区维修!$F316)+($A$1:$A$3=公区维修!$G316)+$BN$1:$BN$3&gt;0)))</f>
        <v>2</v>
      </c>
      <c r="AV316" s="0" t="n">
        <f aca="false">IF(OR($A$4=公区维修!$F316,$A$4=公区维修!$G316,$BN$4=1),0,4-SUMPRODUCT(--(($A$1:$A$4=公区维修!$F316)+($A$1:$A$4=公区维修!$G316)+$BN$1:$BN$4&gt;0)))</f>
        <v>3</v>
      </c>
      <c r="AW316" s="0" t="n">
        <f aca="false">IF(OR($A$5=公区维修!$F316,$A$5=公区维修!$G316,$BN$5=1),0,5-SUMPRODUCT(--(($A$1:$A$5=公区维修!$F316)+($A$1:$A$5=公区维修!$G316)+$BN$1:$BN$5&gt;0)))</f>
        <v>4</v>
      </c>
      <c r="AY316" s="0" t="str">
        <f aca="false">IFERROR(INDEX($A$1:$A$5,MATCH(1,$AS316:$AW316,0)),IF(1=MAX($AS316:$AW316)+1,"取消",""))</f>
        <v>李师傅</v>
      </c>
      <c r="AZ316" s="0" t="str">
        <f aca="false">IFERROR(INDEX($A$1:$A$5,MATCH(2,$AS316:$AW316,0)),IF(2=MAX($AS316:$AW316)+1,"取消",""))</f>
        <v>王师傅</v>
      </c>
      <c r="BA316" s="0" t="str">
        <f aca="false">IFERROR(INDEX($A$1:$A$5,MATCH(3,$AS316:$AW316,0)),IF(3=MAX($AS316:$AW316)+1,"取消",""))</f>
        <v>陈师傅</v>
      </c>
      <c r="BB316" s="0" t="str">
        <f aca="false">IFERROR(INDEX($A$1:$A$5,MATCH(4,$AS316:$AW316,0)),IF(4=MAX($AS316:$AW316)+1,"取消",""))</f>
        <v>刘师傅</v>
      </c>
      <c r="BC316" s="0" t="str">
        <f aca="false">IFERROR(INDEX($A$1:$A$5,MATCH(5,$AS316:$AW316,0)),IF(5=MAX($AS316:$AW316)+1,"取消",""))</f>
        <v>取消</v>
      </c>
      <c r="BD316" s="0" t="str">
        <f aca="false">IFERROR(INDEX($A$1:$A$5,MATCH(6,$AS316:$AW316,0)),IF(6=MAX($AS316:$AW316)+1,"取消",""))</f>
        <v/>
      </c>
      <c r="FW316" s="0" t="str">
        <f aca="false">IF(AND(单元查询!$D$3&lt;&gt;"",IF(单元查询!$B$3="公区维修",公区维修!$E316&lt;&gt;"",入户维修!$E316&lt;&gt;""),IF(单元查询!$B$3="公区维修",公区维修!$C316,入户维修!$C316)=单元查询!$D$3,OR(单元查询!$F$3="",IF(单元查询!$B$3="公区维修",公区维修!$D316,入户维修!$D316)&amp;""=(单元查询!$F$3)&amp;"")),MAX($FW$4:$FW315)+1,"")</f>
        <v/>
      </c>
    </row>
    <row r="317" customFormat="false" ht="15" hidden="false" customHeight="true" outlineLevel="0" collapsed="false">
      <c r="F317" s="0" t="n">
        <f aca="false">IF(OR($A$1=入户维修!$F317,$BN$1=1),0,1-SUMPRODUCT(--(($A$1=入户维修!$F317)+$BN$1&gt;0)))</f>
        <v>0</v>
      </c>
      <c r="G317" s="0" t="n">
        <f aca="false">IF(OR($A$2=入户维修!$F317,$BN$2=1),0,2-SUMPRODUCT(--(($A$1:$A$2=入户维修!$F317)+$BN$1:$BN$2&gt;0)))</f>
        <v>1</v>
      </c>
      <c r="H317" s="0" t="n">
        <f aca="false">IF(OR($A$3=入户维修!$F317,$BN$3=1),0,3-SUMPRODUCT(--(($A$1:$A$3=入户维修!$F317)+$BN$1:$BN$3&gt;0)))</f>
        <v>2</v>
      </c>
      <c r="I317" s="0" t="n">
        <f aca="false">IF(OR($A$4=入户维修!$F317,$BN$4=1),0,4-SUMPRODUCT(--(($A$1:$A$4=入户维修!$F317)+$BN$1:$BN$4&gt;0)))</f>
        <v>3</v>
      </c>
      <c r="J317" s="0" t="n">
        <f aca="false">IF(OR($A$5=入户维修!$F317,$BN$5=1),0,5-SUMPRODUCT(--(($A$1:$A$5=入户维修!$F317)+$BN$1:$BN$5&gt;0)))</f>
        <v>4</v>
      </c>
      <c r="L317" s="0" t="str">
        <f aca="false">IFERROR(INDEX($A$1:$A$5,MATCH(1,$F317:$J317,0)),IF(1=MAX($F317:$J317)+1,"取消",""))</f>
        <v>李师傅</v>
      </c>
      <c r="M317" s="0" t="str">
        <f aca="false">IFERROR(INDEX($A$1:$A$5,MATCH(2,$F317:$J317,0)),IF(2=MAX($F317:$J317)+1,"取消",""))</f>
        <v>王师傅</v>
      </c>
      <c r="N317" s="0" t="str">
        <f aca="false">IFERROR(INDEX($A$1:$A$5,MATCH(3,$F317:$J317,0)),IF(3=MAX($F317:$J317)+1,"取消",""))</f>
        <v>陈师傅</v>
      </c>
      <c r="O317" s="0" t="str">
        <f aca="false">IFERROR(INDEX($A$1:$A$5,MATCH(4,$F317:$J317,0)),IF(4=MAX($F317:$J317)+1,"取消",""))</f>
        <v>刘师傅</v>
      </c>
      <c r="P317" s="0" t="str">
        <f aca="false">IFERROR(INDEX($A$1:$A$5,MATCH(5,$F317:$J317,0)),IF(5=MAX($F317:$J317)+1,"取消",""))</f>
        <v>取消</v>
      </c>
      <c r="Q317" s="0" t="str">
        <f aca="false">IFERROR(INDEX($A$1:$A$5,MATCH(6,$F317:$J317,0)),IF(6=MAX($F317:$J317)+1,"取消",""))</f>
        <v/>
      </c>
      <c r="S317" s="0" t="n">
        <f aca="false">IF(OR($A$1=入户维修!$F317,$A$1=入户维修!$G317,$BN$1=1),0,1-SUMPRODUCT(--(($A$1=入户维修!$F317)+($A$1=入户维修!$G317)+$BN$1&gt;0)))</f>
        <v>0</v>
      </c>
      <c r="T317" s="0" t="n">
        <f aca="false">IF(OR($A$2=入户维修!$F317,$A$2=入户维修!$G317,$BN$2=1),0,2-SUMPRODUCT(--(($A$1:$A$2=入户维修!$F317)+($A$1:$A$2=入户维修!$G317)+$BN$1:$BN$2&gt;0)))</f>
        <v>1</v>
      </c>
      <c r="U317" s="0" t="n">
        <f aca="false">IF(OR($A$3=入户维修!$F317,$A$3=入户维修!$G317,$BN$3=1),0,3-SUMPRODUCT(--(($A$1:$A$3=入户维修!$F317)+($A$1:$A$3=入户维修!$G317)+$BN$1:$BN$3&gt;0)))</f>
        <v>2</v>
      </c>
      <c r="V317" s="0" t="n">
        <f aca="false">IF(OR($A$4=入户维修!$F317,$A$4=入户维修!$G317,$BN$4=1),0,4-SUMPRODUCT(--(($A$1:$A$4=入户维修!$F317)+($A$1:$A$4=入户维修!$G317)+$BN$1:$BN$4&gt;0)))</f>
        <v>3</v>
      </c>
      <c r="W317" s="0" t="n">
        <f aca="false">IF(OR($A$5=入户维修!$F317,$A$5=入户维修!$G317,$BN$5=1),0,5-SUMPRODUCT(--(($A$1:$A$5=入户维修!$F317)+($A$1:$A$5=入户维修!$G317)+$BN$1:$BN$5&gt;0)))</f>
        <v>4</v>
      </c>
      <c r="Y317" s="0" t="str">
        <f aca="false">IFERROR(INDEX($A$1:$A$5,MATCH(1,$S317:$W317,0)),IF(1=MAX($S317:$W317)+1,"取消",""))</f>
        <v>李师傅</v>
      </c>
      <c r="Z317" s="0" t="str">
        <f aca="false">IFERROR(INDEX($A$1:$A$5,MATCH(2,$S317:$W317,0)),IF(2=MAX($S317:$W317)+1,"取消",""))</f>
        <v>王师傅</v>
      </c>
      <c r="AA317" s="0" t="str">
        <f aca="false">IFERROR(INDEX($A$1:$A$5,MATCH(3,$S317:$W317,0)),IF(3=MAX($S317:$W317)+1,"取消",""))</f>
        <v>陈师傅</v>
      </c>
      <c r="AB317" s="0" t="str">
        <f aca="false">IFERROR(INDEX($A$1:$A$5,MATCH(4,$S317:$W317,0)),IF(4=MAX($S317:$W317)+1,"取消",""))</f>
        <v>刘师傅</v>
      </c>
      <c r="AC317" s="0" t="str">
        <f aca="false">IFERROR(INDEX($A$1:$A$5,MATCH(5,$S317:$W317,0)),IF(5=MAX($S317:$W317)+1,"取消",""))</f>
        <v>取消</v>
      </c>
      <c r="AD317" s="0" t="str">
        <f aca="false">IFERROR(INDEX($A$1:$A$5,MATCH(6,$S317:$W317,0)),IF(6=MAX($S317:$W317)+1,"取消",""))</f>
        <v/>
      </c>
      <c r="AF317" s="0" t="n">
        <f aca="false">IF(OR($A$1=公区维修!$F317,$BN$1=1),0,1-SUMPRODUCT(--(($A$1=公区维修!$F317)+$BN$1&gt;0)))</f>
        <v>0</v>
      </c>
      <c r="AG317" s="0" t="n">
        <f aca="false">IF(OR($A$2=公区维修!$F317,$BN$2=1),0,2-SUMPRODUCT(--(($A$1:$A$2=公区维修!$F317)+$BN$1:$BN$2&gt;0)))</f>
        <v>1</v>
      </c>
      <c r="AH317" s="0" t="n">
        <f aca="false">IF(OR($A$3=公区维修!$F317,$BN$3=1),0,3-SUMPRODUCT(--(($A$1:$A$3=公区维修!$F317)+$BN$1:$BN$3&gt;0)))</f>
        <v>2</v>
      </c>
      <c r="AI317" s="0" t="n">
        <f aca="false">IF(OR($A$4=公区维修!$F317,$BN$4=1),0,4-SUMPRODUCT(--(($A$1:$A$4=公区维修!$F317)+$BN$1:$BN$4&gt;0)))</f>
        <v>3</v>
      </c>
      <c r="AJ317" s="0" t="n">
        <f aca="false">IF(OR($A$5=公区维修!$F317,$BN$5=1),0,5-SUMPRODUCT(--(($A$1:$A$5=公区维修!$F317)+$BN$1:$BN$5&gt;0)))</f>
        <v>4</v>
      </c>
      <c r="AL317" s="0" t="str">
        <f aca="false">IFERROR(INDEX($A$1:$A$5,MATCH(1,$AF317:$AJ317,0)),IF(1=MAX($AF317:$AJ317)+1,"取消",""))</f>
        <v>李师傅</v>
      </c>
      <c r="AM317" s="0" t="str">
        <f aca="false">IFERROR(INDEX($A$1:$A$5,MATCH(2,$AF317:$AJ317,0)),IF(2=MAX($AF317:$AJ317)+1,"取消",""))</f>
        <v>王师傅</v>
      </c>
      <c r="AN317" s="0" t="str">
        <f aca="false">IFERROR(INDEX($A$1:$A$5,MATCH(3,$AF317:$AJ317,0)),IF(3=MAX($AF317:$AJ317)+1,"取消",""))</f>
        <v>陈师傅</v>
      </c>
      <c r="AO317" s="0" t="str">
        <f aca="false">IFERROR(INDEX($A$1:$A$5,MATCH(4,$AF317:$AJ317,0)),IF(4=MAX($AF317:$AJ317)+1,"取消",""))</f>
        <v>刘师傅</v>
      </c>
      <c r="AP317" s="0" t="str">
        <f aca="false">IFERROR(INDEX($A$1:$A$5,MATCH(5,$AF317:$AJ317,0)),IF(5=MAX($AF317:$AJ317)+1,"取消",""))</f>
        <v>取消</v>
      </c>
      <c r="AQ317" s="0" t="str">
        <f aca="false">IFERROR(INDEX($A$1:$A$5,MATCH(6,$AF317:$AJ317,0)),IF(6=MAX($AF317:$AJ317)+1,"取消",""))</f>
        <v/>
      </c>
      <c r="AS317" s="0" t="n">
        <f aca="false">IF(OR($A$1=公区维修!$F317,$A$1=公区维修!$G317,$BN$1=1),0,1-SUMPRODUCT(--(($A$1=公区维修!$F317)+($A$1=公区维修!$G317)+$BN$1&gt;0)))</f>
        <v>0</v>
      </c>
      <c r="AT317" s="0" t="n">
        <f aca="false">IF(OR($A$2=公区维修!$F317,$A$2=公区维修!$G317,$BN$2=1),0,2-SUMPRODUCT(--(($A$1:$A$2=公区维修!$F317)+($A$1:$A$2=公区维修!$G317)+$BN$1:$BN$2&gt;0)))</f>
        <v>1</v>
      </c>
      <c r="AU317" s="0" t="n">
        <f aca="false">IF(OR($A$3=公区维修!$F317,$A$3=公区维修!$G317,$BN$3=1),0,3-SUMPRODUCT(--(($A$1:$A$3=公区维修!$F317)+($A$1:$A$3=公区维修!$G317)+$BN$1:$BN$3&gt;0)))</f>
        <v>2</v>
      </c>
      <c r="AV317" s="0" t="n">
        <f aca="false">IF(OR($A$4=公区维修!$F317,$A$4=公区维修!$G317,$BN$4=1),0,4-SUMPRODUCT(--(($A$1:$A$4=公区维修!$F317)+($A$1:$A$4=公区维修!$G317)+$BN$1:$BN$4&gt;0)))</f>
        <v>3</v>
      </c>
      <c r="AW317" s="0" t="n">
        <f aca="false">IF(OR($A$5=公区维修!$F317,$A$5=公区维修!$G317,$BN$5=1),0,5-SUMPRODUCT(--(($A$1:$A$5=公区维修!$F317)+($A$1:$A$5=公区维修!$G317)+$BN$1:$BN$5&gt;0)))</f>
        <v>4</v>
      </c>
      <c r="AY317" s="0" t="str">
        <f aca="false">IFERROR(INDEX($A$1:$A$5,MATCH(1,$AS317:$AW317,0)),IF(1=MAX($AS317:$AW317)+1,"取消",""))</f>
        <v>李师傅</v>
      </c>
      <c r="AZ317" s="0" t="str">
        <f aca="false">IFERROR(INDEX($A$1:$A$5,MATCH(2,$AS317:$AW317,0)),IF(2=MAX($AS317:$AW317)+1,"取消",""))</f>
        <v>王师傅</v>
      </c>
      <c r="BA317" s="0" t="str">
        <f aca="false">IFERROR(INDEX($A$1:$A$5,MATCH(3,$AS317:$AW317,0)),IF(3=MAX($AS317:$AW317)+1,"取消",""))</f>
        <v>陈师傅</v>
      </c>
      <c r="BB317" s="0" t="str">
        <f aca="false">IFERROR(INDEX($A$1:$A$5,MATCH(4,$AS317:$AW317,0)),IF(4=MAX($AS317:$AW317)+1,"取消",""))</f>
        <v>刘师傅</v>
      </c>
      <c r="BC317" s="0" t="str">
        <f aca="false">IFERROR(INDEX($A$1:$A$5,MATCH(5,$AS317:$AW317,0)),IF(5=MAX($AS317:$AW317)+1,"取消",""))</f>
        <v>取消</v>
      </c>
      <c r="BD317" s="0" t="str">
        <f aca="false">IFERROR(INDEX($A$1:$A$5,MATCH(6,$AS317:$AW317,0)),IF(6=MAX($AS317:$AW317)+1,"取消",""))</f>
        <v/>
      </c>
      <c r="FW317" s="0" t="str">
        <f aca="false">IF(AND(单元查询!$D$3&lt;&gt;"",IF(单元查询!$B$3="公区维修",公区维修!$E317&lt;&gt;"",入户维修!$E317&lt;&gt;""),IF(单元查询!$B$3="公区维修",公区维修!$C317,入户维修!$C317)=单元查询!$D$3,OR(单元查询!$F$3="",IF(单元查询!$B$3="公区维修",公区维修!$D317,入户维修!$D317)&amp;""=(单元查询!$F$3)&amp;"")),MAX($FW$4:$FW316)+1,"")</f>
        <v/>
      </c>
    </row>
    <row r="318" customFormat="false" ht="15" hidden="false" customHeight="true" outlineLevel="0" collapsed="false">
      <c r="F318" s="0" t="n">
        <f aca="false">IF(OR($A$1=入户维修!$F318,$BN$1=1),0,1-SUMPRODUCT(--(($A$1=入户维修!$F318)+$BN$1&gt;0)))</f>
        <v>0</v>
      </c>
      <c r="G318" s="0" t="n">
        <f aca="false">IF(OR($A$2=入户维修!$F318,$BN$2=1),0,2-SUMPRODUCT(--(($A$1:$A$2=入户维修!$F318)+$BN$1:$BN$2&gt;0)))</f>
        <v>1</v>
      </c>
      <c r="H318" s="0" t="n">
        <f aca="false">IF(OR($A$3=入户维修!$F318,$BN$3=1),0,3-SUMPRODUCT(--(($A$1:$A$3=入户维修!$F318)+$BN$1:$BN$3&gt;0)))</f>
        <v>2</v>
      </c>
      <c r="I318" s="0" t="n">
        <f aca="false">IF(OR($A$4=入户维修!$F318,$BN$4=1),0,4-SUMPRODUCT(--(($A$1:$A$4=入户维修!$F318)+$BN$1:$BN$4&gt;0)))</f>
        <v>3</v>
      </c>
      <c r="J318" s="0" t="n">
        <f aca="false">IF(OR($A$5=入户维修!$F318,$BN$5=1),0,5-SUMPRODUCT(--(($A$1:$A$5=入户维修!$F318)+$BN$1:$BN$5&gt;0)))</f>
        <v>4</v>
      </c>
      <c r="L318" s="0" t="str">
        <f aca="false">IFERROR(INDEX($A$1:$A$5,MATCH(1,$F318:$J318,0)),IF(1=MAX($F318:$J318)+1,"取消",""))</f>
        <v>李师傅</v>
      </c>
      <c r="M318" s="0" t="str">
        <f aca="false">IFERROR(INDEX($A$1:$A$5,MATCH(2,$F318:$J318,0)),IF(2=MAX($F318:$J318)+1,"取消",""))</f>
        <v>王师傅</v>
      </c>
      <c r="N318" s="0" t="str">
        <f aca="false">IFERROR(INDEX($A$1:$A$5,MATCH(3,$F318:$J318,0)),IF(3=MAX($F318:$J318)+1,"取消",""))</f>
        <v>陈师傅</v>
      </c>
      <c r="O318" s="0" t="str">
        <f aca="false">IFERROR(INDEX($A$1:$A$5,MATCH(4,$F318:$J318,0)),IF(4=MAX($F318:$J318)+1,"取消",""))</f>
        <v>刘师傅</v>
      </c>
      <c r="P318" s="0" t="str">
        <f aca="false">IFERROR(INDEX($A$1:$A$5,MATCH(5,$F318:$J318,0)),IF(5=MAX($F318:$J318)+1,"取消",""))</f>
        <v>取消</v>
      </c>
      <c r="Q318" s="0" t="str">
        <f aca="false">IFERROR(INDEX($A$1:$A$5,MATCH(6,$F318:$J318,0)),IF(6=MAX($F318:$J318)+1,"取消",""))</f>
        <v/>
      </c>
      <c r="S318" s="0" t="n">
        <f aca="false">IF(OR($A$1=入户维修!$F318,$A$1=入户维修!$G318,$BN$1=1),0,1-SUMPRODUCT(--(($A$1=入户维修!$F318)+($A$1=入户维修!$G318)+$BN$1&gt;0)))</f>
        <v>0</v>
      </c>
      <c r="T318" s="0" t="n">
        <f aca="false">IF(OR($A$2=入户维修!$F318,$A$2=入户维修!$G318,$BN$2=1),0,2-SUMPRODUCT(--(($A$1:$A$2=入户维修!$F318)+($A$1:$A$2=入户维修!$G318)+$BN$1:$BN$2&gt;0)))</f>
        <v>1</v>
      </c>
      <c r="U318" s="0" t="n">
        <f aca="false">IF(OR($A$3=入户维修!$F318,$A$3=入户维修!$G318,$BN$3=1),0,3-SUMPRODUCT(--(($A$1:$A$3=入户维修!$F318)+($A$1:$A$3=入户维修!$G318)+$BN$1:$BN$3&gt;0)))</f>
        <v>2</v>
      </c>
      <c r="V318" s="0" t="n">
        <f aca="false">IF(OR($A$4=入户维修!$F318,$A$4=入户维修!$G318,$BN$4=1),0,4-SUMPRODUCT(--(($A$1:$A$4=入户维修!$F318)+($A$1:$A$4=入户维修!$G318)+$BN$1:$BN$4&gt;0)))</f>
        <v>3</v>
      </c>
      <c r="W318" s="0" t="n">
        <f aca="false">IF(OR($A$5=入户维修!$F318,$A$5=入户维修!$G318,$BN$5=1),0,5-SUMPRODUCT(--(($A$1:$A$5=入户维修!$F318)+($A$1:$A$5=入户维修!$G318)+$BN$1:$BN$5&gt;0)))</f>
        <v>4</v>
      </c>
      <c r="Y318" s="0" t="str">
        <f aca="false">IFERROR(INDEX($A$1:$A$5,MATCH(1,$S318:$W318,0)),IF(1=MAX($S318:$W318)+1,"取消",""))</f>
        <v>李师傅</v>
      </c>
      <c r="Z318" s="0" t="str">
        <f aca="false">IFERROR(INDEX($A$1:$A$5,MATCH(2,$S318:$W318,0)),IF(2=MAX($S318:$W318)+1,"取消",""))</f>
        <v>王师傅</v>
      </c>
      <c r="AA318" s="0" t="str">
        <f aca="false">IFERROR(INDEX($A$1:$A$5,MATCH(3,$S318:$W318,0)),IF(3=MAX($S318:$W318)+1,"取消",""))</f>
        <v>陈师傅</v>
      </c>
      <c r="AB318" s="0" t="str">
        <f aca="false">IFERROR(INDEX($A$1:$A$5,MATCH(4,$S318:$W318,0)),IF(4=MAX($S318:$W318)+1,"取消",""))</f>
        <v>刘师傅</v>
      </c>
      <c r="AC318" s="0" t="str">
        <f aca="false">IFERROR(INDEX($A$1:$A$5,MATCH(5,$S318:$W318,0)),IF(5=MAX($S318:$W318)+1,"取消",""))</f>
        <v>取消</v>
      </c>
      <c r="AD318" s="0" t="str">
        <f aca="false">IFERROR(INDEX($A$1:$A$5,MATCH(6,$S318:$W318,0)),IF(6=MAX($S318:$W318)+1,"取消",""))</f>
        <v/>
      </c>
      <c r="AF318" s="0" t="n">
        <f aca="false">IF(OR($A$1=公区维修!$F318,$BN$1=1),0,1-SUMPRODUCT(--(($A$1=公区维修!$F318)+$BN$1&gt;0)))</f>
        <v>0</v>
      </c>
      <c r="AG318" s="0" t="n">
        <f aca="false">IF(OR($A$2=公区维修!$F318,$BN$2=1),0,2-SUMPRODUCT(--(($A$1:$A$2=公区维修!$F318)+$BN$1:$BN$2&gt;0)))</f>
        <v>1</v>
      </c>
      <c r="AH318" s="0" t="n">
        <f aca="false">IF(OR($A$3=公区维修!$F318,$BN$3=1),0,3-SUMPRODUCT(--(($A$1:$A$3=公区维修!$F318)+$BN$1:$BN$3&gt;0)))</f>
        <v>2</v>
      </c>
      <c r="AI318" s="0" t="n">
        <f aca="false">IF(OR($A$4=公区维修!$F318,$BN$4=1),0,4-SUMPRODUCT(--(($A$1:$A$4=公区维修!$F318)+$BN$1:$BN$4&gt;0)))</f>
        <v>3</v>
      </c>
      <c r="AJ318" s="0" t="n">
        <f aca="false">IF(OR($A$5=公区维修!$F318,$BN$5=1),0,5-SUMPRODUCT(--(($A$1:$A$5=公区维修!$F318)+$BN$1:$BN$5&gt;0)))</f>
        <v>4</v>
      </c>
      <c r="AL318" s="0" t="str">
        <f aca="false">IFERROR(INDEX($A$1:$A$5,MATCH(1,$AF318:$AJ318,0)),IF(1=MAX($AF318:$AJ318)+1,"取消",""))</f>
        <v>李师傅</v>
      </c>
      <c r="AM318" s="0" t="str">
        <f aca="false">IFERROR(INDEX($A$1:$A$5,MATCH(2,$AF318:$AJ318,0)),IF(2=MAX($AF318:$AJ318)+1,"取消",""))</f>
        <v>王师傅</v>
      </c>
      <c r="AN318" s="0" t="str">
        <f aca="false">IFERROR(INDEX($A$1:$A$5,MATCH(3,$AF318:$AJ318,0)),IF(3=MAX($AF318:$AJ318)+1,"取消",""))</f>
        <v>陈师傅</v>
      </c>
      <c r="AO318" s="0" t="str">
        <f aca="false">IFERROR(INDEX($A$1:$A$5,MATCH(4,$AF318:$AJ318,0)),IF(4=MAX($AF318:$AJ318)+1,"取消",""))</f>
        <v>刘师傅</v>
      </c>
      <c r="AP318" s="0" t="str">
        <f aca="false">IFERROR(INDEX($A$1:$A$5,MATCH(5,$AF318:$AJ318,0)),IF(5=MAX($AF318:$AJ318)+1,"取消",""))</f>
        <v>取消</v>
      </c>
      <c r="AQ318" s="0" t="str">
        <f aca="false">IFERROR(INDEX($A$1:$A$5,MATCH(6,$AF318:$AJ318,0)),IF(6=MAX($AF318:$AJ318)+1,"取消",""))</f>
        <v/>
      </c>
      <c r="AS318" s="0" t="n">
        <f aca="false">IF(OR($A$1=公区维修!$F318,$A$1=公区维修!$G318,$BN$1=1),0,1-SUMPRODUCT(--(($A$1=公区维修!$F318)+($A$1=公区维修!$G318)+$BN$1&gt;0)))</f>
        <v>0</v>
      </c>
      <c r="AT318" s="0" t="n">
        <f aca="false">IF(OR($A$2=公区维修!$F318,$A$2=公区维修!$G318,$BN$2=1),0,2-SUMPRODUCT(--(($A$1:$A$2=公区维修!$F318)+($A$1:$A$2=公区维修!$G318)+$BN$1:$BN$2&gt;0)))</f>
        <v>1</v>
      </c>
      <c r="AU318" s="0" t="n">
        <f aca="false">IF(OR($A$3=公区维修!$F318,$A$3=公区维修!$G318,$BN$3=1),0,3-SUMPRODUCT(--(($A$1:$A$3=公区维修!$F318)+($A$1:$A$3=公区维修!$G318)+$BN$1:$BN$3&gt;0)))</f>
        <v>2</v>
      </c>
      <c r="AV318" s="0" t="n">
        <f aca="false">IF(OR($A$4=公区维修!$F318,$A$4=公区维修!$G318,$BN$4=1),0,4-SUMPRODUCT(--(($A$1:$A$4=公区维修!$F318)+($A$1:$A$4=公区维修!$G318)+$BN$1:$BN$4&gt;0)))</f>
        <v>3</v>
      </c>
      <c r="AW318" s="0" t="n">
        <f aca="false">IF(OR($A$5=公区维修!$F318,$A$5=公区维修!$G318,$BN$5=1),0,5-SUMPRODUCT(--(($A$1:$A$5=公区维修!$F318)+($A$1:$A$5=公区维修!$G318)+$BN$1:$BN$5&gt;0)))</f>
        <v>4</v>
      </c>
      <c r="AY318" s="0" t="str">
        <f aca="false">IFERROR(INDEX($A$1:$A$5,MATCH(1,$AS318:$AW318,0)),IF(1=MAX($AS318:$AW318)+1,"取消",""))</f>
        <v>李师傅</v>
      </c>
      <c r="AZ318" s="0" t="str">
        <f aca="false">IFERROR(INDEX($A$1:$A$5,MATCH(2,$AS318:$AW318,0)),IF(2=MAX($AS318:$AW318)+1,"取消",""))</f>
        <v>王师傅</v>
      </c>
      <c r="BA318" s="0" t="str">
        <f aca="false">IFERROR(INDEX($A$1:$A$5,MATCH(3,$AS318:$AW318,0)),IF(3=MAX($AS318:$AW318)+1,"取消",""))</f>
        <v>陈师傅</v>
      </c>
      <c r="BB318" s="0" t="str">
        <f aca="false">IFERROR(INDEX($A$1:$A$5,MATCH(4,$AS318:$AW318,0)),IF(4=MAX($AS318:$AW318)+1,"取消",""))</f>
        <v>刘师傅</v>
      </c>
      <c r="BC318" s="0" t="str">
        <f aca="false">IFERROR(INDEX($A$1:$A$5,MATCH(5,$AS318:$AW318,0)),IF(5=MAX($AS318:$AW318)+1,"取消",""))</f>
        <v>取消</v>
      </c>
      <c r="BD318" s="0" t="str">
        <f aca="false">IFERROR(INDEX($A$1:$A$5,MATCH(6,$AS318:$AW318,0)),IF(6=MAX($AS318:$AW318)+1,"取消",""))</f>
        <v/>
      </c>
      <c r="FW318" s="0" t="str">
        <f aca="false">IF(AND(单元查询!$D$3&lt;&gt;"",IF(单元查询!$B$3="公区维修",公区维修!$E318&lt;&gt;"",入户维修!$E318&lt;&gt;""),IF(单元查询!$B$3="公区维修",公区维修!$C318,入户维修!$C318)=单元查询!$D$3,OR(单元查询!$F$3="",IF(单元查询!$B$3="公区维修",公区维修!$D318,入户维修!$D318)&amp;""=(单元查询!$F$3)&amp;"")),MAX($FW$4:$FW317)+1,"")</f>
        <v/>
      </c>
    </row>
    <row r="319" customFormat="false" ht="15" hidden="false" customHeight="true" outlineLevel="0" collapsed="false">
      <c r="F319" s="0" t="n">
        <f aca="false">IF(OR($A$1=入户维修!$F319,$BN$1=1),0,1-SUMPRODUCT(--(($A$1=入户维修!$F319)+$BN$1&gt;0)))</f>
        <v>0</v>
      </c>
      <c r="G319" s="0" t="n">
        <f aca="false">IF(OR($A$2=入户维修!$F319,$BN$2=1),0,2-SUMPRODUCT(--(($A$1:$A$2=入户维修!$F319)+$BN$1:$BN$2&gt;0)))</f>
        <v>1</v>
      </c>
      <c r="H319" s="0" t="n">
        <f aca="false">IF(OR($A$3=入户维修!$F319,$BN$3=1),0,3-SUMPRODUCT(--(($A$1:$A$3=入户维修!$F319)+$BN$1:$BN$3&gt;0)))</f>
        <v>2</v>
      </c>
      <c r="I319" s="0" t="n">
        <f aca="false">IF(OR($A$4=入户维修!$F319,$BN$4=1),0,4-SUMPRODUCT(--(($A$1:$A$4=入户维修!$F319)+$BN$1:$BN$4&gt;0)))</f>
        <v>3</v>
      </c>
      <c r="J319" s="0" t="n">
        <f aca="false">IF(OR($A$5=入户维修!$F319,$BN$5=1),0,5-SUMPRODUCT(--(($A$1:$A$5=入户维修!$F319)+$BN$1:$BN$5&gt;0)))</f>
        <v>4</v>
      </c>
      <c r="L319" s="0" t="str">
        <f aca="false">IFERROR(INDEX($A$1:$A$5,MATCH(1,$F319:$J319,0)),IF(1=MAX($F319:$J319)+1,"取消",""))</f>
        <v>李师傅</v>
      </c>
      <c r="M319" s="0" t="str">
        <f aca="false">IFERROR(INDEX($A$1:$A$5,MATCH(2,$F319:$J319,0)),IF(2=MAX($F319:$J319)+1,"取消",""))</f>
        <v>王师傅</v>
      </c>
      <c r="N319" s="0" t="str">
        <f aca="false">IFERROR(INDEX($A$1:$A$5,MATCH(3,$F319:$J319,0)),IF(3=MAX($F319:$J319)+1,"取消",""))</f>
        <v>陈师傅</v>
      </c>
      <c r="O319" s="0" t="str">
        <f aca="false">IFERROR(INDEX($A$1:$A$5,MATCH(4,$F319:$J319,0)),IF(4=MAX($F319:$J319)+1,"取消",""))</f>
        <v>刘师傅</v>
      </c>
      <c r="P319" s="0" t="str">
        <f aca="false">IFERROR(INDEX($A$1:$A$5,MATCH(5,$F319:$J319,0)),IF(5=MAX($F319:$J319)+1,"取消",""))</f>
        <v>取消</v>
      </c>
      <c r="Q319" s="0" t="str">
        <f aca="false">IFERROR(INDEX($A$1:$A$5,MATCH(6,$F319:$J319,0)),IF(6=MAX($F319:$J319)+1,"取消",""))</f>
        <v/>
      </c>
      <c r="S319" s="0" t="n">
        <f aca="false">IF(OR($A$1=入户维修!$F319,$A$1=入户维修!$G319,$BN$1=1),0,1-SUMPRODUCT(--(($A$1=入户维修!$F319)+($A$1=入户维修!$G319)+$BN$1&gt;0)))</f>
        <v>0</v>
      </c>
      <c r="T319" s="0" t="n">
        <f aca="false">IF(OR($A$2=入户维修!$F319,$A$2=入户维修!$G319,$BN$2=1),0,2-SUMPRODUCT(--(($A$1:$A$2=入户维修!$F319)+($A$1:$A$2=入户维修!$G319)+$BN$1:$BN$2&gt;0)))</f>
        <v>1</v>
      </c>
      <c r="U319" s="0" t="n">
        <f aca="false">IF(OR($A$3=入户维修!$F319,$A$3=入户维修!$G319,$BN$3=1),0,3-SUMPRODUCT(--(($A$1:$A$3=入户维修!$F319)+($A$1:$A$3=入户维修!$G319)+$BN$1:$BN$3&gt;0)))</f>
        <v>2</v>
      </c>
      <c r="V319" s="0" t="n">
        <f aca="false">IF(OR($A$4=入户维修!$F319,$A$4=入户维修!$G319,$BN$4=1),0,4-SUMPRODUCT(--(($A$1:$A$4=入户维修!$F319)+($A$1:$A$4=入户维修!$G319)+$BN$1:$BN$4&gt;0)))</f>
        <v>3</v>
      </c>
      <c r="W319" s="0" t="n">
        <f aca="false">IF(OR($A$5=入户维修!$F319,$A$5=入户维修!$G319,$BN$5=1),0,5-SUMPRODUCT(--(($A$1:$A$5=入户维修!$F319)+($A$1:$A$5=入户维修!$G319)+$BN$1:$BN$5&gt;0)))</f>
        <v>4</v>
      </c>
      <c r="Y319" s="0" t="str">
        <f aca="false">IFERROR(INDEX($A$1:$A$5,MATCH(1,$S319:$W319,0)),IF(1=MAX($S319:$W319)+1,"取消",""))</f>
        <v>李师傅</v>
      </c>
      <c r="Z319" s="0" t="str">
        <f aca="false">IFERROR(INDEX($A$1:$A$5,MATCH(2,$S319:$W319,0)),IF(2=MAX($S319:$W319)+1,"取消",""))</f>
        <v>王师傅</v>
      </c>
      <c r="AA319" s="0" t="str">
        <f aca="false">IFERROR(INDEX($A$1:$A$5,MATCH(3,$S319:$W319,0)),IF(3=MAX($S319:$W319)+1,"取消",""))</f>
        <v>陈师傅</v>
      </c>
      <c r="AB319" s="0" t="str">
        <f aca="false">IFERROR(INDEX($A$1:$A$5,MATCH(4,$S319:$W319,0)),IF(4=MAX($S319:$W319)+1,"取消",""))</f>
        <v>刘师傅</v>
      </c>
      <c r="AC319" s="0" t="str">
        <f aca="false">IFERROR(INDEX($A$1:$A$5,MATCH(5,$S319:$W319,0)),IF(5=MAX($S319:$W319)+1,"取消",""))</f>
        <v>取消</v>
      </c>
      <c r="AD319" s="0" t="str">
        <f aca="false">IFERROR(INDEX($A$1:$A$5,MATCH(6,$S319:$W319,0)),IF(6=MAX($S319:$W319)+1,"取消",""))</f>
        <v/>
      </c>
      <c r="AF319" s="0" t="n">
        <f aca="false">IF(OR($A$1=公区维修!$F319,$BN$1=1),0,1-SUMPRODUCT(--(($A$1=公区维修!$F319)+$BN$1&gt;0)))</f>
        <v>0</v>
      </c>
      <c r="AG319" s="0" t="n">
        <f aca="false">IF(OR($A$2=公区维修!$F319,$BN$2=1),0,2-SUMPRODUCT(--(($A$1:$A$2=公区维修!$F319)+$BN$1:$BN$2&gt;0)))</f>
        <v>1</v>
      </c>
      <c r="AH319" s="0" t="n">
        <f aca="false">IF(OR($A$3=公区维修!$F319,$BN$3=1),0,3-SUMPRODUCT(--(($A$1:$A$3=公区维修!$F319)+$BN$1:$BN$3&gt;0)))</f>
        <v>2</v>
      </c>
      <c r="AI319" s="0" t="n">
        <f aca="false">IF(OR($A$4=公区维修!$F319,$BN$4=1),0,4-SUMPRODUCT(--(($A$1:$A$4=公区维修!$F319)+$BN$1:$BN$4&gt;0)))</f>
        <v>3</v>
      </c>
      <c r="AJ319" s="0" t="n">
        <f aca="false">IF(OR($A$5=公区维修!$F319,$BN$5=1),0,5-SUMPRODUCT(--(($A$1:$A$5=公区维修!$F319)+$BN$1:$BN$5&gt;0)))</f>
        <v>4</v>
      </c>
      <c r="AL319" s="0" t="str">
        <f aca="false">IFERROR(INDEX($A$1:$A$5,MATCH(1,$AF319:$AJ319,0)),IF(1=MAX($AF319:$AJ319)+1,"取消",""))</f>
        <v>李师傅</v>
      </c>
      <c r="AM319" s="0" t="str">
        <f aca="false">IFERROR(INDEX($A$1:$A$5,MATCH(2,$AF319:$AJ319,0)),IF(2=MAX($AF319:$AJ319)+1,"取消",""))</f>
        <v>王师傅</v>
      </c>
      <c r="AN319" s="0" t="str">
        <f aca="false">IFERROR(INDEX($A$1:$A$5,MATCH(3,$AF319:$AJ319,0)),IF(3=MAX($AF319:$AJ319)+1,"取消",""))</f>
        <v>陈师傅</v>
      </c>
      <c r="AO319" s="0" t="str">
        <f aca="false">IFERROR(INDEX($A$1:$A$5,MATCH(4,$AF319:$AJ319,0)),IF(4=MAX($AF319:$AJ319)+1,"取消",""))</f>
        <v>刘师傅</v>
      </c>
      <c r="AP319" s="0" t="str">
        <f aca="false">IFERROR(INDEX($A$1:$A$5,MATCH(5,$AF319:$AJ319,0)),IF(5=MAX($AF319:$AJ319)+1,"取消",""))</f>
        <v>取消</v>
      </c>
      <c r="AQ319" s="0" t="str">
        <f aca="false">IFERROR(INDEX($A$1:$A$5,MATCH(6,$AF319:$AJ319,0)),IF(6=MAX($AF319:$AJ319)+1,"取消",""))</f>
        <v/>
      </c>
      <c r="AS319" s="0" t="n">
        <f aca="false">IF(OR($A$1=公区维修!$F319,$A$1=公区维修!$G319,$BN$1=1),0,1-SUMPRODUCT(--(($A$1=公区维修!$F319)+($A$1=公区维修!$G319)+$BN$1&gt;0)))</f>
        <v>0</v>
      </c>
      <c r="AT319" s="0" t="n">
        <f aca="false">IF(OR($A$2=公区维修!$F319,$A$2=公区维修!$G319,$BN$2=1),0,2-SUMPRODUCT(--(($A$1:$A$2=公区维修!$F319)+($A$1:$A$2=公区维修!$G319)+$BN$1:$BN$2&gt;0)))</f>
        <v>1</v>
      </c>
      <c r="AU319" s="0" t="n">
        <f aca="false">IF(OR($A$3=公区维修!$F319,$A$3=公区维修!$G319,$BN$3=1),0,3-SUMPRODUCT(--(($A$1:$A$3=公区维修!$F319)+($A$1:$A$3=公区维修!$G319)+$BN$1:$BN$3&gt;0)))</f>
        <v>2</v>
      </c>
      <c r="AV319" s="0" t="n">
        <f aca="false">IF(OR($A$4=公区维修!$F319,$A$4=公区维修!$G319,$BN$4=1),0,4-SUMPRODUCT(--(($A$1:$A$4=公区维修!$F319)+($A$1:$A$4=公区维修!$G319)+$BN$1:$BN$4&gt;0)))</f>
        <v>3</v>
      </c>
      <c r="AW319" s="0" t="n">
        <f aca="false">IF(OR($A$5=公区维修!$F319,$A$5=公区维修!$G319,$BN$5=1),0,5-SUMPRODUCT(--(($A$1:$A$5=公区维修!$F319)+($A$1:$A$5=公区维修!$G319)+$BN$1:$BN$5&gt;0)))</f>
        <v>4</v>
      </c>
      <c r="AY319" s="0" t="str">
        <f aca="false">IFERROR(INDEX($A$1:$A$5,MATCH(1,$AS319:$AW319,0)),IF(1=MAX($AS319:$AW319)+1,"取消",""))</f>
        <v>李师傅</v>
      </c>
      <c r="AZ319" s="0" t="str">
        <f aca="false">IFERROR(INDEX($A$1:$A$5,MATCH(2,$AS319:$AW319,0)),IF(2=MAX($AS319:$AW319)+1,"取消",""))</f>
        <v>王师傅</v>
      </c>
      <c r="BA319" s="0" t="str">
        <f aca="false">IFERROR(INDEX($A$1:$A$5,MATCH(3,$AS319:$AW319,0)),IF(3=MAX($AS319:$AW319)+1,"取消",""))</f>
        <v>陈师傅</v>
      </c>
      <c r="BB319" s="0" t="str">
        <f aca="false">IFERROR(INDEX($A$1:$A$5,MATCH(4,$AS319:$AW319,0)),IF(4=MAX($AS319:$AW319)+1,"取消",""))</f>
        <v>刘师傅</v>
      </c>
      <c r="BC319" s="0" t="str">
        <f aca="false">IFERROR(INDEX($A$1:$A$5,MATCH(5,$AS319:$AW319,0)),IF(5=MAX($AS319:$AW319)+1,"取消",""))</f>
        <v>取消</v>
      </c>
      <c r="BD319" s="0" t="str">
        <f aca="false">IFERROR(INDEX($A$1:$A$5,MATCH(6,$AS319:$AW319,0)),IF(6=MAX($AS319:$AW319)+1,"取消",""))</f>
        <v/>
      </c>
      <c r="FW319" s="0" t="str">
        <f aca="false">IF(AND(单元查询!$D$3&lt;&gt;"",IF(单元查询!$B$3="公区维修",公区维修!$E319&lt;&gt;"",入户维修!$E319&lt;&gt;""),IF(单元查询!$B$3="公区维修",公区维修!$C319,入户维修!$C319)=单元查询!$D$3,OR(单元查询!$F$3="",IF(单元查询!$B$3="公区维修",公区维修!$D319,入户维修!$D319)&amp;""=(单元查询!$F$3)&amp;"")),MAX($FW$4:$FW318)+1,"")</f>
        <v/>
      </c>
    </row>
    <row r="320" customFormat="false" ht="15" hidden="false" customHeight="true" outlineLevel="0" collapsed="false">
      <c r="F320" s="0" t="n">
        <f aca="false">IF(OR($A$1=入户维修!$F320,$BN$1=1),0,1-SUMPRODUCT(--(($A$1=入户维修!$F320)+$BN$1&gt;0)))</f>
        <v>0</v>
      </c>
      <c r="G320" s="0" t="n">
        <f aca="false">IF(OR($A$2=入户维修!$F320,$BN$2=1),0,2-SUMPRODUCT(--(($A$1:$A$2=入户维修!$F320)+$BN$1:$BN$2&gt;0)))</f>
        <v>1</v>
      </c>
      <c r="H320" s="0" t="n">
        <f aca="false">IF(OR($A$3=入户维修!$F320,$BN$3=1),0,3-SUMPRODUCT(--(($A$1:$A$3=入户维修!$F320)+$BN$1:$BN$3&gt;0)))</f>
        <v>2</v>
      </c>
      <c r="I320" s="0" t="n">
        <f aca="false">IF(OR($A$4=入户维修!$F320,$BN$4=1),0,4-SUMPRODUCT(--(($A$1:$A$4=入户维修!$F320)+$BN$1:$BN$4&gt;0)))</f>
        <v>3</v>
      </c>
      <c r="J320" s="0" t="n">
        <f aca="false">IF(OR($A$5=入户维修!$F320,$BN$5=1),0,5-SUMPRODUCT(--(($A$1:$A$5=入户维修!$F320)+$BN$1:$BN$5&gt;0)))</f>
        <v>4</v>
      </c>
      <c r="L320" s="0" t="str">
        <f aca="false">IFERROR(INDEX($A$1:$A$5,MATCH(1,$F320:$J320,0)),IF(1=MAX($F320:$J320)+1,"取消",""))</f>
        <v>李师傅</v>
      </c>
      <c r="M320" s="0" t="str">
        <f aca="false">IFERROR(INDEX($A$1:$A$5,MATCH(2,$F320:$J320,0)),IF(2=MAX($F320:$J320)+1,"取消",""))</f>
        <v>王师傅</v>
      </c>
      <c r="N320" s="0" t="str">
        <f aca="false">IFERROR(INDEX($A$1:$A$5,MATCH(3,$F320:$J320,0)),IF(3=MAX($F320:$J320)+1,"取消",""))</f>
        <v>陈师傅</v>
      </c>
      <c r="O320" s="0" t="str">
        <f aca="false">IFERROR(INDEX($A$1:$A$5,MATCH(4,$F320:$J320,0)),IF(4=MAX($F320:$J320)+1,"取消",""))</f>
        <v>刘师傅</v>
      </c>
      <c r="P320" s="0" t="str">
        <f aca="false">IFERROR(INDEX($A$1:$A$5,MATCH(5,$F320:$J320,0)),IF(5=MAX($F320:$J320)+1,"取消",""))</f>
        <v>取消</v>
      </c>
      <c r="Q320" s="0" t="str">
        <f aca="false">IFERROR(INDEX($A$1:$A$5,MATCH(6,$F320:$J320,0)),IF(6=MAX($F320:$J320)+1,"取消",""))</f>
        <v/>
      </c>
      <c r="S320" s="0" t="n">
        <f aca="false">IF(OR($A$1=入户维修!$F320,$A$1=入户维修!$G320,$BN$1=1),0,1-SUMPRODUCT(--(($A$1=入户维修!$F320)+($A$1=入户维修!$G320)+$BN$1&gt;0)))</f>
        <v>0</v>
      </c>
      <c r="T320" s="0" t="n">
        <f aca="false">IF(OR($A$2=入户维修!$F320,$A$2=入户维修!$G320,$BN$2=1),0,2-SUMPRODUCT(--(($A$1:$A$2=入户维修!$F320)+($A$1:$A$2=入户维修!$G320)+$BN$1:$BN$2&gt;0)))</f>
        <v>1</v>
      </c>
      <c r="U320" s="0" t="n">
        <f aca="false">IF(OR($A$3=入户维修!$F320,$A$3=入户维修!$G320,$BN$3=1),0,3-SUMPRODUCT(--(($A$1:$A$3=入户维修!$F320)+($A$1:$A$3=入户维修!$G320)+$BN$1:$BN$3&gt;0)))</f>
        <v>2</v>
      </c>
      <c r="V320" s="0" t="n">
        <f aca="false">IF(OR($A$4=入户维修!$F320,$A$4=入户维修!$G320,$BN$4=1),0,4-SUMPRODUCT(--(($A$1:$A$4=入户维修!$F320)+($A$1:$A$4=入户维修!$G320)+$BN$1:$BN$4&gt;0)))</f>
        <v>3</v>
      </c>
      <c r="W320" s="0" t="n">
        <f aca="false">IF(OR($A$5=入户维修!$F320,$A$5=入户维修!$G320,$BN$5=1),0,5-SUMPRODUCT(--(($A$1:$A$5=入户维修!$F320)+($A$1:$A$5=入户维修!$G320)+$BN$1:$BN$5&gt;0)))</f>
        <v>4</v>
      </c>
      <c r="Y320" s="0" t="str">
        <f aca="false">IFERROR(INDEX($A$1:$A$5,MATCH(1,$S320:$W320,0)),IF(1=MAX($S320:$W320)+1,"取消",""))</f>
        <v>李师傅</v>
      </c>
      <c r="Z320" s="0" t="str">
        <f aca="false">IFERROR(INDEX($A$1:$A$5,MATCH(2,$S320:$W320,0)),IF(2=MAX($S320:$W320)+1,"取消",""))</f>
        <v>王师傅</v>
      </c>
      <c r="AA320" s="0" t="str">
        <f aca="false">IFERROR(INDEX($A$1:$A$5,MATCH(3,$S320:$W320,0)),IF(3=MAX($S320:$W320)+1,"取消",""))</f>
        <v>陈师傅</v>
      </c>
      <c r="AB320" s="0" t="str">
        <f aca="false">IFERROR(INDEX($A$1:$A$5,MATCH(4,$S320:$W320,0)),IF(4=MAX($S320:$W320)+1,"取消",""))</f>
        <v>刘师傅</v>
      </c>
      <c r="AC320" s="0" t="str">
        <f aca="false">IFERROR(INDEX($A$1:$A$5,MATCH(5,$S320:$W320,0)),IF(5=MAX($S320:$W320)+1,"取消",""))</f>
        <v>取消</v>
      </c>
      <c r="AD320" s="0" t="str">
        <f aca="false">IFERROR(INDEX($A$1:$A$5,MATCH(6,$S320:$W320,0)),IF(6=MAX($S320:$W320)+1,"取消",""))</f>
        <v/>
      </c>
      <c r="AF320" s="0" t="n">
        <f aca="false">IF(OR($A$1=公区维修!$F320,$BN$1=1),0,1-SUMPRODUCT(--(($A$1=公区维修!$F320)+$BN$1&gt;0)))</f>
        <v>0</v>
      </c>
      <c r="AG320" s="0" t="n">
        <f aca="false">IF(OR($A$2=公区维修!$F320,$BN$2=1),0,2-SUMPRODUCT(--(($A$1:$A$2=公区维修!$F320)+$BN$1:$BN$2&gt;0)))</f>
        <v>1</v>
      </c>
      <c r="AH320" s="0" t="n">
        <f aca="false">IF(OR($A$3=公区维修!$F320,$BN$3=1),0,3-SUMPRODUCT(--(($A$1:$A$3=公区维修!$F320)+$BN$1:$BN$3&gt;0)))</f>
        <v>2</v>
      </c>
      <c r="AI320" s="0" t="n">
        <f aca="false">IF(OR($A$4=公区维修!$F320,$BN$4=1),0,4-SUMPRODUCT(--(($A$1:$A$4=公区维修!$F320)+$BN$1:$BN$4&gt;0)))</f>
        <v>3</v>
      </c>
      <c r="AJ320" s="0" t="n">
        <f aca="false">IF(OR($A$5=公区维修!$F320,$BN$5=1),0,5-SUMPRODUCT(--(($A$1:$A$5=公区维修!$F320)+$BN$1:$BN$5&gt;0)))</f>
        <v>4</v>
      </c>
      <c r="AL320" s="0" t="str">
        <f aca="false">IFERROR(INDEX($A$1:$A$5,MATCH(1,$AF320:$AJ320,0)),IF(1=MAX($AF320:$AJ320)+1,"取消",""))</f>
        <v>李师傅</v>
      </c>
      <c r="AM320" s="0" t="str">
        <f aca="false">IFERROR(INDEX($A$1:$A$5,MATCH(2,$AF320:$AJ320,0)),IF(2=MAX($AF320:$AJ320)+1,"取消",""))</f>
        <v>王师傅</v>
      </c>
      <c r="AN320" s="0" t="str">
        <f aca="false">IFERROR(INDEX($A$1:$A$5,MATCH(3,$AF320:$AJ320,0)),IF(3=MAX($AF320:$AJ320)+1,"取消",""))</f>
        <v>陈师傅</v>
      </c>
      <c r="AO320" s="0" t="str">
        <f aca="false">IFERROR(INDEX($A$1:$A$5,MATCH(4,$AF320:$AJ320,0)),IF(4=MAX($AF320:$AJ320)+1,"取消",""))</f>
        <v>刘师傅</v>
      </c>
      <c r="AP320" s="0" t="str">
        <f aca="false">IFERROR(INDEX($A$1:$A$5,MATCH(5,$AF320:$AJ320,0)),IF(5=MAX($AF320:$AJ320)+1,"取消",""))</f>
        <v>取消</v>
      </c>
      <c r="AQ320" s="0" t="str">
        <f aca="false">IFERROR(INDEX($A$1:$A$5,MATCH(6,$AF320:$AJ320,0)),IF(6=MAX($AF320:$AJ320)+1,"取消",""))</f>
        <v/>
      </c>
      <c r="AS320" s="0" t="n">
        <f aca="false">IF(OR($A$1=公区维修!$F320,$A$1=公区维修!$G320,$BN$1=1),0,1-SUMPRODUCT(--(($A$1=公区维修!$F320)+($A$1=公区维修!$G320)+$BN$1&gt;0)))</f>
        <v>0</v>
      </c>
      <c r="AT320" s="0" t="n">
        <f aca="false">IF(OR($A$2=公区维修!$F320,$A$2=公区维修!$G320,$BN$2=1),0,2-SUMPRODUCT(--(($A$1:$A$2=公区维修!$F320)+($A$1:$A$2=公区维修!$G320)+$BN$1:$BN$2&gt;0)))</f>
        <v>1</v>
      </c>
      <c r="AU320" s="0" t="n">
        <f aca="false">IF(OR($A$3=公区维修!$F320,$A$3=公区维修!$G320,$BN$3=1),0,3-SUMPRODUCT(--(($A$1:$A$3=公区维修!$F320)+($A$1:$A$3=公区维修!$G320)+$BN$1:$BN$3&gt;0)))</f>
        <v>2</v>
      </c>
      <c r="AV320" s="0" t="n">
        <f aca="false">IF(OR($A$4=公区维修!$F320,$A$4=公区维修!$G320,$BN$4=1),0,4-SUMPRODUCT(--(($A$1:$A$4=公区维修!$F320)+($A$1:$A$4=公区维修!$G320)+$BN$1:$BN$4&gt;0)))</f>
        <v>3</v>
      </c>
      <c r="AW320" s="0" t="n">
        <f aca="false">IF(OR($A$5=公区维修!$F320,$A$5=公区维修!$G320,$BN$5=1),0,5-SUMPRODUCT(--(($A$1:$A$5=公区维修!$F320)+($A$1:$A$5=公区维修!$G320)+$BN$1:$BN$5&gt;0)))</f>
        <v>4</v>
      </c>
      <c r="AY320" s="0" t="str">
        <f aca="false">IFERROR(INDEX($A$1:$A$5,MATCH(1,$AS320:$AW320,0)),IF(1=MAX($AS320:$AW320)+1,"取消",""))</f>
        <v>李师傅</v>
      </c>
      <c r="AZ320" s="0" t="str">
        <f aca="false">IFERROR(INDEX($A$1:$A$5,MATCH(2,$AS320:$AW320,0)),IF(2=MAX($AS320:$AW320)+1,"取消",""))</f>
        <v>王师傅</v>
      </c>
      <c r="BA320" s="0" t="str">
        <f aca="false">IFERROR(INDEX($A$1:$A$5,MATCH(3,$AS320:$AW320,0)),IF(3=MAX($AS320:$AW320)+1,"取消",""))</f>
        <v>陈师傅</v>
      </c>
      <c r="BB320" s="0" t="str">
        <f aca="false">IFERROR(INDEX($A$1:$A$5,MATCH(4,$AS320:$AW320,0)),IF(4=MAX($AS320:$AW320)+1,"取消",""))</f>
        <v>刘师傅</v>
      </c>
      <c r="BC320" s="0" t="str">
        <f aca="false">IFERROR(INDEX($A$1:$A$5,MATCH(5,$AS320:$AW320,0)),IF(5=MAX($AS320:$AW320)+1,"取消",""))</f>
        <v>取消</v>
      </c>
      <c r="BD320" s="0" t="str">
        <f aca="false">IFERROR(INDEX($A$1:$A$5,MATCH(6,$AS320:$AW320,0)),IF(6=MAX($AS320:$AW320)+1,"取消",""))</f>
        <v/>
      </c>
      <c r="FW320" s="0" t="str">
        <f aca="false">IF(AND(单元查询!$D$3&lt;&gt;"",IF(单元查询!$B$3="公区维修",公区维修!$E320&lt;&gt;"",入户维修!$E320&lt;&gt;""),IF(单元查询!$B$3="公区维修",公区维修!$C320,入户维修!$C320)=单元查询!$D$3,OR(单元查询!$F$3="",IF(单元查询!$B$3="公区维修",公区维修!$D320,入户维修!$D320)&amp;""=(单元查询!$F$3)&amp;"")),MAX($FW$4:$FW319)+1,"")</f>
        <v/>
      </c>
    </row>
    <row r="321" customFormat="false" ht="15" hidden="false" customHeight="true" outlineLevel="0" collapsed="false">
      <c r="F321" s="0" t="n">
        <f aca="false">IF(OR($A$1=入户维修!$F321,$BN$1=1),0,1-SUMPRODUCT(--(($A$1=入户维修!$F321)+$BN$1&gt;0)))</f>
        <v>0</v>
      </c>
      <c r="G321" s="0" t="n">
        <f aca="false">IF(OR($A$2=入户维修!$F321,$BN$2=1),0,2-SUMPRODUCT(--(($A$1:$A$2=入户维修!$F321)+$BN$1:$BN$2&gt;0)))</f>
        <v>1</v>
      </c>
      <c r="H321" s="0" t="n">
        <f aca="false">IF(OR($A$3=入户维修!$F321,$BN$3=1),0,3-SUMPRODUCT(--(($A$1:$A$3=入户维修!$F321)+$BN$1:$BN$3&gt;0)))</f>
        <v>2</v>
      </c>
      <c r="I321" s="0" t="n">
        <f aca="false">IF(OR($A$4=入户维修!$F321,$BN$4=1),0,4-SUMPRODUCT(--(($A$1:$A$4=入户维修!$F321)+$BN$1:$BN$4&gt;0)))</f>
        <v>3</v>
      </c>
      <c r="J321" s="0" t="n">
        <f aca="false">IF(OR($A$5=入户维修!$F321,$BN$5=1),0,5-SUMPRODUCT(--(($A$1:$A$5=入户维修!$F321)+$BN$1:$BN$5&gt;0)))</f>
        <v>4</v>
      </c>
      <c r="L321" s="0" t="str">
        <f aca="false">IFERROR(INDEX($A$1:$A$5,MATCH(1,$F321:$J321,0)),IF(1=MAX($F321:$J321)+1,"取消",""))</f>
        <v>李师傅</v>
      </c>
      <c r="M321" s="0" t="str">
        <f aca="false">IFERROR(INDEX($A$1:$A$5,MATCH(2,$F321:$J321,0)),IF(2=MAX($F321:$J321)+1,"取消",""))</f>
        <v>王师傅</v>
      </c>
      <c r="N321" s="0" t="str">
        <f aca="false">IFERROR(INDEX($A$1:$A$5,MATCH(3,$F321:$J321,0)),IF(3=MAX($F321:$J321)+1,"取消",""))</f>
        <v>陈师傅</v>
      </c>
      <c r="O321" s="0" t="str">
        <f aca="false">IFERROR(INDEX($A$1:$A$5,MATCH(4,$F321:$J321,0)),IF(4=MAX($F321:$J321)+1,"取消",""))</f>
        <v>刘师傅</v>
      </c>
      <c r="P321" s="0" t="str">
        <f aca="false">IFERROR(INDEX($A$1:$A$5,MATCH(5,$F321:$J321,0)),IF(5=MAX($F321:$J321)+1,"取消",""))</f>
        <v>取消</v>
      </c>
      <c r="Q321" s="0" t="str">
        <f aca="false">IFERROR(INDEX($A$1:$A$5,MATCH(6,$F321:$J321,0)),IF(6=MAX($F321:$J321)+1,"取消",""))</f>
        <v/>
      </c>
      <c r="S321" s="0" t="n">
        <f aca="false">IF(OR($A$1=入户维修!$F321,$A$1=入户维修!$G321,$BN$1=1),0,1-SUMPRODUCT(--(($A$1=入户维修!$F321)+($A$1=入户维修!$G321)+$BN$1&gt;0)))</f>
        <v>0</v>
      </c>
      <c r="T321" s="0" t="n">
        <f aca="false">IF(OR($A$2=入户维修!$F321,$A$2=入户维修!$G321,$BN$2=1),0,2-SUMPRODUCT(--(($A$1:$A$2=入户维修!$F321)+($A$1:$A$2=入户维修!$G321)+$BN$1:$BN$2&gt;0)))</f>
        <v>1</v>
      </c>
      <c r="U321" s="0" t="n">
        <f aca="false">IF(OR($A$3=入户维修!$F321,$A$3=入户维修!$G321,$BN$3=1),0,3-SUMPRODUCT(--(($A$1:$A$3=入户维修!$F321)+($A$1:$A$3=入户维修!$G321)+$BN$1:$BN$3&gt;0)))</f>
        <v>2</v>
      </c>
      <c r="V321" s="0" t="n">
        <f aca="false">IF(OR($A$4=入户维修!$F321,$A$4=入户维修!$G321,$BN$4=1),0,4-SUMPRODUCT(--(($A$1:$A$4=入户维修!$F321)+($A$1:$A$4=入户维修!$G321)+$BN$1:$BN$4&gt;0)))</f>
        <v>3</v>
      </c>
      <c r="W321" s="0" t="n">
        <f aca="false">IF(OR($A$5=入户维修!$F321,$A$5=入户维修!$G321,$BN$5=1),0,5-SUMPRODUCT(--(($A$1:$A$5=入户维修!$F321)+($A$1:$A$5=入户维修!$G321)+$BN$1:$BN$5&gt;0)))</f>
        <v>4</v>
      </c>
      <c r="Y321" s="0" t="str">
        <f aca="false">IFERROR(INDEX($A$1:$A$5,MATCH(1,$S321:$W321,0)),IF(1=MAX($S321:$W321)+1,"取消",""))</f>
        <v>李师傅</v>
      </c>
      <c r="Z321" s="0" t="str">
        <f aca="false">IFERROR(INDEX($A$1:$A$5,MATCH(2,$S321:$W321,0)),IF(2=MAX($S321:$W321)+1,"取消",""))</f>
        <v>王师傅</v>
      </c>
      <c r="AA321" s="0" t="str">
        <f aca="false">IFERROR(INDEX($A$1:$A$5,MATCH(3,$S321:$W321,0)),IF(3=MAX($S321:$W321)+1,"取消",""))</f>
        <v>陈师傅</v>
      </c>
      <c r="AB321" s="0" t="str">
        <f aca="false">IFERROR(INDEX($A$1:$A$5,MATCH(4,$S321:$W321,0)),IF(4=MAX($S321:$W321)+1,"取消",""))</f>
        <v>刘师傅</v>
      </c>
      <c r="AC321" s="0" t="str">
        <f aca="false">IFERROR(INDEX($A$1:$A$5,MATCH(5,$S321:$W321,0)),IF(5=MAX($S321:$W321)+1,"取消",""))</f>
        <v>取消</v>
      </c>
      <c r="AD321" s="0" t="str">
        <f aca="false">IFERROR(INDEX($A$1:$A$5,MATCH(6,$S321:$W321,0)),IF(6=MAX($S321:$W321)+1,"取消",""))</f>
        <v/>
      </c>
      <c r="AF321" s="0" t="n">
        <f aca="false">IF(OR($A$1=公区维修!$F321,$BN$1=1),0,1-SUMPRODUCT(--(($A$1=公区维修!$F321)+$BN$1&gt;0)))</f>
        <v>0</v>
      </c>
      <c r="AG321" s="0" t="n">
        <f aca="false">IF(OR($A$2=公区维修!$F321,$BN$2=1),0,2-SUMPRODUCT(--(($A$1:$A$2=公区维修!$F321)+$BN$1:$BN$2&gt;0)))</f>
        <v>1</v>
      </c>
      <c r="AH321" s="0" t="n">
        <f aca="false">IF(OR($A$3=公区维修!$F321,$BN$3=1),0,3-SUMPRODUCT(--(($A$1:$A$3=公区维修!$F321)+$BN$1:$BN$3&gt;0)))</f>
        <v>2</v>
      </c>
      <c r="AI321" s="0" t="n">
        <f aca="false">IF(OR($A$4=公区维修!$F321,$BN$4=1),0,4-SUMPRODUCT(--(($A$1:$A$4=公区维修!$F321)+$BN$1:$BN$4&gt;0)))</f>
        <v>3</v>
      </c>
      <c r="AJ321" s="0" t="n">
        <f aca="false">IF(OR($A$5=公区维修!$F321,$BN$5=1),0,5-SUMPRODUCT(--(($A$1:$A$5=公区维修!$F321)+$BN$1:$BN$5&gt;0)))</f>
        <v>4</v>
      </c>
      <c r="AL321" s="0" t="str">
        <f aca="false">IFERROR(INDEX($A$1:$A$5,MATCH(1,$AF321:$AJ321,0)),IF(1=MAX($AF321:$AJ321)+1,"取消",""))</f>
        <v>李师傅</v>
      </c>
      <c r="AM321" s="0" t="str">
        <f aca="false">IFERROR(INDEX($A$1:$A$5,MATCH(2,$AF321:$AJ321,0)),IF(2=MAX($AF321:$AJ321)+1,"取消",""))</f>
        <v>王师傅</v>
      </c>
      <c r="AN321" s="0" t="str">
        <f aca="false">IFERROR(INDEX($A$1:$A$5,MATCH(3,$AF321:$AJ321,0)),IF(3=MAX($AF321:$AJ321)+1,"取消",""))</f>
        <v>陈师傅</v>
      </c>
      <c r="AO321" s="0" t="str">
        <f aca="false">IFERROR(INDEX($A$1:$A$5,MATCH(4,$AF321:$AJ321,0)),IF(4=MAX($AF321:$AJ321)+1,"取消",""))</f>
        <v>刘师傅</v>
      </c>
      <c r="AP321" s="0" t="str">
        <f aca="false">IFERROR(INDEX($A$1:$A$5,MATCH(5,$AF321:$AJ321,0)),IF(5=MAX($AF321:$AJ321)+1,"取消",""))</f>
        <v>取消</v>
      </c>
      <c r="AQ321" s="0" t="str">
        <f aca="false">IFERROR(INDEX($A$1:$A$5,MATCH(6,$AF321:$AJ321,0)),IF(6=MAX($AF321:$AJ321)+1,"取消",""))</f>
        <v/>
      </c>
      <c r="AS321" s="0" t="n">
        <f aca="false">IF(OR($A$1=公区维修!$F321,$A$1=公区维修!$G321,$BN$1=1),0,1-SUMPRODUCT(--(($A$1=公区维修!$F321)+($A$1=公区维修!$G321)+$BN$1&gt;0)))</f>
        <v>0</v>
      </c>
      <c r="AT321" s="0" t="n">
        <f aca="false">IF(OR($A$2=公区维修!$F321,$A$2=公区维修!$G321,$BN$2=1),0,2-SUMPRODUCT(--(($A$1:$A$2=公区维修!$F321)+($A$1:$A$2=公区维修!$G321)+$BN$1:$BN$2&gt;0)))</f>
        <v>1</v>
      </c>
      <c r="AU321" s="0" t="n">
        <f aca="false">IF(OR($A$3=公区维修!$F321,$A$3=公区维修!$G321,$BN$3=1),0,3-SUMPRODUCT(--(($A$1:$A$3=公区维修!$F321)+($A$1:$A$3=公区维修!$G321)+$BN$1:$BN$3&gt;0)))</f>
        <v>2</v>
      </c>
      <c r="AV321" s="0" t="n">
        <f aca="false">IF(OR($A$4=公区维修!$F321,$A$4=公区维修!$G321,$BN$4=1),0,4-SUMPRODUCT(--(($A$1:$A$4=公区维修!$F321)+($A$1:$A$4=公区维修!$G321)+$BN$1:$BN$4&gt;0)))</f>
        <v>3</v>
      </c>
      <c r="AW321" s="0" t="n">
        <f aca="false">IF(OR($A$5=公区维修!$F321,$A$5=公区维修!$G321,$BN$5=1),0,5-SUMPRODUCT(--(($A$1:$A$5=公区维修!$F321)+($A$1:$A$5=公区维修!$G321)+$BN$1:$BN$5&gt;0)))</f>
        <v>4</v>
      </c>
      <c r="AY321" s="0" t="str">
        <f aca="false">IFERROR(INDEX($A$1:$A$5,MATCH(1,$AS321:$AW321,0)),IF(1=MAX($AS321:$AW321)+1,"取消",""))</f>
        <v>李师傅</v>
      </c>
      <c r="AZ321" s="0" t="str">
        <f aca="false">IFERROR(INDEX($A$1:$A$5,MATCH(2,$AS321:$AW321,0)),IF(2=MAX($AS321:$AW321)+1,"取消",""))</f>
        <v>王师傅</v>
      </c>
      <c r="BA321" s="0" t="str">
        <f aca="false">IFERROR(INDEX($A$1:$A$5,MATCH(3,$AS321:$AW321,0)),IF(3=MAX($AS321:$AW321)+1,"取消",""))</f>
        <v>陈师傅</v>
      </c>
      <c r="BB321" s="0" t="str">
        <f aca="false">IFERROR(INDEX($A$1:$A$5,MATCH(4,$AS321:$AW321,0)),IF(4=MAX($AS321:$AW321)+1,"取消",""))</f>
        <v>刘师傅</v>
      </c>
      <c r="BC321" s="0" t="str">
        <f aca="false">IFERROR(INDEX($A$1:$A$5,MATCH(5,$AS321:$AW321,0)),IF(5=MAX($AS321:$AW321)+1,"取消",""))</f>
        <v>取消</v>
      </c>
      <c r="BD321" s="0" t="str">
        <f aca="false">IFERROR(INDEX($A$1:$A$5,MATCH(6,$AS321:$AW321,0)),IF(6=MAX($AS321:$AW321)+1,"取消",""))</f>
        <v/>
      </c>
      <c r="FW321" s="0" t="str">
        <f aca="false">IF(AND(单元查询!$D$3&lt;&gt;"",IF(单元查询!$B$3="公区维修",公区维修!$E321&lt;&gt;"",入户维修!$E321&lt;&gt;""),IF(单元查询!$B$3="公区维修",公区维修!$C321,入户维修!$C321)=单元查询!$D$3,OR(单元查询!$F$3="",IF(单元查询!$B$3="公区维修",公区维修!$D321,入户维修!$D321)&amp;""=(单元查询!$F$3)&amp;"")),MAX($FW$4:$FW320)+1,"")</f>
        <v/>
      </c>
    </row>
    <row r="322" customFormat="false" ht="15" hidden="false" customHeight="true" outlineLevel="0" collapsed="false">
      <c r="F322" s="0" t="n">
        <f aca="false">IF(OR($A$1=入户维修!$F322,$BN$1=1),0,1-SUMPRODUCT(--(($A$1=入户维修!$F322)+$BN$1&gt;0)))</f>
        <v>0</v>
      </c>
      <c r="G322" s="0" t="n">
        <f aca="false">IF(OR($A$2=入户维修!$F322,$BN$2=1),0,2-SUMPRODUCT(--(($A$1:$A$2=入户维修!$F322)+$BN$1:$BN$2&gt;0)))</f>
        <v>1</v>
      </c>
      <c r="H322" s="0" t="n">
        <f aca="false">IF(OR($A$3=入户维修!$F322,$BN$3=1),0,3-SUMPRODUCT(--(($A$1:$A$3=入户维修!$F322)+$BN$1:$BN$3&gt;0)))</f>
        <v>2</v>
      </c>
      <c r="I322" s="0" t="n">
        <f aca="false">IF(OR($A$4=入户维修!$F322,$BN$4=1),0,4-SUMPRODUCT(--(($A$1:$A$4=入户维修!$F322)+$BN$1:$BN$4&gt;0)))</f>
        <v>3</v>
      </c>
      <c r="J322" s="0" t="n">
        <f aca="false">IF(OR($A$5=入户维修!$F322,$BN$5=1),0,5-SUMPRODUCT(--(($A$1:$A$5=入户维修!$F322)+$BN$1:$BN$5&gt;0)))</f>
        <v>4</v>
      </c>
      <c r="L322" s="0" t="str">
        <f aca="false">IFERROR(INDEX($A$1:$A$5,MATCH(1,$F322:$J322,0)),IF(1=MAX($F322:$J322)+1,"取消",""))</f>
        <v>李师傅</v>
      </c>
      <c r="M322" s="0" t="str">
        <f aca="false">IFERROR(INDEX($A$1:$A$5,MATCH(2,$F322:$J322,0)),IF(2=MAX($F322:$J322)+1,"取消",""))</f>
        <v>王师傅</v>
      </c>
      <c r="N322" s="0" t="str">
        <f aca="false">IFERROR(INDEX($A$1:$A$5,MATCH(3,$F322:$J322,0)),IF(3=MAX($F322:$J322)+1,"取消",""))</f>
        <v>陈师傅</v>
      </c>
      <c r="O322" s="0" t="str">
        <f aca="false">IFERROR(INDEX($A$1:$A$5,MATCH(4,$F322:$J322,0)),IF(4=MAX($F322:$J322)+1,"取消",""))</f>
        <v>刘师傅</v>
      </c>
      <c r="P322" s="0" t="str">
        <f aca="false">IFERROR(INDEX($A$1:$A$5,MATCH(5,$F322:$J322,0)),IF(5=MAX($F322:$J322)+1,"取消",""))</f>
        <v>取消</v>
      </c>
      <c r="Q322" s="0" t="str">
        <f aca="false">IFERROR(INDEX($A$1:$A$5,MATCH(6,$F322:$J322,0)),IF(6=MAX($F322:$J322)+1,"取消",""))</f>
        <v/>
      </c>
      <c r="S322" s="0" t="n">
        <f aca="false">IF(OR($A$1=入户维修!$F322,$A$1=入户维修!$G322,$BN$1=1),0,1-SUMPRODUCT(--(($A$1=入户维修!$F322)+($A$1=入户维修!$G322)+$BN$1&gt;0)))</f>
        <v>0</v>
      </c>
      <c r="T322" s="0" t="n">
        <f aca="false">IF(OR($A$2=入户维修!$F322,$A$2=入户维修!$G322,$BN$2=1),0,2-SUMPRODUCT(--(($A$1:$A$2=入户维修!$F322)+($A$1:$A$2=入户维修!$G322)+$BN$1:$BN$2&gt;0)))</f>
        <v>1</v>
      </c>
      <c r="U322" s="0" t="n">
        <f aca="false">IF(OR($A$3=入户维修!$F322,$A$3=入户维修!$G322,$BN$3=1),0,3-SUMPRODUCT(--(($A$1:$A$3=入户维修!$F322)+($A$1:$A$3=入户维修!$G322)+$BN$1:$BN$3&gt;0)))</f>
        <v>2</v>
      </c>
      <c r="V322" s="0" t="n">
        <f aca="false">IF(OR($A$4=入户维修!$F322,$A$4=入户维修!$G322,$BN$4=1),0,4-SUMPRODUCT(--(($A$1:$A$4=入户维修!$F322)+($A$1:$A$4=入户维修!$G322)+$BN$1:$BN$4&gt;0)))</f>
        <v>3</v>
      </c>
      <c r="W322" s="0" t="n">
        <f aca="false">IF(OR($A$5=入户维修!$F322,$A$5=入户维修!$G322,$BN$5=1),0,5-SUMPRODUCT(--(($A$1:$A$5=入户维修!$F322)+($A$1:$A$5=入户维修!$G322)+$BN$1:$BN$5&gt;0)))</f>
        <v>4</v>
      </c>
      <c r="Y322" s="0" t="str">
        <f aca="false">IFERROR(INDEX($A$1:$A$5,MATCH(1,$S322:$W322,0)),IF(1=MAX($S322:$W322)+1,"取消",""))</f>
        <v>李师傅</v>
      </c>
      <c r="Z322" s="0" t="str">
        <f aca="false">IFERROR(INDEX($A$1:$A$5,MATCH(2,$S322:$W322,0)),IF(2=MAX($S322:$W322)+1,"取消",""))</f>
        <v>王师傅</v>
      </c>
      <c r="AA322" s="0" t="str">
        <f aca="false">IFERROR(INDEX($A$1:$A$5,MATCH(3,$S322:$W322,0)),IF(3=MAX($S322:$W322)+1,"取消",""))</f>
        <v>陈师傅</v>
      </c>
      <c r="AB322" s="0" t="str">
        <f aca="false">IFERROR(INDEX($A$1:$A$5,MATCH(4,$S322:$W322,0)),IF(4=MAX($S322:$W322)+1,"取消",""))</f>
        <v>刘师傅</v>
      </c>
      <c r="AC322" s="0" t="str">
        <f aca="false">IFERROR(INDEX($A$1:$A$5,MATCH(5,$S322:$W322,0)),IF(5=MAX($S322:$W322)+1,"取消",""))</f>
        <v>取消</v>
      </c>
      <c r="AD322" s="0" t="str">
        <f aca="false">IFERROR(INDEX($A$1:$A$5,MATCH(6,$S322:$W322,0)),IF(6=MAX($S322:$W322)+1,"取消",""))</f>
        <v/>
      </c>
      <c r="AF322" s="0" t="n">
        <f aca="false">IF(OR($A$1=公区维修!$F322,$BN$1=1),0,1-SUMPRODUCT(--(($A$1=公区维修!$F322)+$BN$1&gt;0)))</f>
        <v>0</v>
      </c>
      <c r="AG322" s="0" t="n">
        <f aca="false">IF(OR($A$2=公区维修!$F322,$BN$2=1),0,2-SUMPRODUCT(--(($A$1:$A$2=公区维修!$F322)+$BN$1:$BN$2&gt;0)))</f>
        <v>1</v>
      </c>
      <c r="AH322" s="0" t="n">
        <f aca="false">IF(OR($A$3=公区维修!$F322,$BN$3=1),0,3-SUMPRODUCT(--(($A$1:$A$3=公区维修!$F322)+$BN$1:$BN$3&gt;0)))</f>
        <v>2</v>
      </c>
      <c r="AI322" s="0" t="n">
        <f aca="false">IF(OR($A$4=公区维修!$F322,$BN$4=1),0,4-SUMPRODUCT(--(($A$1:$A$4=公区维修!$F322)+$BN$1:$BN$4&gt;0)))</f>
        <v>3</v>
      </c>
      <c r="AJ322" s="0" t="n">
        <f aca="false">IF(OR($A$5=公区维修!$F322,$BN$5=1),0,5-SUMPRODUCT(--(($A$1:$A$5=公区维修!$F322)+$BN$1:$BN$5&gt;0)))</f>
        <v>4</v>
      </c>
      <c r="AL322" s="0" t="str">
        <f aca="false">IFERROR(INDEX($A$1:$A$5,MATCH(1,$AF322:$AJ322,0)),IF(1=MAX($AF322:$AJ322)+1,"取消",""))</f>
        <v>李师傅</v>
      </c>
      <c r="AM322" s="0" t="str">
        <f aca="false">IFERROR(INDEX($A$1:$A$5,MATCH(2,$AF322:$AJ322,0)),IF(2=MAX($AF322:$AJ322)+1,"取消",""))</f>
        <v>王师傅</v>
      </c>
      <c r="AN322" s="0" t="str">
        <f aca="false">IFERROR(INDEX($A$1:$A$5,MATCH(3,$AF322:$AJ322,0)),IF(3=MAX($AF322:$AJ322)+1,"取消",""))</f>
        <v>陈师傅</v>
      </c>
      <c r="AO322" s="0" t="str">
        <f aca="false">IFERROR(INDEX($A$1:$A$5,MATCH(4,$AF322:$AJ322,0)),IF(4=MAX($AF322:$AJ322)+1,"取消",""))</f>
        <v>刘师傅</v>
      </c>
      <c r="AP322" s="0" t="str">
        <f aca="false">IFERROR(INDEX($A$1:$A$5,MATCH(5,$AF322:$AJ322,0)),IF(5=MAX($AF322:$AJ322)+1,"取消",""))</f>
        <v>取消</v>
      </c>
      <c r="AQ322" s="0" t="str">
        <f aca="false">IFERROR(INDEX($A$1:$A$5,MATCH(6,$AF322:$AJ322,0)),IF(6=MAX($AF322:$AJ322)+1,"取消",""))</f>
        <v/>
      </c>
      <c r="AS322" s="0" t="n">
        <f aca="false">IF(OR($A$1=公区维修!$F322,$A$1=公区维修!$G322,$BN$1=1),0,1-SUMPRODUCT(--(($A$1=公区维修!$F322)+($A$1=公区维修!$G322)+$BN$1&gt;0)))</f>
        <v>0</v>
      </c>
      <c r="AT322" s="0" t="n">
        <f aca="false">IF(OR($A$2=公区维修!$F322,$A$2=公区维修!$G322,$BN$2=1),0,2-SUMPRODUCT(--(($A$1:$A$2=公区维修!$F322)+($A$1:$A$2=公区维修!$G322)+$BN$1:$BN$2&gt;0)))</f>
        <v>1</v>
      </c>
      <c r="AU322" s="0" t="n">
        <f aca="false">IF(OR($A$3=公区维修!$F322,$A$3=公区维修!$G322,$BN$3=1),0,3-SUMPRODUCT(--(($A$1:$A$3=公区维修!$F322)+($A$1:$A$3=公区维修!$G322)+$BN$1:$BN$3&gt;0)))</f>
        <v>2</v>
      </c>
      <c r="AV322" s="0" t="n">
        <f aca="false">IF(OR($A$4=公区维修!$F322,$A$4=公区维修!$G322,$BN$4=1),0,4-SUMPRODUCT(--(($A$1:$A$4=公区维修!$F322)+($A$1:$A$4=公区维修!$G322)+$BN$1:$BN$4&gt;0)))</f>
        <v>3</v>
      </c>
      <c r="AW322" s="0" t="n">
        <f aca="false">IF(OR($A$5=公区维修!$F322,$A$5=公区维修!$G322,$BN$5=1),0,5-SUMPRODUCT(--(($A$1:$A$5=公区维修!$F322)+($A$1:$A$5=公区维修!$G322)+$BN$1:$BN$5&gt;0)))</f>
        <v>4</v>
      </c>
      <c r="AY322" s="0" t="str">
        <f aca="false">IFERROR(INDEX($A$1:$A$5,MATCH(1,$AS322:$AW322,0)),IF(1=MAX($AS322:$AW322)+1,"取消",""))</f>
        <v>李师傅</v>
      </c>
      <c r="AZ322" s="0" t="str">
        <f aca="false">IFERROR(INDEX($A$1:$A$5,MATCH(2,$AS322:$AW322,0)),IF(2=MAX($AS322:$AW322)+1,"取消",""))</f>
        <v>王师傅</v>
      </c>
      <c r="BA322" s="0" t="str">
        <f aca="false">IFERROR(INDEX($A$1:$A$5,MATCH(3,$AS322:$AW322,0)),IF(3=MAX($AS322:$AW322)+1,"取消",""))</f>
        <v>陈师傅</v>
      </c>
      <c r="BB322" s="0" t="str">
        <f aca="false">IFERROR(INDEX($A$1:$A$5,MATCH(4,$AS322:$AW322,0)),IF(4=MAX($AS322:$AW322)+1,"取消",""))</f>
        <v>刘师傅</v>
      </c>
      <c r="BC322" s="0" t="str">
        <f aca="false">IFERROR(INDEX($A$1:$A$5,MATCH(5,$AS322:$AW322,0)),IF(5=MAX($AS322:$AW322)+1,"取消",""))</f>
        <v>取消</v>
      </c>
      <c r="BD322" s="0" t="str">
        <f aca="false">IFERROR(INDEX($A$1:$A$5,MATCH(6,$AS322:$AW322,0)),IF(6=MAX($AS322:$AW322)+1,"取消",""))</f>
        <v/>
      </c>
      <c r="FW322" s="0" t="str">
        <f aca="false">IF(AND(单元查询!$D$3&lt;&gt;"",IF(单元查询!$B$3="公区维修",公区维修!$E322&lt;&gt;"",入户维修!$E322&lt;&gt;""),IF(单元查询!$B$3="公区维修",公区维修!$C322,入户维修!$C322)=单元查询!$D$3,OR(单元查询!$F$3="",IF(单元查询!$B$3="公区维修",公区维修!$D322,入户维修!$D322)&amp;""=(单元查询!$F$3)&amp;"")),MAX($FW$4:$FW321)+1,"")</f>
        <v/>
      </c>
    </row>
    <row r="323" customFormat="false" ht="15" hidden="false" customHeight="true" outlineLevel="0" collapsed="false">
      <c r="F323" s="0" t="n">
        <f aca="false">IF(OR($A$1=入户维修!$F323,$BN$1=1),0,1-SUMPRODUCT(--(($A$1=入户维修!$F323)+$BN$1&gt;0)))</f>
        <v>0</v>
      </c>
      <c r="G323" s="0" t="n">
        <f aca="false">IF(OR($A$2=入户维修!$F323,$BN$2=1),0,2-SUMPRODUCT(--(($A$1:$A$2=入户维修!$F323)+$BN$1:$BN$2&gt;0)))</f>
        <v>1</v>
      </c>
      <c r="H323" s="0" t="n">
        <f aca="false">IF(OR($A$3=入户维修!$F323,$BN$3=1),0,3-SUMPRODUCT(--(($A$1:$A$3=入户维修!$F323)+$BN$1:$BN$3&gt;0)))</f>
        <v>2</v>
      </c>
      <c r="I323" s="0" t="n">
        <f aca="false">IF(OR($A$4=入户维修!$F323,$BN$4=1),0,4-SUMPRODUCT(--(($A$1:$A$4=入户维修!$F323)+$BN$1:$BN$4&gt;0)))</f>
        <v>3</v>
      </c>
      <c r="J323" s="0" t="n">
        <f aca="false">IF(OR($A$5=入户维修!$F323,$BN$5=1),0,5-SUMPRODUCT(--(($A$1:$A$5=入户维修!$F323)+$BN$1:$BN$5&gt;0)))</f>
        <v>4</v>
      </c>
      <c r="L323" s="0" t="str">
        <f aca="false">IFERROR(INDEX($A$1:$A$5,MATCH(1,$F323:$J323,0)),IF(1=MAX($F323:$J323)+1,"取消",""))</f>
        <v>李师傅</v>
      </c>
      <c r="M323" s="0" t="str">
        <f aca="false">IFERROR(INDEX($A$1:$A$5,MATCH(2,$F323:$J323,0)),IF(2=MAX($F323:$J323)+1,"取消",""))</f>
        <v>王师傅</v>
      </c>
      <c r="N323" s="0" t="str">
        <f aca="false">IFERROR(INDEX($A$1:$A$5,MATCH(3,$F323:$J323,0)),IF(3=MAX($F323:$J323)+1,"取消",""))</f>
        <v>陈师傅</v>
      </c>
      <c r="O323" s="0" t="str">
        <f aca="false">IFERROR(INDEX($A$1:$A$5,MATCH(4,$F323:$J323,0)),IF(4=MAX($F323:$J323)+1,"取消",""))</f>
        <v>刘师傅</v>
      </c>
      <c r="P323" s="0" t="str">
        <f aca="false">IFERROR(INDEX($A$1:$A$5,MATCH(5,$F323:$J323,0)),IF(5=MAX($F323:$J323)+1,"取消",""))</f>
        <v>取消</v>
      </c>
      <c r="Q323" s="0" t="str">
        <f aca="false">IFERROR(INDEX($A$1:$A$5,MATCH(6,$F323:$J323,0)),IF(6=MAX($F323:$J323)+1,"取消",""))</f>
        <v/>
      </c>
      <c r="S323" s="0" t="n">
        <f aca="false">IF(OR($A$1=入户维修!$F323,$A$1=入户维修!$G323,$BN$1=1),0,1-SUMPRODUCT(--(($A$1=入户维修!$F323)+($A$1=入户维修!$G323)+$BN$1&gt;0)))</f>
        <v>0</v>
      </c>
      <c r="T323" s="0" t="n">
        <f aca="false">IF(OR($A$2=入户维修!$F323,$A$2=入户维修!$G323,$BN$2=1),0,2-SUMPRODUCT(--(($A$1:$A$2=入户维修!$F323)+($A$1:$A$2=入户维修!$G323)+$BN$1:$BN$2&gt;0)))</f>
        <v>1</v>
      </c>
      <c r="U323" s="0" t="n">
        <f aca="false">IF(OR($A$3=入户维修!$F323,$A$3=入户维修!$G323,$BN$3=1),0,3-SUMPRODUCT(--(($A$1:$A$3=入户维修!$F323)+($A$1:$A$3=入户维修!$G323)+$BN$1:$BN$3&gt;0)))</f>
        <v>2</v>
      </c>
      <c r="V323" s="0" t="n">
        <f aca="false">IF(OR($A$4=入户维修!$F323,$A$4=入户维修!$G323,$BN$4=1),0,4-SUMPRODUCT(--(($A$1:$A$4=入户维修!$F323)+($A$1:$A$4=入户维修!$G323)+$BN$1:$BN$4&gt;0)))</f>
        <v>3</v>
      </c>
      <c r="W323" s="0" t="n">
        <f aca="false">IF(OR($A$5=入户维修!$F323,$A$5=入户维修!$G323,$BN$5=1),0,5-SUMPRODUCT(--(($A$1:$A$5=入户维修!$F323)+($A$1:$A$5=入户维修!$G323)+$BN$1:$BN$5&gt;0)))</f>
        <v>4</v>
      </c>
      <c r="Y323" s="0" t="str">
        <f aca="false">IFERROR(INDEX($A$1:$A$5,MATCH(1,$S323:$W323,0)),IF(1=MAX($S323:$W323)+1,"取消",""))</f>
        <v>李师傅</v>
      </c>
      <c r="Z323" s="0" t="str">
        <f aca="false">IFERROR(INDEX($A$1:$A$5,MATCH(2,$S323:$W323,0)),IF(2=MAX($S323:$W323)+1,"取消",""))</f>
        <v>王师傅</v>
      </c>
      <c r="AA323" s="0" t="str">
        <f aca="false">IFERROR(INDEX($A$1:$A$5,MATCH(3,$S323:$W323,0)),IF(3=MAX($S323:$W323)+1,"取消",""))</f>
        <v>陈师傅</v>
      </c>
      <c r="AB323" s="0" t="str">
        <f aca="false">IFERROR(INDEX($A$1:$A$5,MATCH(4,$S323:$W323,0)),IF(4=MAX($S323:$W323)+1,"取消",""))</f>
        <v>刘师傅</v>
      </c>
      <c r="AC323" s="0" t="str">
        <f aca="false">IFERROR(INDEX($A$1:$A$5,MATCH(5,$S323:$W323,0)),IF(5=MAX($S323:$W323)+1,"取消",""))</f>
        <v>取消</v>
      </c>
      <c r="AD323" s="0" t="str">
        <f aca="false">IFERROR(INDEX($A$1:$A$5,MATCH(6,$S323:$W323,0)),IF(6=MAX($S323:$W323)+1,"取消",""))</f>
        <v/>
      </c>
      <c r="AF323" s="0" t="n">
        <f aca="false">IF(OR($A$1=公区维修!$F323,$BN$1=1),0,1-SUMPRODUCT(--(($A$1=公区维修!$F323)+$BN$1&gt;0)))</f>
        <v>0</v>
      </c>
      <c r="AG323" s="0" t="n">
        <f aca="false">IF(OR($A$2=公区维修!$F323,$BN$2=1),0,2-SUMPRODUCT(--(($A$1:$A$2=公区维修!$F323)+$BN$1:$BN$2&gt;0)))</f>
        <v>1</v>
      </c>
      <c r="AH323" s="0" t="n">
        <f aca="false">IF(OR($A$3=公区维修!$F323,$BN$3=1),0,3-SUMPRODUCT(--(($A$1:$A$3=公区维修!$F323)+$BN$1:$BN$3&gt;0)))</f>
        <v>2</v>
      </c>
      <c r="AI323" s="0" t="n">
        <f aca="false">IF(OR($A$4=公区维修!$F323,$BN$4=1),0,4-SUMPRODUCT(--(($A$1:$A$4=公区维修!$F323)+$BN$1:$BN$4&gt;0)))</f>
        <v>3</v>
      </c>
      <c r="AJ323" s="0" t="n">
        <f aca="false">IF(OR($A$5=公区维修!$F323,$BN$5=1),0,5-SUMPRODUCT(--(($A$1:$A$5=公区维修!$F323)+$BN$1:$BN$5&gt;0)))</f>
        <v>4</v>
      </c>
      <c r="AL323" s="0" t="str">
        <f aca="false">IFERROR(INDEX($A$1:$A$5,MATCH(1,$AF323:$AJ323,0)),IF(1=MAX($AF323:$AJ323)+1,"取消",""))</f>
        <v>李师傅</v>
      </c>
      <c r="AM323" s="0" t="str">
        <f aca="false">IFERROR(INDEX($A$1:$A$5,MATCH(2,$AF323:$AJ323,0)),IF(2=MAX($AF323:$AJ323)+1,"取消",""))</f>
        <v>王师傅</v>
      </c>
      <c r="AN323" s="0" t="str">
        <f aca="false">IFERROR(INDEX($A$1:$A$5,MATCH(3,$AF323:$AJ323,0)),IF(3=MAX($AF323:$AJ323)+1,"取消",""))</f>
        <v>陈师傅</v>
      </c>
      <c r="AO323" s="0" t="str">
        <f aca="false">IFERROR(INDEX($A$1:$A$5,MATCH(4,$AF323:$AJ323,0)),IF(4=MAX($AF323:$AJ323)+1,"取消",""))</f>
        <v>刘师傅</v>
      </c>
      <c r="AP323" s="0" t="str">
        <f aca="false">IFERROR(INDEX($A$1:$A$5,MATCH(5,$AF323:$AJ323,0)),IF(5=MAX($AF323:$AJ323)+1,"取消",""))</f>
        <v>取消</v>
      </c>
      <c r="AQ323" s="0" t="str">
        <f aca="false">IFERROR(INDEX($A$1:$A$5,MATCH(6,$AF323:$AJ323,0)),IF(6=MAX($AF323:$AJ323)+1,"取消",""))</f>
        <v/>
      </c>
      <c r="AS323" s="0" t="n">
        <f aca="false">IF(OR($A$1=公区维修!$F323,$A$1=公区维修!$G323,$BN$1=1),0,1-SUMPRODUCT(--(($A$1=公区维修!$F323)+($A$1=公区维修!$G323)+$BN$1&gt;0)))</f>
        <v>0</v>
      </c>
      <c r="AT323" s="0" t="n">
        <f aca="false">IF(OR($A$2=公区维修!$F323,$A$2=公区维修!$G323,$BN$2=1),0,2-SUMPRODUCT(--(($A$1:$A$2=公区维修!$F323)+($A$1:$A$2=公区维修!$G323)+$BN$1:$BN$2&gt;0)))</f>
        <v>1</v>
      </c>
      <c r="AU323" s="0" t="n">
        <f aca="false">IF(OR($A$3=公区维修!$F323,$A$3=公区维修!$G323,$BN$3=1),0,3-SUMPRODUCT(--(($A$1:$A$3=公区维修!$F323)+($A$1:$A$3=公区维修!$G323)+$BN$1:$BN$3&gt;0)))</f>
        <v>2</v>
      </c>
      <c r="AV323" s="0" t="n">
        <f aca="false">IF(OR($A$4=公区维修!$F323,$A$4=公区维修!$G323,$BN$4=1),0,4-SUMPRODUCT(--(($A$1:$A$4=公区维修!$F323)+($A$1:$A$4=公区维修!$G323)+$BN$1:$BN$4&gt;0)))</f>
        <v>3</v>
      </c>
      <c r="AW323" s="0" t="n">
        <f aca="false">IF(OR($A$5=公区维修!$F323,$A$5=公区维修!$G323,$BN$5=1),0,5-SUMPRODUCT(--(($A$1:$A$5=公区维修!$F323)+($A$1:$A$5=公区维修!$G323)+$BN$1:$BN$5&gt;0)))</f>
        <v>4</v>
      </c>
      <c r="AY323" s="0" t="str">
        <f aca="false">IFERROR(INDEX($A$1:$A$5,MATCH(1,$AS323:$AW323,0)),IF(1=MAX($AS323:$AW323)+1,"取消",""))</f>
        <v>李师傅</v>
      </c>
      <c r="AZ323" s="0" t="str">
        <f aca="false">IFERROR(INDEX($A$1:$A$5,MATCH(2,$AS323:$AW323,0)),IF(2=MAX($AS323:$AW323)+1,"取消",""))</f>
        <v>王师傅</v>
      </c>
      <c r="BA323" s="0" t="str">
        <f aca="false">IFERROR(INDEX($A$1:$A$5,MATCH(3,$AS323:$AW323,0)),IF(3=MAX($AS323:$AW323)+1,"取消",""))</f>
        <v>陈师傅</v>
      </c>
      <c r="BB323" s="0" t="str">
        <f aca="false">IFERROR(INDEX($A$1:$A$5,MATCH(4,$AS323:$AW323,0)),IF(4=MAX($AS323:$AW323)+1,"取消",""))</f>
        <v>刘师傅</v>
      </c>
      <c r="BC323" s="0" t="str">
        <f aca="false">IFERROR(INDEX($A$1:$A$5,MATCH(5,$AS323:$AW323,0)),IF(5=MAX($AS323:$AW323)+1,"取消",""))</f>
        <v>取消</v>
      </c>
      <c r="BD323" s="0" t="str">
        <f aca="false">IFERROR(INDEX($A$1:$A$5,MATCH(6,$AS323:$AW323,0)),IF(6=MAX($AS323:$AW323)+1,"取消",""))</f>
        <v/>
      </c>
      <c r="FW323" s="0" t="str">
        <f aca="false">IF(AND(单元查询!$D$3&lt;&gt;"",IF(单元查询!$B$3="公区维修",公区维修!$E323&lt;&gt;"",入户维修!$E323&lt;&gt;""),IF(单元查询!$B$3="公区维修",公区维修!$C323,入户维修!$C323)=单元查询!$D$3,OR(单元查询!$F$3="",IF(单元查询!$B$3="公区维修",公区维修!$D323,入户维修!$D323)&amp;""=(单元查询!$F$3)&amp;"")),MAX($FW$4:$FW322)+1,"")</f>
        <v/>
      </c>
    </row>
    <row r="324" customFormat="false" ht="15" hidden="false" customHeight="true" outlineLevel="0" collapsed="false">
      <c r="F324" s="0" t="n">
        <f aca="false">IF(OR($A$1=入户维修!$F324,$BN$1=1),0,1-SUMPRODUCT(--(($A$1=入户维修!$F324)+$BN$1&gt;0)))</f>
        <v>0</v>
      </c>
      <c r="G324" s="0" t="n">
        <f aca="false">IF(OR($A$2=入户维修!$F324,$BN$2=1),0,2-SUMPRODUCT(--(($A$1:$A$2=入户维修!$F324)+$BN$1:$BN$2&gt;0)))</f>
        <v>1</v>
      </c>
      <c r="H324" s="0" t="n">
        <f aca="false">IF(OR($A$3=入户维修!$F324,$BN$3=1),0,3-SUMPRODUCT(--(($A$1:$A$3=入户维修!$F324)+$BN$1:$BN$3&gt;0)))</f>
        <v>2</v>
      </c>
      <c r="I324" s="0" t="n">
        <f aca="false">IF(OR($A$4=入户维修!$F324,$BN$4=1),0,4-SUMPRODUCT(--(($A$1:$A$4=入户维修!$F324)+$BN$1:$BN$4&gt;0)))</f>
        <v>3</v>
      </c>
      <c r="J324" s="0" t="n">
        <f aca="false">IF(OR($A$5=入户维修!$F324,$BN$5=1),0,5-SUMPRODUCT(--(($A$1:$A$5=入户维修!$F324)+$BN$1:$BN$5&gt;0)))</f>
        <v>4</v>
      </c>
      <c r="L324" s="0" t="str">
        <f aca="false">IFERROR(INDEX($A$1:$A$5,MATCH(1,$F324:$J324,0)),IF(1=MAX($F324:$J324)+1,"取消",""))</f>
        <v>李师傅</v>
      </c>
      <c r="M324" s="0" t="str">
        <f aca="false">IFERROR(INDEX($A$1:$A$5,MATCH(2,$F324:$J324,0)),IF(2=MAX($F324:$J324)+1,"取消",""))</f>
        <v>王师傅</v>
      </c>
      <c r="N324" s="0" t="str">
        <f aca="false">IFERROR(INDEX($A$1:$A$5,MATCH(3,$F324:$J324,0)),IF(3=MAX($F324:$J324)+1,"取消",""))</f>
        <v>陈师傅</v>
      </c>
      <c r="O324" s="0" t="str">
        <f aca="false">IFERROR(INDEX($A$1:$A$5,MATCH(4,$F324:$J324,0)),IF(4=MAX($F324:$J324)+1,"取消",""))</f>
        <v>刘师傅</v>
      </c>
      <c r="P324" s="0" t="str">
        <f aca="false">IFERROR(INDEX($A$1:$A$5,MATCH(5,$F324:$J324,0)),IF(5=MAX($F324:$J324)+1,"取消",""))</f>
        <v>取消</v>
      </c>
      <c r="Q324" s="0" t="str">
        <f aca="false">IFERROR(INDEX($A$1:$A$5,MATCH(6,$F324:$J324,0)),IF(6=MAX($F324:$J324)+1,"取消",""))</f>
        <v/>
      </c>
      <c r="S324" s="0" t="n">
        <f aca="false">IF(OR($A$1=入户维修!$F324,$A$1=入户维修!$G324,$BN$1=1),0,1-SUMPRODUCT(--(($A$1=入户维修!$F324)+($A$1=入户维修!$G324)+$BN$1&gt;0)))</f>
        <v>0</v>
      </c>
      <c r="T324" s="0" t="n">
        <f aca="false">IF(OR($A$2=入户维修!$F324,$A$2=入户维修!$G324,$BN$2=1),0,2-SUMPRODUCT(--(($A$1:$A$2=入户维修!$F324)+($A$1:$A$2=入户维修!$G324)+$BN$1:$BN$2&gt;0)))</f>
        <v>1</v>
      </c>
      <c r="U324" s="0" t="n">
        <f aca="false">IF(OR($A$3=入户维修!$F324,$A$3=入户维修!$G324,$BN$3=1),0,3-SUMPRODUCT(--(($A$1:$A$3=入户维修!$F324)+($A$1:$A$3=入户维修!$G324)+$BN$1:$BN$3&gt;0)))</f>
        <v>2</v>
      </c>
      <c r="V324" s="0" t="n">
        <f aca="false">IF(OR($A$4=入户维修!$F324,$A$4=入户维修!$G324,$BN$4=1),0,4-SUMPRODUCT(--(($A$1:$A$4=入户维修!$F324)+($A$1:$A$4=入户维修!$G324)+$BN$1:$BN$4&gt;0)))</f>
        <v>3</v>
      </c>
      <c r="W324" s="0" t="n">
        <f aca="false">IF(OR($A$5=入户维修!$F324,$A$5=入户维修!$G324,$BN$5=1),0,5-SUMPRODUCT(--(($A$1:$A$5=入户维修!$F324)+($A$1:$A$5=入户维修!$G324)+$BN$1:$BN$5&gt;0)))</f>
        <v>4</v>
      </c>
      <c r="Y324" s="0" t="str">
        <f aca="false">IFERROR(INDEX($A$1:$A$5,MATCH(1,$S324:$W324,0)),IF(1=MAX($S324:$W324)+1,"取消",""))</f>
        <v>李师傅</v>
      </c>
      <c r="Z324" s="0" t="str">
        <f aca="false">IFERROR(INDEX($A$1:$A$5,MATCH(2,$S324:$W324,0)),IF(2=MAX($S324:$W324)+1,"取消",""))</f>
        <v>王师傅</v>
      </c>
      <c r="AA324" s="0" t="str">
        <f aca="false">IFERROR(INDEX($A$1:$A$5,MATCH(3,$S324:$W324,0)),IF(3=MAX($S324:$W324)+1,"取消",""))</f>
        <v>陈师傅</v>
      </c>
      <c r="AB324" s="0" t="str">
        <f aca="false">IFERROR(INDEX($A$1:$A$5,MATCH(4,$S324:$W324,0)),IF(4=MAX($S324:$W324)+1,"取消",""))</f>
        <v>刘师傅</v>
      </c>
      <c r="AC324" s="0" t="str">
        <f aca="false">IFERROR(INDEX($A$1:$A$5,MATCH(5,$S324:$W324,0)),IF(5=MAX($S324:$W324)+1,"取消",""))</f>
        <v>取消</v>
      </c>
      <c r="AD324" s="0" t="str">
        <f aca="false">IFERROR(INDEX($A$1:$A$5,MATCH(6,$S324:$W324,0)),IF(6=MAX($S324:$W324)+1,"取消",""))</f>
        <v/>
      </c>
      <c r="AF324" s="0" t="n">
        <f aca="false">IF(OR($A$1=公区维修!$F324,$BN$1=1),0,1-SUMPRODUCT(--(($A$1=公区维修!$F324)+$BN$1&gt;0)))</f>
        <v>0</v>
      </c>
      <c r="AG324" s="0" t="n">
        <f aca="false">IF(OR($A$2=公区维修!$F324,$BN$2=1),0,2-SUMPRODUCT(--(($A$1:$A$2=公区维修!$F324)+$BN$1:$BN$2&gt;0)))</f>
        <v>1</v>
      </c>
      <c r="AH324" s="0" t="n">
        <f aca="false">IF(OR($A$3=公区维修!$F324,$BN$3=1),0,3-SUMPRODUCT(--(($A$1:$A$3=公区维修!$F324)+$BN$1:$BN$3&gt;0)))</f>
        <v>2</v>
      </c>
      <c r="AI324" s="0" t="n">
        <f aca="false">IF(OR($A$4=公区维修!$F324,$BN$4=1),0,4-SUMPRODUCT(--(($A$1:$A$4=公区维修!$F324)+$BN$1:$BN$4&gt;0)))</f>
        <v>3</v>
      </c>
      <c r="AJ324" s="0" t="n">
        <f aca="false">IF(OR($A$5=公区维修!$F324,$BN$5=1),0,5-SUMPRODUCT(--(($A$1:$A$5=公区维修!$F324)+$BN$1:$BN$5&gt;0)))</f>
        <v>4</v>
      </c>
      <c r="AL324" s="0" t="str">
        <f aca="false">IFERROR(INDEX($A$1:$A$5,MATCH(1,$AF324:$AJ324,0)),IF(1=MAX($AF324:$AJ324)+1,"取消",""))</f>
        <v>李师傅</v>
      </c>
      <c r="AM324" s="0" t="str">
        <f aca="false">IFERROR(INDEX($A$1:$A$5,MATCH(2,$AF324:$AJ324,0)),IF(2=MAX($AF324:$AJ324)+1,"取消",""))</f>
        <v>王师傅</v>
      </c>
      <c r="AN324" s="0" t="str">
        <f aca="false">IFERROR(INDEX($A$1:$A$5,MATCH(3,$AF324:$AJ324,0)),IF(3=MAX($AF324:$AJ324)+1,"取消",""))</f>
        <v>陈师傅</v>
      </c>
      <c r="AO324" s="0" t="str">
        <f aca="false">IFERROR(INDEX($A$1:$A$5,MATCH(4,$AF324:$AJ324,0)),IF(4=MAX($AF324:$AJ324)+1,"取消",""))</f>
        <v>刘师傅</v>
      </c>
      <c r="AP324" s="0" t="str">
        <f aca="false">IFERROR(INDEX($A$1:$A$5,MATCH(5,$AF324:$AJ324,0)),IF(5=MAX($AF324:$AJ324)+1,"取消",""))</f>
        <v>取消</v>
      </c>
      <c r="AQ324" s="0" t="str">
        <f aca="false">IFERROR(INDEX($A$1:$A$5,MATCH(6,$AF324:$AJ324,0)),IF(6=MAX($AF324:$AJ324)+1,"取消",""))</f>
        <v/>
      </c>
      <c r="AS324" s="0" t="n">
        <f aca="false">IF(OR($A$1=公区维修!$F324,$A$1=公区维修!$G324,$BN$1=1),0,1-SUMPRODUCT(--(($A$1=公区维修!$F324)+($A$1=公区维修!$G324)+$BN$1&gt;0)))</f>
        <v>0</v>
      </c>
      <c r="AT324" s="0" t="n">
        <f aca="false">IF(OR($A$2=公区维修!$F324,$A$2=公区维修!$G324,$BN$2=1),0,2-SUMPRODUCT(--(($A$1:$A$2=公区维修!$F324)+($A$1:$A$2=公区维修!$G324)+$BN$1:$BN$2&gt;0)))</f>
        <v>1</v>
      </c>
      <c r="AU324" s="0" t="n">
        <f aca="false">IF(OR($A$3=公区维修!$F324,$A$3=公区维修!$G324,$BN$3=1),0,3-SUMPRODUCT(--(($A$1:$A$3=公区维修!$F324)+($A$1:$A$3=公区维修!$G324)+$BN$1:$BN$3&gt;0)))</f>
        <v>2</v>
      </c>
      <c r="AV324" s="0" t="n">
        <f aca="false">IF(OR($A$4=公区维修!$F324,$A$4=公区维修!$G324,$BN$4=1),0,4-SUMPRODUCT(--(($A$1:$A$4=公区维修!$F324)+($A$1:$A$4=公区维修!$G324)+$BN$1:$BN$4&gt;0)))</f>
        <v>3</v>
      </c>
      <c r="AW324" s="0" t="n">
        <f aca="false">IF(OR($A$5=公区维修!$F324,$A$5=公区维修!$G324,$BN$5=1),0,5-SUMPRODUCT(--(($A$1:$A$5=公区维修!$F324)+($A$1:$A$5=公区维修!$G324)+$BN$1:$BN$5&gt;0)))</f>
        <v>4</v>
      </c>
      <c r="AY324" s="0" t="str">
        <f aca="false">IFERROR(INDEX($A$1:$A$5,MATCH(1,$AS324:$AW324,0)),IF(1=MAX($AS324:$AW324)+1,"取消",""))</f>
        <v>李师傅</v>
      </c>
      <c r="AZ324" s="0" t="str">
        <f aca="false">IFERROR(INDEX($A$1:$A$5,MATCH(2,$AS324:$AW324,0)),IF(2=MAX($AS324:$AW324)+1,"取消",""))</f>
        <v>王师傅</v>
      </c>
      <c r="BA324" s="0" t="str">
        <f aca="false">IFERROR(INDEX($A$1:$A$5,MATCH(3,$AS324:$AW324,0)),IF(3=MAX($AS324:$AW324)+1,"取消",""))</f>
        <v>陈师傅</v>
      </c>
      <c r="BB324" s="0" t="str">
        <f aca="false">IFERROR(INDEX($A$1:$A$5,MATCH(4,$AS324:$AW324,0)),IF(4=MAX($AS324:$AW324)+1,"取消",""))</f>
        <v>刘师傅</v>
      </c>
      <c r="BC324" s="0" t="str">
        <f aca="false">IFERROR(INDEX($A$1:$A$5,MATCH(5,$AS324:$AW324,0)),IF(5=MAX($AS324:$AW324)+1,"取消",""))</f>
        <v>取消</v>
      </c>
      <c r="BD324" s="0" t="str">
        <f aca="false">IFERROR(INDEX($A$1:$A$5,MATCH(6,$AS324:$AW324,0)),IF(6=MAX($AS324:$AW324)+1,"取消",""))</f>
        <v/>
      </c>
      <c r="FW324" s="0" t="str">
        <f aca="false">IF(AND(单元查询!$D$3&lt;&gt;"",IF(单元查询!$B$3="公区维修",公区维修!$E324&lt;&gt;"",入户维修!$E324&lt;&gt;""),IF(单元查询!$B$3="公区维修",公区维修!$C324,入户维修!$C324)=单元查询!$D$3,OR(单元查询!$F$3="",IF(单元查询!$B$3="公区维修",公区维修!$D324,入户维修!$D324)&amp;""=(单元查询!$F$3)&amp;"")),MAX($FW$4:$FW323)+1,"")</f>
        <v/>
      </c>
    </row>
    <row r="325" customFormat="false" ht="15" hidden="false" customHeight="true" outlineLevel="0" collapsed="false">
      <c r="F325" s="0" t="n">
        <f aca="false">IF(OR($A$1=入户维修!$F325,$BN$1=1),0,1-SUMPRODUCT(--(($A$1=入户维修!$F325)+$BN$1&gt;0)))</f>
        <v>0</v>
      </c>
      <c r="G325" s="0" t="n">
        <f aca="false">IF(OR($A$2=入户维修!$F325,$BN$2=1),0,2-SUMPRODUCT(--(($A$1:$A$2=入户维修!$F325)+$BN$1:$BN$2&gt;0)))</f>
        <v>1</v>
      </c>
      <c r="H325" s="0" t="n">
        <f aca="false">IF(OR($A$3=入户维修!$F325,$BN$3=1),0,3-SUMPRODUCT(--(($A$1:$A$3=入户维修!$F325)+$BN$1:$BN$3&gt;0)))</f>
        <v>2</v>
      </c>
      <c r="I325" s="0" t="n">
        <f aca="false">IF(OR($A$4=入户维修!$F325,$BN$4=1),0,4-SUMPRODUCT(--(($A$1:$A$4=入户维修!$F325)+$BN$1:$BN$4&gt;0)))</f>
        <v>3</v>
      </c>
      <c r="J325" s="0" t="n">
        <f aca="false">IF(OR($A$5=入户维修!$F325,$BN$5=1),0,5-SUMPRODUCT(--(($A$1:$A$5=入户维修!$F325)+$BN$1:$BN$5&gt;0)))</f>
        <v>4</v>
      </c>
      <c r="L325" s="0" t="str">
        <f aca="false">IFERROR(INDEX($A$1:$A$5,MATCH(1,$F325:$J325,0)),IF(1=MAX($F325:$J325)+1,"取消",""))</f>
        <v>李师傅</v>
      </c>
      <c r="M325" s="0" t="str">
        <f aca="false">IFERROR(INDEX($A$1:$A$5,MATCH(2,$F325:$J325,0)),IF(2=MAX($F325:$J325)+1,"取消",""))</f>
        <v>王师傅</v>
      </c>
      <c r="N325" s="0" t="str">
        <f aca="false">IFERROR(INDEX($A$1:$A$5,MATCH(3,$F325:$J325,0)),IF(3=MAX($F325:$J325)+1,"取消",""))</f>
        <v>陈师傅</v>
      </c>
      <c r="O325" s="0" t="str">
        <f aca="false">IFERROR(INDEX($A$1:$A$5,MATCH(4,$F325:$J325,0)),IF(4=MAX($F325:$J325)+1,"取消",""))</f>
        <v>刘师傅</v>
      </c>
      <c r="P325" s="0" t="str">
        <f aca="false">IFERROR(INDEX($A$1:$A$5,MATCH(5,$F325:$J325,0)),IF(5=MAX($F325:$J325)+1,"取消",""))</f>
        <v>取消</v>
      </c>
      <c r="Q325" s="0" t="str">
        <f aca="false">IFERROR(INDEX($A$1:$A$5,MATCH(6,$F325:$J325,0)),IF(6=MAX($F325:$J325)+1,"取消",""))</f>
        <v/>
      </c>
      <c r="S325" s="0" t="n">
        <f aca="false">IF(OR($A$1=入户维修!$F325,$A$1=入户维修!$G325,$BN$1=1),0,1-SUMPRODUCT(--(($A$1=入户维修!$F325)+($A$1=入户维修!$G325)+$BN$1&gt;0)))</f>
        <v>0</v>
      </c>
      <c r="T325" s="0" t="n">
        <f aca="false">IF(OR($A$2=入户维修!$F325,$A$2=入户维修!$G325,$BN$2=1),0,2-SUMPRODUCT(--(($A$1:$A$2=入户维修!$F325)+($A$1:$A$2=入户维修!$G325)+$BN$1:$BN$2&gt;0)))</f>
        <v>1</v>
      </c>
      <c r="U325" s="0" t="n">
        <f aca="false">IF(OR($A$3=入户维修!$F325,$A$3=入户维修!$G325,$BN$3=1),0,3-SUMPRODUCT(--(($A$1:$A$3=入户维修!$F325)+($A$1:$A$3=入户维修!$G325)+$BN$1:$BN$3&gt;0)))</f>
        <v>2</v>
      </c>
      <c r="V325" s="0" t="n">
        <f aca="false">IF(OR($A$4=入户维修!$F325,$A$4=入户维修!$G325,$BN$4=1),0,4-SUMPRODUCT(--(($A$1:$A$4=入户维修!$F325)+($A$1:$A$4=入户维修!$G325)+$BN$1:$BN$4&gt;0)))</f>
        <v>3</v>
      </c>
      <c r="W325" s="0" t="n">
        <f aca="false">IF(OR($A$5=入户维修!$F325,$A$5=入户维修!$G325,$BN$5=1),0,5-SUMPRODUCT(--(($A$1:$A$5=入户维修!$F325)+($A$1:$A$5=入户维修!$G325)+$BN$1:$BN$5&gt;0)))</f>
        <v>4</v>
      </c>
      <c r="Y325" s="0" t="str">
        <f aca="false">IFERROR(INDEX($A$1:$A$5,MATCH(1,$S325:$W325,0)),IF(1=MAX($S325:$W325)+1,"取消",""))</f>
        <v>李师傅</v>
      </c>
      <c r="Z325" s="0" t="str">
        <f aca="false">IFERROR(INDEX($A$1:$A$5,MATCH(2,$S325:$W325,0)),IF(2=MAX($S325:$W325)+1,"取消",""))</f>
        <v>王师傅</v>
      </c>
      <c r="AA325" s="0" t="str">
        <f aca="false">IFERROR(INDEX($A$1:$A$5,MATCH(3,$S325:$W325,0)),IF(3=MAX($S325:$W325)+1,"取消",""))</f>
        <v>陈师傅</v>
      </c>
      <c r="AB325" s="0" t="str">
        <f aca="false">IFERROR(INDEX($A$1:$A$5,MATCH(4,$S325:$W325,0)),IF(4=MAX($S325:$W325)+1,"取消",""))</f>
        <v>刘师傅</v>
      </c>
      <c r="AC325" s="0" t="str">
        <f aca="false">IFERROR(INDEX($A$1:$A$5,MATCH(5,$S325:$W325,0)),IF(5=MAX($S325:$W325)+1,"取消",""))</f>
        <v>取消</v>
      </c>
      <c r="AD325" s="0" t="str">
        <f aca="false">IFERROR(INDEX($A$1:$A$5,MATCH(6,$S325:$W325,0)),IF(6=MAX($S325:$W325)+1,"取消",""))</f>
        <v/>
      </c>
      <c r="AF325" s="0" t="n">
        <f aca="false">IF(OR($A$1=公区维修!$F325,$BN$1=1),0,1-SUMPRODUCT(--(($A$1=公区维修!$F325)+$BN$1&gt;0)))</f>
        <v>0</v>
      </c>
      <c r="AG325" s="0" t="n">
        <f aca="false">IF(OR($A$2=公区维修!$F325,$BN$2=1),0,2-SUMPRODUCT(--(($A$1:$A$2=公区维修!$F325)+$BN$1:$BN$2&gt;0)))</f>
        <v>1</v>
      </c>
      <c r="AH325" s="0" t="n">
        <f aca="false">IF(OR($A$3=公区维修!$F325,$BN$3=1),0,3-SUMPRODUCT(--(($A$1:$A$3=公区维修!$F325)+$BN$1:$BN$3&gt;0)))</f>
        <v>2</v>
      </c>
      <c r="AI325" s="0" t="n">
        <f aca="false">IF(OR($A$4=公区维修!$F325,$BN$4=1),0,4-SUMPRODUCT(--(($A$1:$A$4=公区维修!$F325)+$BN$1:$BN$4&gt;0)))</f>
        <v>3</v>
      </c>
      <c r="AJ325" s="0" t="n">
        <f aca="false">IF(OR($A$5=公区维修!$F325,$BN$5=1),0,5-SUMPRODUCT(--(($A$1:$A$5=公区维修!$F325)+$BN$1:$BN$5&gt;0)))</f>
        <v>4</v>
      </c>
      <c r="AL325" s="0" t="str">
        <f aca="false">IFERROR(INDEX($A$1:$A$5,MATCH(1,$AF325:$AJ325,0)),IF(1=MAX($AF325:$AJ325)+1,"取消",""))</f>
        <v>李师傅</v>
      </c>
      <c r="AM325" s="0" t="str">
        <f aca="false">IFERROR(INDEX($A$1:$A$5,MATCH(2,$AF325:$AJ325,0)),IF(2=MAX($AF325:$AJ325)+1,"取消",""))</f>
        <v>王师傅</v>
      </c>
      <c r="AN325" s="0" t="str">
        <f aca="false">IFERROR(INDEX($A$1:$A$5,MATCH(3,$AF325:$AJ325,0)),IF(3=MAX($AF325:$AJ325)+1,"取消",""))</f>
        <v>陈师傅</v>
      </c>
      <c r="AO325" s="0" t="str">
        <f aca="false">IFERROR(INDEX($A$1:$A$5,MATCH(4,$AF325:$AJ325,0)),IF(4=MAX($AF325:$AJ325)+1,"取消",""))</f>
        <v>刘师傅</v>
      </c>
      <c r="AP325" s="0" t="str">
        <f aca="false">IFERROR(INDEX($A$1:$A$5,MATCH(5,$AF325:$AJ325,0)),IF(5=MAX($AF325:$AJ325)+1,"取消",""))</f>
        <v>取消</v>
      </c>
      <c r="AQ325" s="0" t="str">
        <f aca="false">IFERROR(INDEX($A$1:$A$5,MATCH(6,$AF325:$AJ325,0)),IF(6=MAX($AF325:$AJ325)+1,"取消",""))</f>
        <v/>
      </c>
      <c r="AS325" s="0" t="n">
        <f aca="false">IF(OR($A$1=公区维修!$F325,$A$1=公区维修!$G325,$BN$1=1),0,1-SUMPRODUCT(--(($A$1=公区维修!$F325)+($A$1=公区维修!$G325)+$BN$1&gt;0)))</f>
        <v>0</v>
      </c>
      <c r="AT325" s="0" t="n">
        <f aca="false">IF(OR($A$2=公区维修!$F325,$A$2=公区维修!$G325,$BN$2=1),0,2-SUMPRODUCT(--(($A$1:$A$2=公区维修!$F325)+($A$1:$A$2=公区维修!$G325)+$BN$1:$BN$2&gt;0)))</f>
        <v>1</v>
      </c>
      <c r="AU325" s="0" t="n">
        <f aca="false">IF(OR($A$3=公区维修!$F325,$A$3=公区维修!$G325,$BN$3=1),0,3-SUMPRODUCT(--(($A$1:$A$3=公区维修!$F325)+($A$1:$A$3=公区维修!$G325)+$BN$1:$BN$3&gt;0)))</f>
        <v>2</v>
      </c>
      <c r="AV325" s="0" t="n">
        <f aca="false">IF(OR($A$4=公区维修!$F325,$A$4=公区维修!$G325,$BN$4=1),0,4-SUMPRODUCT(--(($A$1:$A$4=公区维修!$F325)+($A$1:$A$4=公区维修!$G325)+$BN$1:$BN$4&gt;0)))</f>
        <v>3</v>
      </c>
      <c r="AW325" s="0" t="n">
        <f aca="false">IF(OR($A$5=公区维修!$F325,$A$5=公区维修!$G325,$BN$5=1),0,5-SUMPRODUCT(--(($A$1:$A$5=公区维修!$F325)+($A$1:$A$5=公区维修!$G325)+$BN$1:$BN$5&gt;0)))</f>
        <v>4</v>
      </c>
      <c r="AY325" s="0" t="str">
        <f aca="false">IFERROR(INDEX($A$1:$A$5,MATCH(1,$AS325:$AW325,0)),IF(1=MAX($AS325:$AW325)+1,"取消",""))</f>
        <v>李师傅</v>
      </c>
      <c r="AZ325" s="0" t="str">
        <f aca="false">IFERROR(INDEX($A$1:$A$5,MATCH(2,$AS325:$AW325,0)),IF(2=MAX($AS325:$AW325)+1,"取消",""))</f>
        <v>王师傅</v>
      </c>
      <c r="BA325" s="0" t="str">
        <f aca="false">IFERROR(INDEX($A$1:$A$5,MATCH(3,$AS325:$AW325,0)),IF(3=MAX($AS325:$AW325)+1,"取消",""))</f>
        <v>陈师傅</v>
      </c>
      <c r="BB325" s="0" t="str">
        <f aca="false">IFERROR(INDEX($A$1:$A$5,MATCH(4,$AS325:$AW325,0)),IF(4=MAX($AS325:$AW325)+1,"取消",""))</f>
        <v>刘师傅</v>
      </c>
      <c r="BC325" s="0" t="str">
        <f aca="false">IFERROR(INDEX($A$1:$A$5,MATCH(5,$AS325:$AW325,0)),IF(5=MAX($AS325:$AW325)+1,"取消",""))</f>
        <v>取消</v>
      </c>
      <c r="BD325" s="0" t="str">
        <f aca="false">IFERROR(INDEX($A$1:$A$5,MATCH(6,$AS325:$AW325,0)),IF(6=MAX($AS325:$AW325)+1,"取消",""))</f>
        <v/>
      </c>
      <c r="FW325" s="0" t="str">
        <f aca="false">IF(AND(单元查询!$D$3&lt;&gt;"",IF(单元查询!$B$3="公区维修",公区维修!$E325&lt;&gt;"",入户维修!$E325&lt;&gt;""),IF(单元查询!$B$3="公区维修",公区维修!$C325,入户维修!$C325)=单元查询!$D$3,OR(单元查询!$F$3="",IF(单元查询!$B$3="公区维修",公区维修!$D325,入户维修!$D325)&amp;""=(单元查询!$F$3)&amp;"")),MAX($FW$4:$FW324)+1,"")</f>
        <v/>
      </c>
    </row>
    <row r="326" customFormat="false" ht="15" hidden="false" customHeight="true" outlineLevel="0" collapsed="false">
      <c r="F326" s="0" t="n">
        <f aca="false">IF(OR($A$1=入户维修!$F326,$BN$1=1),0,1-SUMPRODUCT(--(($A$1=入户维修!$F326)+$BN$1&gt;0)))</f>
        <v>0</v>
      </c>
      <c r="G326" s="0" t="n">
        <f aca="false">IF(OR($A$2=入户维修!$F326,$BN$2=1),0,2-SUMPRODUCT(--(($A$1:$A$2=入户维修!$F326)+$BN$1:$BN$2&gt;0)))</f>
        <v>1</v>
      </c>
      <c r="H326" s="0" t="n">
        <f aca="false">IF(OR($A$3=入户维修!$F326,$BN$3=1),0,3-SUMPRODUCT(--(($A$1:$A$3=入户维修!$F326)+$BN$1:$BN$3&gt;0)))</f>
        <v>2</v>
      </c>
      <c r="I326" s="0" t="n">
        <f aca="false">IF(OR($A$4=入户维修!$F326,$BN$4=1),0,4-SUMPRODUCT(--(($A$1:$A$4=入户维修!$F326)+$BN$1:$BN$4&gt;0)))</f>
        <v>3</v>
      </c>
      <c r="J326" s="0" t="n">
        <f aca="false">IF(OR($A$5=入户维修!$F326,$BN$5=1),0,5-SUMPRODUCT(--(($A$1:$A$5=入户维修!$F326)+$BN$1:$BN$5&gt;0)))</f>
        <v>4</v>
      </c>
      <c r="L326" s="0" t="str">
        <f aca="false">IFERROR(INDEX($A$1:$A$5,MATCH(1,$F326:$J326,0)),IF(1=MAX($F326:$J326)+1,"取消",""))</f>
        <v>李师傅</v>
      </c>
      <c r="M326" s="0" t="str">
        <f aca="false">IFERROR(INDEX($A$1:$A$5,MATCH(2,$F326:$J326,0)),IF(2=MAX($F326:$J326)+1,"取消",""))</f>
        <v>王师傅</v>
      </c>
      <c r="N326" s="0" t="str">
        <f aca="false">IFERROR(INDEX($A$1:$A$5,MATCH(3,$F326:$J326,0)),IF(3=MAX($F326:$J326)+1,"取消",""))</f>
        <v>陈师傅</v>
      </c>
      <c r="O326" s="0" t="str">
        <f aca="false">IFERROR(INDEX($A$1:$A$5,MATCH(4,$F326:$J326,0)),IF(4=MAX($F326:$J326)+1,"取消",""))</f>
        <v>刘师傅</v>
      </c>
      <c r="P326" s="0" t="str">
        <f aca="false">IFERROR(INDEX($A$1:$A$5,MATCH(5,$F326:$J326,0)),IF(5=MAX($F326:$J326)+1,"取消",""))</f>
        <v>取消</v>
      </c>
      <c r="Q326" s="0" t="str">
        <f aca="false">IFERROR(INDEX($A$1:$A$5,MATCH(6,$F326:$J326,0)),IF(6=MAX($F326:$J326)+1,"取消",""))</f>
        <v/>
      </c>
      <c r="S326" s="0" t="n">
        <f aca="false">IF(OR($A$1=入户维修!$F326,$A$1=入户维修!$G326,$BN$1=1),0,1-SUMPRODUCT(--(($A$1=入户维修!$F326)+($A$1=入户维修!$G326)+$BN$1&gt;0)))</f>
        <v>0</v>
      </c>
      <c r="T326" s="0" t="n">
        <f aca="false">IF(OR($A$2=入户维修!$F326,$A$2=入户维修!$G326,$BN$2=1),0,2-SUMPRODUCT(--(($A$1:$A$2=入户维修!$F326)+($A$1:$A$2=入户维修!$G326)+$BN$1:$BN$2&gt;0)))</f>
        <v>1</v>
      </c>
      <c r="U326" s="0" t="n">
        <f aca="false">IF(OR($A$3=入户维修!$F326,$A$3=入户维修!$G326,$BN$3=1),0,3-SUMPRODUCT(--(($A$1:$A$3=入户维修!$F326)+($A$1:$A$3=入户维修!$G326)+$BN$1:$BN$3&gt;0)))</f>
        <v>2</v>
      </c>
      <c r="V326" s="0" t="n">
        <f aca="false">IF(OR($A$4=入户维修!$F326,$A$4=入户维修!$G326,$BN$4=1),0,4-SUMPRODUCT(--(($A$1:$A$4=入户维修!$F326)+($A$1:$A$4=入户维修!$G326)+$BN$1:$BN$4&gt;0)))</f>
        <v>3</v>
      </c>
      <c r="W326" s="0" t="n">
        <f aca="false">IF(OR($A$5=入户维修!$F326,$A$5=入户维修!$G326,$BN$5=1),0,5-SUMPRODUCT(--(($A$1:$A$5=入户维修!$F326)+($A$1:$A$5=入户维修!$G326)+$BN$1:$BN$5&gt;0)))</f>
        <v>4</v>
      </c>
      <c r="Y326" s="0" t="str">
        <f aca="false">IFERROR(INDEX($A$1:$A$5,MATCH(1,$S326:$W326,0)),IF(1=MAX($S326:$W326)+1,"取消",""))</f>
        <v>李师傅</v>
      </c>
      <c r="Z326" s="0" t="str">
        <f aca="false">IFERROR(INDEX($A$1:$A$5,MATCH(2,$S326:$W326,0)),IF(2=MAX($S326:$W326)+1,"取消",""))</f>
        <v>王师傅</v>
      </c>
      <c r="AA326" s="0" t="str">
        <f aca="false">IFERROR(INDEX($A$1:$A$5,MATCH(3,$S326:$W326,0)),IF(3=MAX($S326:$W326)+1,"取消",""))</f>
        <v>陈师傅</v>
      </c>
      <c r="AB326" s="0" t="str">
        <f aca="false">IFERROR(INDEX($A$1:$A$5,MATCH(4,$S326:$W326,0)),IF(4=MAX($S326:$W326)+1,"取消",""))</f>
        <v>刘师傅</v>
      </c>
      <c r="AC326" s="0" t="str">
        <f aca="false">IFERROR(INDEX($A$1:$A$5,MATCH(5,$S326:$W326,0)),IF(5=MAX($S326:$W326)+1,"取消",""))</f>
        <v>取消</v>
      </c>
      <c r="AD326" s="0" t="str">
        <f aca="false">IFERROR(INDEX($A$1:$A$5,MATCH(6,$S326:$W326,0)),IF(6=MAX($S326:$W326)+1,"取消",""))</f>
        <v/>
      </c>
      <c r="AF326" s="0" t="n">
        <f aca="false">IF(OR($A$1=公区维修!$F326,$BN$1=1),0,1-SUMPRODUCT(--(($A$1=公区维修!$F326)+$BN$1&gt;0)))</f>
        <v>0</v>
      </c>
      <c r="AG326" s="0" t="n">
        <f aca="false">IF(OR($A$2=公区维修!$F326,$BN$2=1),0,2-SUMPRODUCT(--(($A$1:$A$2=公区维修!$F326)+$BN$1:$BN$2&gt;0)))</f>
        <v>1</v>
      </c>
      <c r="AH326" s="0" t="n">
        <f aca="false">IF(OR($A$3=公区维修!$F326,$BN$3=1),0,3-SUMPRODUCT(--(($A$1:$A$3=公区维修!$F326)+$BN$1:$BN$3&gt;0)))</f>
        <v>2</v>
      </c>
      <c r="AI326" s="0" t="n">
        <f aca="false">IF(OR($A$4=公区维修!$F326,$BN$4=1),0,4-SUMPRODUCT(--(($A$1:$A$4=公区维修!$F326)+$BN$1:$BN$4&gt;0)))</f>
        <v>3</v>
      </c>
      <c r="AJ326" s="0" t="n">
        <f aca="false">IF(OR($A$5=公区维修!$F326,$BN$5=1),0,5-SUMPRODUCT(--(($A$1:$A$5=公区维修!$F326)+$BN$1:$BN$5&gt;0)))</f>
        <v>4</v>
      </c>
      <c r="AL326" s="0" t="str">
        <f aca="false">IFERROR(INDEX($A$1:$A$5,MATCH(1,$AF326:$AJ326,0)),IF(1=MAX($AF326:$AJ326)+1,"取消",""))</f>
        <v>李师傅</v>
      </c>
      <c r="AM326" s="0" t="str">
        <f aca="false">IFERROR(INDEX($A$1:$A$5,MATCH(2,$AF326:$AJ326,0)),IF(2=MAX($AF326:$AJ326)+1,"取消",""))</f>
        <v>王师傅</v>
      </c>
      <c r="AN326" s="0" t="str">
        <f aca="false">IFERROR(INDEX($A$1:$A$5,MATCH(3,$AF326:$AJ326,0)),IF(3=MAX($AF326:$AJ326)+1,"取消",""))</f>
        <v>陈师傅</v>
      </c>
      <c r="AO326" s="0" t="str">
        <f aca="false">IFERROR(INDEX($A$1:$A$5,MATCH(4,$AF326:$AJ326,0)),IF(4=MAX($AF326:$AJ326)+1,"取消",""))</f>
        <v>刘师傅</v>
      </c>
      <c r="AP326" s="0" t="str">
        <f aca="false">IFERROR(INDEX($A$1:$A$5,MATCH(5,$AF326:$AJ326,0)),IF(5=MAX($AF326:$AJ326)+1,"取消",""))</f>
        <v>取消</v>
      </c>
      <c r="AQ326" s="0" t="str">
        <f aca="false">IFERROR(INDEX($A$1:$A$5,MATCH(6,$AF326:$AJ326,0)),IF(6=MAX($AF326:$AJ326)+1,"取消",""))</f>
        <v/>
      </c>
      <c r="AS326" s="0" t="n">
        <f aca="false">IF(OR($A$1=公区维修!$F326,$A$1=公区维修!$G326,$BN$1=1),0,1-SUMPRODUCT(--(($A$1=公区维修!$F326)+($A$1=公区维修!$G326)+$BN$1&gt;0)))</f>
        <v>0</v>
      </c>
      <c r="AT326" s="0" t="n">
        <f aca="false">IF(OR($A$2=公区维修!$F326,$A$2=公区维修!$G326,$BN$2=1),0,2-SUMPRODUCT(--(($A$1:$A$2=公区维修!$F326)+($A$1:$A$2=公区维修!$G326)+$BN$1:$BN$2&gt;0)))</f>
        <v>1</v>
      </c>
      <c r="AU326" s="0" t="n">
        <f aca="false">IF(OR($A$3=公区维修!$F326,$A$3=公区维修!$G326,$BN$3=1),0,3-SUMPRODUCT(--(($A$1:$A$3=公区维修!$F326)+($A$1:$A$3=公区维修!$G326)+$BN$1:$BN$3&gt;0)))</f>
        <v>2</v>
      </c>
      <c r="AV326" s="0" t="n">
        <f aca="false">IF(OR($A$4=公区维修!$F326,$A$4=公区维修!$G326,$BN$4=1),0,4-SUMPRODUCT(--(($A$1:$A$4=公区维修!$F326)+($A$1:$A$4=公区维修!$G326)+$BN$1:$BN$4&gt;0)))</f>
        <v>3</v>
      </c>
      <c r="AW326" s="0" t="n">
        <f aca="false">IF(OR($A$5=公区维修!$F326,$A$5=公区维修!$G326,$BN$5=1),0,5-SUMPRODUCT(--(($A$1:$A$5=公区维修!$F326)+($A$1:$A$5=公区维修!$G326)+$BN$1:$BN$5&gt;0)))</f>
        <v>4</v>
      </c>
      <c r="AY326" s="0" t="str">
        <f aca="false">IFERROR(INDEX($A$1:$A$5,MATCH(1,$AS326:$AW326,0)),IF(1=MAX($AS326:$AW326)+1,"取消",""))</f>
        <v>李师傅</v>
      </c>
      <c r="AZ326" s="0" t="str">
        <f aca="false">IFERROR(INDEX($A$1:$A$5,MATCH(2,$AS326:$AW326,0)),IF(2=MAX($AS326:$AW326)+1,"取消",""))</f>
        <v>王师傅</v>
      </c>
      <c r="BA326" s="0" t="str">
        <f aca="false">IFERROR(INDEX($A$1:$A$5,MATCH(3,$AS326:$AW326,0)),IF(3=MAX($AS326:$AW326)+1,"取消",""))</f>
        <v>陈师傅</v>
      </c>
      <c r="BB326" s="0" t="str">
        <f aca="false">IFERROR(INDEX($A$1:$A$5,MATCH(4,$AS326:$AW326,0)),IF(4=MAX($AS326:$AW326)+1,"取消",""))</f>
        <v>刘师傅</v>
      </c>
      <c r="BC326" s="0" t="str">
        <f aca="false">IFERROR(INDEX($A$1:$A$5,MATCH(5,$AS326:$AW326,0)),IF(5=MAX($AS326:$AW326)+1,"取消",""))</f>
        <v>取消</v>
      </c>
      <c r="BD326" s="0" t="str">
        <f aca="false">IFERROR(INDEX($A$1:$A$5,MATCH(6,$AS326:$AW326,0)),IF(6=MAX($AS326:$AW326)+1,"取消",""))</f>
        <v/>
      </c>
      <c r="FW326" s="0" t="str">
        <f aca="false">IF(AND(单元查询!$D$3&lt;&gt;"",IF(单元查询!$B$3="公区维修",公区维修!$E326&lt;&gt;"",入户维修!$E326&lt;&gt;""),IF(单元查询!$B$3="公区维修",公区维修!$C326,入户维修!$C326)=单元查询!$D$3,OR(单元查询!$F$3="",IF(单元查询!$B$3="公区维修",公区维修!$D326,入户维修!$D326)&amp;""=(单元查询!$F$3)&amp;"")),MAX($FW$4:$FW325)+1,"")</f>
        <v/>
      </c>
    </row>
    <row r="327" customFormat="false" ht="15" hidden="false" customHeight="true" outlineLevel="0" collapsed="false">
      <c r="F327" s="0" t="n">
        <f aca="false">IF(OR($A$1=入户维修!$F327,$BN$1=1),0,1-SUMPRODUCT(--(($A$1=入户维修!$F327)+$BN$1&gt;0)))</f>
        <v>0</v>
      </c>
      <c r="G327" s="0" t="n">
        <f aca="false">IF(OR($A$2=入户维修!$F327,$BN$2=1),0,2-SUMPRODUCT(--(($A$1:$A$2=入户维修!$F327)+$BN$1:$BN$2&gt;0)))</f>
        <v>1</v>
      </c>
      <c r="H327" s="0" t="n">
        <f aca="false">IF(OR($A$3=入户维修!$F327,$BN$3=1),0,3-SUMPRODUCT(--(($A$1:$A$3=入户维修!$F327)+$BN$1:$BN$3&gt;0)))</f>
        <v>2</v>
      </c>
      <c r="I327" s="0" t="n">
        <f aca="false">IF(OR($A$4=入户维修!$F327,$BN$4=1),0,4-SUMPRODUCT(--(($A$1:$A$4=入户维修!$F327)+$BN$1:$BN$4&gt;0)))</f>
        <v>3</v>
      </c>
      <c r="J327" s="0" t="n">
        <f aca="false">IF(OR($A$5=入户维修!$F327,$BN$5=1),0,5-SUMPRODUCT(--(($A$1:$A$5=入户维修!$F327)+$BN$1:$BN$5&gt;0)))</f>
        <v>4</v>
      </c>
      <c r="L327" s="0" t="str">
        <f aca="false">IFERROR(INDEX($A$1:$A$5,MATCH(1,$F327:$J327,0)),IF(1=MAX($F327:$J327)+1,"取消",""))</f>
        <v>李师傅</v>
      </c>
      <c r="M327" s="0" t="str">
        <f aca="false">IFERROR(INDEX($A$1:$A$5,MATCH(2,$F327:$J327,0)),IF(2=MAX($F327:$J327)+1,"取消",""))</f>
        <v>王师傅</v>
      </c>
      <c r="N327" s="0" t="str">
        <f aca="false">IFERROR(INDEX($A$1:$A$5,MATCH(3,$F327:$J327,0)),IF(3=MAX($F327:$J327)+1,"取消",""))</f>
        <v>陈师傅</v>
      </c>
      <c r="O327" s="0" t="str">
        <f aca="false">IFERROR(INDEX($A$1:$A$5,MATCH(4,$F327:$J327,0)),IF(4=MAX($F327:$J327)+1,"取消",""))</f>
        <v>刘师傅</v>
      </c>
      <c r="P327" s="0" t="str">
        <f aca="false">IFERROR(INDEX($A$1:$A$5,MATCH(5,$F327:$J327,0)),IF(5=MAX($F327:$J327)+1,"取消",""))</f>
        <v>取消</v>
      </c>
      <c r="Q327" s="0" t="str">
        <f aca="false">IFERROR(INDEX($A$1:$A$5,MATCH(6,$F327:$J327,0)),IF(6=MAX($F327:$J327)+1,"取消",""))</f>
        <v/>
      </c>
      <c r="S327" s="0" t="n">
        <f aca="false">IF(OR($A$1=入户维修!$F327,$A$1=入户维修!$G327,$BN$1=1),0,1-SUMPRODUCT(--(($A$1=入户维修!$F327)+($A$1=入户维修!$G327)+$BN$1&gt;0)))</f>
        <v>0</v>
      </c>
      <c r="T327" s="0" t="n">
        <f aca="false">IF(OR($A$2=入户维修!$F327,$A$2=入户维修!$G327,$BN$2=1),0,2-SUMPRODUCT(--(($A$1:$A$2=入户维修!$F327)+($A$1:$A$2=入户维修!$G327)+$BN$1:$BN$2&gt;0)))</f>
        <v>1</v>
      </c>
      <c r="U327" s="0" t="n">
        <f aca="false">IF(OR($A$3=入户维修!$F327,$A$3=入户维修!$G327,$BN$3=1),0,3-SUMPRODUCT(--(($A$1:$A$3=入户维修!$F327)+($A$1:$A$3=入户维修!$G327)+$BN$1:$BN$3&gt;0)))</f>
        <v>2</v>
      </c>
      <c r="V327" s="0" t="n">
        <f aca="false">IF(OR($A$4=入户维修!$F327,$A$4=入户维修!$G327,$BN$4=1),0,4-SUMPRODUCT(--(($A$1:$A$4=入户维修!$F327)+($A$1:$A$4=入户维修!$G327)+$BN$1:$BN$4&gt;0)))</f>
        <v>3</v>
      </c>
      <c r="W327" s="0" t="n">
        <f aca="false">IF(OR($A$5=入户维修!$F327,$A$5=入户维修!$G327,$BN$5=1),0,5-SUMPRODUCT(--(($A$1:$A$5=入户维修!$F327)+($A$1:$A$5=入户维修!$G327)+$BN$1:$BN$5&gt;0)))</f>
        <v>4</v>
      </c>
      <c r="Y327" s="0" t="str">
        <f aca="false">IFERROR(INDEX($A$1:$A$5,MATCH(1,$S327:$W327,0)),IF(1=MAX($S327:$W327)+1,"取消",""))</f>
        <v>李师傅</v>
      </c>
      <c r="Z327" s="0" t="str">
        <f aca="false">IFERROR(INDEX($A$1:$A$5,MATCH(2,$S327:$W327,0)),IF(2=MAX($S327:$W327)+1,"取消",""))</f>
        <v>王师傅</v>
      </c>
      <c r="AA327" s="0" t="str">
        <f aca="false">IFERROR(INDEX($A$1:$A$5,MATCH(3,$S327:$W327,0)),IF(3=MAX($S327:$W327)+1,"取消",""))</f>
        <v>陈师傅</v>
      </c>
      <c r="AB327" s="0" t="str">
        <f aca="false">IFERROR(INDEX($A$1:$A$5,MATCH(4,$S327:$W327,0)),IF(4=MAX($S327:$W327)+1,"取消",""))</f>
        <v>刘师傅</v>
      </c>
      <c r="AC327" s="0" t="str">
        <f aca="false">IFERROR(INDEX($A$1:$A$5,MATCH(5,$S327:$W327,0)),IF(5=MAX($S327:$W327)+1,"取消",""))</f>
        <v>取消</v>
      </c>
      <c r="AD327" s="0" t="str">
        <f aca="false">IFERROR(INDEX($A$1:$A$5,MATCH(6,$S327:$W327,0)),IF(6=MAX($S327:$W327)+1,"取消",""))</f>
        <v/>
      </c>
      <c r="AF327" s="0" t="n">
        <f aca="false">IF(OR($A$1=公区维修!$F327,$BN$1=1),0,1-SUMPRODUCT(--(($A$1=公区维修!$F327)+$BN$1&gt;0)))</f>
        <v>0</v>
      </c>
      <c r="AG327" s="0" t="n">
        <f aca="false">IF(OR($A$2=公区维修!$F327,$BN$2=1),0,2-SUMPRODUCT(--(($A$1:$A$2=公区维修!$F327)+$BN$1:$BN$2&gt;0)))</f>
        <v>1</v>
      </c>
      <c r="AH327" s="0" t="n">
        <f aca="false">IF(OR($A$3=公区维修!$F327,$BN$3=1),0,3-SUMPRODUCT(--(($A$1:$A$3=公区维修!$F327)+$BN$1:$BN$3&gt;0)))</f>
        <v>2</v>
      </c>
      <c r="AI327" s="0" t="n">
        <f aca="false">IF(OR($A$4=公区维修!$F327,$BN$4=1),0,4-SUMPRODUCT(--(($A$1:$A$4=公区维修!$F327)+$BN$1:$BN$4&gt;0)))</f>
        <v>3</v>
      </c>
      <c r="AJ327" s="0" t="n">
        <f aca="false">IF(OR($A$5=公区维修!$F327,$BN$5=1),0,5-SUMPRODUCT(--(($A$1:$A$5=公区维修!$F327)+$BN$1:$BN$5&gt;0)))</f>
        <v>4</v>
      </c>
      <c r="AL327" s="0" t="str">
        <f aca="false">IFERROR(INDEX($A$1:$A$5,MATCH(1,$AF327:$AJ327,0)),IF(1=MAX($AF327:$AJ327)+1,"取消",""))</f>
        <v>李师傅</v>
      </c>
      <c r="AM327" s="0" t="str">
        <f aca="false">IFERROR(INDEX($A$1:$A$5,MATCH(2,$AF327:$AJ327,0)),IF(2=MAX($AF327:$AJ327)+1,"取消",""))</f>
        <v>王师傅</v>
      </c>
      <c r="AN327" s="0" t="str">
        <f aca="false">IFERROR(INDEX($A$1:$A$5,MATCH(3,$AF327:$AJ327,0)),IF(3=MAX($AF327:$AJ327)+1,"取消",""))</f>
        <v>陈师傅</v>
      </c>
      <c r="AO327" s="0" t="str">
        <f aca="false">IFERROR(INDEX($A$1:$A$5,MATCH(4,$AF327:$AJ327,0)),IF(4=MAX($AF327:$AJ327)+1,"取消",""))</f>
        <v>刘师傅</v>
      </c>
      <c r="AP327" s="0" t="str">
        <f aca="false">IFERROR(INDEX($A$1:$A$5,MATCH(5,$AF327:$AJ327,0)),IF(5=MAX($AF327:$AJ327)+1,"取消",""))</f>
        <v>取消</v>
      </c>
      <c r="AQ327" s="0" t="str">
        <f aca="false">IFERROR(INDEX($A$1:$A$5,MATCH(6,$AF327:$AJ327,0)),IF(6=MAX($AF327:$AJ327)+1,"取消",""))</f>
        <v/>
      </c>
      <c r="AS327" s="0" t="n">
        <f aca="false">IF(OR($A$1=公区维修!$F327,$A$1=公区维修!$G327,$BN$1=1),0,1-SUMPRODUCT(--(($A$1=公区维修!$F327)+($A$1=公区维修!$G327)+$BN$1&gt;0)))</f>
        <v>0</v>
      </c>
      <c r="AT327" s="0" t="n">
        <f aca="false">IF(OR($A$2=公区维修!$F327,$A$2=公区维修!$G327,$BN$2=1),0,2-SUMPRODUCT(--(($A$1:$A$2=公区维修!$F327)+($A$1:$A$2=公区维修!$G327)+$BN$1:$BN$2&gt;0)))</f>
        <v>1</v>
      </c>
      <c r="AU327" s="0" t="n">
        <f aca="false">IF(OR($A$3=公区维修!$F327,$A$3=公区维修!$G327,$BN$3=1),0,3-SUMPRODUCT(--(($A$1:$A$3=公区维修!$F327)+($A$1:$A$3=公区维修!$G327)+$BN$1:$BN$3&gt;0)))</f>
        <v>2</v>
      </c>
      <c r="AV327" s="0" t="n">
        <f aca="false">IF(OR($A$4=公区维修!$F327,$A$4=公区维修!$G327,$BN$4=1),0,4-SUMPRODUCT(--(($A$1:$A$4=公区维修!$F327)+($A$1:$A$4=公区维修!$G327)+$BN$1:$BN$4&gt;0)))</f>
        <v>3</v>
      </c>
      <c r="AW327" s="0" t="n">
        <f aca="false">IF(OR($A$5=公区维修!$F327,$A$5=公区维修!$G327,$BN$5=1),0,5-SUMPRODUCT(--(($A$1:$A$5=公区维修!$F327)+($A$1:$A$5=公区维修!$G327)+$BN$1:$BN$5&gt;0)))</f>
        <v>4</v>
      </c>
      <c r="AY327" s="0" t="str">
        <f aca="false">IFERROR(INDEX($A$1:$A$5,MATCH(1,$AS327:$AW327,0)),IF(1=MAX($AS327:$AW327)+1,"取消",""))</f>
        <v>李师傅</v>
      </c>
      <c r="AZ327" s="0" t="str">
        <f aca="false">IFERROR(INDEX($A$1:$A$5,MATCH(2,$AS327:$AW327,0)),IF(2=MAX($AS327:$AW327)+1,"取消",""))</f>
        <v>王师傅</v>
      </c>
      <c r="BA327" s="0" t="str">
        <f aca="false">IFERROR(INDEX($A$1:$A$5,MATCH(3,$AS327:$AW327,0)),IF(3=MAX($AS327:$AW327)+1,"取消",""))</f>
        <v>陈师傅</v>
      </c>
      <c r="BB327" s="0" t="str">
        <f aca="false">IFERROR(INDEX($A$1:$A$5,MATCH(4,$AS327:$AW327,0)),IF(4=MAX($AS327:$AW327)+1,"取消",""))</f>
        <v>刘师傅</v>
      </c>
      <c r="BC327" s="0" t="str">
        <f aca="false">IFERROR(INDEX($A$1:$A$5,MATCH(5,$AS327:$AW327,0)),IF(5=MAX($AS327:$AW327)+1,"取消",""))</f>
        <v>取消</v>
      </c>
      <c r="BD327" s="0" t="str">
        <f aca="false">IFERROR(INDEX($A$1:$A$5,MATCH(6,$AS327:$AW327,0)),IF(6=MAX($AS327:$AW327)+1,"取消",""))</f>
        <v/>
      </c>
      <c r="FW327" s="0" t="str">
        <f aca="false">IF(AND(单元查询!$D$3&lt;&gt;"",IF(单元查询!$B$3="公区维修",公区维修!$E327&lt;&gt;"",入户维修!$E327&lt;&gt;""),IF(单元查询!$B$3="公区维修",公区维修!$C327,入户维修!$C327)=单元查询!$D$3,OR(单元查询!$F$3="",IF(单元查询!$B$3="公区维修",公区维修!$D327,入户维修!$D327)&amp;""=(单元查询!$F$3)&amp;"")),MAX($FW$4:$FW326)+1,"")</f>
        <v/>
      </c>
    </row>
    <row r="328" customFormat="false" ht="15" hidden="false" customHeight="true" outlineLevel="0" collapsed="false">
      <c r="F328" s="0" t="n">
        <f aca="false">IF(OR($A$1=入户维修!$F328,$BN$1=1),0,1-SUMPRODUCT(--(($A$1=入户维修!$F328)+$BN$1&gt;0)))</f>
        <v>0</v>
      </c>
      <c r="G328" s="0" t="n">
        <f aca="false">IF(OR($A$2=入户维修!$F328,$BN$2=1),0,2-SUMPRODUCT(--(($A$1:$A$2=入户维修!$F328)+$BN$1:$BN$2&gt;0)))</f>
        <v>1</v>
      </c>
      <c r="H328" s="0" t="n">
        <f aca="false">IF(OR($A$3=入户维修!$F328,$BN$3=1),0,3-SUMPRODUCT(--(($A$1:$A$3=入户维修!$F328)+$BN$1:$BN$3&gt;0)))</f>
        <v>2</v>
      </c>
      <c r="I328" s="0" t="n">
        <f aca="false">IF(OR($A$4=入户维修!$F328,$BN$4=1),0,4-SUMPRODUCT(--(($A$1:$A$4=入户维修!$F328)+$BN$1:$BN$4&gt;0)))</f>
        <v>3</v>
      </c>
      <c r="J328" s="0" t="n">
        <f aca="false">IF(OR($A$5=入户维修!$F328,$BN$5=1),0,5-SUMPRODUCT(--(($A$1:$A$5=入户维修!$F328)+$BN$1:$BN$5&gt;0)))</f>
        <v>4</v>
      </c>
      <c r="L328" s="0" t="str">
        <f aca="false">IFERROR(INDEX($A$1:$A$5,MATCH(1,$F328:$J328,0)),IF(1=MAX($F328:$J328)+1,"取消",""))</f>
        <v>李师傅</v>
      </c>
      <c r="M328" s="0" t="str">
        <f aca="false">IFERROR(INDEX($A$1:$A$5,MATCH(2,$F328:$J328,0)),IF(2=MAX($F328:$J328)+1,"取消",""))</f>
        <v>王师傅</v>
      </c>
      <c r="N328" s="0" t="str">
        <f aca="false">IFERROR(INDEX($A$1:$A$5,MATCH(3,$F328:$J328,0)),IF(3=MAX($F328:$J328)+1,"取消",""))</f>
        <v>陈师傅</v>
      </c>
      <c r="O328" s="0" t="str">
        <f aca="false">IFERROR(INDEX($A$1:$A$5,MATCH(4,$F328:$J328,0)),IF(4=MAX($F328:$J328)+1,"取消",""))</f>
        <v>刘师傅</v>
      </c>
      <c r="P328" s="0" t="str">
        <f aca="false">IFERROR(INDEX($A$1:$A$5,MATCH(5,$F328:$J328,0)),IF(5=MAX($F328:$J328)+1,"取消",""))</f>
        <v>取消</v>
      </c>
      <c r="Q328" s="0" t="str">
        <f aca="false">IFERROR(INDEX($A$1:$A$5,MATCH(6,$F328:$J328,0)),IF(6=MAX($F328:$J328)+1,"取消",""))</f>
        <v/>
      </c>
      <c r="S328" s="0" t="n">
        <f aca="false">IF(OR($A$1=入户维修!$F328,$A$1=入户维修!$G328,$BN$1=1),0,1-SUMPRODUCT(--(($A$1=入户维修!$F328)+($A$1=入户维修!$G328)+$BN$1&gt;0)))</f>
        <v>0</v>
      </c>
      <c r="T328" s="0" t="n">
        <f aca="false">IF(OR($A$2=入户维修!$F328,$A$2=入户维修!$G328,$BN$2=1),0,2-SUMPRODUCT(--(($A$1:$A$2=入户维修!$F328)+($A$1:$A$2=入户维修!$G328)+$BN$1:$BN$2&gt;0)))</f>
        <v>1</v>
      </c>
      <c r="U328" s="0" t="n">
        <f aca="false">IF(OR($A$3=入户维修!$F328,$A$3=入户维修!$G328,$BN$3=1),0,3-SUMPRODUCT(--(($A$1:$A$3=入户维修!$F328)+($A$1:$A$3=入户维修!$G328)+$BN$1:$BN$3&gt;0)))</f>
        <v>2</v>
      </c>
      <c r="V328" s="0" t="n">
        <f aca="false">IF(OR($A$4=入户维修!$F328,$A$4=入户维修!$G328,$BN$4=1),0,4-SUMPRODUCT(--(($A$1:$A$4=入户维修!$F328)+($A$1:$A$4=入户维修!$G328)+$BN$1:$BN$4&gt;0)))</f>
        <v>3</v>
      </c>
      <c r="W328" s="0" t="n">
        <f aca="false">IF(OR($A$5=入户维修!$F328,$A$5=入户维修!$G328,$BN$5=1),0,5-SUMPRODUCT(--(($A$1:$A$5=入户维修!$F328)+($A$1:$A$5=入户维修!$G328)+$BN$1:$BN$5&gt;0)))</f>
        <v>4</v>
      </c>
      <c r="Y328" s="0" t="str">
        <f aca="false">IFERROR(INDEX($A$1:$A$5,MATCH(1,$S328:$W328,0)),IF(1=MAX($S328:$W328)+1,"取消",""))</f>
        <v>李师傅</v>
      </c>
      <c r="Z328" s="0" t="str">
        <f aca="false">IFERROR(INDEX($A$1:$A$5,MATCH(2,$S328:$W328,0)),IF(2=MAX($S328:$W328)+1,"取消",""))</f>
        <v>王师傅</v>
      </c>
      <c r="AA328" s="0" t="str">
        <f aca="false">IFERROR(INDEX($A$1:$A$5,MATCH(3,$S328:$W328,0)),IF(3=MAX($S328:$W328)+1,"取消",""))</f>
        <v>陈师傅</v>
      </c>
      <c r="AB328" s="0" t="str">
        <f aca="false">IFERROR(INDEX($A$1:$A$5,MATCH(4,$S328:$W328,0)),IF(4=MAX($S328:$W328)+1,"取消",""))</f>
        <v>刘师傅</v>
      </c>
      <c r="AC328" s="0" t="str">
        <f aca="false">IFERROR(INDEX($A$1:$A$5,MATCH(5,$S328:$W328,0)),IF(5=MAX($S328:$W328)+1,"取消",""))</f>
        <v>取消</v>
      </c>
      <c r="AD328" s="0" t="str">
        <f aca="false">IFERROR(INDEX($A$1:$A$5,MATCH(6,$S328:$W328,0)),IF(6=MAX($S328:$W328)+1,"取消",""))</f>
        <v/>
      </c>
      <c r="AF328" s="0" t="n">
        <f aca="false">IF(OR($A$1=公区维修!$F328,$BN$1=1),0,1-SUMPRODUCT(--(($A$1=公区维修!$F328)+$BN$1&gt;0)))</f>
        <v>0</v>
      </c>
      <c r="AG328" s="0" t="n">
        <f aca="false">IF(OR($A$2=公区维修!$F328,$BN$2=1),0,2-SUMPRODUCT(--(($A$1:$A$2=公区维修!$F328)+$BN$1:$BN$2&gt;0)))</f>
        <v>1</v>
      </c>
      <c r="AH328" s="0" t="n">
        <f aca="false">IF(OR($A$3=公区维修!$F328,$BN$3=1),0,3-SUMPRODUCT(--(($A$1:$A$3=公区维修!$F328)+$BN$1:$BN$3&gt;0)))</f>
        <v>2</v>
      </c>
      <c r="AI328" s="0" t="n">
        <f aca="false">IF(OR($A$4=公区维修!$F328,$BN$4=1),0,4-SUMPRODUCT(--(($A$1:$A$4=公区维修!$F328)+$BN$1:$BN$4&gt;0)))</f>
        <v>3</v>
      </c>
      <c r="AJ328" s="0" t="n">
        <f aca="false">IF(OR($A$5=公区维修!$F328,$BN$5=1),0,5-SUMPRODUCT(--(($A$1:$A$5=公区维修!$F328)+$BN$1:$BN$5&gt;0)))</f>
        <v>4</v>
      </c>
      <c r="AL328" s="0" t="str">
        <f aca="false">IFERROR(INDEX($A$1:$A$5,MATCH(1,$AF328:$AJ328,0)),IF(1=MAX($AF328:$AJ328)+1,"取消",""))</f>
        <v>李师傅</v>
      </c>
      <c r="AM328" s="0" t="str">
        <f aca="false">IFERROR(INDEX($A$1:$A$5,MATCH(2,$AF328:$AJ328,0)),IF(2=MAX($AF328:$AJ328)+1,"取消",""))</f>
        <v>王师傅</v>
      </c>
      <c r="AN328" s="0" t="str">
        <f aca="false">IFERROR(INDEX($A$1:$A$5,MATCH(3,$AF328:$AJ328,0)),IF(3=MAX($AF328:$AJ328)+1,"取消",""))</f>
        <v>陈师傅</v>
      </c>
      <c r="AO328" s="0" t="str">
        <f aca="false">IFERROR(INDEX($A$1:$A$5,MATCH(4,$AF328:$AJ328,0)),IF(4=MAX($AF328:$AJ328)+1,"取消",""))</f>
        <v>刘师傅</v>
      </c>
      <c r="AP328" s="0" t="str">
        <f aca="false">IFERROR(INDEX($A$1:$A$5,MATCH(5,$AF328:$AJ328,0)),IF(5=MAX($AF328:$AJ328)+1,"取消",""))</f>
        <v>取消</v>
      </c>
      <c r="AQ328" s="0" t="str">
        <f aca="false">IFERROR(INDEX($A$1:$A$5,MATCH(6,$AF328:$AJ328,0)),IF(6=MAX($AF328:$AJ328)+1,"取消",""))</f>
        <v/>
      </c>
      <c r="AS328" s="0" t="n">
        <f aca="false">IF(OR($A$1=公区维修!$F328,$A$1=公区维修!$G328,$BN$1=1),0,1-SUMPRODUCT(--(($A$1=公区维修!$F328)+($A$1=公区维修!$G328)+$BN$1&gt;0)))</f>
        <v>0</v>
      </c>
      <c r="AT328" s="0" t="n">
        <f aca="false">IF(OR($A$2=公区维修!$F328,$A$2=公区维修!$G328,$BN$2=1),0,2-SUMPRODUCT(--(($A$1:$A$2=公区维修!$F328)+($A$1:$A$2=公区维修!$G328)+$BN$1:$BN$2&gt;0)))</f>
        <v>1</v>
      </c>
      <c r="AU328" s="0" t="n">
        <f aca="false">IF(OR($A$3=公区维修!$F328,$A$3=公区维修!$G328,$BN$3=1),0,3-SUMPRODUCT(--(($A$1:$A$3=公区维修!$F328)+($A$1:$A$3=公区维修!$G328)+$BN$1:$BN$3&gt;0)))</f>
        <v>2</v>
      </c>
      <c r="AV328" s="0" t="n">
        <f aca="false">IF(OR($A$4=公区维修!$F328,$A$4=公区维修!$G328,$BN$4=1),0,4-SUMPRODUCT(--(($A$1:$A$4=公区维修!$F328)+($A$1:$A$4=公区维修!$G328)+$BN$1:$BN$4&gt;0)))</f>
        <v>3</v>
      </c>
      <c r="AW328" s="0" t="n">
        <f aca="false">IF(OR($A$5=公区维修!$F328,$A$5=公区维修!$G328,$BN$5=1),0,5-SUMPRODUCT(--(($A$1:$A$5=公区维修!$F328)+($A$1:$A$5=公区维修!$G328)+$BN$1:$BN$5&gt;0)))</f>
        <v>4</v>
      </c>
      <c r="AY328" s="0" t="str">
        <f aca="false">IFERROR(INDEX($A$1:$A$5,MATCH(1,$AS328:$AW328,0)),IF(1=MAX($AS328:$AW328)+1,"取消",""))</f>
        <v>李师傅</v>
      </c>
      <c r="AZ328" s="0" t="str">
        <f aca="false">IFERROR(INDEX($A$1:$A$5,MATCH(2,$AS328:$AW328,0)),IF(2=MAX($AS328:$AW328)+1,"取消",""))</f>
        <v>王师傅</v>
      </c>
      <c r="BA328" s="0" t="str">
        <f aca="false">IFERROR(INDEX($A$1:$A$5,MATCH(3,$AS328:$AW328,0)),IF(3=MAX($AS328:$AW328)+1,"取消",""))</f>
        <v>陈师傅</v>
      </c>
      <c r="BB328" s="0" t="str">
        <f aca="false">IFERROR(INDEX($A$1:$A$5,MATCH(4,$AS328:$AW328,0)),IF(4=MAX($AS328:$AW328)+1,"取消",""))</f>
        <v>刘师傅</v>
      </c>
      <c r="BC328" s="0" t="str">
        <f aca="false">IFERROR(INDEX($A$1:$A$5,MATCH(5,$AS328:$AW328,0)),IF(5=MAX($AS328:$AW328)+1,"取消",""))</f>
        <v>取消</v>
      </c>
      <c r="BD328" s="0" t="str">
        <f aca="false">IFERROR(INDEX($A$1:$A$5,MATCH(6,$AS328:$AW328,0)),IF(6=MAX($AS328:$AW328)+1,"取消",""))</f>
        <v/>
      </c>
      <c r="FW328" s="0" t="str">
        <f aca="false">IF(AND(单元查询!$D$3&lt;&gt;"",IF(单元查询!$B$3="公区维修",公区维修!$E328&lt;&gt;"",入户维修!$E328&lt;&gt;""),IF(单元查询!$B$3="公区维修",公区维修!$C328,入户维修!$C328)=单元查询!$D$3,OR(单元查询!$F$3="",IF(单元查询!$B$3="公区维修",公区维修!$D328,入户维修!$D328)&amp;""=(单元查询!$F$3)&amp;"")),MAX($FW$4:$FW327)+1,"")</f>
        <v/>
      </c>
    </row>
    <row r="329" customFormat="false" ht="15" hidden="false" customHeight="true" outlineLevel="0" collapsed="false">
      <c r="F329" s="0" t="n">
        <f aca="false">IF(OR($A$1=入户维修!$F329,$BN$1=1),0,1-SUMPRODUCT(--(($A$1=入户维修!$F329)+$BN$1&gt;0)))</f>
        <v>0</v>
      </c>
      <c r="G329" s="0" t="n">
        <f aca="false">IF(OR($A$2=入户维修!$F329,$BN$2=1),0,2-SUMPRODUCT(--(($A$1:$A$2=入户维修!$F329)+$BN$1:$BN$2&gt;0)))</f>
        <v>1</v>
      </c>
      <c r="H329" s="0" t="n">
        <f aca="false">IF(OR($A$3=入户维修!$F329,$BN$3=1),0,3-SUMPRODUCT(--(($A$1:$A$3=入户维修!$F329)+$BN$1:$BN$3&gt;0)))</f>
        <v>2</v>
      </c>
      <c r="I329" s="0" t="n">
        <f aca="false">IF(OR($A$4=入户维修!$F329,$BN$4=1),0,4-SUMPRODUCT(--(($A$1:$A$4=入户维修!$F329)+$BN$1:$BN$4&gt;0)))</f>
        <v>3</v>
      </c>
      <c r="J329" s="0" t="n">
        <f aca="false">IF(OR($A$5=入户维修!$F329,$BN$5=1),0,5-SUMPRODUCT(--(($A$1:$A$5=入户维修!$F329)+$BN$1:$BN$5&gt;0)))</f>
        <v>4</v>
      </c>
      <c r="L329" s="0" t="str">
        <f aca="false">IFERROR(INDEX($A$1:$A$5,MATCH(1,$F329:$J329,0)),IF(1=MAX($F329:$J329)+1,"取消",""))</f>
        <v>李师傅</v>
      </c>
      <c r="M329" s="0" t="str">
        <f aca="false">IFERROR(INDEX($A$1:$A$5,MATCH(2,$F329:$J329,0)),IF(2=MAX($F329:$J329)+1,"取消",""))</f>
        <v>王师傅</v>
      </c>
      <c r="N329" s="0" t="str">
        <f aca="false">IFERROR(INDEX($A$1:$A$5,MATCH(3,$F329:$J329,0)),IF(3=MAX($F329:$J329)+1,"取消",""))</f>
        <v>陈师傅</v>
      </c>
      <c r="O329" s="0" t="str">
        <f aca="false">IFERROR(INDEX($A$1:$A$5,MATCH(4,$F329:$J329,0)),IF(4=MAX($F329:$J329)+1,"取消",""))</f>
        <v>刘师傅</v>
      </c>
      <c r="P329" s="0" t="str">
        <f aca="false">IFERROR(INDEX($A$1:$A$5,MATCH(5,$F329:$J329,0)),IF(5=MAX($F329:$J329)+1,"取消",""))</f>
        <v>取消</v>
      </c>
      <c r="Q329" s="0" t="str">
        <f aca="false">IFERROR(INDEX($A$1:$A$5,MATCH(6,$F329:$J329,0)),IF(6=MAX($F329:$J329)+1,"取消",""))</f>
        <v/>
      </c>
      <c r="S329" s="0" t="n">
        <f aca="false">IF(OR($A$1=入户维修!$F329,$A$1=入户维修!$G329,$BN$1=1),0,1-SUMPRODUCT(--(($A$1=入户维修!$F329)+($A$1=入户维修!$G329)+$BN$1&gt;0)))</f>
        <v>0</v>
      </c>
      <c r="T329" s="0" t="n">
        <f aca="false">IF(OR($A$2=入户维修!$F329,$A$2=入户维修!$G329,$BN$2=1),0,2-SUMPRODUCT(--(($A$1:$A$2=入户维修!$F329)+($A$1:$A$2=入户维修!$G329)+$BN$1:$BN$2&gt;0)))</f>
        <v>1</v>
      </c>
      <c r="U329" s="0" t="n">
        <f aca="false">IF(OR($A$3=入户维修!$F329,$A$3=入户维修!$G329,$BN$3=1),0,3-SUMPRODUCT(--(($A$1:$A$3=入户维修!$F329)+($A$1:$A$3=入户维修!$G329)+$BN$1:$BN$3&gt;0)))</f>
        <v>2</v>
      </c>
      <c r="V329" s="0" t="n">
        <f aca="false">IF(OR($A$4=入户维修!$F329,$A$4=入户维修!$G329,$BN$4=1),0,4-SUMPRODUCT(--(($A$1:$A$4=入户维修!$F329)+($A$1:$A$4=入户维修!$G329)+$BN$1:$BN$4&gt;0)))</f>
        <v>3</v>
      </c>
      <c r="W329" s="0" t="n">
        <f aca="false">IF(OR($A$5=入户维修!$F329,$A$5=入户维修!$G329,$BN$5=1),0,5-SUMPRODUCT(--(($A$1:$A$5=入户维修!$F329)+($A$1:$A$5=入户维修!$G329)+$BN$1:$BN$5&gt;0)))</f>
        <v>4</v>
      </c>
      <c r="Y329" s="0" t="str">
        <f aca="false">IFERROR(INDEX($A$1:$A$5,MATCH(1,$S329:$W329,0)),IF(1=MAX($S329:$W329)+1,"取消",""))</f>
        <v>李师傅</v>
      </c>
      <c r="Z329" s="0" t="str">
        <f aca="false">IFERROR(INDEX($A$1:$A$5,MATCH(2,$S329:$W329,0)),IF(2=MAX($S329:$W329)+1,"取消",""))</f>
        <v>王师傅</v>
      </c>
      <c r="AA329" s="0" t="str">
        <f aca="false">IFERROR(INDEX($A$1:$A$5,MATCH(3,$S329:$W329,0)),IF(3=MAX($S329:$W329)+1,"取消",""))</f>
        <v>陈师傅</v>
      </c>
      <c r="AB329" s="0" t="str">
        <f aca="false">IFERROR(INDEX($A$1:$A$5,MATCH(4,$S329:$W329,0)),IF(4=MAX($S329:$W329)+1,"取消",""))</f>
        <v>刘师傅</v>
      </c>
      <c r="AC329" s="0" t="str">
        <f aca="false">IFERROR(INDEX($A$1:$A$5,MATCH(5,$S329:$W329,0)),IF(5=MAX($S329:$W329)+1,"取消",""))</f>
        <v>取消</v>
      </c>
      <c r="AD329" s="0" t="str">
        <f aca="false">IFERROR(INDEX($A$1:$A$5,MATCH(6,$S329:$W329,0)),IF(6=MAX($S329:$W329)+1,"取消",""))</f>
        <v/>
      </c>
      <c r="AF329" s="0" t="n">
        <f aca="false">IF(OR($A$1=公区维修!$F329,$BN$1=1),0,1-SUMPRODUCT(--(($A$1=公区维修!$F329)+$BN$1&gt;0)))</f>
        <v>0</v>
      </c>
      <c r="AG329" s="0" t="n">
        <f aca="false">IF(OR($A$2=公区维修!$F329,$BN$2=1),0,2-SUMPRODUCT(--(($A$1:$A$2=公区维修!$F329)+$BN$1:$BN$2&gt;0)))</f>
        <v>1</v>
      </c>
      <c r="AH329" s="0" t="n">
        <f aca="false">IF(OR($A$3=公区维修!$F329,$BN$3=1),0,3-SUMPRODUCT(--(($A$1:$A$3=公区维修!$F329)+$BN$1:$BN$3&gt;0)))</f>
        <v>2</v>
      </c>
      <c r="AI329" s="0" t="n">
        <f aca="false">IF(OR($A$4=公区维修!$F329,$BN$4=1),0,4-SUMPRODUCT(--(($A$1:$A$4=公区维修!$F329)+$BN$1:$BN$4&gt;0)))</f>
        <v>3</v>
      </c>
      <c r="AJ329" s="0" t="n">
        <f aca="false">IF(OR($A$5=公区维修!$F329,$BN$5=1),0,5-SUMPRODUCT(--(($A$1:$A$5=公区维修!$F329)+$BN$1:$BN$5&gt;0)))</f>
        <v>4</v>
      </c>
      <c r="AL329" s="0" t="str">
        <f aca="false">IFERROR(INDEX($A$1:$A$5,MATCH(1,$AF329:$AJ329,0)),IF(1=MAX($AF329:$AJ329)+1,"取消",""))</f>
        <v>李师傅</v>
      </c>
      <c r="AM329" s="0" t="str">
        <f aca="false">IFERROR(INDEX($A$1:$A$5,MATCH(2,$AF329:$AJ329,0)),IF(2=MAX($AF329:$AJ329)+1,"取消",""))</f>
        <v>王师傅</v>
      </c>
      <c r="AN329" s="0" t="str">
        <f aca="false">IFERROR(INDEX($A$1:$A$5,MATCH(3,$AF329:$AJ329,0)),IF(3=MAX($AF329:$AJ329)+1,"取消",""))</f>
        <v>陈师傅</v>
      </c>
      <c r="AO329" s="0" t="str">
        <f aca="false">IFERROR(INDEX($A$1:$A$5,MATCH(4,$AF329:$AJ329,0)),IF(4=MAX($AF329:$AJ329)+1,"取消",""))</f>
        <v>刘师傅</v>
      </c>
      <c r="AP329" s="0" t="str">
        <f aca="false">IFERROR(INDEX($A$1:$A$5,MATCH(5,$AF329:$AJ329,0)),IF(5=MAX($AF329:$AJ329)+1,"取消",""))</f>
        <v>取消</v>
      </c>
      <c r="AQ329" s="0" t="str">
        <f aca="false">IFERROR(INDEX($A$1:$A$5,MATCH(6,$AF329:$AJ329,0)),IF(6=MAX($AF329:$AJ329)+1,"取消",""))</f>
        <v/>
      </c>
      <c r="AS329" s="0" t="n">
        <f aca="false">IF(OR($A$1=公区维修!$F329,$A$1=公区维修!$G329,$BN$1=1),0,1-SUMPRODUCT(--(($A$1=公区维修!$F329)+($A$1=公区维修!$G329)+$BN$1&gt;0)))</f>
        <v>0</v>
      </c>
      <c r="AT329" s="0" t="n">
        <f aca="false">IF(OR($A$2=公区维修!$F329,$A$2=公区维修!$G329,$BN$2=1),0,2-SUMPRODUCT(--(($A$1:$A$2=公区维修!$F329)+($A$1:$A$2=公区维修!$G329)+$BN$1:$BN$2&gt;0)))</f>
        <v>1</v>
      </c>
      <c r="AU329" s="0" t="n">
        <f aca="false">IF(OR($A$3=公区维修!$F329,$A$3=公区维修!$G329,$BN$3=1),0,3-SUMPRODUCT(--(($A$1:$A$3=公区维修!$F329)+($A$1:$A$3=公区维修!$G329)+$BN$1:$BN$3&gt;0)))</f>
        <v>2</v>
      </c>
      <c r="AV329" s="0" t="n">
        <f aca="false">IF(OR($A$4=公区维修!$F329,$A$4=公区维修!$G329,$BN$4=1),0,4-SUMPRODUCT(--(($A$1:$A$4=公区维修!$F329)+($A$1:$A$4=公区维修!$G329)+$BN$1:$BN$4&gt;0)))</f>
        <v>3</v>
      </c>
      <c r="AW329" s="0" t="n">
        <f aca="false">IF(OR($A$5=公区维修!$F329,$A$5=公区维修!$G329,$BN$5=1),0,5-SUMPRODUCT(--(($A$1:$A$5=公区维修!$F329)+($A$1:$A$5=公区维修!$G329)+$BN$1:$BN$5&gt;0)))</f>
        <v>4</v>
      </c>
      <c r="AY329" s="0" t="str">
        <f aca="false">IFERROR(INDEX($A$1:$A$5,MATCH(1,$AS329:$AW329,0)),IF(1=MAX($AS329:$AW329)+1,"取消",""))</f>
        <v>李师傅</v>
      </c>
      <c r="AZ329" s="0" t="str">
        <f aca="false">IFERROR(INDEX($A$1:$A$5,MATCH(2,$AS329:$AW329,0)),IF(2=MAX($AS329:$AW329)+1,"取消",""))</f>
        <v>王师傅</v>
      </c>
      <c r="BA329" s="0" t="str">
        <f aca="false">IFERROR(INDEX($A$1:$A$5,MATCH(3,$AS329:$AW329,0)),IF(3=MAX($AS329:$AW329)+1,"取消",""))</f>
        <v>陈师傅</v>
      </c>
      <c r="BB329" s="0" t="str">
        <f aca="false">IFERROR(INDEX($A$1:$A$5,MATCH(4,$AS329:$AW329,0)),IF(4=MAX($AS329:$AW329)+1,"取消",""))</f>
        <v>刘师傅</v>
      </c>
      <c r="BC329" s="0" t="str">
        <f aca="false">IFERROR(INDEX($A$1:$A$5,MATCH(5,$AS329:$AW329,0)),IF(5=MAX($AS329:$AW329)+1,"取消",""))</f>
        <v>取消</v>
      </c>
      <c r="BD329" s="0" t="str">
        <f aca="false">IFERROR(INDEX($A$1:$A$5,MATCH(6,$AS329:$AW329,0)),IF(6=MAX($AS329:$AW329)+1,"取消",""))</f>
        <v/>
      </c>
      <c r="FW329" s="0" t="str">
        <f aca="false">IF(AND(单元查询!$D$3&lt;&gt;"",IF(单元查询!$B$3="公区维修",公区维修!$E329&lt;&gt;"",入户维修!$E329&lt;&gt;""),IF(单元查询!$B$3="公区维修",公区维修!$C329,入户维修!$C329)=单元查询!$D$3,OR(单元查询!$F$3="",IF(单元查询!$B$3="公区维修",公区维修!$D329,入户维修!$D329)&amp;""=(单元查询!$F$3)&amp;"")),MAX($FW$4:$FW328)+1,"")</f>
        <v/>
      </c>
    </row>
    <row r="330" customFormat="false" ht="15" hidden="false" customHeight="true" outlineLevel="0" collapsed="false">
      <c r="F330" s="0" t="n">
        <f aca="false">IF(OR($A$1=入户维修!$F330,$BN$1=1),0,1-SUMPRODUCT(--(($A$1=入户维修!$F330)+$BN$1&gt;0)))</f>
        <v>0</v>
      </c>
      <c r="G330" s="0" t="n">
        <f aca="false">IF(OR($A$2=入户维修!$F330,$BN$2=1),0,2-SUMPRODUCT(--(($A$1:$A$2=入户维修!$F330)+$BN$1:$BN$2&gt;0)))</f>
        <v>1</v>
      </c>
      <c r="H330" s="0" t="n">
        <f aca="false">IF(OR($A$3=入户维修!$F330,$BN$3=1),0,3-SUMPRODUCT(--(($A$1:$A$3=入户维修!$F330)+$BN$1:$BN$3&gt;0)))</f>
        <v>2</v>
      </c>
      <c r="I330" s="0" t="n">
        <f aca="false">IF(OR($A$4=入户维修!$F330,$BN$4=1),0,4-SUMPRODUCT(--(($A$1:$A$4=入户维修!$F330)+$BN$1:$BN$4&gt;0)))</f>
        <v>3</v>
      </c>
      <c r="J330" s="0" t="n">
        <f aca="false">IF(OR($A$5=入户维修!$F330,$BN$5=1),0,5-SUMPRODUCT(--(($A$1:$A$5=入户维修!$F330)+$BN$1:$BN$5&gt;0)))</f>
        <v>4</v>
      </c>
      <c r="L330" s="0" t="str">
        <f aca="false">IFERROR(INDEX($A$1:$A$5,MATCH(1,$F330:$J330,0)),IF(1=MAX($F330:$J330)+1,"取消",""))</f>
        <v>李师傅</v>
      </c>
      <c r="M330" s="0" t="str">
        <f aca="false">IFERROR(INDEX($A$1:$A$5,MATCH(2,$F330:$J330,0)),IF(2=MAX($F330:$J330)+1,"取消",""))</f>
        <v>王师傅</v>
      </c>
      <c r="N330" s="0" t="str">
        <f aca="false">IFERROR(INDEX($A$1:$A$5,MATCH(3,$F330:$J330,0)),IF(3=MAX($F330:$J330)+1,"取消",""))</f>
        <v>陈师傅</v>
      </c>
      <c r="O330" s="0" t="str">
        <f aca="false">IFERROR(INDEX($A$1:$A$5,MATCH(4,$F330:$J330,0)),IF(4=MAX($F330:$J330)+1,"取消",""))</f>
        <v>刘师傅</v>
      </c>
      <c r="P330" s="0" t="str">
        <f aca="false">IFERROR(INDEX($A$1:$A$5,MATCH(5,$F330:$J330,0)),IF(5=MAX($F330:$J330)+1,"取消",""))</f>
        <v>取消</v>
      </c>
      <c r="Q330" s="0" t="str">
        <f aca="false">IFERROR(INDEX($A$1:$A$5,MATCH(6,$F330:$J330,0)),IF(6=MAX($F330:$J330)+1,"取消",""))</f>
        <v/>
      </c>
      <c r="S330" s="0" t="n">
        <f aca="false">IF(OR($A$1=入户维修!$F330,$A$1=入户维修!$G330,$BN$1=1),0,1-SUMPRODUCT(--(($A$1=入户维修!$F330)+($A$1=入户维修!$G330)+$BN$1&gt;0)))</f>
        <v>0</v>
      </c>
      <c r="T330" s="0" t="n">
        <f aca="false">IF(OR($A$2=入户维修!$F330,$A$2=入户维修!$G330,$BN$2=1),0,2-SUMPRODUCT(--(($A$1:$A$2=入户维修!$F330)+($A$1:$A$2=入户维修!$G330)+$BN$1:$BN$2&gt;0)))</f>
        <v>1</v>
      </c>
      <c r="U330" s="0" t="n">
        <f aca="false">IF(OR($A$3=入户维修!$F330,$A$3=入户维修!$G330,$BN$3=1),0,3-SUMPRODUCT(--(($A$1:$A$3=入户维修!$F330)+($A$1:$A$3=入户维修!$G330)+$BN$1:$BN$3&gt;0)))</f>
        <v>2</v>
      </c>
      <c r="V330" s="0" t="n">
        <f aca="false">IF(OR($A$4=入户维修!$F330,$A$4=入户维修!$G330,$BN$4=1),0,4-SUMPRODUCT(--(($A$1:$A$4=入户维修!$F330)+($A$1:$A$4=入户维修!$G330)+$BN$1:$BN$4&gt;0)))</f>
        <v>3</v>
      </c>
      <c r="W330" s="0" t="n">
        <f aca="false">IF(OR($A$5=入户维修!$F330,$A$5=入户维修!$G330,$BN$5=1),0,5-SUMPRODUCT(--(($A$1:$A$5=入户维修!$F330)+($A$1:$A$5=入户维修!$G330)+$BN$1:$BN$5&gt;0)))</f>
        <v>4</v>
      </c>
      <c r="Y330" s="0" t="str">
        <f aca="false">IFERROR(INDEX($A$1:$A$5,MATCH(1,$S330:$W330,0)),IF(1=MAX($S330:$W330)+1,"取消",""))</f>
        <v>李师傅</v>
      </c>
      <c r="Z330" s="0" t="str">
        <f aca="false">IFERROR(INDEX($A$1:$A$5,MATCH(2,$S330:$W330,0)),IF(2=MAX($S330:$W330)+1,"取消",""))</f>
        <v>王师傅</v>
      </c>
      <c r="AA330" s="0" t="str">
        <f aca="false">IFERROR(INDEX($A$1:$A$5,MATCH(3,$S330:$W330,0)),IF(3=MAX($S330:$W330)+1,"取消",""))</f>
        <v>陈师傅</v>
      </c>
      <c r="AB330" s="0" t="str">
        <f aca="false">IFERROR(INDEX($A$1:$A$5,MATCH(4,$S330:$W330,0)),IF(4=MAX($S330:$W330)+1,"取消",""))</f>
        <v>刘师傅</v>
      </c>
      <c r="AC330" s="0" t="str">
        <f aca="false">IFERROR(INDEX($A$1:$A$5,MATCH(5,$S330:$W330,0)),IF(5=MAX($S330:$W330)+1,"取消",""))</f>
        <v>取消</v>
      </c>
      <c r="AD330" s="0" t="str">
        <f aca="false">IFERROR(INDEX($A$1:$A$5,MATCH(6,$S330:$W330,0)),IF(6=MAX($S330:$W330)+1,"取消",""))</f>
        <v/>
      </c>
      <c r="AF330" s="0" t="n">
        <f aca="false">IF(OR($A$1=公区维修!$F330,$BN$1=1),0,1-SUMPRODUCT(--(($A$1=公区维修!$F330)+$BN$1&gt;0)))</f>
        <v>0</v>
      </c>
      <c r="AG330" s="0" t="n">
        <f aca="false">IF(OR($A$2=公区维修!$F330,$BN$2=1),0,2-SUMPRODUCT(--(($A$1:$A$2=公区维修!$F330)+$BN$1:$BN$2&gt;0)))</f>
        <v>1</v>
      </c>
      <c r="AH330" s="0" t="n">
        <f aca="false">IF(OR($A$3=公区维修!$F330,$BN$3=1),0,3-SUMPRODUCT(--(($A$1:$A$3=公区维修!$F330)+$BN$1:$BN$3&gt;0)))</f>
        <v>2</v>
      </c>
      <c r="AI330" s="0" t="n">
        <f aca="false">IF(OR($A$4=公区维修!$F330,$BN$4=1),0,4-SUMPRODUCT(--(($A$1:$A$4=公区维修!$F330)+$BN$1:$BN$4&gt;0)))</f>
        <v>3</v>
      </c>
      <c r="AJ330" s="0" t="n">
        <f aca="false">IF(OR($A$5=公区维修!$F330,$BN$5=1),0,5-SUMPRODUCT(--(($A$1:$A$5=公区维修!$F330)+$BN$1:$BN$5&gt;0)))</f>
        <v>4</v>
      </c>
      <c r="AL330" s="0" t="str">
        <f aca="false">IFERROR(INDEX($A$1:$A$5,MATCH(1,$AF330:$AJ330,0)),IF(1=MAX($AF330:$AJ330)+1,"取消",""))</f>
        <v>李师傅</v>
      </c>
      <c r="AM330" s="0" t="str">
        <f aca="false">IFERROR(INDEX($A$1:$A$5,MATCH(2,$AF330:$AJ330,0)),IF(2=MAX($AF330:$AJ330)+1,"取消",""))</f>
        <v>王师傅</v>
      </c>
      <c r="AN330" s="0" t="str">
        <f aca="false">IFERROR(INDEX($A$1:$A$5,MATCH(3,$AF330:$AJ330,0)),IF(3=MAX($AF330:$AJ330)+1,"取消",""))</f>
        <v>陈师傅</v>
      </c>
      <c r="AO330" s="0" t="str">
        <f aca="false">IFERROR(INDEX($A$1:$A$5,MATCH(4,$AF330:$AJ330,0)),IF(4=MAX($AF330:$AJ330)+1,"取消",""))</f>
        <v>刘师傅</v>
      </c>
      <c r="AP330" s="0" t="str">
        <f aca="false">IFERROR(INDEX($A$1:$A$5,MATCH(5,$AF330:$AJ330,0)),IF(5=MAX($AF330:$AJ330)+1,"取消",""))</f>
        <v>取消</v>
      </c>
      <c r="AQ330" s="0" t="str">
        <f aca="false">IFERROR(INDEX($A$1:$A$5,MATCH(6,$AF330:$AJ330,0)),IF(6=MAX($AF330:$AJ330)+1,"取消",""))</f>
        <v/>
      </c>
      <c r="AS330" s="0" t="n">
        <f aca="false">IF(OR($A$1=公区维修!$F330,$A$1=公区维修!$G330,$BN$1=1),0,1-SUMPRODUCT(--(($A$1=公区维修!$F330)+($A$1=公区维修!$G330)+$BN$1&gt;0)))</f>
        <v>0</v>
      </c>
      <c r="AT330" s="0" t="n">
        <f aca="false">IF(OR($A$2=公区维修!$F330,$A$2=公区维修!$G330,$BN$2=1),0,2-SUMPRODUCT(--(($A$1:$A$2=公区维修!$F330)+($A$1:$A$2=公区维修!$G330)+$BN$1:$BN$2&gt;0)))</f>
        <v>1</v>
      </c>
      <c r="AU330" s="0" t="n">
        <f aca="false">IF(OR($A$3=公区维修!$F330,$A$3=公区维修!$G330,$BN$3=1),0,3-SUMPRODUCT(--(($A$1:$A$3=公区维修!$F330)+($A$1:$A$3=公区维修!$G330)+$BN$1:$BN$3&gt;0)))</f>
        <v>2</v>
      </c>
      <c r="AV330" s="0" t="n">
        <f aca="false">IF(OR($A$4=公区维修!$F330,$A$4=公区维修!$G330,$BN$4=1),0,4-SUMPRODUCT(--(($A$1:$A$4=公区维修!$F330)+($A$1:$A$4=公区维修!$G330)+$BN$1:$BN$4&gt;0)))</f>
        <v>3</v>
      </c>
      <c r="AW330" s="0" t="n">
        <f aca="false">IF(OR($A$5=公区维修!$F330,$A$5=公区维修!$G330,$BN$5=1),0,5-SUMPRODUCT(--(($A$1:$A$5=公区维修!$F330)+($A$1:$A$5=公区维修!$G330)+$BN$1:$BN$5&gt;0)))</f>
        <v>4</v>
      </c>
      <c r="AY330" s="0" t="str">
        <f aca="false">IFERROR(INDEX($A$1:$A$5,MATCH(1,$AS330:$AW330,0)),IF(1=MAX($AS330:$AW330)+1,"取消",""))</f>
        <v>李师傅</v>
      </c>
      <c r="AZ330" s="0" t="str">
        <f aca="false">IFERROR(INDEX($A$1:$A$5,MATCH(2,$AS330:$AW330,0)),IF(2=MAX($AS330:$AW330)+1,"取消",""))</f>
        <v>王师傅</v>
      </c>
      <c r="BA330" s="0" t="str">
        <f aca="false">IFERROR(INDEX($A$1:$A$5,MATCH(3,$AS330:$AW330,0)),IF(3=MAX($AS330:$AW330)+1,"取消",""))</f>
        <v>陈师傅</v>
      </c>
      <c r="BB330" s="0" t="str">
        <f aca="false">IFERROR(INDEX($A$1:$A$5,MATCH(4,$AS330:$AW330,0)),IF(4=MAX($AS330:$AW330)+1,"取消",""))</f>
        <v>刘师傅</v>
      </c>
      <c r="BC330" s="0" t="str">
        <f aca="false">IFERROR(INDEX($A$1:$A$5,MATCH(5,$AS330:$AW330,0)),IF(5=MAX($AS330:$AW330)+1,"取消",""))</f>
        <v>取消</v>
      </c>
      <c r="BD330" s="0" t="str">
        <f aca="false">IFERROR(INDEX($A$1:$A$5,MATCH(6,$AS330:$AW330,0)),IF(6=MAX($AS330:$AW330)+1,"取消",""))</f>
        <v/>
      </c>
      <c r="FW330" s="0" t="str">
        <f aca="false">IF(AND(单元查询!$D$3&lt;&gt;"",IF(单元查询!$B$3="公区维修",公区维修!$E330&lt;&gt;"",入户维修!$E330&lt;&gt;""),IF(单元查询!$B$3="公区维修",公区维修!$C330,入户维修!$C330)=单元查询!$D$3,OR(单元查询!$F$3="",IF(单元查询!$B$3="公区维修",公区维修!$D330,入户维修!$D330)&amp;""=(单元查询!$F$3)&amp;"")),MAX($FW$4:$FW329)+1,"")</f>
        <v/>
      </c>
    </row>
    <row r="331" customFormat="false" ht="15" hidden="false" customHeight="true" outlineLevel="0" collapsed="false">
      <c r="F331" s="0" t="n">
        <f aca="false">IF(OR($A$1=入户维修!$F331,$BN$1=1),0,1-SUMPRODUCT(--(($A$1=入户维修!$F331)+$BN$1&gt;0)))</f>
        <v>0</v>
      </c>
      <c r="G331" s="0" t="n">
        <f aca="false">IF(OR($A$2=入户维修!$F331,$BN$2=1),0,2-SUMPRODUCT(--(($A$1:$A$2=入户维修!$F331)+$BN$1:$BN$2&gt;0)))</f>
        <v>1</v>
      </c>
      <c r="H331" s="0" t="n">
        <f aca="false">IF(OR($A$3=入户维修!$F331,$BN$3=1),0,3-SUMPRODUCT(--(($A$1:$A$3=入户维修!$F331)+$BN$1:$BN$3&gt;0)))</f>
        <v>2</v>
      </c>
      <c r="I331" s="0" t="n">
        <f aca="false">IF(OR($A$4=入户维修!$F331,$BN$4=1),0,4-SUMPRODUCT(--(($A$1:$A$4=入户维修!$F331)+$BN$1:$BN$4&gt;0)))</f>
        <v>3</v>
      </c>
      <c r="J331" s="0" t="n">
        <f aca="false">IF(OR($A$5=入户维修!$F331,$BN$5=1),0,5-SUMPRODUCT(--(($A$1:$A$5=入户维修!$F331)+$BN$1:$BN$5&gt;0)))</f>
        <v>4</v>
      </c>
      <c r="L331" s="0" t="str">
        <f aca="false">IFERROR(INDEX($A$1:$A$5,MATCH(1,$F331:$J331,0)),IF(1=MAX($F331:$J331)+1,"取消",""))</f>
        <v>李师傅</v>
      </c>
      <c r="M331" s="0" t="str">
        <f aca="false">IFERROR(INDEX($A$1:$A$5,MATCH(2,$F331:$J331,0)),IF(2=MAX($F331:$J331)+1,"取消",""))</f>
        <v>王师傅</v>
      </c>
      <c r="N331" s="0" t="str">
        <f aca="false">IFERROR(INDEX($A$1:$A$5,MATCH(3,$F331:$J331,0)),IF(3=MAX($F331:$J331)+1,"取消",""))</f>
        <v>陈师傅</v>
      </c>
      <c r="O331" s="0" t="str">
        <f aca="false">IFERROR(INDEX($A$1:$A$5,MATCH(4,$F331:$J331,0)),IF(4=MAX($F331:$J331)+1,"取消",""))</f>
        <v>刘师傅</v>
      </c>
      <c r="P331" s="0" t="str">
        <f aca="false">IFERROR(INDEX($A$1:$A$5,MATCH(5,$F331:$J331,0)),IF(5=MAX($F331:$J331)+1,"取消",""))</f>
        <v>取消</v>
      </c>
      <c r="Q331" s="0" t="str">
        <f aca="false">IFERROR(INDEX($A$1:$A$5,MATCH(6,$F331:$J331,0)),IF(6=MAX($F331:$J331)+1,"取消",""))</f>
        <v/>
      </c>
      <c r="S331" s="0" t="n">
        <f aca="false">IF(OR($A$1=入户维修!$F331,$A$1=入户维修!$G331,$BN$1=1),0,1-SUMPRODUCT(--(($A$1=入户维修!$F331)+($A$1=入户维修!$G331)+$BN$1&gt;0)))</f>
        <v>0</v>
      </c>
      <c r="T331" s="0" t="n">
        <f aca="false">IF(OR($A$2=入户维修!$F331,$A$2=入户维修!$G331,$BN$2=1),0,2-SUMPRODUCT(--(($A$1:$A$2=入户维修!$F331)+($A$1:$A$2=入户维修!$G331)+$BN$1:$BN$2&gt;0)))</f>
        <v>1</v>
      </c>
      <c r="U331" s="0" t="n">
        <f aca="false">IF(OR($A$3=入户维修!$F331,$A$3=入户维修!$G331,$BN$3=1),0,3-SUMPRODUCT(--(($A$1:$A$3=入户维修!$F331)+($A$1:$A$3=入户维修!$G331)+$BN$1:$BN$3&gt;0)))</f>
        <v>2</v>
      </c>
      <c r="V331" s="0" t="n">
        <f aca="false">IF(OR($A$4=入户维修!$F331,$A$4=入户维修!$G331,$BN$4=1),0,4-SUMPRODUCT(--(($A$1:$A$4=入户维修!$F331)+($A$1:$A$4=入户维修!$G331)+$BN$1:$BN$4&gt;0)))</f>
        <v>3</v>
      </c>
      <c r="W331" s="0" t="n">
        <f aca="false">IF(OR($A$5=入户维修!$F331,$A$5=入户维修!$G331,$BN$5=1),0,5-SUMPRODUCT(--(($A$1:$A$5=入户维修!$F331)+($A$1:$A$5=入户维修!$G331)+$BN$1:$BN$5&gt;0)))</f>
        <v>4</v>
      </c>
      <c r="Y331" s="0" t="str">
        <f aca="false">IFERROR(INDEX($A$1:$A$5,MATCH(1,$S331:$W331,0)),IF(1=MAX($S331:$W331)+1,"取消",""))</f>
        <v>李师傅</v>
      </c>
      <c r="Z331" s="0" t="str">
        <f aca="false">IFERROR(INDEX($A$1:$A$5,MATCH(2,$S331:$W331,0)),IF(2=MAX($S331:$W331)+1,"取消",""))</f>
        <v>王师傅</v>
      </c>
      <c r="AA331" s="0" t="str">
        <f aca="false">IFERROR(INDEX($A$1:$A$5,MATCH(3,$S331:$W331,0)),IF(3=MAX($S331:$W331)+1,"取消",""))</f>
        <v>陈师傅</v>
      </c>
      <c r="AB331" s="0" t="str">
        <f aca="false">IFERROR(INDEX($A$1:$A$5,MATCH(4,$S331:$W331,0)),IF(4=MAX($S331:$W331)+1,"取消",""))</f>
        <v>刘师傅</v>
      </c>
      <c r="AC331" s="0" t="str">
        <f aca="false">IFERROR(INDEX($A$1:$A$5,MATCH(5,$S331:$W331,0)),IF(5=MAX($S331:$W331)+1,"取消",""))</f>
        <v>取消</v>
      </c>
      <c r="AD331" s="0" t="str">
        <f aca="false">IFERROR(INDEX($A$1:$A$5,MATCH(6,$S331:$W331,0)),IF(6=MAX($S331:$W331)+1,"取消",""))</f>
        <v/>
      </c>
      <c r="AF331" s="0" t="n">
        <f aca="false">IF(OR($A$1=公区维修!$F331,$BN$1=1),0,1-SUMPRODUCT(--(($A$1=公区维修!$F331)+$BN$1&gt;0)))</f>
        <v>0</v>
      </c>
      <c r="AG331" s="0" t="n">
        <f aca="false">IF(OR($A$2=公区维修!$F331,$BN$2=1),0,2-SUMPRODUCT(--(($A$1:$A$2=公区维修!$F331)+$BN$1:$BN$2&gt;0)))</f>
        <v>1</v>
      </c>
      <c r="AH331" s="0" t="n">
        <f aca="false">IF(OR($A$3=公区维修!$F331,$BN$3=1),0,3-SUMPRODUCT(--(($A$1:$A$3=公区维修!$F331)+$BN$1:$BN$3&gt;0)))</f>
        <v>2</v>
      </c>
      <c r="AI331" s="0" t="n">
        <f aca="false">IF(OR($A$4=公区维修!$F331,$BN$4=1),0,4-SUMPRODUCT(--(($A$1:$A$4=公区维修!$F331)+$BN$1:$BN$4&gt;0)))</f>
        <v>3</v>
      </c>
      <c r="AJ331" s="0" t="n">
        <f aca="false">IF(OR($A$5=公区维修!$F331,$BN$5=1),0,5-SUMPRODUCT(--(($A$1:$A$5=公区维修!$F331)+$BN$1:$BN$5&gt;0)))</f>
        <v>4</v>
      </c>
      <c r="AL331" s="0" t="str">
        <f aca="false">IFERROR(INDEX($A$1:$A$5,MATCH(1,$AF331:$AJ331,0)),IF(1=MAX($AF331:$AJ331)+1,"取消",""))</f>
        <v>李师傅</v>
      </c>
      <c r="AM331" s="0" t="str">
        <f aca="false">IFERROR(INDEX($A$1:$A$5,MATCH(2,$AF331:$AJ331,0)),IF(2=MAX($AF331:$AJ331)+1,"取消",""))</f>
        <v>王师傅</v>
      </c>
      <c r="AN331" s="0" t="str">
        <f aca="false">IFERROR(INDEX($A$1:$A$5,MATCH(3,$AF331:$AJ331,0)),IF(3=MAX($AF331:$AJ331)+1,"取消",""))</f>
        <v>陈师傅</v>
      </c>
      <c r="AO331" s="0" t="str">
        <f aca="false">IFERROR(INDEX($A$1:$A$5,MATCH(4,$AF331:$AJ331,0)),IF(4=MAX($AF331:$AJ331)+1,"取消",""))</f>
        <v>刘师傅</v>
      </c>
      <c r="AP331" s="0" t="str">
        <f aca="false">IFERROR(INDEX($A$1:$A$5,MATCH(5,$AF331:$AJ331,0)),IF(5=MAX($AF331:$AJ331)+1,"取消",""))</f>
        <v>取消</v>
      </c>
      <c r="AQ331" s="0" t="str">
        <f aca="false">IFERROR(INDEX($A$1:$A$5,MATCH(6,$AF331:$AJ331,0)),IF(6=MAX($AF331:$AJ331)+1,"取消",""))</f>
        <v/>
      </c>
      <c r="AS331" s="0" t="n">
        <f aca="false">IF(OR($A$1=公区维修!$F331,$A$1=公区维修!$G331,$BN$1=1),0,1-SUMPRODUCT(--(($A$1=公区维修!$F331)+($A$1=公区维修!$G331)+$BN$1&gt;0)))</f>
        <v>0</v>
      </c>
      <c r="AT331" s="0" t="n">
        <f aca="false">IF(OR($A$2=公区维修!$F331,$A$2=公区维修!$G331,$BN$2=1),0,2-SUMPRODUCT(--(($A$1:$A$2=公区维修!$F331)+($A$1:$A$2=公区维修!$G331)+$BN$1:$BN$2&gt;0)))</f>
        <v>1</v>
      </c>
      <c r="AU331" s="0" t="n">
        <f aca="false">IF(OR($A$3=公区维修!$F331,$A$3=公区维修!$G331,$BN$3=1),0,3-SUMPRODUCT(--(($A$1:$A$3=公区维修!$F331)+($A$1:$A$3=公区维修!$G331)+$BN$1:$BN$3&gt;0)))</f>
        <v>2</v>
      </c>
      <c r="AV331" s="0" t="n">
        <f aca="false">IF(OR($A$4=公区维修!$F331,$A$4=公区维修!$G331,$BN$4=1),0,4-SUMPRODUCT(--(($A$1:$A$4=公区维修!$F331)+($A$1:$A$4=公区维修!$G331)+$BN$1:$BN$4&gt;0)))</f>
        <v>3</v>
      </c>
      <c r="AW331" s="0" t="n">
        <f aca="false">IF(OR($A$5=公区维修!$F331,$A$5=公区维修!$G331,$BN$5=1),0,5-SUMPRODUCT(--(($A$1:$A$5=公区维修!$F331)+($A$1:$A$5=公区维修!$G331)+$BN$1:$BN$5&gt;0)))</f>
        <v>4</v>
      </c>
      <c r="AY331" s="0" t="str">
        <f aca="false">IFERROR(INDEX($A$1:$A$5,MATCH(1,$AS331:$AW331,0)),IF(1=MAX($AS331:$AW331)+1,"取消",""))</f>
        <v>李师傅</v>
      </c>
      <c r="AZ331" s="0" t="str">
        <f aca="false">IFERROR(INDEX($A$1:$A$5,MATCH(2,$AS331:$AW331,0)),IF(2=MAX($AS331:$AW331)+1,"取消",""))</f>
        <v>王师傅</v>
      </c>
      <c r="BA331" s="0" t="str">
        <f aca="false">IFERROR(INDEX($A$1:$A$5,MATCH(3,$AS331:$AW331,0)),IF(3=MAX($AS331:$AW331)+1,"取消",""))</f>
        <v>陈师傅</v>
      </c>
      <c r="BB331" s="0" t="str">
        <f aca="false">IFERROR(INDEX($A$1:$A$5,MATCH(4,$AS331:$AW331,0)),IF(4=MAX($AS331:$AW331)+1,"取消",""))</f>
        <v>刘师傅</v>
      </c>
      <c r="BC331" s="0" t="str">
        <f aca="false">IFERROR(INDEX($A$1:$A$5,MATCH(5,$AS331:$AW331,0)),IF(5=MAX($AS331:$AW331)+1,"取消",""))</f>
        <v>取消</v>
      </c>
      <c r="BD331" s="0" t="str">
        <f aca="false">IFERROR(INDEX($A$1:$A$5,MATCH(6,$AS331:$AW331,0)),IF(6=MAX($AS331:$AW331)+1,"取消",""))</f>
        <v/>
      </c>
      <c r="FW331" s="0" t="str">
        <f aca="false">IF(AND(单元查询!$D$3&lt;&gt;"",IF(单元查询!$B$3="公区维修",公区维修!$E331&lt;&gt;"",入户维修!$E331&lt;&gt;""),IF(单元查询!$B$3="公区维修",公区维修!$C331,入户维修!$C331)=单元查询!$D$3,OR(单元查询!$F$3="",IF(单元查询!$B$3="公区维修",公区维修!$D331,入户维修!$D331)&amp;""=(单元查询!$F$3)&amp;"")),MAX($FW$4:$FW330)+1,"")</f>
        <v/>
      </c>
    </row>
    <row r="332" customFormat="false" ht="15" hidden="false" customHeight="true" outlineLevel="0" collapsed="false">
      <c r="F332" s="0" t="n">
        <f aca="false">IF(OR($A$1=入户维修!$F332,$BN$1=1),0,1-SUMPRODUCT(--(($A$1=入户维修!$F332)+$BN$1&gt;0)))</f>
        <v>0</v>
      </c>
      <c r="G332" s="0" t="n">
        <f aca="false">IF(OR($A$2=入户维修!$F332,$BN$2=1),0,2-SUMPRODUCT(--(($A$1:$A$2=入户维修!$F332)+$BN$1:$BN$2&gt;0)))</f>
        <v>1</v>
      </c>
      <c r="H332" s="0" t="n">
        <f aca="false">IF(OR($A$3=入户维修!$F332,$BN$3=1),0,3-SUMPRODUCT(--(($A$1:$A$3=入户维修!$F332)+$BN$1:$BN$3&gt;0)))</f>
        <v>2</v>
      </c>
      <c r="I332" s="0" t="n">
        <f aca="false">IF(OR($A$4=入户维修!$F332,$BN$4=1),0,4-SUMPRODUCT(--(($A$1:$A$4=入户维修!$F332)+$BN$1:$BN$4&gt;0)))</f>
        <v>3</v>
      </c>
      <c r="J332" s="0" t="n">
        <f aca="false">IF(OR($A$5=入户维修!$F332,$BN$5=1),0,5-SUMPRODUCT(--(($A$1:$A$5=入户维修!$F332)+$BN$1:$BN$5&gt;0)))</f>
        <v>4</v>
      </c>
      <c r="L332" s="0" t="str">
        <f aca="false">IFERROR(INDEX($A$1:$A$5,MATCH(1,$F332:$J332,0)),IF(1=MAX($F332:$J332)+1,"取消",""))</f>
        <v>李师傅</v>
      </c>
      <c r="M332" s="0" t="str">
        <f aca="false">IFERROR(INDEX($A$1:$A$5,MATCH(2,$F332:$J332,0)),IF(2=MAX($F332:$J332)+1,"取消",""))</f>
        <v>王师傅</v>
      </c>
      <c r="N332" s="0" t="str">
        <f aca="false">IFERROR(INDEX($A$1:$A$5,MATCH(3,$F332:$J332,0)),IF(3=MAX($F332:$J332)+1,"取消",""))</f>
        <v>陈师傅</v>
      </c>
      <c r="O332" s="0" t="str">
        <f aca="false">IFERROR(INDEX($A$1:$A$5,MATCH(4,$F332:$J332,0)),IF(4=MAX($F332:$J332)+1,"取消",""))</f>
        <v>刘师傅</v>
      </c>
      <c r="P332" s="0" t="str">
        <f aca="false">IFERROR(INDEX($A$1:$A$5,MATCH(5,$F332:$J332,0)),IF(5=MAX($F332:$J332)+1,"取消",""))</f>
        <v>取消</v>
      </c>
      <c r="Q332" s="0" t="str">
        <f aca="false">IFERROR(INDEX($A$1:$A$5,MATCH(6,$F332:$J332,0)),IF(6=MAX($F332:$J332)+1,"取消",""))</f>
        <v/>
      </c>
      <c r="S332" s="0" t="n">
        <f aca="false">IF(OR($A$1=入户维修!$F332,$A$1=入户维修!$G332,$BN$1=1),0,1-SUMPRODUCT(--(($A$1=入户维修!$F332)+($A$1=入户维修!$G332)+$BN$1&gt;0)))</f>
        <v>0</v>
      </c>
      <c r="T332" s="0" t="n">
        <f aca="false">IF(OR($A$2=入户维修!$F332,$A$2=入户维修!$G332,$BN$2=1),0,2-SUMPRODUCT(--(($A$1:$A$2=入户维修!$F332)+($A$1:$A$2=入户维修!$G332)+$BN$1:$BN$2&gt;0)))</f>
        <v>1</v>
      </c>
      <c r="U332" s="0" t="n">
        <f aca="false">IF(OR($A$3=入户维修!$F332,$A$3=入户维修!$G332,$BN$3=1),0,3-SUMPRODUCT(--(($A$1:$A$3=入户维修!$F332)+($A$1:$A$3=入户维修!$G332)+$BN$1:$BN$3&gt;0)))</f>
        <v>2</v>
      </c>
      <c r="V332" s="0" t="n">
        <f aca="false">IF(OR($A$4=入户维修!$F332,$A$4=入户维修!$G332,$BN$4=1),0,4-SUMPRODUCT(--(($A$1:$A$4=入户维修!$F332)+($A$1:$A$4=入户维修!$G332)+$BN$1:$BN$4&gt;0)))</f>
        <v>3</v>
      </c>
      <c r="W332" s="0" t="n">
        <f aca="false">IF(OR($A$5=入户维修!$F332,$A$5=入户维修!$G332,$BN$5=1),0,5-SUMPRODUCT(--(($A$1:$A$5=入户维修!$F332)+($A$1:$A$5=入户维修!$G332)+$BN$1:$BN$5&gt;0)))</f>
        <v>4</v>
      </c>
      <c r="Y332" s="0" t="str">
        <f aca="false">IFERROR(INDEX($A$1:$A$5,MATCH(1,$S332:$W332,0)),IF(1=MAX($S332:$W332)+1,"取消",""))</f>
        <v>李师傅</v>
      </c>
      <c r="Z332" s="0" t="str">
        <f aca="false">IFERROR(INDEX($A$1:$A$5,MATCH(2,$S332:$W332,0)),IF(2=MAX($S332:$W332)+1,"取消",""))</f>
        <v>王师傅</v>
      </c>
      <c r="AA332" s="0" t="str">
        <f aca="false">IFERROR(INDEX($A$1:$A$5,MATCH(3,$S332:$W332,0)),IF(3=MAX($S332:$W332)+1,"取消",""))</f>
        <v>陈师傅</v>
      </c>
      <c r="AB332" s="0" t="str">
        <f aca="false">IFERROR(INDEX($A$1:$A$5,MATCH(4,$S332:$W332,0)),IF(4=MAX($S332:$W332)+1,"取消",""))</f>
        <v>刘师傅</v>
      </c>
      <c r="AC332" s="0" t="str">
        <f aca="false">IFERROR(INDEX($A$1:$A$5,MATCH(5,$S332:$W332,0)),IF(5=MAX($S332:$W332)+1,"取消",""))</f>
        <v>取消</v>
      </c>
      <c r="AD332" s="0" t="str">
        <f aca="false">IFERROR(INDEX($A$1:$A$5,MATCH(6,$S332:$W332,0)),IF(6=MAX($S332:$W332)+1,"取消",""))</f>
        <v/>
      </c>
      <c r="AF332" s="0" t="n">
        <f aca="false">IF(OR($A$1=公区维修!$F332,$BN$1=1),0,1-SUMPRODUCT(--(($A$1=公区维修!$F332)+$BN$1&gt;0)))</f>
        <v>0</v>
      </c>
      <c r="AG332" s="0" t="n">
        <f aca="false">IF(OR($A$2=公区维修!$F332,$BN$2=1),0,2-SUMPRODUCT(--(($A$1:$A$2=公区维修!$F332)+$BN$1:$BN$2&gt;0)))</f>
        <v>1</v>
      </c>
      <c r="AH332" s="0" t="n">
        <f aca="false">IF(OR($A$3=公区维修!$F332,$BN$3=1),0,3-SUMPRODUCT(--(($A$1:$A$3=公区维修!$F332)+$BN$1:$BN$3&gt;0)))</f>
        <v>2</v>
      </c>
      <c r="AI332" s="0" t="n">
        <f aca="false">IF(OR($A$4=公区维修!$F332,$BN$4=1),0,4-SUMPRODUCT(--(($A$1:$A$4=公区维修!$F332)+$BN$1:$BN$4&gt;0)))</f>
        <v>3</v>
      </c>
      <c r="AJ332" s="0" t="n">
        <f aca="false">IF(OR($A$5=公区维修!$F332,$BN$5=1),0,5-SUMPRODUCT(--(($A$1:$A$5=公区维修!$F332)+$BN$1:$BN$5&gt;0)))</f>
        <v>4</v>
      </c>
      <c r="AL332" s="0" t="str">
        <f aca="false">IFERROR(INDEX($A$1:$A$5,MATCH(1,$AF332:$AJ332,0)),IF(1=MAX($AF332:$AJ332)+1,"取消",""))</f>
        <v>李师傅</v>
      </c>
      <c r="AM332" s="0" t="str">
        <f aca="false">IFERROR(INDEX($A$1:$A$5,MATCH(2,$AF332:$AJ332,0)),IF(2=MAX($AF332:$AJ332)+1,"取消",""))</f>
        <v>王师傅</v>
      </c>
      <c r="AN332" s="0" t="str">
        <f aca="false">IFERROR(INDEX($A$1:$A$5,MATCH(3,$AF332:$AJ332,0)),IF(3=MAX($AF332:$AJ332)+1,"取消",""))</f>
        <v>陈师傅</v>
      </c>
      <c r="AO332" s="0" t="str">
        <f aca="false">IFERROR(INDEX($A$1:$A$5,MATCH(4,$AF332:$AJ332,0)),IF(4=MAX($AF332:$AJ332)+1,"取消",""))</f>
        <v>刘师傅</v>
      </c>
      <c r="AP332" s="0" t="str">
        <f aca="false">IFERROR(INDEX($A$1:$A$5,MATCH(5,$AF332:$AJ332,0)),IF(5=MAX($AF332:$AJ332)+1,"取消",""))</f>
        <v>取消</v>
      </c>
      <c r="AQ332" s="0" t="str">
        <f aca="false">IFERROR(INDEX($A$1:$A$5,MATCH(6,$AF332:$AJ332,0)),IF(6=MAX($AF332:$AJ332)+1,"取消",""))</f>
        <v/>
      </c>
      <c r="AS332" s="0" t="n">
        <f aca="false">IF(OR($A$1=公区维修!$F332,$A$1=公区维修!$G332,$BN$1=1),0,1-SUMPRODUCT(--(($A$1=公区维修!$F332)+($A$1=公区维修!$G332)+$BN$1&gt;0)))</f>
        <v>0</v>
      </c>
      <c r="AT332" s="0" t="n">
        <f aca="false">IF(OR($A$2=公区维修!$F332,$A$2=公区维修!$G332,$BN$2=1),0,2-SUMPRODUCT(--(($A$1:$A$2=公区维修!$F332)+($A$1:$A$2=公区维修!$G332)+$BN$1:$BN$2&gt;0)))</f>
        <v>1</v>
      </c>
      <c r="AU332" s="0" t="n">
        <f aca="false">IF(OR($A$3=公区维修!$F332,$A$3=公区维修!$G332,$BN$3=1),0,3-SUMPRODUCT(--(($A$1:$A$3=公区维修!$F332)+($A$1:$A$3=公区维修!$G332)+$BN$1:$BN$3&gt;0)))</f>
        <v>2</v>
      </c>
      <c r="AV332" s="0" t="n">
        <f aca="false">IF(OR($A$4=公区维修!$F332,$A$4=公区维修!$G332,$BN$4=1),0,4-SUMPRODUCT(--(($A$1:$A$4=公区维修!$F332)+($A$1:$A$4=公区维修!$G332)+$BN$1:$BN$4&gt;0)))</f>
        <v>3</v>
      </c>
      <c r="AW332" s="0" t="n">
        <f aca="false">IF(OR($A$5=公区维修!$F332,$A$5=公区维修!$G332,$BN$5=1),0,5-SUMPRODUCT(--(($A$1:$A$5=公区维修!$F332)+($A$1:$A$5=公区维修!$G332)+$BN$1:$BN$5&gt;0)))</f>
        <v>4</v>
      </c>
      <c r="AY332" s="0" t="str">
        <f aca="false">IFERROR(INDEX($A$1:$A$5,MATCH(1,$AS332:$AW332,0)),IF(1=MAX($AS332:$AW332)+1,"取消",""))</f>
        <v>李师傅</v>
      </c>
      <c r="AZ332" s="0" t="str">
        <f aca="false">IFERROR(INDEX($A$1:$A$5,MATCH(2,$AS332:$AW332,0)),IF(2=MAX($AS332:$AW332)+1,"取消",""))</f>
        <v>王师傅</v>
      </c>
      <c r="BA332" s="0" t="str">
        <f aca="false">IFERROR(INDEX($A$1:$A$5,MATCH(3,$AS332:$AW332,0)),IF(3=MAX($AS332:$AW332)+1,"取消",""))</f>
        <v>陈师傅</v>
      </c>
      <c r="BB332" s="0" t="str">
        <f aca="false">IFERROR(INDEX($A$1:$A$5,MATCH(4,$AS332:$AW332,0)),IF(4=MAX($AS332:$AW332)+1,"取消",""))</f>
        <v>刘师傅</v>
      </c>
      <c r="BC332" s="0" t="str">
        <f aca="false">IFERROR(INDEX($A$1:$A$5,MATCH(5,$AS332:$AW332,0)),IF(5=MAX($AS332:$AW332)+1,"取消",""))</f>
        <v>取消</v>
      </c>
      <c r="BD332" s="0" t="str">
        <f aca="false">IFERROR(INDEX($A$1:$A$5,MATCH(6,$AS332:$AW332,0)),IF(6=MAX($AS332:$AW332)+1,"取消",""))</f>
        <v/>
      </c>
      <c r="FW332" s="0" t="str">
        <f aca="false">IF(AND(单元查询!$D$3&lt;&gt;"",IF(单元查询!$B$3="公区维修",公区维修!$E332&lt;&gt;"",入户维修!$E332&lt;&gt;""),IF(单元查询!$B$3="公区维修",公区维修!$C332,入户维修!$C332)=单元查询!$D$3,OR(单元查询!$F$3="",IF(单元查询!$B$3="公区维修",公区维修!$D332,入户维修!$D332)&amp;""=(单元查询!$F$3)&amp;"")),MAX($FW$4:$FW331)+1,"")</f>
        <v/>
      </c>
    </row>
    <row r="333" customFormat="false" ht="15" hidden="false" customHeight="true" outlineLevel="0" collapsed="false">
      <c r="F333" s="0" t="n">
        <f aca="false">IF(OR($A$1=入户维修!$F333,$BN$1=1),0,1-SUMPRODUCT(--(($A$1=入户维修!$F333)+$BN$1&gt;0)))</f>
        <v>0</v>
      </c>
      <c r="G333" s="0" t="n">
        <f aca="false">IF(OR($A$2=入户维修!$F333,$BN$2=1),0,2-SUMPRODUCT(--(($A$1:$A$2=入户维修!$F333)+$BN$1:$BN$2&gt;0)))</f>
        <v>1</v>
      </c>
      <c r="H333" s="0" t="n">
        <f aca="false">IF(OR($A$3=入户维修!$F333,$BN$3=1),0,3-SUMPRODUCT(--(($A$1:$A$3=入户维修!$F333)+$BN$1:$BN$3&gt;0)))</f>
        <v>2</v>
      </c>
      <c r="I333" s="0" t="n">
        <f aca="false">IF(OR($A$4=入户维修!$F333,$BN$4=1),0,4-SUMPRODUCT(--(($A$1:$A$4=入户维修!$F333)+$BN$1:$BN$4&gt;0)))</f>
        <v>3</v>
      </c>
      <c r="J333" s="0" t="n">
        <f aca="false">IF(OR($A$5=入户维修!$F333,$BN$5=1),0,5-SUMPRODUCT(--(($A$1:$A$5=入户维修!$F333)+$BN$1:$BN$5&gt;0)))</f>
        <v>4</v>
      </c>
      <c r="L333" s="0" t="str">
        <f aca="false">IFERROR(INDEX($A$1:$A$5,MATCH(1,$F333:$J333,0)),IF(1=MAX($F333:$J333)+1,"取消",""))</f>
        <v>李师傅</v>
      </c>
      <c r="M333" s="0" t="str">
        <f aca="false">IFERROR(INDEX($A$1:$A$5,MATCH(2,$F333:$J333,0)),IF(2=MAX($F333:$J333)+1,"取消",""))</f>
        <v>王师傅</v>
      </c>
      <c r="N333" s="0" t="str">
        <f aca="false">IFERROR(INDEX($A$1:$A$5,MATCH(3,$F333:$J333,0)),IF(3=MAX($F333:$J333)+1,"取消",""))</f>
        <v>陈师傅</v>
      </c>
      <c r="O333" s="0" t="str">
        <f aca="false">IFERROR(INDEX($A$1:$A$5,MATCH(4,$F333:$J333,0)),IF(4=MAX($F333:$J333)+1,"取消",""))</f>
        <v>刘师傅</v>
      </c>
      <c r="P333" s="0" t="str">
        <f aca="false">IFERROR(INDEX($A$1:$A$5,MATCH(5,$F333:$J333,0)),IF(5=MAX($F333:$J333)+1,"取消",""))</f>
        <v>取消</v>
      </c>
      <c r="Q333" s="0" t="str">
        <f aca="false">IFERROR(INDEX($A$1:$A$5,MATCH(6,$F333:$J333,0)),IF(6=MAX($F333:$J333)+1,"取消",""))</f>
        <v/>
      </c>
      <c r="S333" s="0" t="n">
        <f aca="false">IF(OR($A$1=入户维修!$F333,$A$1=入户维修!$G333,$BN$1=1),0,1-SUMPRODUCT(--(($A$1=入户维修!$F333)+($A$1=入户维修!$G333)+$BN$1&gt;0)))</f>
        <v>0</v>
      </c>
      <c r="T333" s="0" t="n">
        <f aca="false">IF(OR($A$2=入户维修!$F333,$A$2=入户维修!$G333,$BN$2=1),0,2-SUMPRODUCT(--(($A$1:$A$2=入户维修!$F333)+($A$1:$A$2=入户维修!$G333)+$BN$1:$BN$2&gt;0)))</f>
        <v>1</v>
      </c>
      <c r="U333" s="0" t="n">
        <f aca="false">IF(OR($A$3=入户维修!$F333,$A$3=入户维修!$G333,$BN$3=1),0,3-SUMPRODUCT(--(($A$1:$A$3=入户维修!$F333)+($A$1:$A$3=入户维修!$G333)+$BN$1:$BN$3&gt;0)))</f>
        <v>2</v>
      </c>
      <c r="V333" s="0" t="n">
        <f aca="false">IF(OR($A$4=入户维修!$F333,$A$4=入户维修!$G333,$BN$4=1),0,4-SUMPRODUCT(--(($A$1:$A$4=入户维修!$F333)+($A$1:$A$4=入户维修!$G333)+$BN$1:$BN$4&gt;0)))</f>
        <v>3</v>
      </c>
      <c r="W333" s="0" t="n">
        <f aca="false">IF(OR($A$5=入户维修!$F333,$A$5=入户维修!$G333,$BN$5=1),0,5-SUMPRODUCT(--(($A$1:$A$5=入户维修!$F333)+($A$1:$A$5=入户维修!$G333)+$BN$1:$BN$5&gt;0)))</f>
        <v>4</v>
      </c>
      <c r="Y333" s="0" t="str">
        <f aca="false">IFERROR(INDEX($A$1:$A$5,MATCH(1,$S333:$W333,0)),IF(1=MAX($S333:$W333)+1,"取消",""))</f>
        <v>李师傅</v>
      </c>
      <c r="Z333" s="0" t="str">
        <f aca="false">IFERROR(INDEX($A$1:$A$5,MATCH(2,$S333:$W333,0)),IF(2=MAX($S333:$W333)+1,"取消",""))</f>
        <v>王师傅</v>
      </c>
      <c r="AA333" s="0" t="str">
        <f aca="false">IFERROR(INDEX($A$1:$A$5,MATCH(3,$S333:$W333,0)),IF(3=MAX($S333:$W333)+1,"取消",""))</f>
        <v>陈师傅</v>
      </c>
      <c r="AB333" s="0" t="str">
        <f aca="false">IFERROR(INDEX($A$1:$A$5,MATCH(4,$S333:$W333,0)),IF(4=MAX($S333:$W333)+1,"取消",""))</f>
        <v>刘师傅</v>
      </c>
      <c r="AC333" s="0" t="str">
        <f aca="false">IFERROR(INDEX($A$1:$A$5,MATCH(5,$S333:$W333,0)),IF(5=MAX($S333:$W333)+1,"取消",""))</f>
        <v>取消</v>
      </c>
      <c r="AD333" s="0" t="str">
        <f aca="false">IFERROR(INDEX($A$1:$A$5,MATCH(6,$S333:$W333,0)),IF(6=MAX($S333:$W333)+1,"取消",""))</f>
        <v/>
      </c>
      <c r="AF333" s="0" t="n">
        <f aca="false">IF(OR($A$1=公区维修!$F333,$BN$1=1),0,1-SUMPRODUCT(--(($A$1=公区维修!$F333)+$BN$1&gt;0)))</f>
        <v>0</v>
      </c>
      <c r="AG333" s="0" t="n">
        <f aca="false">IF(OR($A$2=公区维修!$F333,$BN$2=1),0,2-SUMPRODUCT(--(($A$1:$A$2=公区维修!$F333)+$BN$1:$BN$2&gt;0)))</f>
        <v>1</v>
      </c>
      <c r="AH333" s="0" t="n">
        <f aca="false">IF(OR($A$3=公区维修!$F333,$BN$3=1),0,3-SUMPRODUCT(--(($A$1:$A$3=公区维修!$F333)+$BN$1:$BN$3&gt;0)))</f>
        <v>2</v>
      </c>
      <c r="AI333" s="0" t="n">
        <f aca="false">IF(OR($A$4=公区维修!$F333,$BN$4=1),0,4-SUMPRODUCT(--(($A$1:$A$4=公区维修!$F333)+$BN$1:$BN$4&gt;0)))</f>
        <v>3</v>
      </c>
      <c r="AJ333" s="0" t="n">
        <f aca="false">IF(OR($A$5=公区维修!$F333,$BN$5=1),0,5-SUMPRODUCT(--(($A$1:$A$5=公区维修!$F333)+$BN$1:$BN$5&gt;0)))</f>
        <v>4</v>
      </c>
      <c r="AL333" s="0" t="str">
        <f aca="false">IFERROR(INDEX($A$1:$A$5,MATCH(1,$AF333:$AJ333,0)),IF(1=MAX($AF333:$AJ333)+1,"取消",""))</f>
        <v>李师傅</v>
      </c>
      <c r="AM333" s="0" t="str">
        <f aca="false">IFERROR(INDEX($A$1:$A$5,MATCH(2,$AF333:$AJ333,0)),IF(2=MAX($AF333:$AJ333)+1,"取消",""))</f>
        <v>王师傅</v>
      </c>
      <c r="AN333" s="0" t="str">
        <f aca="false">IFERROR(INDEX($A$1:$A$5,MATCH(3,$AF333:$AJ333,0)),IF(3=MAX($AF333:$AJ333)+1,"取消",""))</f>
        <v>陈师傅</v>
      </c>
      <c r="AO333" s="0" t="str">
        <f aca="false">IFERROR(INDEX($A$1:$A$5,MATCH(4,$AF333:$AJ333,0)),IF(4=MAX($AF333:$AJ333)+1,"取消",""))</f>
        <v>刘师傅</v>
      </c>
      <c r="AP333" s="0" t="str">
        <f aca="false">IFERROR(INDEX($A$1:$A$5,MATCH(5,$AF333:$AJ333,0)),IF(5=MAX($AF333:$AJ333)+1,"取消",""))</f>
        <v>取消</v>
      </c>
      <c r="AQ333" s="0" t="str">
        <f aca="false">IFERROR(INDEX($A$1:$A$5,MATCH(6,$AF333:$AJ333,0)),IF(6=MAX($AF333:$AJ333)+1,"取消",""))</f>
        <v/>
      </c>
      <c r="AS333" s="0" t="n">
        <f aca="false">IF(OR($A$1=公区维修!$F333,$A$1=公区维修!$G333,$BN$1=1),0,1-SUMPRODUCT(--(($A$1=公区维修!$F333)+($A$1=公区维修!$G333)+$BN$1&gt;0)))</f>
        <v>0</v>
      </c>
      <c r="AT333" s="0" t="n">
        <f aca="false">IF(OR($A$2=公区维修!$F333,$A$2=公区维修!$G333,$BN$2=1),0,2-SUMPRODUCT(--(($A$1:$A$2=公区维修!$F333)+($A$1:$A$2=公区维修!$G333)+$BN$1:$BN$2&gt;0)))</f>
        <v>1</v>
      </c>
      <c r="AU333" s="0" t="n">
        <f aca="false">IF(OR($A$3=公区维修!$F333,$A$3=公区维修!$G333,$BN$3=1),0,3-SUMPRODUCT(--(($A$1:$A$3=公区维修!$F333)+($A$1:$A$3=公区维修!$G333)+$BN$1:$BN$3&gt;0)))</f>
        <v>2</v>
      </c>
      <c r="AV333" s="0" t="n">
        <f aca="false">IF(OR($A$4=公区维修!$F333,$A$4=公区维修!$G333,$BN$4=1),0,4-SUMPRODUCT(--(($A$1:$A$4=公区维修!$F333)+($A$1:$A$4=公区维修!$G333)+$BN$1:$BN$4&gt;0)))</f>
        <v>3</v>
      </c>
      <c r="AW333" s="0" t="n">
        <f aca="false">IF(OR($A$5=公区维修!$F333,$A$5=公区维修!$G333,$BN$5=1),0,5-SUMPRODUCT(--(($A$1:$A$5=公区维修!$F333)+($A$1:$A$5=公区维修!$G333)+$BN$1:$BN$5&gt;0)))</f>
        <v>4</v>
      </c>
      <c r="AY333" s="0" t="str">
        <f aca="false">IFERROR(INDEX($A$1:$A$5,MATCH(1,$AS333:$AW333,0)),IF(1=MAX($AS333:$AW333)+1,"取消",""))</f>
        <v>李师傅</v>
      </c>
      <c r="AZ333" s="0" t="str">
        <f aca="false">IFERROR(INDEX($A$1:$A$5,MATCH(2,$AS333:$AW333,0)),IF(2=MAX($AS333:$AW333)+1,"取消",""))</f>
        <v>王师傅</v>
      </c>
      <c r="BA333" s="0" t="str">
        <f aca="false">IFERROR(INDEX($A$1:$A$5,MATCH(3,$AS333:$AW333,0)),IF(3=MAX($AS333:$AW333)+1,"取消",""))</f>
        <v>陈师傅</v>
      </c>
      <c r="BB333" s="0" t="str">
        <f aca="false">IFERROR(INDEX($A$1:$A$5,MATCH(4,$AS333:$AW333,0)),IF(4=MAX($AS333:$AW333)+1,"取消",""))</f>
        <v>刘师傅</v>
      </c>
      <c r="BC333" s="0" t="str">
        <f aca="false">IFERROR(INDEX($A$1:$A$5,MATCH(5,$AS333:$AW333,0)),IF(5=MAX($AS333:$AW333)+1,"取消",""))</f>
        <v>取消</v>
      </c>
      <c r="BD333" s="0" t="str">
        <f aca="false">IFERROR(INDEX($A$1:$A$5,MATCH(6,$AS333:$AW333,0)),IF(6=MAX($AS333:$AW333)+1,"取消",""))</f>
        <v/>
      </c>
      <c r="FW333" s="0" t="str">
        <f aca="false">IF(AND(单元查询!$D$3&lt;&gt;"",IF(单元查询!$B$3="公区维修",公区维修!$E333&lt;&gt;"",入户维修!$E333&lt;&gt;""),IF(单元查询!$B$3="公区维修",公区维修!$C333,入户维修!$C333)=单元查询!$D$3,OR(单元查询!$F$3="",IF(单元查询!$B$3="公区维修",公区维修!$D333,入户维修!$D333)&amp;""=(单元查询!$F$3)&amp;"")),MAX($FW$4:$FW332)+1,"")</f>
        <v/>
      </c>
    </row>
    <row r="334" customFormat="false" ht="15" hidden="false" customHeight="true" outlineLevel="0" collapsed="false">
      <c r="F334" s="0" t="n">
        <f aca="false">IF(OR($A$1=入户维修!$F334,$BN$1=1),0,1-SUMPRODUCT(--(($A$1=入户维修!$F334)+$BN$1&gt;0)))</f>
        <v>0</v>
      </c>
      <c r="G334" s="0" t="n">
        <f aca="false">IF(OR($A$2=入户维修!$F334,$BN$2=1),0,2-SUMPRODUCT(--(($A$1:$A$2=入户维修!$F334)+$BN$1:$BN$2&gt;0)))</f>
        <v>1</v>
      </c>
      <c r="H334" s="0" t="n">
        <f aca="false">IF(OR($A$3=入户维修!$F334,$BN$3=1),0,3-SUMPRODUCT(--(($A$1:$A$3=入户维修!$F334)+$BN$1:$BN$3&gt;0)))</f>
        <v>2</v>
      </c>
      <c r="I334" s="0" t="n">
        <f aca="false">IF(OR($A$4=入户维修!$F334,$BN$4=1),0,4-SUMPRODUCT(--(($A$1:$A$4=入户维修!$F334)+$BN$1:$BN$4&gt;0)))</f>
        <v>3</v>
      </c>
      <c r="J334" s="0" t="n">
        <f aca="false">IF(OR($A$5=入户维修!$F334,$BN$5=1),0,5-SUMPRODUCT(--(($A$1:$A$5=入户维修!$F334)+$BN$1:$BN$5&gt;0)))</f>
        <v>4</v>
      </c>
      <c r="L334" s="0" t="str">
        <f aca="false">IFERROR(INDEX($A$1:$A$5,MATCH(1,$F334:$J334,0)),IF(1=MAX($F334:$J334)+1,"取消",""))</f>
        <v>李师傅</v>
      </c>
      <c r="M334" s="0" t="str">
        <f aca="false">IFERROR(INDEX($A$1:$A$5,MATCH(2,$F334:$J334,0)),IF(2=MAX($F334:$J334)+1,"取消",""))</f>
        <v>王师傅</v>
      </c>
      <c r="N334" s="0" t="str">
        <f aca="false">IFERROR(INDEX($A$1:$A$5,MATCH(3,$F334:$J334,0)),IF(3=MAX($F334:$J334)+1,"取消",""))</f>
        <v>陈师傅</v>
      </c>
      <c r="O334" s="0" t="str">
        <f aca="false">IFERROR(INDEX($A$1:$A$5,MATCH(4,$F334:$J334,0)),IF(4=MAX($F334:$J334)+1,"取消",""))</f>
        <v>刘师傅</v>
      </c>
      <c r="P334" s="0" t="str">
        <f aca="false">IFERROR(INDEX($A$1:$A$5,MATCH(5,$F334:$J334,0)),IF(5=MAX($F334:$J334)+1,"取消",""))</f>
        <v>取消</v>
      </c>
      <c r="Q334" s="0" t="str">
        <f aca="false">IFERROR(INDEX($A$1:$A$5,MATCH(6,$F334:$J334,0)),IF(6=MAX($F334:$J334)+1,"取消",""))</f>
        <v/>
      </c>
      <c r="S334" s="0" t="n">
        <f aca="false">IF(OR($A$1=入户维修!$F334,$A$1=入户维修!$G334,$BN$1=1),0,1-SUMPRODUCT(--(($A$1=入户维修!$F334)+($A$1=入户维修!$G334)+$BN$1&gt;0)))</f>
        <v>0</v>
      </c>
      <c r="T334" s="0" t="n">
        <f aca="false">IF(OR($A$2=入户维修!$F334,$A$2=入户维修!$G334,$BN$2=1),0,2-SUMPRODUCT(--(($A$1:$A$2=入户维修!$F334)+($A$1:$A$2=入户维修!$G334)+$BN$1:$BN$2&gt;0)))</f>
        <v>1</v>
      </c>
      <c r="U334" s="0" t="n">
        <f aca="false">IF(OR($A$3=入户维修!$F334,$A$3=入户维修!$G334,$BN$3=1),0,3-SUMPRODUCT(--(($A$1:$A$3=入户维修!$F334)+($A$1:$A$3=入户维修!$G334)+$BN$1:$BN$3&gt;0)))</f>
        <v>2</v>
      </c>
      <c r="V334" s="0" t="n">
        <f aca="false">IF(OR($A$4=入户维修!$F334,$A$4=入户维修!$G334,$BN$4=1),0,4-SUMPRODUCT(--(($A$1:$A$4=入户维修!$F334)+($A$1:$A$4=入户维修!$G334)+$BN$1:$BN$4&gt;0)))</f>
        <v>3</v>
      </c>
      <c r="W334" s="0" t="n">
        <f aca="false">IF(OR($A$5=入户维修!$F334,$A$5=入户维修!$G334,$BN$5=1),0,5-SUMPRODUCT(--(($A$1:$A$5=入户维修!$F334)+($A$1:$A$5=入户维修!$G334)+$BN$1:$BN$5&gt;0)))</f>
        <v>4</v>
      </c>
      <c r="Y334" s="0" t="str">
        <f aca="false">IFERROR(INDEX($A$1:$A$5,MATCH(1,$S334:$W334,0)),IF(1=MAX($S334:$W334)+1,"取消",""))</f>
        <v>李师傅</v>
      </c>
      <c r="Z334" s="0" t="str">
        <f aca="false">IFERROR(INDEX($A$1:$A$5,MATCH(2,$S334:$W334,0)),IF(2=MAX($S334:$W334)+1,"取消",""))</f>
        <v>王师傅</v>
      </c>
      <c r="AA334" s="0" t="str">
        <f aca="false">IFERROR(INDEX($A$1:$A$5,MATCH(3,$S334:$W334,0)),IF(3=MAX($S334:$W334)+1,"取消",""))</f>
        <v>陈师傅</v>
      </c>
      <c r="AB334" s="0" t="str">
        <f aca="false">IFERROR(INDEX($A$1:$A$5,MATCH(4,$S334:$W334,0)),IF(4=MAX($S334:$W334)+1,"取消",""))</f>
        <v>刘师傅</v>
      </c>
      <c r="AC334" s="0" t="str">
        <f aca="false">IFERROR(INDEX($A$1:$A$5,MATCH(5,$S334:$W334,0)),IF(5=MAX($S334:$W334)+1,"取消",""))</f>
        <v>取消</v>
      </c>
      <c r="AD334" s="0" t="str">
        <f aca="false">IFERROR(INDEX($A$1:$A$5,MATCH(6,$S334:$W334,0)),IF(6=MAX($S334:$W334)+1,"取消",""))</f>
        <v/>
      </c>
      <c r="AF334" s="0" t="n">
        <f aca="false">IF(OR($A$1=公区维修!$F334,$BN$1=1),0,1-SUMPRODUCT(--(($A$1=公区维修!$F334)+$BN$1&gt;0)))</f>
        <v>0</v>
      </c>
      <c r="AG334" s="0" t="n">
        <f aca="false">IF(OR($A$2=公区维修!$F334,$BN$2=1),0,2-SUMPRODUCT(--(($A$1:$A$2=公区维修!$F334)+$BN$1:$BN$2&gt;0)))</f>
        <v>1</v>
      </c>
      <c r="AH334" s="0" t="n">
        <f aca="false">IF(OR($A$3=公区维修!$F334,$BN$3=1),0,3-SUMPRODUCT(--(($A$1:$A$3=公区维修!$F334)+$BN$1:$BN$3&gt;0)))</f>
        <v>2</v>
      </c>
      <c r="AI334" s="0" t="n">
        <f aca="false">IF(OR($A$4=公区维修!$F334,$BN$4=1),0,4-SUMPRODUCT(--(($A$1:$A$4=公区维修!$F334)+$BN$1:$BN$4&gt;0)))</f>
        <v>3</v>
      </c>
      <c r="AJ334" s="0" t="n">
        <f aca="false">IF(OR($A$5=公区维修!$F334,$BN$5=1),0,5-SUMPRODUCT(--(($A$1:$A$5=公区维修!$F334)+$BN$1:$BN$5&gt;0)))</f>
        <v>4</v>
      </c>
      <c r="AL334" s="0" t="str">
        <f aca="false">IFERROR(INDEX($A$1:$A$5,MATCH(1,$AF334:$AJ334,0)),IF(1=MAX($AF334:$AJ334)+1,"取消",""))</f>
        <v>李师傅</v>
      </c>
      <c r="AM334" s="0" t="str">
        <f aca="false">IFERROR(INDEX($A$1:$A$5,MATCH(2,$AF334:$AJ334,0)),IF(2=MAX($AF334:$AJ334)+1,"取消",""))</f>
        <v>王师傅</v>
      </c>
      <c r="AN334" s="0" t="str">
        <f aca="false">IFERROR(INDEX($A$1:$A$5,MATCH(3,$AF334:$AJ334,0)),IF(3=MAX($AF334:$AJ334)+1,"取消",""))</f>
        <v>陈师傅</v>
      </c>
      <c r="AO334" s="0" t="str">
        <f aca="false">IFERROR(INDEX($A$1:$A$5,MATCH(4,$AF334:$AJ334,0)),IF(4=MAX($AF334:$AJ334)+1,"取消",""))</f>
        <v>刘师傅</v>
      </c>
      <c r="AP334" s="0" t="str">
        <f aca="false">IFERROR(INDEX($A$1:$A$5,MATCH(5,$AF334:$AJ334,0)),IF(5=MAX($AF334:$AJ334)+1,"取消",""))</f>
        <v>取消</v>
      </c>
      <c r="AQ334" s="0" t="str">
        <f aca="false">IFERROR(INDEX($A$1:$A$5,MATCH(6,$AF334:$AJ334,0)),IF(6=MAX($AF334:$AJ334)+1,"取消",""))</f>
        <v/>
      </c>
      <c r="AS334" s="0" t="n">
        <f aca="false">IF(OR($A$1=公区维修!$F334,$A$1=公区维修!$G334,$BN$1=1),0,1-SUMPRODUCT(--(($A$1=公区维修!$F334)+($A$1=公区维修!$G334)+$BN$1&gt;0)))</f>
        <v>0</v>
      </c>
      <c r="AT334" s="0" t="n">
        <f aca="false">IF(OR($A$2=公区维修!$F334,$A$2=公区维修!$G334,$BN$2=1),0,2-SUMPRODUCT(--(($A$1:$A$2=公区维修!$F334)+($A$1:$A$2=公区维修!$G334)+$BN$1:$BN$2&gt;0)))</f>
        <v>1</v>
      </c>
      <c r="AU334" s="0" t="n">
        <f aca="false">IF(OR($A$3=公区维修!$F334,$A$3=公区维修!$G334,$BN$3=1),0,3-SUMPRODUCT(--(($A$1:$A$3=公区维修!$F334)+($A$1:$A$3=公区维修!$G334)+$BN$1:$BN$3&gt;0)))</f>
        <v>2</v>
      </c>
      <c r="AV334" s="0" t="n">
        <f aca="false">IF(OR($A$4=公区维修!$F334,$A$4=公区维修!$G334,$BN$4=1),0,4-SUMPRODUCT(--(($A$1:$A$4=公区维修!$F334)+($A$1:$A$4=公区维修!$G334)+$BN$1:$BN$4&gt;0)))</f>
        <v>3</v>
      </c>
      <c r="AW334" s="0" t="n">
        <f aca="false">IF(OR($A$5=公区维修!$F334,$A$5=公区维修!$G334,$BN$5=1),0,5-SUMPRODUCT(--(($A$1:$A$5=公区维修!$F334)+($A$1:$A$5=公区维修!$G334)+$BN$1:$BN$5&gt;0)))</f>
        <v>4</v>
      </c>
      <c r="AY334" s="0" t="str">
        <f aca="false">IFERROR(INDEX($A$1:$A$5,MATCH(1,$AS334:$AW334,0)),IF(1=MAX($AS334:$AW334)+1,"取消",""))</f>
        <v>李师傅</v>
      </c>
      <c r="AZ334" s="0" t="str">
        <f aca="false">IFERROR(INDEX($A$1:$A$5,MATCH(2,$AS334:$AW334,0)),IF(2=MAX($AS334:$AW334)+1,"取消",""))</f>
        <v>王师傅</v>
      </c>
      <c r="BA334" s="0" t="str">
        <f aca="false">IFERROR(INDEX($A$1:$A$5,MATCH(3,$AS334:$AW334,0)),IF(3=MAX($AS334:$AW334)+1,"取消",""))</f>
        <v>陈师傅</v>
      </c>
      <c r="BB334" s="0" t="str">
        <f aca="false">IFERROR(INDEX($A$1:$A$5,MATCH(4,$AS334:$AW334,0)),IF(4=MAX($AS334:$AW334)+1,"取消",""))</f>
        <v>刘师傅</v>
      </c>
      <c r="BC334" s="0" t="str">
        <f aca="false">IFERROR(INDEX($A$1:$A$5,MATCH(5,$AS334:$AW334,0)),IF(5=MAX($AS334:$AW334)+1,"取消",""))</f>
        <v>取消</v>
      </c>
      <c r="BD334" s="0" t="str">
        <f aca="false">IFERROR(INDEX($A$1:$A$5,MATCH(6,$AS334:$AW334,0)),IF(6=MAX($AS334:$AW334)+1,"取消",""))</f>
        <v/>
      </c>
      <c r="FW334" s="0" t="str">
        <f aca="false">IF(AND(单元查询!$D$3&lt;&gt;"",IF(单元查询!$B$3="公区维修",公区维修!$E334&lt;&gt;"",入户维修!$E334&lt;&gt;""),IF(单元查询!$B$3="公区维修",公区维修!$C334,入户维修!$C334)=单元查询!$D$3,OR(单元查询!$F$3="",IF(单元查询!$B$3="公区维修",公区维修!$D334,入户维修!$D334)&amp;""=(单元查询!$F$3)&amp;"")),MAX($FW$4:$FW333)+1,"")</f>
        <v/>
      </c>
    </row>
    <row r="335" customFormat="false" ht="15" hidden="false" customHeight="true" outlineLevel="0" collapsed="false">
      <c r="F335" s="0" t="n">
        <f aca="false">IF(OR($A$1=入户维修!$F335,$BN$1=1),0,1-SUMPRODUCT(--(($A$1=入户维修!$F335)+$BN$1&gt;0)))</f>
        <v>0</v>
      </c>
      <c r="G335" s="0" t="n">
        <f aca="false">IF(OR($A$2=入户维修!$F335,$BN$2=1),0,2-SUMPRODUCT(--(($A$1:$A$2=入户维修!$F335)+$BN$1:$BN$2&gt;0)))</f>
        <v>1</v>
      </c>
      <c r="H335" s="0" t="n">
        <f aca="false">IF(OR($A$3=入户维修!$F335,$BN$3=1),0,3-SUMPRODUCT(--(($A$1:$A$3=入户维修!$F335)+$BN$1:$BN$3&gt;0)))</f>
        <v>2</v>
      </c>
      <c r="I335" s="0" t="n">
        <f aca="false">IF(OR($A$4=入户维修!$F335,$BN$4=1),0,4-SUMPRODUCT(--(($A$1:$A$4=入户维修!$F335)+$BN$1:$BN$4&gt;0)))</f>
        <v>3</v>
      </c>
      <c r="J335" s="0" t="n">
        <f aca="false">IF(OR($A$5=入户维修!$F335,$BN$5=1),0,5-SUMPRODUCT(--(($A$1:$A$5=入户维修!$F335)+$BN$1:$BN$5&gt;0)))</f>
        <v>4</v>
      </c>
      <c r="L335" s="0" t="str">
        <f aca="false">IFERROR(INDEX($A$1:$A$5,MATCH(1,$F335:$J335,0)),IF(1=MAX($F335:$J335)+1,"取消",""))</f>
        <v>李师傅</v>
      </c>
      <c r="M335" s="0" t="str">
        <f aca="false">IFERROR(INDEX($A$1:$A$5,MATCH(2,$F335:$J335,0)),IF(2=MAX($F335:$J335)+1,"取消",""))</f>
        <v>王师傅</v>
      </c>
      <c r="N335" s="0" t="str">
        <f aca="false">IFERROR(INDEX($A$1:$A$5,MATCH(3,$F335:$J335,0)),IF(3=MAX($F335:$J335)+1,"取消",""))</f>
        <v>陈师傅</v>
      </c>
      <c r="O335" s="0" t="str">
        <f aca="false">IFERROR(INDEX($A$1:$A$5,MATCH(4,$F335:$J335,0)),IF(4=MAX($F335:$J335)+1,"取消",""))</f>
        <v>刘师傅</v>
      </c>
      <c r="P335" s="0" t="str">
        <f aca="false">IFERROR(INDEX($A$1:$A$5,MATCH(5,$F335:$J335,0)),IF(5=MAX($F335:$J335)+1,"取消",""))</f>
        <v>取消</v>
      </c>
      <c r="Q335" s="0" t="str">
        <f aca="false">IFERROR(INDEX($A$1:$A$5,MATCH(6,$F335:$J335,0)),IF(6=MAX($F335:$J335)+1,"取消",""))</f>
        <v/>
      </c>
      <c r="S335" s="0" t="n">
        <f aca="false">IF(OR($A$1=入户维修!$F335,$A$1=入户维修!$G335,$BN$1=1),0,1-SUMPRODUCT(--(($A$1=入户维修!$F335)+($A$1=入户维修!$G335)+$BN$1&gt;0)))</f>
        <v>0</v>
      </c>
      <c r="T335" s="0" t="n">
        <f aca="false">IF(OR($A$2=入户维修!$F335,$A$2=入户维修!$G335,$BN$2=1),0,2-SUMPRODUCT(--(($A$1:$A$2=入户维修!$F335)+($A$1:$A$2=入户维修!$G335)+$BN$1:$BN$2&gt;0)))</f>
        <v>1</v>
      </c>
      <c r="U335" s="0" t="n">
        <f aca="false">IF(OR($A$3=入户维修!$F335,$A$3=入户维修!$G335,$BN$3=1),0,3-SUMPRODUCT(--(($A$1:$A$3=入户维修!$F335)+($A$1:$A$3=入户维修!$G335)+$BN$1:$BN$3&gt;0)))</f>
        <v>2</v>
      </c>
      <c r="V335" s="0" t="n">
        <f aca="false">IF(OR($A$4=入户维修!$F335,$A$4=入户维修!$G335,$BN$4=1),0,4-SUMPRODUCT(--(($A$1:$A$4=入户维修!$F335)+($A$1:$A$4=入户维修!$G335)+$BN$1:$BN$4&gt;0)))</f>
        <v>3</v>
      </c>
      <c r="W335" s="0" t="n">
        <f aca="false">IF(OR($A$5=入户维修!$F335,$A$5=入户维修!$G335,$BN$5=1),0,5-SUMPRODUCT(--(($A$1:$A$5=入户维修!$F335)+($A$1:$A$5=入户维修!$G335)+$BN$1:$BN$5&gt;0)))</f>
        <v>4</v>
      </c>
      <c r="Y335" s="0" t="str">
        <f aca="false">IFERROR(INDEX($A$1:$A$5,MATCH(1,$S335:$W335,0)),IF(1=MAX($S335:$W335)+1,"取消",""))</f>
        <v>李师傅</v>
      </c>
      <c r="Z335" s="0" t="str">
        <f aca="false">IFERROR(INDEX($A$1:$A$5,MATCH(2,$S335:$W335,0)),IF(2=MAX($S335:$W335)+1,"取消",""))</f>
        <v>王师傅</v>
      </c>
      <c r="AA335" s="0" t="str">
        <f aca="false">IFERROR(INDEX($A$1:$A$5,MATCH(3,$S335:$W335,0)),IF(3=MAX($S335:$W335)+1,"取消",""))</f>
        <v>陈师傅</v>
      </c>
      <c r="AB335" s="0" t="str">
        <f aca="false">IFERROR(INDEX($A$1:$A$5,MATCH(4,$S335:$W335,0)),IF(4=MAX($S335:$W335)+1,"取消",""))</f>
        <v>刘师傅</v>
      </c>
      <c r="AC335" s="0" t="str">
        <f aca="false">IFERROR(INDEX($A$1:$A$5,MATCH(5,$S335:$W335,0)),IF(5=MAX($S335:$W335)+1,"取消",""))</f>
        <v>取消</v>
      </c>
      <c r="AD335" s="0" t="str">
        <f aca="false">IFERROR(INDEX($A$1:$A$5,MATCH(6,$S335:$W335,0)),IF(6=MAX($S335:$W335)+1,"取消",""))</f>
        <v/>
      </c>
      <c r="AF335" s="0" t="n">
        <f aca="false">IF(OR($A$1=公区维修!$F335,$BN$1=1),0,1-SUMPRODUCT(--(($A$1=公区维修!$F335)+$BN$1&gt;0)))</f>
        <v>0</v>
      </c>
      <c r="AG335" s="0" t="n">
        <f aca="false">IF(OR($A$2=公区维修!$F335,$BN$2=1),0,2-SUMPRODUCT(--(($A$1:$A$2=公区维修!$F335)+$BN$1:$BN$2&gt;0)))</f>
        <v>1</v>
      </c>
      <c r="AH335" s="0" t="n">
        <f aca="false">IF(OR($A$3=公区维修!$F335,$BN$3=1),0,3-SUMPRODUCT(--(($A$1:$A$3=公区维修!$F335)+$BN$1:$BN$3&gt;0)))</f>
        <v>2</v>
      </c>
      <c r="AI335" s="0" t="n">
        <f aca="false">IF(OR($A$4=公区维修!$F335,$BN$4=1),0,4-SUMPRODUCT(--(($A$1:$A$4=公区维修!$F335)+$BN$1:$BN$4&gt;0)))</f>
        <v>3</v>
      </c>
      <c r="AJ335" s="0" t="n">
        <f aca="false">IF(OR($A$5=公区维修!$F335,$BN$5=1),0,5-SUMPRODUCT(--(($A$1:$A$5=公区维修!$F335)+$BN$1:$BN$5&gt;0)))</f>
        <v>4</v>
      </c>
      <c r="AL335" s="0" t="str">
        <f aca="false">IFERROR(INDEX($A$1:$A$5,MATCH(1,$AF335:$AJ335,0)),IF(1=MAX($AF335:$AJ335)+1,"取消",""))</f>
        <v>李师傅</v>
      </c>
      <c r="AM335" s="0" t="str">
        <f aca="false">IFERROR(INDEX($A$1:$A$5,MATCH(2,$AF335:$AJ335,0)),IF(2=MAX($AF335:$AJ335)+1,"取消",""))</f>
        <v>王师傅</v>
      </c>
      <c r="AN335" s="0" t="str">
        <f aca="false">IFERROR(INDEX($A$1:$A$5,MATCH(3,$AF335:$AJ335,0)),IF(3=MAX($AF335:$AJ335)+1,"取消",""))</f>
        <v>陈师傅</v>
      </c>
      <c r="AO335" s="0" t="str">
        <f aca="false">IFERROR(INDEX($A$1:$A$5,MATCH(4,$AF335:$AJ335,0)),IF(4=MAX($AF335:$AJ335)+1,"取消",""))</f>
        <v>刘师傅</v>
      </c>
      <c r="AP335" s="0" t="str">
        <f aca="false">IFERROR(INDEX($A$1:$A$5,MATCH(5,$AF335:$AJ335,0)),IF(5=MAX($AF335:$AJ335)+1,"取消",""))</f>
        <v>取消</v>
      </c>
      <c r="AQ335" s="0" t="str">
        <f aca="false">IFERROR(INDEX($A$1:$A$5,MATCH(6,$AF335:$AJ335,0)),IF(6=MAX($AF335:$AJ335)+1,"取消",""))</f>
        <v/>
      </c>
      <c r="AS335" s="0" t="n">
        <f aca="false">IF(OR($A$1=公区维修!$F335,$A$1=公区维修!$G335,$BN$1=1),0,1-SUMPRODUCT(--(($A$1=公区维修!$F335)+($A$1=公区维修!$G335)+$BN$1&gt;0)))</f>
        <v>0</v>
      </c>
      <c r="AT335" s="0" t="n">
        <f aca="false">IF(OR($A$2=公区维修!$F335,$A$2=公区维修!$G335,$BN$2=1),0,2-SUMPRODUCT(--(($A$1:$A$2=公区维修!$F335)+($A$1:$A$2=公区维修!$G335)+$BN$1:$BN$2&gt;0)))</f>
        <v>1</v>
      </c>
      <c r="AU335" s="0" t="n">
        <f aca="false">IF(OR($A$3=公区维修!$F335,$A$3=公区维修!$G335,$BN$3=1),0,3-SUMPRODUCT(--(($A$1:$A$3=公区维修!$F335)+($A$1:$A$3=公区维修!$G335)+$BN$1:$BN$3&gt;0)))</f>
        <v>2</v>
      </c>
      <c r="AV335" s="0" t="n">
        <f aca="false">IF(OR($A$4=公区维修!$F335,$A$4=公区维修!$G335,$BN$4=1),0,4-SUMPRODUCT(--(($A$1:$A$4=公区维修!$F335)+($A$1:$A$4=公区维修!$G335)+$BN$1:$BN$4&gt;0)))</f>
        <v>3</v>
      </c>
      <c r="AW335" s="0" t="n">
        <f aca="false">IF(OR($A$5=公区维修!$F335,$A$5=公区维修!$G335,$BN$5=1),0,5-SUMPRODUCT(--(($A$1:$A$5=公区维修!$F335)+($A$1:$A$5=公区维修!$G335)+$BN$1:$BN$5&gt;0)))</f>
        <v>4</v>
      </c>
      <c r="AY335" s="0" t="str">
        <f aca="false">IFERROR(INDEX($A$1:$A$5,MATCH(1,$AS335:$AW335,0)),IF(1=MAX($AS335:$AW335)+1,"取消",""))</f>
        <v>李师傅</v>
      </c>
      <c r="AZ335" s="0" t="str">
        <f aca="false">IFERROR(INDEX($A$1:$A$5,MATCH(2,$AS335:$AW335,0)),IF(2=MAX($AS335:$AW335)+1,"取消",""))</f>
        <v>王师傅</v>
      </c>
      <c r="BA335" s="0" t="str">
        <f aca="false">IFERROR(INDEX($A$1:$A$5,MATCH(3,$AS335:$AW335,0)),IF(3=MAX($AS335:$AW335)+1,"取消",""))</f>
        <v>陈师傅</v>
      </c>
      <c r="BB335" s="0" t="str">
        <f aca="false">IFERROR(INDEX($A$1:$A$5,MATCH(4,$AS335:$AW335,0)),IF(4=MAX($AS335:$AW335)+1,"取消",""))</f>
        <v>刘师傅</v>
      </c>
      <c r="BC335" s="0" t="str">
        <f aca="false">IFERROR(INDEX($A$1:$A$5,MATCH(5,$AS335:$AW335,0)),IF(5=MAX($AS335:$AW335)+1,"取消",""))</f>
        <v>取消</v>
      </c>
      <c r="BD335" s="0" t="str">
        <f aca="false">IFERROR(INDEX($A$1:$A$5,MATCH(6,$AS335:$AW335,0)),IF(6=MAX($AS335:$AW335)+1,"取消",""))</f>
        <v/>
      </c>
      <c r="FW335" s="0" t="str">
        <f aca="false">IF(AND(单元查询!$D$3&lt;&gt;"",IF(单元查询!$B$3="公区维修",公区维修!$E335&lt;&gt;"",入户维修!$E335&lt;&gt;""),IF(单元查询!$B$3="公区维修",公区维修!$C335,入户维修!$C335)=单元查询!$D$3,OR(单元查询!$F$3="",IF(单元查询!$B$3="公区维修",公区维修!$D335,入户维修!$D335)&amp;""=(单元查询!$F$3)&amp;"")),MAX($FW$4:$FW334)+1,"")</f>
        <v/>
      </c>
    </row>
    <row r="336" customFormat="false" ht="15" hidden="false" customHeight="true" outlineLevel="0" collapsed="false">
      <c r="F336" s="0" t="n">
        <f aca="false">IF(OR($A$1=入户维修!$F336,$BN$1=1),0,1-SUMPRODUCT(--(($A$1=入户维修!$F336)+$BN$1&gt;0)))</f>
        <v>0</v>
      </c>
      <c r="G336" s="0" t="n">
        <f aca="false">IF(OR($A$2=入户维修!$F336,$BN$2=1),0,2-SUMPRODUCT(--(($A$1:$A$2=入户维修!$F336)+$BN$1:$BN$2&gt;0)))</f>
        <v>1</v>
      </c>
      <c r="H336" s="0" t="n">
        <f aca="false">IF(OR($A$3=入户维修!$F336,$BN$3=1),0,3-SUMPRODUCT(--(($A$1:$A$3=入户维修!$F336)+$BN$1:$BN$3&gt;0)))</f>
        <v>2</v>
      </c>
      <c r="I336" s="0" t="n">
        <f aca="false">IF(OR($A$4=入户维修!$F336,$BN$4=1),0,4-SUMPRODUCT(--(($A$1:$A$4=入户维修!$F336)+$BN$1:$BN$4&gt;0)))</f>
        <v>3</v>
      </c>
      <c r="J336" s="0" t="n">
        <f aca="false">IF(OR($A$5=入户维修!$F336,$BN$5=1),0,5-SUMPRODUCT(--(($A$1:$A$5=入户维修!$F336)+$BN$1:$BN$5&gt;0)))</f>
        <v>4</v>
      </c>
      <c r="L336" s="0" t="str">
        <f aca="false">IFERROR(INDEX($A$1:$A$5,MATCH(1,$F336:$J336,0)),IF(1=MAX($F336:$J336)+1,"取消",""))</f>
        <v>李师傅</v>
      </c>
      <c r="M336" s="0" t="str">
        <f aca="false">IFERROR(INDEX($A$1:$A$5,MATCH(2,$F336:$J336,0)),IF(2=MAX($F336:$J336)+1,"取消",""))</f>
        <v>王师傅</v>
      </c>
      <c r="N336" s="0" t="str">
        <f aca="false">IFERROR(INDEX($A$1:$A$5,MATCH(3,$F336:$J336,0)),IF(3=MAX($F336:$J336)+1,"取消",""))</f>
        <v>陈师傅</v>
      </c>
      <c r="O336" s="0" t="str">
        <f aca="false">IFERROR(INDEX($A$1:$A$5,MATCH(4,$F336:$J336,0)),IF(4=MAX($F336:$J336)+1,"取消",""))</f>
        <v>刘师傅</v>
      </c>
      <c r="P336" s="0" t="str">
        <f aca="false">IFERROR(INDEX($A$1:$A$5,MATCH(5,$F336:$J336,0)),IF(5=MAX($F336:$J336)+1,"取消",""))</f>
        <v>取消</v>
      </c>
      <c r="Q336" s="0" t="str">
        <f aca="false">IFERROR(INDEX($A$1:$A$5,MATCH(6,$F336:$J336,0)),IF(6=MAX($F336:$J336)+1,"取消",""))</f>
        <v/>
      </c>
      <c r="S336" s="0" t="n">
        <f aca="false">IF(OR($A$1=入户维修!$F336,$A$1=入户维修!$G336,$BN$1=1),0,1-SUMPRODUCT(--(($A$1=入户维修!$F336)+($A$1=入户维修!$G336)+$BN$1&gt;0)))</f>
        <v>0</v>
      </c>
      <c r="T336" s="0" t="n">
        <f aca="false">IF(OR($A$2=入户维修!$F336,$A$2=入户维修!$G336,$BN$2=1),0,2-SUMPRODUCT(--(($A$1:$A$2=入户维修!$F336)+($A$1:$A$2=入户维修!$G336)+$BN$1:$BN$2&gt;0)))</f>
        <v>1</v>
      </c>
      <c r="U336" s="0" t="n">
        <f aca="false">IF(OR($A$3=入户维修!$F336,$A$3=入户维修!$G336,$BN$3=1),0,3-SUMPRODUCT(--(($A$1:$A$3=入户维修!$F336)+($A$1:$A$3=入户维修!$G336)+$BN$1:$BN$3&gt;0)))</f>
        <v>2</v>
      </c>
      <c r="V336" s="0" t="n">
        <f aca="false">IF(OR($A$4=入户维修!$F336,$A$4=入户维修!$G336,$BN$4=1),0,4-SUMPRODUCT(--(($A$1:$A$4=入户维修!$F336)+($A$1:$A$4=入户维修!$G336)+$BN$1:$BN$4&gt;0)))</f>
        <v>3</v>
      </c>
      <c r="W336" s="0" t="n">
        <f aca="false">IF(OR($A$5=入户维修!$F336,$A$5=入户维修!$G336,$BN$5=1),0,5-SUMPRODUCT(--(($A$1:$A$5=入户维修!$F336)+($A$1:$A$5=入户维修!$G336)+$BN$1:$BN$5&gt;0)))</f>
        <v>4</v>
      </c>
      <c r="Y336" s="0" t="str">
        <f aca="false">IFERROR(INDEX($A$1:$A$5,MATCH(1,$S336:$W336,0)),IF(1=MAX($S336:$W336)+1,"取消",""))</f>
        <v>李师傅</v>
      </c>
      <c r="Z336" s="0" t="str">
        <f aca="false">IFERROR(INDEX($A$1:$A$5,MATCH(2,$S336:$W336,0)),IF(2=MAX($S336:$W336)+1,"取消",""))</f>
        <v>王师傅</v>
      </c>
      <c r="AA336" s="0" t="str">
        <f aca="false">IFERROR(INDEX($A$1:$A$5,MATCH(3,$S336:$W336,0)),IF(3=MAX($S336:$W336)+1,"取消",""))</f>
        <v>陈师傅</v>
      </c>
      <c r="AB336" s="0" t="str">
        <f aca="false">IFERROR(INDEX($A$1:$A$5,MATCH(4,$S336:$W336,0)),IF(4=MAX($S336:$W336)+1,"取消",""))</f>
        <v>刘师傅</v>
      </c>
      <c r="AC336" s="0" t="str">
        <f aca="false">IFERROR(INDEX($A$1:$A$5,MATCH(5,$S336:$W336,0)),IF(5=MAX($S336:$W336)+1,"取消",""))</f>
        <v>取消</v>
      </c>
      <c r="AD336" s="0" t="str">
        <f aca="false">IFERROR(INDEX($A$1:$A$5,MATCH(6,$S336:$W336,0)),IF(6=MAX($S336:$W336)+1,"取消",""))</f>
        <v/>
      </c>
      <c r="AF336" s="0" t="n">
        <f aca="false">IF(OR($A$1=公区维修!$F336,$BN$1=1),0,1-SUMPRODUCT(--(($A$1=公区维修!$F336)+$BN$1&gt;0)))</f>
        <v>0</v>
      </c>
      <c r="AG336" s="0" t="n">
        <f aca="false">IF(OR($A$2=公区维修!$F336,$BN$2=1),0,2-SUMPRODUCT(--(($A$1:$A$2=公区维修!$F336)+$BN$1:$BN$2&gt;0)))</f>
        <v>1</v>
      </c>
      <c r="AH336" s="0" t="n">
        <f aca="false">IF(OR($A$3=公区维修!$F336,$BN$3=1),0,3-SUMPRODUCT(--(($A$1:$A$3=公区维修!$F336)+$BN$1:$BN$3&gt;0)))</f>
        <v>2</v>
      </c>
      <c r="AI336" s="0" t="n">
        <f aca="false">IF(OR($A$4=公区维修!$F336,$BN$4=1),0,4-SUMPRODUCT(--(($A$1:$A$4=公区维修!$F336)+$BN$1:$BN$4&gt;0)))</f>
        <v>3</v>
      </c>
      <c r="AJ336" s="0" t="n">
        <f aca="false">IF(OR($A$5=公区维修!$F336,$BN$5=1),0,5-SUMPRODUCT(--(($A$1:$A$5=公区维修!$F336)+$BN$1:$BN$5&gt;0)))</f>
        <v>4</v>
      </c>
      <c r="AL336" s="0" t="str">
        <f aca="false">IFERROR(INDEX($A$1:$A$5,MATCH(1,$AF336:$AJ336,0)),IF(1=MAX($AF336:$AJ336)+1,"取消",""))</f>
        <v>李师傅</v>
      </c>
      <c r="AM336" s="0" t="str">
        <f aca="false">IFERROR(INDEX($A$1:$A$5,MATCH(2,$AF336:$AJ336,0)),IF(2=MAX($AF336:$AJ336)+1,"取消",""))</f>
        <v>王师傅</v>
      </c>
      <c r="AN336" s="0" t="str">
        <f aca="false">IFERROR(INDEX($A$1:$A$5,MATCH(3,$AF336:$AJ336,0)),IF(3=MAX($AF336:$AJ336)+1,"取消",""))</f>
        <v>陈师傅</v>
      </c>
      <c r="AO336" s="0" t="str">
        <f aca="false">IFERROR(INDEX($A$1:$A$5,MATCH(4,$AF336:$AJ336,0)),IF(4=MAX($AF336:$AJ336)+1,"取消",""))</f>
        <v>刘师傅</v>
      </c>
      <c r="AP336" s="0" t="str">
        <f aca="false">IFERROR(INDEX($A$1:$A$5,MATCH(5,$AF336:$AJ336,0)),IF(5=MAX($AF336:$AJ336)+1,"取消",""))</f>
        <v>取消</v>
      </c>
      <c r="AQ336" s="0" t="str">
        <f aca="false">IFERROR(INDEX($A$1:$A$5,MATCH(6,$AF336:$AJ336,0)),IF(6=MAX($AF336:$AJ336)+1,"取消",""))</f>
        <v/>
      </c>
      <c r="AS336" s="0" t="n">
        <f aca="false">IF(OR($A$1=公区维修!$F336,$A$1=公区维修!$G336,$BN$1=1),0,1-SUMPRODUCT(--(($A$1=公区维修!$F336)+($A$1=公区维修!$G336)+$BN$1&gt;0)))</f>
        <v>0</v>
      </c>
      <c r="AT336" s="0" t="n">
        <f aca="false">IF(OR($A$2=公区维修!$F336,$A$2=公区维修!$G336,$BN$2=1),0,2-SUMPRODUCT(--(($A$1:$A$2=公区维修!$F336)+($A$1:$A$2=公区维修!$G336)+$BN$1:$BN$2&gt;0)))</f>
        <v>1</v>
      </c>
      <c r="AU336" s="0" t="n">
        <f aca="false">IF(OR($A$3=公区维修!$F336,$A$3=公区维修!$G336,$BN$3=1),0,3-SUMPRODUCT(--(($A$1:$A$3=公区维修!$F336)+($A$1:$A$3=公区维修!$G336)+$BN$1:$BN$3&gt;0)))</f>
        <v>2</v>
      </c>
      <c r="AV336" s="0" t="n">
        <f aca="false">IF(OR($A$4=公区维修!$F336,$A$4=公区维修!$G336,$BN$4=1),0,4-SUMPRODUCT(--(($A$1:$A$4=公区维修!$F336)+($A$1:$A$4=公区维修!$G336)+$BN$1:$BN$4&gt;0)))</f>
        <v>3</v>
      </c>
      <c r="AW336" s="0" t="n">
        <f aca="false">IF(OR($A$5=公区维修!$F336,$A$5=公区维修!$G336,$BN$5=1),0,5-SUMPRODUCT(--(($A$1:$A$5=公区维修!$F336)+($A$1:$A$5=公区维修!$G336)+$BN$1:$BN$5&gt;0)))</f>
        <v>4</v>
      </c>
      <c r="AY336" s="0" t="str">
        <f aca="false">IFERROR(INDEX($A$1:$A$5,MATCH(1,$AS336:$AW336,0)),IF(1=MAX($AS336:$AW336)+1,"取消",""))</f>
        <v>李师傅</v>
      </c>
      <c r="AZ336" s="0" t="str">
        <f aca="false">IFERROR(INDEX($A$1:$A$5,MATCH(2,$AS336:$AW336,0)),IF(2=MAX($AS336:$AW336)+1,"取消",""))</f>
        <v>王师傅</v>
      </c>
      <c r="BA336" s="0" t="str">
        <f aca="false">IFERROR(INDEX($A$1:$A$5,MATCH(3,$AS336:$AW336,0)),IF(3=MAX($AS336:$AW336)+1,"取消",""))</f>
        <v>陈师傅</v>
      </c>
      <c r="BB336" s="0" t="str">
        <f aca="false">IFERROR(INDEX($A$1:$A$5,MATCH(4,$AS336:$AW336,0)),IF(4=MAX($AS336:$AW336)+1,"取消",""))</f>
        <v>刘师傅</v>
      </c>
      <c r="BC336" s="0" t="str">
        <f aca="false">IFERROR(INDEX($A$1:$A$5,MATCH(5,$AS336:$AW336,0)),IF(5=MAX($AS336:$AW336)+1,"取消",""))</f>
        <v>取消</v>
      </c>
      <c r="BD336" s="0" t="str">
        <f aca="false">IFERROR(INDEX($A$1:$A$5,MATCH(6,$AS336:$AW336,0)),IF(6=MAX($AS336:$AW336)+1,"取消",""))</f>
        <v/>
      </c>
      <c r="FW336" s="0" t="str">
        <f aca="false">IF(AND(单元查询!$D$3&lt;&gt;"",IF(单元查询!$B$3="公区维修",公区维修!$E336&lt;&gt;"",入户维修!$E336&lt;&gt;""),IF(单元查询!$B$3="公区维修",公区维修!$C336,入户维修!$C336)=单元查询!$D$3,OR(单元查询!$F$3="",IF(单元查询!$B$3="公区维修",公区维修!$D336,入户维修!$D336)&amp;""=(单元查询!$F$3)&amp;"")),MAX($FW$4:$FW335)+1,"")</f>
        <v/>
      </c>
    </row>
    <row r="337" customFormat="false" ht="15" hidden="false" customHeight="true" outlineLevel="0" collapsed="false">
      <c r="F337" s="0" t="n">
        <f aca="false">IF(OR($A$1=入户维修!$F337,$BN$1=1),0,1-SUMPRODUCT(--(($A$1=入户维修!$F337)+$BN$1&gt;0)))</f>
        <v>0</v>
      </c>
      <c r="G337" s="0" t="n">
        <f aca="false">IF(OR($A$2=入户维修!$F337,$BN$2=1),0,2-SUMPRODUCT(--(($A$1:$A$2=入户维修!$F337)+$BN$1:$BN$2&gt;0)))</f>
        <v>1</v>
      </c>
      <c r="H337" s="0" t="n">
        <f aca="false">IF(OR($A$3=入户维修!$F337,$BN$3=1),0,3-SUMPRODUCT(--(($A$1:$A$3=入户维修!$F337)+$BN$1:$BN$3&gt;0)))</f>
        <v>2</v>
      </c>
      <c r="I337" s="0" t="n">
        <f aca="false">IF(OR($A$4=入户维修!$F337,$BN$4=1),0,4-SUMPRODUCT(--(($A$1:$A$4=入户维修!$F337)+$BN$1:$BN$4&gt;0)))</f>
        <v>3</v>
      </c>
      <c r="J337" s="0" t="n">
        <f aca="false">IF(OR($A$5=入户维修!$F337,$BN$5=1),0,5-SUMPRODUCT(--(($A$1:$A$5=入户维修!$F337)+$BN$1:$BN$5&gt;0)))</f>
        <v>4</v>
      </c>
      <c r="L337" s="0" t="str">
        <f aca="false">IFERROR(INDEX($A$1:$A$5,MATCH(1,$F337:$J337,0)),IF(1=MAX($F337:$J337)+1,"取消",""))</f>
        <v>李师傅</v>
      </c>
      <c r="M337" s="0" t="str">
        <f aca="false">IFERROR(INDEX($A$1:$A$5,MATCH(2,$F337:$J337,0)),IF(2=MAX($F337:$J337)+1,"取消",""))</f>
        <v>王师傅</v>
      </c>
      <c r="N337" s="0" t="str">
        <f aca="false">IFERROR(INDEX($A$1:$A$5,MATCH(3,$F337:$J337,0)),IF(3=MAX($F337:$J337)+1,"取消",""))</f>
        <v>陈师傅</v>
      </c>
      <c r="O337" s="0" t="str">
        <f aca="false">IFERROR(INDEX($A$1:$A$5,MATCH(4,$F337:$J337,0)),IF(4=MAX($F337:$J337)+1,"取消",""))</f>
        <v>刘师傅</v>
      </c>
      <c r="P337" s="0" t="str">
        <f aca="false">IFERROR(INDEX($A$1:$A$5,MATCH(5,$F337:$J337,0)),IF(5=MAX($F337:$J337)+1,"取消",""))</f>
        <v>取消</v>
      </c>
      <c r="Q337" s="0" t="str">
        <f aca="false">IFERROR(INDEX($A$1:$A$5,MATCH(6,$F337:$J337,0)),IF(6=MAX($F337:$J337)+1,"取消",""))</f>
        <v/>
      </c>
      <c r="S337" s="0" t="n">
        <f aca="false">IF(OR($A$1=入户维修!$F337,$A$1=入户维修!$G337,$BN$1=1),0,1-SUMPRODUCT(--(($A$1=入户维修!$F337)+($A$1=入户维修!$G337)+$BN$1&gt;0)))</f>
        <v>0</v>
      </c>
      <c r="T337" s="0" t="n">
        <f aca="false">IF(OR($A$2=入户维修!$F337,$A$2=入户维修!$G337,$BN$2=1),0,2-SUMPRODUCT(--(($A$1:$A$2=入户维修!$F337)+($A$1:$A$2=入户维修!$G337)+$BN$1:$BN$2&gt;0)))</f>
        <v>1</v>
      </c>
      <c r="U337" s="0" t="n">
        <f aca="false">IF(OR($A$3=入户维修!$F337,$A$3=入户维修!$G337,$BN$3=1),0,3-SUMPRODUCT(--(($A$1:$A$3=入户维修!$F337)+($A$1:$A$3=入户维修!$G337)+$BN$1:$BN$3&gt;0)))</f>
        <v>2</v>
      </c>
      <c r="V337" s="0" t="n">
        <f aca="false">IF(OR($A$4=入户维修!$F337,$A$4=入户维修!$G337,$BN$4=1),0,4-SUMPRODUCT(--(($A$1:$A$4=入户维修!$F337)+($A$1:$A$4=入户维修!$G337)+$BN$1:$BN$4&gt;0)))</f>
        <v>3</v>
      </c>
      <c r="W337" s="0" t="n">
        <f aca="false">IF(OR($A$5=入户维修!$F337,$A$5=入户维修!$G337,$BN$5=1),0,5-SUMPRODUCT(--(($A$1:$A$5=入户维修!$F337)+($A$1:$A$5=入户维修!$G337)+$BN$1:$BN$5&gt;0)))</f>
        <v>4</v>
      </c>
      <c r="Y337" s="0" t="str">
        <f aca="false">IFERROR(INDEX($A$1:$A$5,MATCH(1,$S337:$W337,0)),IF(1=MAX($S337:$W337)+1,"取消",""))</f>
        <v>李师傅</v>
      </c>
      <c r="Z337" s="0" t="str">
        <f aca="false">IFERROR(INDEX($A$1:$A$5,MATCH(2,$S337:$W337,0)),IF(2=MAX($S337:$W337)+1,"取消",""))</f>
        <v>王师傅</v>
      </c>
      <c r="AA337" s="0" t="str">
        <f aca="false">IFERROR(INDEX($A$1:$A$5,MATCH(3,$S337:$W337,0)),IF(3=MAX($S337:$W337)+1,"取消",""))</f>
        <v>陈师傅</v>
      </c>
      <c r="AB337" s="0" t="str">
        <f aca="false">IFERROR(INDEX($A$1:$A$5,MATCH(4,$S337:$W337,0)),IF(4=MAX($S337:$W337)+1,"取消",""))</f>
        <v>刘师傅</v>
      </c>
      <c r="AC337" s="0" t="str">
        <f aca="false">IFERROR(INDEX($A$1:$A$5,MATCH(5,$S337:$W337,0)),IF(5=MAX($S337:$W337)+1,"取消",""))</f>
        <v>取消</v>
      </c>
      <c r="AD337" s="0" t="str">
        <f aca="false">IFERROR(INDEX($A$1:$A$5,MATCH(6,$S337:$W337,0)),IF(6=MAX($S337:$W337)+1,"取消",""))</f>
        <v/>
      </c>
      <c r="AF337" s="0" t="n">
        <f aca="false">IF(OR($A$1=公区维修!$F337,$BN$1=1),0,1-SUMPRODUCT(--(($A$1=公区维修!$F337)+$BN$1&gt;0)))</f>
        <v>0</v>
      </c>
      <c r="AG337" s="0" t="n">
        <f aca="false">IF(OR($A$2=公区维修!$F337,$BN$2=1),0,2-SUMPRODUCT(--(($A$1:$A$2=公区维修!$F337)+$BN$1:$BN$2&gt;0)))</f>
        <v>1</v>
      </c>
      <c r="AH337" s="0" t="n">
        <f aca="false">IF(OR($A$3=公区维修!$F337,$BN$3=1),0,3-SUMPRODUCT(--(($A$1:$A$3=公区维修!$F337)+$BN$1:$BN$3&gt;0)))</f>
        <v>2</v>
      </c>
      <c r="AI337" s="0" t="n">
        <f aca="false">IF(OR($A$4=公区维修!$F337,$BN$4=1),0,4-SUMPRODUCT(--(($A$1:$A$4=公区维修!$F337)+$BN$1:$BN$4&gt;0)))</f>
        <v>3</v>
      </c>
      <c r="AJ337" s="0" t="n">
        <f aca="false">IF(OR($A$5=公区维修!$F337,$BN$5=1),0,5-SUMPRODUCT(--(($A$1:$A$5=公区维修!$F337)+$BN$1:$BN$5&gt;0)))</f>
        <v>4</v>
      </c>
      <c r="AL337" s="0" t="str">
        <f aca="false">IFERROR(INDEX($A$1:$A$5,MATCH(1,$AF337:$AJ337,0)),IF(1=MAX($AF337:$AJ337)+1,"取消",""))</f>
        <v>李师傅</v>
      </c>
      <c r="AM337" s="0" t="str">
        <f aca="false">IFERROR(INDEX($A$1:$A$5,MATCH(2,$AF337:$AJ337,0)),IF(2=MAX($AF337:$AJ337)+1,"取消",""))</f>
        <v>王师傅</v>
      </c>
      <c r="AN337" s="0" t="str">
        <f aca="false">IFERROR(INDEX($A$1:$A$5,MATCH(3,$AF337:$AJ337,0)),IF(3=MAX($AF337:$AJ337)+1,"取消",""))</f>
        <v>陈师傅</v>
      </c>
      <c r="AO337" s="0" t="str">
        <f aca="false">IFERROR(INDEX($A$1:$A$5,MATCH(4,$AF337:$AJ337,0)),IF(4=MAX($AF337:$AJ337)+1,"取消",""))</f>
        <v>刘师傅</v>
      </c>
      <c r="AP337" s="0" t="str">
        <f aca="false">IFERROR(INDEX($A$1:$A$5,MATCH(5,$AF337:$AJ337,0)),IF(5=MAX($AF337:$AJ337)+1,"取消",""))</f>
        <v>取消</v>
      </c>
      <c r="AQ337" s="0" t="str">
        <f aca="false">IFERROR(INDEX($A$1:$A$5,MATCH(6,$AF337:$AJ337,0)),IF(6=MAX($AF337:$AJ337)+1,"取消",""))</f>
        <v/>
      </c>
      <c r="AS337" s="0" t="n">
        <f aca="false">IF(OR($A$1=公区维修!$F337,$A$1=公区维修!$G337,$BN$1=1),0,1-SUMPRODUCT(--(($A$1=公区维修!$F337)+($A$1=公区维修!$G337)+$BN$1&gt;0)))</f>
        <v>0</v>
      </c>
      <c r="AT337" s="0" t="n">
        <f aca="false">IF(OR($A$2=公区维修!$F337,$A$2=公区维修!$G337,$BN$2=1),0,2-SUMPRODUCT(--(($A$1:$A$2=公区维修!$F337)+($A$1:$A$2=公区维修!$G337)+$BN$1:$BN$2&gt;0)))</f>
        <v>1</v>
      </c>
      <c r="AU337" s="0" t="n">
        <f aca="false">IF(OR($A$3=公区维修!$F337,$A$3=公区维修!$G337,$BN$3=1),0,3-SUMPRODUCT(--(($A$1:$A$3=公区维修!$F337)+($A$1:$A$3=公区维修!$G337)+$BN$1:$BN$3&gt;0)))</f>
        <v>2</v>
      </c>
      <c r="AV337" s="0" t="n">
        <f aca="false">IF(OR($A$4=公区维修!$F337,$A$4=公区维修!$G337,$BN$4=1),0,4-SUMPRODUCT(--(($A$1:$A$4=公区维修!$F337)+($A$1:$A$4=公区维修!$G337)+$BN$1:$BN$4&gt;0)))</f>
        <v>3</v>
      </c>
      <c r="AW337" s="0" t="n">
        <f aca="false">IF(OR($A$5=公区维修!$F337,$A$5=公区维修!$G337,$BN$5=1),0,5-SUMPRODUCT(--(($A$1:$A$5=公区维修!$F337)+($A$1:$A$5=公区维修!$G337)+$BN$1:$BN$5&gt;0)))</f>
        <v>4</v>
      </c>
      <c r="AY337" s="0" t="str">
        <f aca="false">IFERROR(INDEX($A$1:$A$5,MATCH(1,$AS337:$AW337,0)),IF(1=MAX($AS337:$AW337)+1,"取消",""))</f>
        <v>李师傅</v>
      </c>
      <c r="AZ337" s="0" t="str">
        <f aca="false">IFERROR(INDEX($A$1:$A$5,MATCH(2,$AS337:$AW337,0)),IF(2=MAX($AS337:$AW337)+1,"取消",""))</f>
        <v>王师傅</v>
      </c>
      <c r="BA337" s="0" t="str">
        <f aca="false">IFERROR(INDEX($A$1:$A$5,MATCH(3,$AS337:$AW337,0)),IF(3=MAX($AS337:$AW337)+1,"取消",""))</f>
        <v>陈师傅</v>
      </c>
      <c r="BB337" s="0" t="str">
        <f aca="false">IFERROR(INDEX($A$1:$A$5,MATCH(4,$AS337:$AW337,0)),IF(4=MAX($AS337:$AW337)+1,"取消",""))</f>
        <v>刘师傅</v>
      </c>
      <c r="BC337" s="0" t="str">
        <f aca="false">IFERROR(INDEX($A$1:$A$5,MATCH(5,$AS337:$AW337,0)),IF(5=MAX($AS337:$AW337)+1,"取消",""))</f>
        <v>取消</v>
      </c>
      <c r="BD337" s="0" t="str">
        <f aca="false">IFERROR(INDEX($A$1:$A$5,MATCH(6,$AS337:$AW337,0)),IF(6=MAX($AS337:$AW337)+1,"取消",""))</f>
        <v/>
      </c>
      <c r="FW337" s="0" t="str">
        <f aca="false">IF(AND(单元查询!$D$3&lt;&gt;"",IF(单元查询!$B$3="公区维修",公区维修!$E337&lt;&gt;"",入户维修!$E337&lt;&gt;""),IF(单元查询!$B$3="公区维修",公区维修!$C337,入户维修!$C337)=单元查询!$D$3,OR(单元查询!$F$3="",IF(单元查询!$B$3="公区维修",公区维修!$D337,入户维修!$D337)&amp;""=(单元查询!$F$3)&amp;"")),MAX($FW$4:$FW336)+1,"")</f>
        <v/>
      </c>
    </row>
    <row r="338" customFormat="false" ht="15" hidden="false" customHeight="true" outlineLevel="0" collapsed="false">
      <c r="F338" s="0" t="n">
        <f aca="false">IF(OR($A$1=入户维修!$F338,$BN$1=1),0,1-SUMPRODUCT(--(($A$1=入户维修!$F338)+$BN$1&gt;0)))</f>
        <v>0</v>
      </c>
      <c r="G338" s="0" t="n">
        <f aca="false">IF(OR($A$2=入户维修!$F338,$BN$2=1),0,2-SUMPRODUCT(--(($A$1:$A$2=入户维修!$F338)+$BN$1:$BN$2&gt;0)))</f>
        <v>1</v>
      </c>
      <c r="H338" s="0" t="n">
        <f aca="false">IF(OR($A$3=入户维修!$F338,$BN$3=1),0,3-SUMPRODUCT(--(($A$1:$A$3=入户维修!$F338)+$BN$1:$BN$3&gt;0)))</f>
        <v>2</v>
      </c>
      <c r="I338" s="0" t="n">
        <f aca="false">IF(OR($A$4=入户维修!$F338,$BN$4=1),0,4-SUMPRODUCT(--(($A$1:$A$4=入户维修!$F338)+$BN$1:$BN$4&gt;0)))</f>
        <v>3</v>
      </c>
      <c r="J338" s="0" t="n">
        <f aca="false">IF(OR($A$5=入户维修!$F338,$BN$5=1),0,5-SUMPRODUCT(--(($A$1:$A$5=入户维修!$F338)+$BN$1:$BN$5&gt;0)))</f>
        <v>4</v>
      </c>
      <c r="L338" s="0" t="str">
        <f aca="false">IFERROR(INDEX($A$1:$A$5,MATCH(1,$F338:$J338,0)),IF(1=MAX($F338:$J338)+1,"取消",""))</f>
        <v>李师傅</v>
      </c>
      <c r="M338" s="0" t="str">
        <f aca="false">IFERROR(INDEX($A$1:$A$5,MATCH(2,$F338:$J338,0)),IF(2=MAX($F338:$J338)+1,"取消",""))</f>
        <v>王师傅</v>
      </c>
      <c r="N338" s="0" t="str">
        <f aca="false">IFERROR(INDEX($A$1:$A$5,MATCH(3,$F338:$J338,0)),IF(3=MAX($F338:$J338)+1,"取消",""))</f>
        <v>陈师傅</v>
      </c>
      <c r="O338" s="0" t="str">
        <f aca="false">IFERROR(INDEX($A$1:$A$5,MATCH(4,$F338:$J338,0)),IF(4=MAX($F338:$J338)+1,"取消",""))</f>
        <v>刘师傅</v>
      </c>
      <c r="P338" s="0" t="str">
        <f aca="false">IFERROR(INDEX($A$1:$A$5,MATCH(5,$F338:$J338,0)),IF(5=MAX($F338:$J338)+1,"取消",""))</f>
        <v>取消</v>
      </c>
      <c r="Q338" s="0" t="str">
        <f aca="false">IFERROR(INDEX($A$1:$A$5,MATCH(6,$F338:$J338,0)),IF(6=MAX($F338:$J338)+1,"取消",""))</f>
        <v/>
      </c>
      <c r="S338" s="0" t="n">
        <f aca="false">IF(OR($A$1=入户维修!$F338,$A$1=入户维修!$G338,$BN$1=1),0,1-SUMPRODUCT(--(($A$1=入户维修!$F338)+($A$1=入户维修!$G338)+$BN$1&gt;0)))</f>
        <v>0</v>
      </c>
      <c r="T338" s="0" t="n">
        <f aca="false">IF(OR($A$2=入户维修!$F338,$A$2=入户维修!$G338,$BN$2=1),0,2-SUMPRODUCT(--(($A$1:$A$2=入户维修!$F338)+($A$1:$A$2=入户维修!$G338)+$BN$1:$BN$2&gt;0)))</f>
        <v>1</v>
      </c>
      <c r="U338" s="0" t="n">
        <f aca="false">IF(OR($A$3=入户维修!$F338,$A$3=入户维修!$G338,$BN$3=1),0,3-SUMPRODUCT(--(($A$1:$A$3=入户维修!$F338)+($A$1:$A$3=入户维修!$G338)+$BN$1:$BN$3&gt;0)))</f>
        <v>2</v>
      </c>
      <c r="V338" s="0" t="n">
        <f aca="false">IF(OR($A$4=入户维修!$F338,$A$4=入户维修!$G338,$BN$4=1),0,4-SUMPRODUCT(--(($A$1:$A$4=入户维修!$F338)+($A$1:$A$4=入户维修!$G338)+$BN$1:$BN$4&gt;0)))</f>
        <v>3</v>
      </c>
      <c r="W338" s="0" t="n">
        <f aca="false">IF(OR($A$5=入户维修!$F338,$A$5=入户维修!$G338,$BN$5=1),0,5-SUMPRODUCT(--(($A$1:$A$5=入户维修!$F338)+($A$1:$A$5=入户维修!$G338)+$BN$1:$BN$5&gt;0)))</f>
        <v>4</v>
      </c>
      <c r="Y338" s="0" t="str">
        <f aca="false">IFERROR(INDEX($A$1:$A$5,MATCH(1,$S338:$W338,0)),IF(1=MAX($S338:$W338)+1,"取消",""))</f>
        <v>李师傅</v>
      </c>
      <c r="Z338" s="0" t="str">
        <f aca="false">IFERROR(INDEX($A$1:$A$5,MATCH(2,$S338:$W338,0)),IF(2=MAX($S338:$W338)+1,"取消",""))</f>
        <v>王师傅</v>
      </c>
      <c r="AA338" s="0" t="str">
        <f aca="false">IFERROR(INDEX($A$1:$A$5,MATCH(3,$S338:$W338,0)),IF(3=MAX($S338:$W338)+1,"取消",""))</f>
        <v>陈师傅</v>
      </c>
      <c r="AB338" s="0" t="str">
        <f aca="false">IFERROR(INDEX($A$1:$A$5,MATCH(4,$S338:$W338,0)),IF(4=MAX($S338:$W338)+1,"取消",""))</f>
        <v>刘师傅</v>
      </c>
      <c r="AC338" s="0" t="str">
        <f aca="false">IFERROR(INDEX($A$1:$A$5,MATCH(5,$S338:$W338,0)),IF(5=MAX($S338:$W338)+1,"取消",""))</f>
        <v>取消</v>
      </c>
      <c r="AD338" s="0" t="str">
        <f aca="false">IFERROR(INDEX($A$1:$A$5,MATCH(6,$S338:$W338,0)),IF(6=MAX($S338:$W338)+1,"取消",""))</f>
        <v/>
      </c>
      <c r="AF338" s="0" t="n">
        <f aca="false">IF(OR($A$1=公区维修!$F338,$BN$1=1),0,1-SUMPRODUCT(--(($A$1=公区维修!$F338)+$BN$1&gt;0)))</f>
        <v>0</v>
      </c>
      <c r="AG338" s="0" t="n">
        <f aca="false">IF(OR($A$2=公区维修!$F338,$BN$2=1),0,2-SUMPRODUCT(--(($A$1:$A$2=公区维修!$F338)+$BN$1:$BN$2&gt;0)))</f>
        <v>1</v>
      </c>
      <c r="AH338" s="0" t="n">
        <f aca="false">IF(OR($A$3=公区维修!$F338,$BN$3=1),0,3-SUMPRODUCT(--(($A$1:$A$3=公区维修!$F338)+$BN$1:$BN$3&gt;0)))</f>
        <v>2</v>
      </c>
      <c r="AI338" s="0" t="n">
        <f aca="false">IF(OR($A$4=公区维修!$F338,$BN$4=1),0,4-SUMPRODUCT(--(($A$1:$A$4=公区维修!$F338)+$BN$1:$BN$4&gt;0)))</f>
        <v>3</v>
      </c>
      <c r="AJ338" s="0" t="n">
        <f aca="false">IF(OR($A$5=公区维修!$F338,$BN$5=1),0,5-SUMPRODUCT(--(($A$1:$A$5=公区维修!$F338)+$BN$1:$BN$5&gt;0)))</f>
        <v>4</v>
      </c>
      <c r="AL338" s="0" t="str">
        <f aca="false">IFERROR(INDEX($A$1:$A$5,MATCH(1,$AF338:$AJ338,0)),IF(1=MAX($AF338:$AJ338)+1,"取消",""))</f>
        <v>李师傅</v>
      </c>
      <c r="AM338" s="0" t="str">
        <f aca="false">IFERROR(INDEX($A$1:$A$5,MATCH(2,$AF338:$AJ338,0)),IF(2=MAX($AF338:$AJ338)+1,"取消",""))</f>
        <v>王师傅</v>
      </c>
      <c r="AN338" s="0" t="str">
        <f aca="false">IFERROR(INDEX($A$1:$A$5,MATCH(3,$AF338:$AJ338,0)),IF(3=MAX($AF338:$AJ338)+1,"取消",""))</f>
        <v>陈师傅</v>
      </c>
      <c r="AO338" s="0" t="str">
        <f aca="false">IFERROR(INDEX($A$1:$A$5,MATCH(4,$AF338:$AJ338,0)),IF(4=MAX($AF338:$AJ338)+1,"取消",""))</f>
        <v>刘师傅</v>
      </c>
      <c r="AP338" s="0" t="str">
        <f aca="false">IFERROR(INDEX($A$1:$A$5,MATCH(5,$AF338:$AJ338,0)),IF(5=MAX($AF338:$AJ338)+1,"取消",""))</f>
        <v>取消</v>
      </c>
      <c r="AQ338" s="0" t="str">
        <f aca="false">IFERROR(INDEX($A$1:$A$5,MATCH(6,$AF338:$AJ338,0)),IF(6=MAX($AF338:$AJ338)+1,"取消",""))</f>
        <v/>
      </c>
      <c r="AS338" s="0" t="n">
        <f aca="false">IF(OR($A$1=公区维修!$F338,$A$1=公区维修!$G338,$BN$1=1),0,1-SUMPRODUCT(--(($A$1=公区维修!$F338)+($A$1=公区维修!$G338)+$BN$1&gt;0)))</f>
        <v>0</v>
      </c>
      <c r="AT338" s="0" t="n">
        <f aca="false">IF(OR($A$2=公区维修!$F338,$A$2=公区维修!$G338,$BN$2=1),0,2-SUMPRODUCT(--(($A$1:$A$2=公区维修!$F338)+($A$1:$A$2=公区维修!$G338)+$BN$1:$BN$2&gt;0)))</f>
        <v>1</v>
      </c>
      <c r="AU338" s="0" t="n">
        <f aca="false">IF(OR($A$3=公区维修!$F338,$A$3=公区维修!$G338,$BN$3=1),0,3-SUMPRODUCT(--(($A$1:$A$3=公区维修!$F338)+($A$1:$A$3=公区维修!$G338)+$BN$1:$BN$3&gt;0)))</f>
        <v>2</v>
      </c>
      <c r="AV338" s="0" t="n">
        <f aca="false">IF(OR($A$4=公区维修!$F338,$A$4=公区维修!$G338,$BN$4=1),0,4-SUMPRODUCT(--(($A$1:$A$4=公区维修!$F338)+($A$1:$A$4=公区维修!$G338)+$BN$1:$BN$4&gt;0)))</f>
        <v>3</v>
      </c>
      <c r="AW338" s="0" t="n">
        <f aca="false">IF(OR($A$5=公区维修!$F338,$A$5=公区维修!$G338,$BN$5=1),0,5-SUMPRODUCT(--(($A$1:$A$5=公区维修!$F338)+($A$1:$A$5=公区维修!$G338)+$BN$1:$BN$5&gt;0)))</f>
        <v>4</v>
      </c>
      <c r="AY338" s="0" t="str">
        <f aca="false">IFERROR(INDEX($A$1:$A$5,MATCH(1,$AS338:$AW338,0)),IF(1=MAX($AS338:$AW338)+1,"取消",""))</f>
        <v>李师傅</v>
      </c>
      <c r="AZ338" s="0" t="str">
        <f aca="false">IFERROR(INDEX($A$1:$A$5,MATCH(2,$AS338:$AW338,0)),IF(2=MAX($AS338:$AW338)+1,"取消",""))</f>
        <v>王师傅</v>
      </c>
      <c r="BA338" s="0" t="str">
        <f aca="false">IFERROR(INDEX($A$1:$A$5,MATCH(3,$AS338:$AW338,0)),IF(3=MAX($AS338:$AW338)+1,"取消",""))</f>
        <v>陈师傅</v>
      </c>
      <c r="BB338" s="0" t="str">
        <f aca="false">IFERROR(INDEX($A$1:$A$5,MATCH(4,$AS338:$AW338,0)),IF(4=MAX($AS338:$AW338)+1,"取消",""))</f>
        <v>刘师傅</v>
      </c>
      <c r="BC338" s="0" t="str">
        <f aca="false">IFERROR(INDEX($A$1:$A$5,MATCH(5,$AS338:$AW338,0)),IF(5=MAX($AS338:$AW338)+1,"取消",""))</f>
        <v>取消</v>
      </c>
      <c r="BD338" s="0" t="str">
        <f aca="false">IFERROR(INDEX($A$1:$A$5,MATCH(6,$AS338:$AW338,0)),IF(6=MAX($AS338:$AW338)+1,"取消",""))</f>
        <v/>
      </c>
      <c r="FW338" s="0" t="str">
        <f aca="false">IF(AND(单元查询!$D$3&lt;&gt;"",IF(单元查询!$B$3="公区维修",公区维修!$E338&lt;&gt;"",入户维修!$E338&lt;&gt;""),IF(单元查询!$B$3="公区维修",公区维修!$C338,入户维修!$C338)=单元查询!$D$3,OR(单元查询!$F$3="",IF(单元查询!$B$3="公区维修",公区维修!$D338,入户维修!$D338)&amp;""=(单元查询!$F$3)&amp;"")),MAX($FW$4:$FW337)+1,"")</f>
        <v/>
      </c>
    </row>
    <row r="339" customFormat="false" ht="15" hidden="false" customHeight="true" outlineLevel="0" collapsed="false">
      <c r="F339" s="0" t="n">
        <f aca="false">IF(OR($A$1=入户维修!$F339,$BN$1=1),0,1-SUMPRODUCT(--(($A$1=入户维修!$F339)+$BN$1&gt;0)))</f>
        <v>0</v>
      </c>
      <c r="G339" s="0" t="n">
        <f aca="false">IF(OR($A$2=入户维修!$F339,$BN$2=1),0,2-SUMPRODUCT(--(($A$1:$A$2=入户维修!$F339)+$BN$1:$BN$2&gt;0)))</f>
        <v>1</v>
      </c>
      <c r="H339" s="0" t="n">
        <f aca="false">IF(OR($A$3=入户维修!$F339,$BN$3=1),0,3-SUMPRODUCT(--(($A$1:$A$3=入户维修!$F339)+$BN$1:$BN$3&gt;0)))</f>
        <v>2</v>
      </c>
      <c r="I339" s="0" t="n">
        <f aca="false">IF(OR($A$4=入户维修!$F339,$BN$4=1),0,4-SUMPRODUCT(--(($A$1:$A$4=入户维修!$F339)+$BN$1:$BN$4&gt;0)))</f>
        <v>3</v>
      </c>
      <c r="J339" s="0" t="n">
        <f aca="false">IF(OR($A$5=入户维修!$F339,$BN$5=1),0,5-SUMPRODUCT(--(($A$1:$A$5=入户维修!$F339)+$BN$1:$BN$5&gt;0)))</f>
        <v>4</v>
      </c>
      <c r="L339" s="0" t="str">
        <f aca="false">IFERROR(INDEX($A$1:$A$5,MATCH(1,$F339:$J339,0)),IF(1=MAX($F339:$J339)+1,"取消",""))</f>
        <v>李师傅</v>
      </c>
      <c r="M339" s="0" t="str">
        <f aca="false">IFERROR(INDEX($A$1:$A$5,MATCH(2,$F339:$J339,0)),IF(2=MAX($F339:$J339)+1,"取消",""))</f>
        <v>王师傅</v>
      </c>
      <c r="N339" s="0" t="str">
        <f aca="false">IFERROR(INDEX($A$1:$A$5,MATCH(3,$F339:$J339,0)),IF(3=MAX($F339:$J339)+1,"取消",""))</f>
        <v>陈师傅</v>
      </c>
      <c r="O339" s="0" t="str">
        <f aca="false">IFERROR(INDEX($A$1:$A$5,MATCH(4,$F339:$J339,0)),IF(4=MAX($F339:$J339)+1,"取消",""))</f>
        <v>刘师傅</v>
      </c>
      <c r="P339" s="0" t="str">
        <f aca="false">IFERROR(INDEX($A$1:$A$5,MATCH(5,$F339:$J339,0)),IF(5=MAX($F339:$J339)+1,"取消",""))</f>
        <v>取消</v>
      </c>
      <c r="Q339" s="0" t="str">
        <f aca="false">IFERROR(INDEX($A$1:$A$5,MATCH(6,$F339:$J339,0)),IF(6=MAX($F339:$J339)+1,"取消",""))</f>
        <v/>
      </c>
      <c r="S339" s="0" t="n">
        <f aca="false">IF(OR($A$1=入户维修!$F339,$A$1=入户维修!$G339,$BN$1=1),0,1-SUMPRODUCT(--(($A$1=入户维修!$F339)+($A$1=入户维修!$G339)+$BN$1&gt;0)))</f>
        <v>0</v>
      </c>
      <c r="T339" s="0" t="n">
        <f aca="false">IF(OR($A$2=入户维修!$F339,$A$2=入户维修!$G339,$BN$2=1),0,2-SUMPRODUCT(--(($A$1:$A$2=入户维修!$F339)+($A$1:$A$2=入户维修!$G339)+$BN$1:$BN$2&gt;0)))</f>
        <v>1</v>
      </c>
      <c r="U339" s="0" t="n">
        <f aca="false">IF(OR($A$3=入户维修!$F339,$A$3=入户维修!$G339,$BN$3=1),0,3-SUMPRODUCT(--(($A$1:$A$3=入户维修!$F339)+($A$1:$A$3=入户维修!$G339)+$BN$1:$BN$3&gt;0)))</f>
        <v>2</v>
      </c>
      <c r="V339" s="0" t="n">
        <f aca="false">IF(OR($A$4=入户维修!$F339,$A$4=入户维修!$G339,$BN$4=1),0,4-SUMPRODUCT(--(($A$1:$A$4=入户维修!$F339)+($A$1:$A$4=入户维修!$G339)+$BN$1:$BN$4&gt;0)))</f>
        <v>3</v>
      </c>
      <c r="W339" s="0" t="n">
        <f aca="false">IF(OR($A$5=入户维修!$F339,$A$5=入户维修!$G339,$BN$5=1),0,5-SUMPRODUCT(--(($A$1:$A$5=入户维修!$F339)+($A$1:$A$5=入户维修!$G339)+$BN$1:$BN$5&gt;0)))</f>
        <v>4</v>
      </c>
      <c r="Y339" s="0" t="str">
        <f aca="false">IFERROR(INDEX($A$1:$A$5,MATCH(1,$S339:$W339,0)),IF(1=MAX($S339:$W339)+1,"取消",""))</f>
        <v>李师傅</v>
      </c>
      <c r="Z339" s="0" t="str">
        <f aca="false">IFERROR(INDEX($A$1:$A$5,MATCH(2,$S339:$W339,0)),IF(2=MAX($S339:$W339)+1,"取消",""))</f>
        <v>王师傅</v>
      </c>
      <c r="AA339" s="0" t="str">
        <f aca="false">IFERROR(INDEX($A$1:$A$5,MATCH(3,$S339:$W339,0)),IF(3=MAX($S339:$W339)+1,"取消",""))</f>
        <v>陈师傅</v>
      </c>
      <c r="AB339" s="0" t="str">
        <f aca="false">IFERROR(INDEX($A$1:$A$5,MATCH(4,$S339:$W339,0)),IF(4=MAX($S339:$W339)+1,"取消",""))</f>
        <v>刘师傅</v>
      </c>
      <c r="AC339" s="0" t="str">
        <f aca="false">IFERROR(INDEX($A$1:$A$5,MATCH(5,$S339:$W339,0)),IF(5=MAX($S339:$W339)+1,"取消",""))</f>
        <v>取消</v>
      </c>
      <c r="AD339" s="0" t="str">
        <f aca="false">IFERROR(INDEX($A$1:$A$5,MATCH(6,$S339:$W339,0)),IF(6=MAX($S339:$W339)+1,"取消",""))</f>
        <v/>
      </c>
      <c r="AF339" s="0" t="n">
        <f aca="false">IF(OR($A$1=公区维修!$F339,$BN$1=1),0,1-SUMPRODUCT(--(($A$1=公区维修!$F339)+$BN$1&gt;0)))</f>
        <v>0</v>
      </c>
      <c r="AG339" s="0" t="n">
        <f aca="false">IF(OR($A$2=公区维修!$F339,$BN$2=1),0,2-SUMPRODUCT(--(($A$1:$A$2=公区维修!$F339)+$BN$1:$BN$2&gt;0)))</f>
        <v>1</v>
      </c>
      <c r="AH339" s="0" t="n">
        <f aca="false">IF(OR($A$3=公区维修!$F339,$BN$3=1),0,3-SUMPRODUCT(--(($A$1:$A$3=公区维修!$F339)+$BN$1:$BN$3&gt;0)))</f>
        <v>2</v>
      </c>
      <c r="AI339" s="0" t="n">
        <f aca="false">IF(OR($A$4=公区维修!$F339,$BN$4=1),0,4-SUMPRODUCT(--(($A$1:$A$4=公区维修!$F339)+$BN$1:$BN$4&gt;0)))</f>
        <v>3</v>
      </c>
      <c r="AJ339" s="0" t="n">
        <f aca="false">IF(OR($A$5=公区维修!$F339,$BN$5=1),0,5-SUMPRODUCT(--(($A$1:$A$5=公区维修!$F339)+$BN$1:$BN$5&gt;0)))</f>
        <v>4</v>
      </c>
      <c r="AL339" s="0" t="str">
        <f aca="false">IFERROR(INDEX($A$1:$A$5,MATCH(1,$AF339:$AJ339,0)),IF(1=MAX($AF339:$AJ339)+1,"取消",""))</f>
        <v>李师傅</v>
      </c>
      <c r="AM339" s="0" t="str">
        <f aca="false">IFERROR(INDEX($A$1:$A$5,MATCH(2,$AF339:$AJ339,0)),IF(2=MAX($AF339:$AJ339)+1,"取消",""))</f>
        <v>王师傅</v>
      </c>
      <c r="AN339" s="0" t="str">
        <f aca="false">IFERROR(INDEX($A$1:$A$5,MATCH(3,$AF339:$AJ339,0)),IF(3=MAX($AF339:$AJ339)+1,"取消",""))</f>
        <v>陈师傅</v>
      </c>
      <c r="AO339" s="0" t="str">
        <f aca="false">IFERROR(INDEX($A$1:$A$5,MATCH(4,$AF339:$AJ339,0)),IF(4=MAX($AF339:$AJ339)+1,"取消",""))</f>
        <v>刘师傅</v>
      </c>
      <c r="AP339" s="0" t="str">
        <f aca="false">IFERROR(INDEX($A$1:$A$5,MATCH(5,$AF339:$AJ339,0)),IF(5=MAX($AF339:$AJ339)+1,"取消",""))</f>
        <v>取消</v>
      </c>
      <c r="AQ339" s="0" t="str">
        <f aca="false">IFERROR(INDEX($A$1:$A$5,MATCH(6,$AF339:$AJ339,0)),IF(6=MAX($AF339:$AJ339)+1,"取消",""))</f>
        <v/>
      </c>
      <c r="AS339" s="0" t="n">
        <f aca="false">IF(OR($A$1=公区维修!$F339,$A$1=公区维修!$G339,$BN$1=1),0,1-SUMPRODUCT(--(($A$1=公区维修!$F339)+($A$1=公区维修!$G339)+$BN$1&gt;0)))</f>
        <v>0</v>
      </c>
      <c r="AT339" s="0" t="n">
        <f aca="false">IF(OR($A$2=公区维修!$F339,$A$2=公区维修!$G339,$BN$2=1),0,2-SUMPRODUCT(--(($A$1:$A$2=公区维修!$F339)+($A$1:$A$2=公区维修!$G339)+$BN$1:$BN$2&gt;0)))</f>
        <v>1</v>
      </c>
      <c r="AU339" s="0" t="n">
        <f aca="false">IF(OR($A$3=公区维修!$F339,$A$3=公区维修!$G339,$BN$3=1),0,3-SUMPRODUCT(--(($A$1:$A$3=公区维修!$F339)+($A$1:$A$3=公区维修!$G339)+$BN$1:$BN$3&gt;0)))</f>
        <v>2</v>
      </c>
      <c r="AV339" s="0" t="n">
        <f aca="false">IF(OR($A$4=公区维修!$F339,$A$4=公区维修!$G339,$BN$4=1),0,4-SUMPRODUCT(--(($A$1:$A$4=公区维修!$F339)+($A$1:$A$4=公区维修!$G339)+$BN$1:$BN$4&gt;0)))</f>
        <v>3</v>
      </c>
      <c r="AW339" s="0" t="n">
        <f aca="false">IF(OR($A$5=公区维修!$F339,$A$5=公区维修!$G339,$BN$5=1),0,5-SUMPRODUCT(--(($A$1:$A$5=公区维修!$F339)+($A$1:$A$5=公区维修!$G339)+$BN$1:$BN$5&gt;0)))</f>
        <v>4</v>
      </c>
      <c r="AY339" s="0" t="str">
        <f aca="false">IFERROR(INDEX($A$1:$A$5,MATCH(1,$AS339:$AW339,0)),IF(1=MAX($AS339:$AW339)+1,"取消",""))</f>
        <v>李师傅</v>
      </c>
      <c r="AZ339" s="0" t="str">
        <f aca="false">IFERROR(INDEX($A$1:$A$5,MATCH(2,$AS339:$AW339,0)),IF(2=MAX($AS339:$AW339)+1,"取消",""))</f>
        <v>王师傅</v>
      </c>
      <c r="BA339" s="0" t="str">
        <f aca="false">IFERROR(INDEX($A$1:$A$5,MATCH(3,$AS339:$AW339,0)),IF(3=MAX($AS339:$AW339)+1,"取消",""))</f>
        <v>陈师傅</v>
      </c>
      <c r="BB339" s="0" t="str">
        <f aca="false">IFERROR(INDEX($A$1:$A$5,MATCH(4,$AS339:$AW339,0)),IF(4=MAX($AS339:$AW339)+1,"取消",""))</f>
        <v>刘师傅</v>
      </c>
      <c r="BC339" s="0" t="str">
        <f aca="false">IFERROR(INDEX($A$1:$A$5,MATCH(5,$AS339:$AW339,0)),IF(5=MAX($AS339:$AW339)+1,"取消",""))</f>
        <v>取消</v>
      </c>
      <c r="BD339" s="0" t="str">
        <f aca="false">IFERROR(INDEX($A$1:$A$5,MATCH(6,$AS339:$AW339,0)),IF(6=MAX($AS339:$AW339)+1,"取消",""))</f>
        <v/>
      </c>
      <c r="FW339" s="0" t="str">
        <f aca="false">IF(AND(单元查询!$D$3&lt;&gt;"",IF(单元查询!$B$3="公区维修",公区维修!$E339&lt;&gt;"",入户维修!$E339&lt;&gt;""),IF(单元查询!$B$3="公区维修",公区维修!$C339,入户维修!$C339)=单元查询!$D$3,OR(单元查询!$F$3="",IF(单元查询!$B$3="公区维修",公区维修!$D339,入户维修!$D339)&amp;""=(单元查询!$F$3)&amp;"")),MAX($FW$4:$FW338)+1,"")</f>
        <v/>
      </c>
    </row>
    <row r="340" customFormat="false" ht="15" hidden="false" customHeight="true" outlineLevel="0" collapsed="false">
      <c r="F340" s="0" t="n">
        <f aca="false">IF(OR($A$1=入户维修!$F340,$BN$1=1),0,1-SUMPRODUCT(--(($A$1=入户维修!$F340)+$BN$1&gt;0)))</f>
        <v>0</v>
      </c>
      <c r="G340" s="0" t="n">
        <f aca="false">IF(OR($A$2=入户维修!$F340,$BN$2=1),0,2-SUMPRODUCT(--(($A$1:$A$2=入户维修!$F340)+$BN$1:$BN$2&gt;0)))</f>
        <v>1</v>
      </c>
      <c r="H340" s="0" t="n">
        <f aca="false">IF(OR($A$3=入户维修!$F340,$BN$3=1),0,3-SUMPRODUCT(--(($A$1:$A$3=入户维修!$F340)+$BN$1:$BN$3&gt;0)))</f>
        <v>2</v>
      </c>
      <c r="I340" s="0" t="n">
        <f aca="false">IF(OR($A$4=入户维修!$F340,$BN$4=1),0,4-SUMPRODUCT(--(($A$1:$A$4=入户维修!$F340)+$BN$1:$BN$4&gt;0)))</f>
        <v>3</v>
      </c>
      <c r="J340" s="0" t="n">
        <f aca="false">IF(OR($A$5=入户维修!$F340,$BN$5=1),0,5-SUMPRODUCT(--(($A$1:$A$5=入户维修!$F340)+$BN$1:$BN$5&gt;0)))</f>
        <v>4</v>
      </c>
      <c r="L340" s="0" t="str">
        <f aca="false">IFERROR(INDEX($A$1:$A$5,MATCH(1,$F340:$J340,0)),IF(1=MAX($F340:$J340)+1,"取消",""))</f>
        <v>李师傅</v>
      </c>
      <c r="M340" s="0" t="str">
        <f aca="false">IFERROR(INDEX($A$1:$A$5,MATCH(2,$F340:$J340,0)),IF(2=MAX($F340:$J340)+1,"取消",""))</f>
        <v>王师傅</v>
      </c>
      <c r="N340" s="0" t="str">
        <f aca="false">IFERROR(INDEX($A$1:$A$5,MATCH(3,$F340:$J340,0)),IF(3=MAX($F340:$J340)+1,"取消",""))</f>
        <v>陈师傅</v>
      </c>
      <c r="O340" s="0" t="str">
        <f aca="false">IFERROR(INDEX($A$1:$A$5,MATCH(4,$F340:$J340,0)),IF(4=MAX($F340:$J340)+1,"取消",""))</f>
        <v>刘师傅</v>
      </c>
      <c r="P340" s="0" t="str">
        <f aca="false">IFERROR(INDEX($A$1:$A$5,MATCH(5,$F340:$J340,0)),IF(5=MAX($F340:$J340)+1,"取消",""))</f>
        <v>取消</v>
      </c>
      <c r="Q340" s="0" t="str">
        <f aca="false">IFERROR(INDEX($A$1:$A$5,MATCH(6,$F340:$J340,0)),IF(6=MAX($F340:$J340)+1,"取消",""))</f>
        <v/>
      </c>
      <c r="S340" s="0" t="n">
        <f aca="false">IF(OR($A$1=入户维修!$F340,$A$1=入户维修!$G340,$BN$1=1),0,1-SUMPRODUCT(--(($A$1=入户维修!$F340)+($A$1=入户维修!$G340)+$BN$1&gt;0)))</f>
        <v>0</v>
      </c>
      <c r="T340" s="0" t="n">
        <f aca="false">IF(OR($A$2=入户维修!$F340,$A$2=入户维修!$G340,$BN$2=1),0,2-SUMPRODUCT(--(($A$1:$A$2=入户维修!$F340)+($A$1:$A$2=入户维修!$G340)+$BN$1:$BN$2&gt;0)))</f>
        <v>1</v>
      </c>
      <c r="U340" s="0" t="n">
        <f aca="false">IF(OR($A$3=入户维修!$F340,$A$3=入户维修!$G340,$BN$3=1),0,3-SUMPRODUCT(--(($A$1:$A$3=入户维修!$F340)+($A$1:$A$3=入户维修!$G340)+$BN$1:$BN$3&gt;0)))</f>
        <v>2</v>
      </c>
      <c r="V340" s="0" t="n">
        <f aca="false">IF(OR($A$4=入户维修!$F340,$A$4=入户维修!$G340,$BN$4=1),0,4-SUMPRODUCT(--(($A$1:$A$4=入户维修!$F340)+($A$1:$A$4=入户维修!$G340)+$BN$1:$BN$4&gt;0)))</f>
        <v>3</v>
      </c>
      <c r="W340" s="0" t="n">
        <f aca="false">IF(OR($A$5=入户维修!$F340,$A$5=入户维修!$G340,$BN$5=1),0,5-SUMPRODUCT(--(($A$1:$A$5=入户维修!$F340)+($A$1:$A$5=入户维修!$G340)+$BN$1:$BN$5&gt;0)))</f>
        <v>4</v>
      </c>
      <c r="Y340" s="0" t="str">
        <f aca="false">IFERROR(INDEX($A$1:$A$5,MATCH(1,$S340:$W340,0)),IF(1=MAX($S340:$W340)+1,"取消",""))</f>
        <v>李师傅</v>
      </c>
      <c r="Z340" s="0" t="str">
        <f aca="false">IFERROR(INDEX($A$1:$A$5,MATCH(2,$S340:$W340,0)),IF(2=MAX($S340:$W340)+1,"取消",""))</f>
        <v>王师傅</v>
      </c>
      <c r="AA340" s="0" t="str">
        <f aca="false">IFERROR(INDEX($A$1:$A$5,MATCH(3,$S340:$W340,0)),IF(3=MAX($S340:$W340)+1,"取消",""))</f>
        <v>陈师傅</v>
      </c>
      <c r="AB340" s="0" t="str">
        <f aca="false">IFERROR(INDEX($A$1:$A$5,MATCH(4,$S340:$W340,0)),IF(4=MAX($S340:$W340)+1,"取消",""))</f>
        <v>刘师傅</v>
      </c>
      <c r="AC340" s="0" t="str">
        <f aca="false">IFERROR(INDEX($A$1:$A$5,MATCH(5,$S340:$W340,0)),IF(5=MAX($S340:$W340)+1,"取消",""))</f>
        <v>取消</v>
      </c>
      <c r="AD340" s="0" t="str">
        <f aca="false">IFERROR(INDEX($A$1:$A$5,MATCH(6,$S340:$W340,0)),IF(6=MAX($S340:$W340)+1,"取消",""))</f>
        <v/>
      </c>
      <c r="AF340" s="0" t="n">
        <f aca="false">IF(OR($A$1=公区维修!$F340,$BN$1=1),0,1-SUMPRODUCT(--(($A$1=公区维修!$F340)+$BN$1&gt;0)))</f>
        <v>0</v>
      </c>
      <c r="AG340" s="0" t="n">
        <f aca="false">IF(OR($A$2=公区维修!$F340,$BN$2=1),0,2-SUMPRODUCT(--(($A$1:$A$2=公区维修!$F340)+$BN$1:$BN$2&gt;0)))</f>
        <v>1</v>
      </c>
      <c r="AH340" s="0" t="n">
        <f aca="false">IF(OR($A$3=公区维修!$F340,$BN$3=1),0,3-SUMPRODUCT(--(($A$1:$A$3=公区维修!$F340)+$BN$1:$BN$3&gt;0)))</f>
        <v>2</v>
      </c>
      <c r="AI340" s="0" t="n">
        <f aca="false">IF(OR($A$4=公区维修!$F340,$BN$4=1),0,4-SUMPRODUCT(--(($A$1:$A$4=公区维修!$F340)+$BN$1:$BN$4&gt;0)))</f>
        <v>3</v>
      </c>
      <c r="AJ340" s="0" t="n">
        <f aca="false">IF(OR($A$5=公区维修!$F340,$BN$5=1),0,5-SUMPRODUCT(--(($A$1:$A$5=公区维修!$F340)+$BN$1:$BN$5&gt;0)))</f>
        <v>4</v>
      </c>
      <c r="AL340" s="0" t="str">
        <f aca="false">IFERROR(INDEX($A$1:$A$5,MATCH(1,$AF340:$AJ340,0)),IF(1=MAX($AF340:$AJ340)+1,"取消",""))</f>
        <v>李师傅</v>
      </c>
      <c r="AM340" s="0" t="str">
        <f aca="false">IFERROR(INDEX($A$1:$A$5,MATCH(2,$AF340:$AJ340,0)),IF(2=MAX($AF340:$AJ340)+1,"取消",""))</f>
        <v>王师傅</v>
      </c>
      <c r="AN340" s="0" t="str">
        <f aca="false">IFERROR(INDEX($A$1:$A$5,MATCH(3,$AF340:$AJ340,0)),IF(3=MAX($AF340:$AJ340)+1,"取消",""))</f>
        <v>陈师傅</v>
      </c>
      <c r="AO340" s="0" t="str">
        <f aca="false">IFERROR(INDEX($A$1:$A$5,MATCH(4,$AF340:$AJ340,0)),IF(4=MAX($AF340:$AJ340)+1,"取消",""))</f>
        <v>刘师傅</v>
      </c>
      <c r="AP340" s="0" t="str">
        <f aca="false">IFERROR(INDEX($A$1:$A$5,MATCH(5,$AF340:$AJ340,0)),IF(5=MAX($AF340:$AJ340)+1,"取消",""))</f>
        <v>取消</v>
      </c>
      <c r="AQ340" s="0" t="str">
        <f aca="false">IFERROR(INDEX($A$1:$A$5,MATCH(6,$AF340:$AJ340,0)),IF(6=MAX($AF340:$AJ340)+1,"取消",""))</f>
        <v/>
      </c>
      <c r="AS340" s="0" t="n">
        <f aca="false">IF(OR($A$1=公区维修!$F340,$A$1=公区维修!$G340,$BN$1=1),0,1-SUMPRODUCT(--(($A$1=公区维修!$F340)+($A$1=公区维修!$G340)+$BN$1&gt;0)))</f>
        <v>0</v>
      </c>
      <c r="AT340" s="0" t="n">
        <f aca="false">IF(OR($A$2=公区维修!$F340,$A$2=公区维修!$G340,$BN$2=1),0,2-SUMPRODUCT(--(($A$1:$A$2=公区维修!$F340)+($A$1:$A$2=公区维修!$G340)+$BN$1:$BN$2&gt;0)))</f>
        <v>1</v>
      </c>
      <c r="AU340" s="0" t="n">
        <f aca="false">IF(OR($A$3=公区维修!$F340,$A$3=公区维修!$G340,$BN$3=1),0,3-SUMPRODUCT(--(($A$1:$A$3=公区维修!$F340)+($A$1:$A$3=公区维修!$G340)+$BN$1:$BN$3&gt;0)))</f>
        <v>2</v>
      </c>
      <c r="AV340" s="0" t="n">
        <f aca="false">IF(OR($A$4=公区维修!$F340,$A$4=公区维修!$G340,$BN$4=1),0,4-SUMPRODUCT(--(($A$1:$A$4=公区维修!$F340)+($A$1:$A$4=公区维修!$G340)+$BN$1:$BN$4&gt;0)))</f>
        <v>3</v>
      </c>
      <c r="AW340" s="0" t="n">
        <f aca="false">IF(OR($A$5=公区维修!$F340,$A$5=公区维修!$G340,$BN$5=1),0,5-SUMPRODUCT(--(($A$1:$A$5=公区维修!$F340)+($A$1:$A$5=公区维修!$G340)+$BN$1:$BN$5&gt;0)))</f>
        <v>4</v>
      </c>
      <c r="AY340" s="0" t="str">
        <f aca="false">IFERROR(INDEX($A$1:$A$5,MATCH(1,$AS340:$AW340,0)),IF(1=MAX($AS340:$AW340)+1,"取消",""))</f>
        <v>李师傅</v>
      </c>
      <c r="AZ340" s="0" t="str">
        <f aca="false">IFERROR(INDEX($A$1:$A$5,MATCH(2,$AS340:$AW340,0)),IF(2=MAX($AS340:$AW340)+1,"取消",""))</f>
        <v>王师傅</v>
      </c>
      <c r="BA340" s="0" t="str">
        <f aca="false">IFERROR(INDEX($A$1:$A$5,MATCH(3,$AS340:$AW340,0)),IF(3=MAX($AS340:$AW340)+1,"取消",""))</f>
        <v>陈师傅</v>
      </c>
      <c r="BB340" s="0" t="str">
        <f aca="false">IFERROR(INDEX($A$1:$A$5,MATCH(4,$AS340:$AW340,0)),IF(4=MAX($AS340:$AW340)+1,"取消",""))</f>
        <v>刘师傅</v>
      </c>
      <c r="BC340" s="0" t="str">
        <f aca="false">IFERROR(INDEX($A$1:$A$5,MATCH(5,$AS340:$AW340,0)),IF(5=MAX($AS340:$AW340)+1,"取消",""))</f>
        <v>取消</v>
      </c>
      <c r="BD340" s="0" t="str">
        <f aca="false">IFERROR(INDEX($A$1:$A$5,MATCH(6,$AS340:$AW340,0)),IF(6=MAX($AS340:$AW340)+1,"取消",""))</f>
        <v/>
      </c>
      <c r="FW340" s="0" t="str">
        <f aca="false">IF(AND(单元查询!$D$3&lt;&gt;"",IF(单元查询!$B$3="公区维修",公区维修!$E340&lt;&gt;"",入户维修!$E340&lt;&gt;""),IF(单元查询!$B$3="公区维修",公区维修!$C340,入户维修!$C340)=单元查询!$D$3,OR(单元查询!$F$3="",IF(单元查询!$B$3="公区维修",公区维修!$D340,入户维修!$D340)&amp;""=(单元查询!$F$3)&amp;"")),MAX($FW$4:$FW339)+1,"")</f>
        <v/>
      </c>
    </row>
    <row r="341" customFormat="false" ht="15" hidden="false" customHeight="true" outlineLevel="0" collapsed="false">
      <c r="F341" s="0" t="n">
        <f aca="false">IF(OR($A$1=入户维修!$F341,$BN$1=1),0,1-SUMPRODUCT(--(($A$1=入户维修!$F341)+$BN$1&gt;0)))</f>
        <v>0</v>
      </c>
      <c r="G341" s="0" t="n">
        <f aca="false">IF(OR($A$2=入户维修!$F341,$BN$2=1),0,2-SUMPRODUCT(--(($A$1:$A$2=入户维修!$F341)+$BN$1:$BN$2&gt;0)))</f>
        <v>1</v>
      </c>
      <c r="H341" s="0" t="n">
        <f aca="false">IF(OR($A$3=入户维修!$F341,$BN$3=1),0,3-SUMPRODUCT(--(($A$1:$A$3=入户维修!$F341)+$BN$1:$BN$3&gt;0)))</f>
        <v>2</v>
      </c>
      <c r="I341" s="0" t="n">
        <f aca="false">IF(OR($A$4=入户维修!$F341,$BN$4=1),0,4-SUMPRODUCT(--(($A$1:$A$4=入户维修!$F341)+$BN$1:$BN$4&gt;0)))</f>
        <v>3</v>
      </c>
      <c r="J341" s="0" t="n">
        <f aca="false">IF(OR($A$5=入户维修!$F341,$BN$5=1),0,5-SUMPRODUCT(--(($A$1:$A$5=入户维修!$F341)+$BN$1:$BN$5&gt;0)))</f>
        <v>4</v>
      </c>
      <c r="L341" s="0" t="str">
        <f aca="false">IFERROR(INDEX($A$1:$A$5,MATCH(1,$F341:$J341,0)),IF(1=MAX($F341:$J341)+1,"取消",""))</f>
        <v>李师傅</v>
      </c>
      <c r="M341" s="0" t="str">
        <f aca="false">IFERROR(INDEX($A$1:$A$5,MATCH(2,$F341:$J341,0)),IF(2=MAX($F341:$J341)+1,"取消",""))</f>
        <v>王师傅</v>
      </c>
      <c r="N341" s="0" t="str">
        <f aca="false">IFERROR(INDEX($A$1:$A$5,MATCH(3,$F341:$J341,0)),IF(3=MAX($F341:$J341)+1,"取消",""))</f>
        <v>陈师傅</v>
      </c>
      <c r="O341" s="0" t="str">
        <f aca="false">IFERROR(INDEX($A$1:$A$5,MATCH(4,$F341:$J341,0)),IF(4=MAX($F341:$J341)+1,"取消",""))</f>
        <v>刘师傅</v>
      </c>
      <c r="P341" s="0" t="str">
        <f aca="false">IFERROR(INDEX($A$1:$A$5,MATCH(5,$F341:$J341,0)),IF(5=MAX($F341:$J341)+1,"取消",""))</f>
        <v>取消</v>
      </c>
      <c r="Q341" s="0" t="str">
        <f aca="false">IFERROR(INDEX($A$1:$A$5,MATCH(6,$F341:$J341,0)),IF(6=MAX($F341:$J341)+1,"取消",""))</f>
        <v/>
      </c>
      <c r="S341" s="0" t="n">
        <f aca="false">IF(OR($A$1=入户维修!$F341,$A$1=入户维修!$G341,$BN$1=1),0,1-SUMPRODUCT(--(($A$1=入户维修!$F341)+($A$1=入户维修!$G341)+$BN$1&gt;0)))</f>
        <v>0</v>
      </c>
      <c r="T341" s="0" t="n">
        <f aca="false">IF(OR($A$2=入户维修!$F341,$A$2=入户维修!$G341,$BN$2=1),0,2-SUMPRODUCT(--(($A$1:$A$2=入户维修!$F341)+($A$1:$A$2=入户维修!$G341)+$BN$1:$BN$2&gt;0)))</f>
        <v>1</v>
      </c>
      <c r="U341" s="0" t="n">
        <f aca="false">IF(OR($A$3=入户维修!$F341,$A$3=入户维修!$G341,$BN$3=1),0,3-SUMPRODUCT(--(($A$1:$A$3=入户维修!$F341)+($A$1:$A$3=入户维修!$G341)+$BN$1:$BN$3&gt;0)))</f>
        <v>2</v>
      </c>
      <c r="V341" s="0" t="n">
        <f aca="false">IF(OR($A$4=入户维修!$F341,$A$4=入户维修!$G341,$BN$4=1),0,4-SUMPRODUCT(--(($A$1:$A$4=入户维修!$F341)+($A$1:$A$4=入户维修!$G341)+$BN$1:$BN$4&gt;0)))</f>
        <v>3</v>
      </c>
      <c r="W341" s="0" t="n">
        <f aca="false">IF(OR($A$5=入户维修!$F341,$A$5=入户维修!$G341,$BN$5=1),0,5-SUMPRODUCT(--(($A$1:$A$5=入户维修!$F341)+($A$1:$A$5=入户维修!$G341)+$BN$1:$BN$5&gt;0)))</f>
        <v>4</v>
      </c>
      <c r="Y341" s="0" t="str">
        <f aca="false">IFERROR(INDEX($A$1:$A$5,MATCH(1,$S341:$W341,0)),IF(1=MAX($S341:$W341)+1,"取消",""))</f>
        <v>李师傅</v>
      </c>
      <c r="Z341" s="0" t="str">
        <f aca="false">IFERROR(INDEX($A$1:$A$5,MATCH(2,$S341:$W341,0)),IF(2=MAX($S341:$W341)+1,"取消",""))</f>
        <v>王师傅</v>
      </c>
      <c r="AA341" s="0" t="str">
        <f aca="false">IFERROR(INDEX($A$1:$A$5,MATCH(3,$S341:$W341,0)),IF(3=MAX($S341:$W341)+1,"取消",""))</f>
        <v>陈师傅</v>
      </c>
      <c r="AB341" s="0" t="str">
        <f aca="false">IFERROR(INDEX($A$1:$A$5,MATCH(4,$S341:$W341,0)),IF(4=MAX($S341:$W341)+1,"取消",""))</f>
        <v>刘师傅</v>
      </c>
      <c r="AC341" s="0" t="str">
        <f aca="false">IFERROR(INDEX($A$1:$A$5,MATCH(5,$S341:$W341,0)),IF(5=MAX($S341:$W341)+1,"取消",""))</f>
        <v>取消</v>
      </c>
      <c r="AD341" s="0" t="str">
        <f aca="false">IFERROR(INDEX($A$1:$A$5,MATCH(6,$S341:$W341,0)),IF(6=MAX($S341:$W341)+1,"取消",""))</f>
        <v/>
      </c>
      <c r="AF341" s="0" t="n">
        <f aca="false">IF(OR($A$1=公区维修!$F341,$BN$1=1),0,1-SUMPRODUCT(--(($A$1=公区维修!$F341)+$BN$1&gt;0)))</f>
        <v>0</v>
      </c>
      <c r="AG341" s="0" t="n">
        <f aca="false">IF(OR($A$2=公区维修!$F341,$BN$2=1),0,2-SUMPRODUCT(--(($A$1:$A$2=公区维修!$F341)+$BN$1:$BN$2&gt;0)))</f>
        <v>1</v>
      </c>
      <c r="AH341" s="0" t="n">
        <f aca="false">IF(OR($A$3=公区维修!$F341,$BN$3=1),0,3-SUMPRODUCT(--(($A$1:$A$3=公区维修!$F341)+$BN$1:$BN$3&gt;0)))</f>
        <v>2</v>
      </c>
      <c r="AI341" s="0" t="n">
        <f aca="false">IF(OR($A$4=公区维修!$F341,$BN$4=1),0,4-SUMPRODUCT(--(($A$1:$A$4=公区维修!$F341)+$BN$1:$BN$4&gt;0)))</f>
        <v>3</v>
      </c>
      <c r="AJ341" s="0" t="n">
        <f aca="false">IF(OR($A$5=公区维修!$F341,$BN$5=1),0,5-SUMPRODUCT(--(($A$1:$A$5=公区维修!$F341)+$BN$1:$BN$5&gt;0)))</f>
        <v>4</v>
      </c>
      <c r="AL341" s="0" t="str">
        <f aca="false">IFERROR(INDEX($A$1:$A$5,MATCH(1,$AF341:$AJ341,0)),IF(1=MAX($AF341:$AJ341)+1,"取消",""))</f>
        <v>李师傅</v>
      </c>
      <c r="AM341" s="0" t="str">
        <f aca="false">IFERROR(INDEX($A$1:$A$5,MATCH(2,$AF341:$AJ341,0)),IF(2=MAX($AF341:$AJ341)+1,"取消",""))</f>
        <v>王师傅</v>
      </c>
      <c r="AN341" s="0" t="str">
        <f aca="false">IFERROR(INDEX($A$1:$A$5,MATCH(3,$AF341:$AJ341,0)),IF(3=MAX($AF341:$AJ341)+1,"取消",""))</f>
        <v>陈师傅</v>
      </c>
      <c r="AO341" s="0" t="str">
        <f aca="false">IFERROR(INDEX($A$1:$A$5,MATCH(4,$AF341:$AJ341,0)),IF(4=MAX($AF341:$AJ341)+1,"取消",""))</f>
        <v>刘师傅</v>
      </c>
      <c r="AP341" s="0" t="str">
        <f aca="false">IFERROR(INDEX($A$1:$A$5,MATCH(5,$AF341:$AJ341,0)),IF(5=MAX($AF341:$AJ341)+1,"取消",""))</f>
        <v>取消</v>
      </c>
      <c r="AQ341" s="0" t="str">
        <f aca="false">IFERROR(INDEX($A$1:$A$5,MATCH(6,$AF341:$AJ341,0)),IF(6=MAX($AF341:$AJ341)+1,"取消",""))</f>
        <v/>
      </c>
      <c r="AS341" s="0" t="n">
        <f aca="false">IF(OR($A$1=公区维修!$F341,$A$1=公区维修!$G341,$BN$1=1),0,1-SUMPRODUCT(--(($A$1=公区维修!$F341)+($A$1=公区维修!$G341)+$BN$1&gt;0)))</f>
        <v>0</v>
      </c>
      <c r="AT341" s="0" t="n">
        <f aca="false">IF(OR($A$2=公区维修!$F341,$A$2=公区维修!$G341,$BN$2=1),0,2-SUMPRODUCT(--(($A$1:$A$2=公区维修!$F341)+($A$1:$A$2=公区维修!$G341)+$BN$1:$BN$2&gt;0)))</f>
        <v>1</v>
      </c>
      <c r="AU341" s="0" t="n">
        <f aca="false">IF(OR($A$3=公区维修!$F341,$A$3=公区维修!$G341,$BN$3=1),0,3-SUMPRODUCT(--(($A$1:$A$3=公区维修!$F341)+($A$1:$A$3=公区维修!$G341)+$BN$1:$BN$3&gt;0)))</f>
        <v>2</v>
      </c>
      <c r="AV341" s="0" t="n">
        <f aca="false">IF(OR($A$4=公区维修!$F341,$A$4=公区维修!$G341,$BN$4=1),0,4-SUMPRODUCT(--(($A$1:$A$4=公区维修!$F341)+($A$1:$A$4=公区维修!$G341)+$BN$1:$BN$4&gt;0)))</f>
        <v>3</v>
      </c>
      <c r="AW341" s="0" t="n">
        <f aca="false">IF(OR($A$5=公区维修!$F341,$A$5=公区维修!$G341,$BN$5=1),0,5-SUMPRODUCT(--(($A$1:$A$5=公区维修!$F341)+($A$1:$A$5=公区维修!$G341)+$BN$1:$BN$5&gt;0)))</f>
        <v>4</v>
      </c>
      <c r="AY341" s="0" t="str">
        <f aca="false">IFERROR(INDEX($A$1:$A$5,MATCH(1,$AS341:$AW341,0)),IF(1=MAX($AS341:$AW341)+1,"取消",""))</f>
        <v>李师傅</v>
      </c>
      <c r="AZ341" s="0" t="str">
        <f aca="false">IFERROR(INDEX($A$1:$A$5,MATCH(2,$AS341:$AW341,0)),IF(2=MAX($AS341:$AW341)+1,"取消",""))</f>
        <v>王师傅</v>
      </c>
      <c r="BA341" s="0" t="str">
        <f aca="false">IFERROR(INDEX($A$1:$A$5,MATCH(3,$AS341:$AW341,0)),IF(3=MAX($AS341:$AW341)+1,"取消",""))</f>
        <v>陈师傅</v>
      </c>
      <c r="BB341" s="0" t="str">
        <f aca="false">IFERROR(INDEX($A$1:$A$5,MATCH(4,$AS341:$AW341,0)),IF(4=MAX($AS341:$AW341)+1,"取消",""))</f>
        <v>刘师傅</v>
      </c>
      <c r="BC341" s="0" t="str">
        <f aca="false">IFERROR(INDEX($A$1:$A$5,MATCH(5,$AS341:$AW341,0)),IF(5=MAX($AS341:$AW341)+1,"取消",""))</f>
        <v>取消</v>
      </c>
      <c r="BD341" s="0" t="str">
        <f aca="false">IFERROR(INDEX($A$1:$A$5,MATCH(6,$AS341:$AW341,0)),IF(6=MAX($AS341:$AW341)+1,"取消",""))</f>
        <v/>
      </c>
      <c r="FW341" s="0" t="str">
        <f aca="false">IF(AND(单元查询!$D$3&lt;&gt;"",IF(单元查询!$B$3="公区维修",公区维修!$E341&lt;&gt;"",入户维修!$E341&lt;&gt;""),IF(单元查询!$B$3="公区维修",公区维修!$C341,入户维修!$C341)=单元查询!$D$3,OR(单元查询!$F$3="",IF(单元查询!$B$3="公区维修",公区维修!$D341,入户维修!$D341)&amp;""=(单元查询!$F$3)&amp;"")),MAX($FW$4:$FW340)+1,"")</f>
        <v/>
      </c>
    </row>
    <row r="342" customFormat="false" ht="15" hidden="false" customHeight="true" outlineLevel="0" collapsed="false">
      <c r="F342" s="0" t="n">
        <f aca="false">IF(OR($A$1=入户维修!$F342,$BN$1=1),0,1-SUMPRODUCT(--(($A$1=入户维修!$F342)+$BN$1&gt;0)))</f>
        <v>0</v>
      </c>
      <c r="G342" s="0" t="n">
        <f aca="false">IF(OR($A$2=入户维修!$F342,$BN$2=1),0,2-SUMPRODUCT(--(($A$1:$A$2=入户维修!$F342)+$BN$1:$BN$2&gt;0)))</f>
        <v>1</v>
      </c>
      <c r="H342" s="0" t="n">
        <f aca="false">IF(OR($A$3=入户维修!$F342,$BN$3=1),0,3-SUMPRODUCT(--(($A$1:$A$3=入户维修!$F342)+$BN$1:$BN$3&gt;0)))</f>
        <v>2</v>
      </c>
      <c r="I342" s="0" t="n">
        <f aca="false">IF(OR($A$4=入户维修!$F342,$BN$4=1),0,4-SUMPRODUCT(--(($A$1:$A$4=入户维修!$F342)+$BN$1:$BN$4&gt;0)))</f>
        <v>3</v>
      </c>
      <c r="J342" s="0" t="n">
        <f aca="false">IF(OR($A$5=入户维修!$F342,$BN$5=1),0,5-SUMPRODUCT(--(($A$1:$A$5=入户维修!$F342)+$BN$1:$BN$5&gt;0)))</f>
        <v>4</v>
      </c>
      <c r="L342" s="0" t="str">
        <f aca="false">IFERROR(INDEX($A$1:$A$5,MATCH(1,$F342:$J342,0)),IF(1=MAX($F342:$J342)+1,"取消",""))</f>
        <v>李师傅</v>
      </c>
      <c r="M342" s="0" t="str">
        <f aca="false">IFERROR(INDEX($A$1:$A$5,MATCH(2,$F342:$J342,0)),IF(2=MAX($F342:$J342)+1,"取消",""))</f>
        <v>王师傅</v>
      </c>
      <c r="N342" s="0" t="str">
        <f aca="false">IFERROR(INDEX($A$1:$A$5,MATCH(3,$F342:$J342,0)),IF(3=MAX($F342:$J342)+1,"取消",""))</f>
        <v>陈师傅</v>
      </c>
      <c r="O342" s="0" t="str">
        <f aca="false">IFERROR(INDEX($A$1:$A$5,MATCH(4,$F342:$J342,0)),IF(4=MAX($F342:$J342)+1,"取消",""))</f>
        <v>刘师傅</v>
      </c>
      <c r="P342" s="0" t="str">
        <f aca="false">IFERROR(INDEX($A$1:$A$5,MATCH(5,$F342:$J342,0)),IF(5=MAX($F342:$J342)+1,"取消",""))</f>
        <v>取消</v>
      </c>
      <c r="Q342" s="0" t="str">
        <f aca="false">IFERROR(INDEX($A$1:$A$5,MATCH(6,$F342:$J342,0)),IF(6=MAX($F342:$J342)+1,"取消",""))</f>
        <v/>
      </c>
      <c r="S342" s="0" t="n">
        <f aca="false">IF(OR($A$1=入户维修!$F342,$A$1=入户维修!$G342,$BN$1=1),0,1-SUMPRODUCT(--(($A$1=入户维修!$F342)+($A$1=入户维修!$G342)+$BN$1&gt;0)))</f>
        <v>0</v>
      </c>
      <c r="T342" s="0" t="n">
        <f aca="false">IF(OR($A$2=入户维修!$F342,$A$2=入户维修!$G342,$BN$2=1),0,2-SUMPRODUCT(--(($A$1:$A$2=入户维修!$F342)+($A$1:$A$2=入户维修!$G342)+$BN$1:$BN$2&gt;0)))</f>
        <v>1</v>
      </c>
      <c r="U342" s="0" t="n">
        <f aca="false">IF(OR($A$3=入户维修!$F342,$A$3=入户维修!$G342,$BN$3=1),0,3-SUMPRODUCT(--(($A$1:$A$3=入户维修!$F342)+($A$1:$A$3=入户维修!$G342)+$BN$1:$BN$3&gt;0)))</f>
        <v>2</v>
      </c>
      <c r="V342" s="0" t="n">
        <f aca="false">IF(OR($A$4=入户维修!$F342,$A$4=入户维修!$G342,$BN$4=1),0,4-SUMPRODUCT(--(($A$1:$A$4=入户维修!$F342)+($A$1:$A$4=入户维修!$G342)+$BN$1:$BN$4&gt;0)))</f>
        <v>3</v>
      </c>
      <c r="W342" s="0" t="n">
        <f aca="false">IF(OR($A$5=入户维修!$F342,$A$5=入户维修!$G342,$BN$5=1),0,5-SUMPRODUCT(--(($A$1:$A$5=入户维修!$F342)+($A$1:$A$5=入户维修!$G342)+$BN$1:$BN$5&gt;0)))</f>
        <v>4</v>
      </c>
      <c r="Y342" s="0" t="str">
        <f aca="false">IFERROR(INDEX($A$1:$A$5,MATCH(1,$S342:$W342,0)),IF(1=MAX($S342:$W342)+1,"取消",""))</f>
        <v>李师傅</v>
      </c>
      <c r="Z342" s="0" t="str">
        <f aca="false">IFERROR(INDEX($A$1:$A$5,MATCH(2,$S342:$W342,0)),IF(2=MAX($S342:$W342)+1,"取消",""))</f>
        <v>王师傅</v>
      </c>
      <c r="AA342" s="0" t="str">
        <f aca="false">IFERROR(INDEX($A$1:$A$5,MATCH(3,$S342:$W342,0)),IF(3=MAX($S342:$W342)+1,"取消",""))</f>
        <v>陈师傅</v>
      </c>
      <c r="AB342" s="0" t="str">
        <f aca="false">IFERROR(INDEX($A$1:$A$5,MATCH(4,$S342:$W342,0)),IF(4=MAX($S342:$W342)+1,"取消",""))</f>
        <v>刘师傅</v>
      </c>
      <c r="AC342" s="0" t="str">
        <f aca="false">IFERROR(INDEX($A$1:$A$5,MATCH(5,$S342:$W342,0)),IF(5=MAX($S342:$W342)+1,"取消",""))</f>
        <v>取消</v>
      </c>
      <c r="AD342" s="0" t="str">
        <f aca="false">IFERROR(INDEX($A$1:$A$5,MATCH(6,$S342:$W342,0)),IF(6=MAX($S342:$W342)+1,"取消",""))</f>
        <v/>
      </c>
      <c r="AF342" s="0" t="n">
        <f aca="false">IF(OR($A$1=公区维修!$F342,$BN$1=1),0,1-SUMPRODUCT(--(($A$1=公区维修!$F342)+$BN$1&gt;0)))</f>
        <v>0</v>
      </c>
      <c r="AG342" s="0" t="n">
        <f aca="false">IF(OR($A$2=公区维修!$F342,$BN$2=1),0,2-SUMPRODUCT(--(($A$1:$A$2=公区维修!$F342)+$BN$1:$BN$2&gt;0)))</f>
        <v>1</v>
      </c>
      <c r="AH342" s="0" t="n">
        <f aca="false">IF(OR($A$3=公区维修!$F342,$BN$3=1),0,3-SUMPRODUCT(--(($A$1:$A$3=公区维修!$F342)+$BN$1:$BN$3&gt;0)))</f>
        <v>2</v>
      </c>
      <c r="AI342" s="0" t="n">
        <f aca="false">IF(OR($A$4=公区维修!$F342,$BN$4=1),0,4-SUMPRODUCT(--(($A$1:$A$4=公区维修!$F342)+$BN$1:$BN$4&gt;0)))</f>
        <v>3</v>
      </c>
      <c r="AJ342" s="0" t="n">
        <f aca="false">IF(OR($A$5=公区维修!$F342,$BN$5=1),0,5-SUMPRODUCT(--(($A$1:$A$5=公区维修!$F342)+$BN$1:$BN$5&gt;0)))</f>
        <v>4</v>
      </c>
      <c r="AL342" s="0" t="str">
        <f aca="false">IFERROR(INDEX($A$1:$A$5,MATCH(1,$AF342:$AJ342,0)),IF(1=MAX($AF342:$AJ342)+1,"取消",""))</f>
        <v>李师傅</v>
      </c>
      <c r="AM342" s="0" t="str">
        <f aca="false">IFERROR(INDEX($A$1:$A$5,MATCH(2,$AF342:$AJ342,0)),IF(2=MAX($AF342:$AJ342)+1,"取消",""))</f>
        <v>王师傅</v>
      </c>
      <c r="AN342" s="0" t="str">
        <f aca="false">IFERROR(INDEX($A$1:$A$5,MATCH(3,$AF342:$AJ342,0)),IF(3=MAX($AF342:$AJ342)+1,"取消",""))</f>
        <v>陈师傅</v>
      </c>
      <c r="AO342" s="0" t="str">
        <f aca="false">IFERROR(INDEX($A$1:$A$5,MATCH(4,$AF342:$AJ342,0)),IF(4=MAX($AF342:$AJ342)+1,"取消",""))</f>
        <v>刘师傅</v>
      </c>
      <c r="AP342" s="0" t="str">
        <f aca="false">IFERROR(INDEX($A$1:$A$5,MATCH(5,$AF342:$AJ342,0)),IF(5=MAX($AF342:$AJ342)+1,"取消",""))</f>
        <v>取消</v>
      </c>
      <c r="AQ342" s="0" t="str">
        <f aca="false">IFERROR(INDEX($A$1:$A$5,MATCH(6,$AF342:$AJ342,0)),IF(6=MAX($AF342:$AJ342)+1,"取消",""))</f>
        <v/>
      </c>
      <c r="AS342" s="0" t="n">
        <f aca="false">IF(OR($A$1=公区维修!$F342,$A$1=公区维修!$G342,$BN$1=1),0,1-SUMPRODUCT(--(($A$1=公区维修!$F342)+($A$1=公区维修!$G342)+$BN$1&gt;0)))</f>
        <v>0</v>
      </c>
      <c r="AT342" s="0" t="n">
        <f aca="false">IF(OR($A$2=公区维修!$F342,$A$2=公区维修!$G342,$BN$2=1),0,2-SUMPRODUCT(--(($A$1:$A$2=公区维修!$F342)+($A$1:$A$2=公区维修!$G342)+$BN$1:$BN$2&gt;0)))</f>
        <v>1</v>
      </c>
      <c r="AU342" s="0" t="n">
        <f aca="false">IF(OR($A$3=公区维修!$F342,$A$3=公区维修!$G342,$BN$3=1),0,3-SUMPRODUCT(--(($A$1:$A$3=公区维修!$F342)+($A$1:$A$3=公区维修!$G342)+$BN$1:$BN$3&gt;0)))</f>
        <v>2</v>
      </c>
      <c r="AV342" s="0" t="n">
        <f aca="false">IF(OR($A$4=公区维修!$F342,$A$4=公区维修!$G342,$BN$4=1),0,4-SUMPRODUCT(--(($A$1:$A$4=公区维修!$F342)+($A$1:$A$4=公区维修!$G342)+$BN$1:$BN$4&gt;0)))</f>
        <v>3</v>
      </c>
      <c r="AW342" s="0" t="n">
        <f aca="false">IF(OR($A$5=公区维修!$F342,$A$5=公区维修!$G342,$BN$5=1),0,5-SUMPRODUCT(--(($A$1:$A$5=公区维修!$F342)+($A$1:$A$5=公区维修!$G342)+$BN$1:$BN$5&gt;0)))</f>
        <v>4</v>
      </c>
      <c r="AY342" s="0" t="str">
        <f aca="false">IFERROR(INDEX($A$1:$A$5,MATCH(1,$AS342:$AW342,0)),IF(1=MAX($AS342:$AW342)+1,"取消",""))</f>
        <v>李师傅</v>
      </c>
      <c r="AZ342" s="0" t="str">
        <f aca="false">IFERROR(INDEX($A$1:$A$5,MATCH(2,$AS342:$AW342,0)),IF(2=MAX($AS342:$AW342)+1,"取消",""))</f>
        <v>王师傅</v>
      </c>
      <c r="BA342" s="0" t="str">
        <f aca="false">IFERROR(INDEX($A$1:$A$5,MATCH(3,$AS342:$AW342,0)),IF(3=MAX($AS342:$AW342)+1,"取消",""))</f>
        <v>陈师傅</v>
      </c>
      <c r="BB342" s="0" t="str">
        <f aca="false">IFERROR(INDEX($A$1:$A$5,MATCH(4,$AS342:$AW342,0)),IF(4=MAX($AS342:$AW342)+1,"取消",""))</f>
        <v>刘师傅</v>
      </c>
      <c r="BC342" s="0" t="str">
        <f aca="false">IFERROR(INDEX($A$1:$A$5,MATCH(5,$AS342:$AW342,0)),IF(5=MAX($AS342:$AW342)+1,"取消",""))</f>
        <v>取消</v>
      </c>
      <c r="BD342" s="0" t="str">
        <f aca="false">IFERROR(INDEX($A$1:$A$5,MATCH(6,$AS342:$AW342,0)),IF(6=MAX($AS342:$AW342)+1,"取消",""))</f>
        <v/>
      </c>
      <c r="FW342" s="0" t="str">
        <f aca="false">IF(AND(单元查询!$D$3&lt;&gt;"",IF(单元查询!$B$3="公区维修",公区维修!$E342&lt;&gt;"",入户维修!$E342&lt;&gt;""),IF(单元查询!$B$3="公区维修",公区维修!$C342,入户维修!$C342)=单元查询!$D$3,OR(单元查询!$F$3="",IF(单元查询!$B$3="公区维修",公区维修!$D342,入户维修!$D342)&amp;""=(单元查询!$F$3)&amp;"")),MAX($FW$4:$FW341)+1,"")</f>
        <v/>
      </c>
    </row>
    <row r="343" customFormat="false" ht="15" hidden="false" customHeight="true" outlineLevel="0" collapsed="false">
      <c r="F343" s="0" t="n">
        <f aca="false">IF(OR($A$1=入户维修!$F343,$BN$1=1),0,1-SUMPRODUCT(--(($A$1=入户维修!$F343)+$BN$1&gt;0)))</f>
        <v>0</v>
      </c>
      <c r="G343" s="0" t="n">
        <f aca="false">IF(OR($A$2=入户维修!$F343,$BN$2=1),0,2-SUMPRODUCT(--(($A$1:$A$2=入户维修!$F343)+$BN$1:$BN$2&gt;0)))</f>
        <v>1</v>
      </c>
      <c r="H343" s="0" t="n">
        <f aca="false">IF(OR($A$3=入户维修!$F343,$BN$3=1),0,3-SUMPRODUCT(--(($A$1:$A$3=入户维修!$F343)+$BN$1:$BN$3&gt;0)))</f>
        <v>2</v>
      </c>
      <c r="I343" s="0" t="n">
        <f aca="false">IF(OR($A$4=入户维修!$F343,$BN$4=1),0,4-SUMPRODUCT(--(($A$1:$A$4=入户维修!$F343)+$BN$1:$BN$4&gt;0)))</f>
        <v>3</v>
      </c>
      <c r="J343" s="0" t="n">
        <f aca="false">IF(OR($A$5=入户维修!$F343,$BN$5=1),0,5-SUMPRODUCT(--(($A$1:$A$5=入户维修!$F343)+$BN$1:$BN$5&gt;0)))</f>
        <v>4</v>
      </c>
      <c r="L343" s="0" t="str">
        <f aca="false">IFERROR(INDEX($A$1:$A$5,MATCH(1,$F343:$J343,0)),IF(1=MAX($F343:$J343)+1,"取消",""))</f>
        <v>李师傅</v>
      </c>
      <c r="M343" s="0" t="str">
        <f aca="false">IFERROR(INDEX($A$1:$A$5,MATCH(2,$F343:$J343,0)),IF(2=MAX($F343:$J343)+1,"取消",""))</f>
        <v>王师傅</v>
      </c>
      <c r="N343" s="0" t="str">
        <f aca="false">IFERROR(INDEX($A$1:$A$5,MATCH(3,$F343:$J343,0)),IF(3=MAX($F343:$J343)+1,"取消",""))</f>
        <v>陈师傅</v>
      </c>
      <c r="O343" s="0" t="str">
        <f aca="false">IFERROR(INDEX($A$1:$A$5,MATCH(4,$F343:$J343,0)),IF(4=MAX($F343:$J343)+1,"取消",""))</f>
        <v>刘师傅</v>
      </c>
      <c r="P343" s="0" t="str">
        <f aca="false">IFERROR(INDEX($A$1:$A$5,MATCH(5,$F343:$J343,0)),IF(5=MAX($F343:$J343)+1,"取消",""))</f>
        <v>取消</v>
      </c>
      <c r="Q343" s="0" t="str">
        <f aca="false">IFERROR(INDEX($A$1:$A$5,MATCH(6,$F343:$J343,0)),IF(6=MAX($F343:$J343)+1,"取消",""))</f>
        <v/>
      </c>
      <c r="S343" s="0" t="n">
        <f aca="false">IF(OR($A$1=入户维修!$F343,$A$1=入户维修!$G343,$BN$1=1),0,1-SUMPRODUCT(--(($A$1=入户维修!$F343)+($A$1=入户维修!$G343)+$BN$1&gt;0)))</f>
        <v>0</v>
      </c>
      <c r="T343" s="0" t="n">
        <f aca="false">IF(OR($A$2=入户维修!$F343,$A$2=入户维修!$G343,$BN$2=1),0,2-SUMPRODUCT(--(($A$1:$A$2=入户维修!$F343)+($A$1:$A$2=入户维修!$G343)+$BN$1:$BN$2&gt;0)))</f>
        <v>1</v>
      </c>
      <c r="U343" s="0" t="n">
        <f aca="false">IF(OR($A$3=入户维修!$F343,$A$3=入户维修!$G343,$BN$3=1),0,3-SUMPRODUCT(--(($A$1:$A$3=入户维修!$F343)+($A$1:$A$3=入户维修!$G343)+$BN$1:$BN$3&gt;0)))</f>
        <v>2</v>
      </c>
      <c r="V343" s="0" t="n">
        <f aca="false">IF(OR($A$4=入户维修!$F343,$A$4=入户维修!$G343,$BN$4=1),0,4-SUMPRODUCT(--(($A$1:$A$4=入户维修!$F343)+($A$1:$A$4=入户维修!$G343)+$BN$1:$BN$4&gt;0)))</f>
        <v>3</v>
      </c>
      <c r="W343" s="0" t="n">
        <f aca="false">IF(OR($A$5=入户维修!$F343,$A$5=入户维修!$G343,$BN$5=1),0,5-SUMPRODUCT(--(($A$1:$A$5=入户维修!$F343)+($A$1:$A$5=入户维修!$G343)+$BN$1:$BN$5&gt;0)))</f>
        <v>4</v>
      </c>
      <c r="Y343" s="0" t="str">
        <f aca="false">IFERROR(INDEX($A$1:$A$5,MATCH(1,$S343:$W343,0)),IF(1=MAX($S343:$W343)+1,"取消",""))</f>
        <v>李师傅</v>
      </c>
      <c r="Z343" s="0" t="str">
        <f aca="false">IFERROR(INDEX($A$1:$A$5,MATCH(2,$S343:$W343,0)),IF(2=MAX($S343:$W343)+1,"取消",""))</f>
        <v>王师傅</v>
      </c>
      <c r="AA343" s="0" t="str">
        <f aca="false">IFERROR(INDEX($A$1:$A$5,MATCH(3,$S343:$W343,0)),IF(3=MAX($S343:$W343)+1,"取消",""))</f>
        <v>陈师傅</v>
      </c>
      <c r="AB343" s="0" t="str">
        <f aca="false">IFERROR(INDEX($A$1:$A$5,MATCH(4,$S343:$W343,0)),IF(4=MAX($S343:$W343)+1,"取消",""))</f>
        <v>刘师傅</v>
      </c>
      <c r="AC343" s="0" t="str">
        <f aca="false">IFERROR(INDEX($A$1:$A$5,MATCH(5,$S343:$W343,0)),IF(5=MAX($S343:$W343)+1,"取消",""))</f>
        <v>取消</v>
      </c>
      <c r="AD343" s="0" t="str">
        <f aca="false">IFERROR(INDEX($A$1:$A$5,MATCH(6,$S343:$W343,0)),IF(6=MAX($S343:$W343)+1,"取消",""))</f>
        <v/>
      </c>
      <c r="AF343" s="0" t="n">
        <f aca="false">IF(OR($A$1=公区维修!$F343,$BN$1=1),0,1-SUMPRODUCT(--(($A$1=公区维修!$F343)+$BN$1&gt;0)))</f>
        <v>0</v>
      </c>
      <c r="AG343" s="0" t="n">
        <f aca="false">IF(OR($A$2=公区维修!$F343,$BN$2=1),0,2-SUMPRODUCT(--(($A$1:$A$2=公区维修!$F343)+$BN$1:$BN$2&gt;0)))</f>
        <v>1</v>
      </c>
      <c r="AH343" s="0" t="n">
        <f aca="false">IF(OR($A$3=公区维修!$F343,$BN$3=1),0,3-SUMPRODUCT(--(($A$1:$A$3=公区维修!$F343)+$BN$1:$BN$3&gt;0)))</f>
        <v>2</v>
      </c>
      <c r="AI343" s="0" t="n">
        <f aca="false">IF(OR($A$4=公区维修!$F343,$BN$4=1),0,4-SUMPRODUCT(--(($A$1:$A$4=公区维修!$F343)+$BN$1:$BN$4&gt;0)))</f>
        <v>3</v>
      </c>
      <c r="AJ343" s="0" t="n">
        <f aca="false">IF(OR($A$5=公区维修!$F343,$BN$5=1),0,5-SUMPRODUCT(--(($A$1:$A$5=公区维修!$F343)+$BN$1:$BN$5&gt;0)))</f>
        <v>4</v>
      </c>
      <c r="AL343" s="0" t="str">
        <f aca="false">IFERROR(INDEX($A$1:$A$5,MATCH(1,$AF343:$AJ343,0)),IF(1=MAX($AF343:$AJ343)+1,"取消",""))</f>
        <v>李师傅</v>
      </c>
      <c r="AM343" s="0" t="str">
        <f aca="false">IFERROR(INDEX($A$1:$A$5,MATCH(2,$AF343:$AJ343,0)),IF(2=MAX($AF343:$AJ343)+1,"取消",""))</f>
        <v>王师傅</v>
      </c>
      <c r="AN343" s="0" t="str">
        <f aca="false">IFERROR(INDEX($A$1:$A$5,MATCH(3,$AF343:$AJ343,0)),IF(3=MAX($AF343:$AJ343)+1,"取消",""))</f>
        <v>陈师傅</v>
      </c>
      <c r="AO343" s="0" t="str">
        <f aca="false">IFERROR(INDEX($A$1:$A$5,MATCH(4,$AF343:$AJ343,0)),IF(4=MAX($AF343:$AJ343)+1,"取消",""))</f>
        <v>刘师傅</v>
      </c>
      <c r="AP343" s="0" t="str">
        <f aca="false">IFERROR(INDEX($A$1:$A$5,MATCH(5,$AF343:$AJ343,0)),IF(5=MAX($AF343:$AJ343)+1,"取消",""))</f>
        <v>取消</v>
      </c>
      <c r="AQ343" s="0" t="str">
        <f aca="false">IFERROR(INDEX($A$1:$A$5,MATCH(6,$AF343:$AJ343,0)),IF(6=MAX($AF343:$AJ343)+1,"取消",""))</f>
        <v/>
      </c>
      <c r="AS343" s="0" t="n">
        <f aca="false">IF(OR($A$1=公区维修!$F343,$A$1=公区维修!$G343,$BN$1=1),0,1-SUMPRODUCT(--(($A$1=公区维修!$F343)+($A$1=公区维修!$G343)+$BN$1&gt;0)))</f>
        <v>0</v>
      </c>
      <c r="AT343" s="0" t="n">
        <f aca="false">IF(OR($A$2=公区维修!$F343,$A$2=公区维修!$G343,$BN$2=1),0,2-SUMPRODUCT(--(($A$1:$A$2=公区维修!$F343)+($A$1:$A$2=公区维修!$G343)+$BN$1:$BN$2&gt;0)))</f>
        <v>1</v>
      </c>
      <c r="AU343" s="0" t="n">
        <f aca="false">IF(OR($A$3=公区维修!$F343,$A$3=公区维修!$G343,$BN$3=1),0,3-SUMPRODUCT(--(($A$1:$A$3=公区维修!$F343)+($A$1:$A$3=公区维修!$G343)+$BN$1:$BN$3&gt;0)))</f>
        <v>2</v>
      </c>
      <c r="AV343" s="0" t="n">
        <f aca="false">IF(OR($A$4=公区维修!$F343,$A$4=公区维修!$G343,$BN$4=1),0,4-SUMPRODUCT(--(($A$1:$A$4=公区维修!$F343)+($A$1:$A$4=公区维修!$G343)+$BN$1:$BN$4&gt;0)))</f>
        <v>3</v>
      </c>
      <c r="AW343" s="0" t="n">
        <f aca="false">IF(OR($A$5=公区维修!$F343,$A$5=公区维修!$G343,$BN$5=1),0,5-SUMPRODUCT(--(($A$1:$A$5=公区维修!$F343)+($A$1:$A$5=公区维修!$G343)+$BN$1:$BN$5&gt;0)))</f>
        <v>4</v>
      </c>
      <c r="AY343" s="0" t="str">
        <f aca="false">IFERROR(INDEX($A$1:$A$5,MATCH(1,$AS343:$AW343,0)),IF(1=MAX($AS343:$AW343)+1,"取消",""))</f>
        <v>李师傅</v>
      </c>
      <c r="AZ343" s="0" t="str">
        <f aca="false">IFERROR(INDEX($A$1:$A$5,MATCH(2,$AS343:$AW343,0)),IF(2=MAX($AS343:$AW343)+1,"取消",""))</f>
        <v>王师傅</v>
      </c>
      <c r="BA343" s="0" t="str">
        <f aca="false">IFERROR(INDEX($A$1:$A$5,MATCH(3,$AS343:$AW343,0)),IF(3=MAX($AS343:$AW343)+1,"取消",""))</f>
        <v>陈师傅</v>
      </c>
      <c r="BB343" s="0" t="str">
        <f aca="false">IFERROR(INDEX($A$1:$A$5,MATCH(4,$AS343:$AW343,0)),IF(4=MAX($AS343:$AW343)+1,"取消",""))</f>
        <v>刘师傅</v>
      </c>
      <c r="BC343" s="0" t="str">
        <f aca="false">IFERROR(INDEX($A$1:$A$5,MATCH(5,$AS343:$AW343,0)),IF(5=MAX($AS343:$AW343)+1,"取消",""))</f>
        <v>取消</v>
      </c>
      <c r="BD343" s="0" t="str">
        <f aca="false">IFERROR(INDEX($A$1:$A$5,MATCH(6,$AS343:$AW343,0)),IF(6=MAX($AS343:$AW343)+1,"取消",""))</f>
        <v/>
      </c>
      <c r="FW343" s="0" t="str">
        <f aca="false">IF(AND(单元查询!$D$3&lt;&gt;"",IF(单元查询!$B$3="公区维修",公区维修!$E343&lt;&gt;"",入户维修!$E343&lt;&gt;""),IF(单元查询!$B$3="公区维修",公区维修!$C343,入户维修!$C343)=单元查询!$D$3,OR(单元查询!$F$3="",IF(单元查询!$B$3="公区维修",公区维修!$D343,入户维修!$D343)&amp;""=(单元查询!$F$3)&amp;"")),MAX($FW$4:$FW342)+1,"")</f>
        <v/>
      </c>
    </row>
    <row r="344" customFormat="false" ht="15" hidden="false" customHeight="true" outlineLevel="0" collapsed="false">
      <c r="F344" s="0" t="n">
        <f aca="false">IF(OR($A$1=入户维修!$F344,$BN$1=1),0,1-SUMPRODUCT(--(($A$1=入户维修!$F344)+$BN$1&gt;0)))</f>
        <v>0</v>
      </c>
      <c r="G344" s="0" t="n">
        <f aca="false">IF(OR($A$2=入户维修!$F344,$BN$2=1),0,2-SUMPRODUCT(--(($A$1:$A$2=入户维修!$F344)+$BN$1:$BN$2&gt;0)))</f>
        <v>1</v>
      </c>
      <c r="H344" s="0" t="n">
        <f aca="false">IF(OR($A$3=入户维修!$F344,$BN$3=1),0,3-SUMPRODUCT(--(($A$1:$A$3=入户维修!$F344)+$BN$1:$BN$3&gt;0)))</f>
        <v>2</v>
      </c>
      <c r="I344" s="0" t="n">
        <f aca="false">IF(OR($A$4=入户维修!$F344,$BN$4=1),0,4-SUMPRODUCT(--(($A$1:$A$4=入户维修!$F344)+$BN$1:$BN$4&gt;0)))</f>
        <v>3</v>
      </c>
      <c r="J344" s="0" t="n">
        <f aca="false">IF(OR($A$5=入户维修!$F344,$BN$5=1),0,5-SUMPRODUCT(--(($A$1:$A$5=入户维修!$F344)+$BN$1:$BN$5&gt;0)))</f>
        <v>4</v>
      </c>
      <c r="L344" s="0" t="str">
        <f aca="false">IFERROR(INDEX($A$1:$A$5,MATCH(1,$F344:$J344,0)),IF(1=MAX($F344:$J344)+1,"取消",""))</f>
        <v>李师傅</v>
      </c>
      <c r="M344" s="0" t="str">
        <f aca="false">IFERROR(INDEX($A$1:$A$5,MATCH(2,$F344:$J344,0)),IF(2=MAX($F344:$J344)+1,"取消",""))</f>
        <v>王师傅</v>
      </c>
      <c r="N344" s="0" t="str">
        <f aca="false">IFERROR(INDEX($A$1:$A$5,MATCH(3,$F344:$J344,0)),IF(3=MAX($F344:$J344)+1,"取消",""))</f>
        <v>陈师傅</v>
      </c>
      <c r="O344" s="0" t="str">
        <f aca="false">IFERROR(INDEX($A$1:$A$5,MATCH(4,$F344:$J344,0)),IF(4=MAX($F344:$J344)+1,"取消",""))</f>
        <v>刘师傅</v>
      </c>
      <c r="P344" s="0" t="str">
        <f aca="false">IFERROR(INDEX($A$1:$A$5,MATCH(5,$F344:$J344,0)),IF(5=MAX($F344:$J344)+1,"取消",""))</f>
        <v>取消</v>
      </c>
      <c r="Q344" s="0" t="str">
        <f aca="false">IFERROR(INDEX($A$1:$A$5,MATCH(6,$F344:$J344,0)),IF(6=MAX($F344:$J344)+1,"取消",""))</f>
        <v/>
      </c>
      <c r="S344" s="0" t="n">
        <f aca="false">IF(OR($A$1=入户维修!$F344,$A$1=入户维修!$G344,$BN$1=1),0,1-SUMPRODUCT(--(($A$1=入户维修!$F344)+($A$1=入户维修!$G344)+$BN$1&gt;0)))</f>
        <v>0</v>
      </c>
      <c r="T344" s="0" t="n">
        <f aca="false">IF(OR($A$2=入户维修!$F344,$A$2=入户维修!$G344,$BN$2=1),0,2-SUMPRODUCT(--(($A$1:$A$2=入户维修!$F344)+($A$1:$A$2=入户维修!$G344)+$BN$1:$BN$2&gt;0)))</f>
        <v>1</v>
      </c>
      <c r="U344" s="0" t="n">
        <f aca="false">IF(OR($A$3=入户维修!$F344,$A$3=入户维修!$G344,$BN$3=1),0,3-SUMPRODUCT(--(($A$1:$A$3=入户维修!$F344)+($A$1:$A$3=入户维修!$G344)+$BN$1:$BN$3&gt;0)))</f>
        <v>2</v>
      </c>
      <c r="V344" s="0" t="n">
        <f aca="false">IF(OR($A$4=入户维修!$F344,$A$4=入户维修!$G344,$BN$4=1),0,4-SUMPRODUCT(--(($A$1:$A$4=入户维修!$F344)+($A$1:$A$4=入户维修!$G344)+$BN$1:$BN$4&gt;0)))</f>
        <v>3</v>
      </c>
      <c r="W344" s="0" t="n">
        <f aca="false">IF(OR($A$5=入户维修!$F344,$A$5=入户维修!$G344,$BN$5=1),0,5-SUMPRODUCT(--(($A$1:$A$5=入户维修!$F344)+($A$1:$A$5=入户维修!$G344)+$BN$1:$BN$5&gt;0)))</f>
        <v>4</v>
      </c>
      <c r="Y344" s="0" t="str">
        <f aca="false">IFERROR(INDEX($A$1:$A$5,MATCH(1,$S344:$W344,0)),IF(1=MAX($S344:$W344)+1,"取消",""))</f>
        <v>李师傅</v>
      </c>
      <c r="Z344" s="0" t="str">
        <f aca="false">IFERROR(INDEX($A$1:$A$5,MATCH(2,$S344:$W344,0)),IF(2=MAX($S344:$W344)+1,"取消",""))</f>
        <v>王师傅</v>
      </c>
      <c r="AA344" s="0" t="str">
        <f aca="false">IFERROR(INDEX($A$1:$A$5,MATCH(3,$S344:$W344,0)),IF(3=MAX($S344:$W344)+1,"取消",""))</f>
        <v>陈师傅</v>
      </c>
      <c r="AB344" s="0" t="str">
        <f aca="false">IFERROR(INDEX($A$1:$A$5,MATCH(4,$S344:$W344,0)),IF(4=MAX($S344:$W344)+1,"取消",""))</f>
        <v>刘师傅</v>
      </c>
      <c r="AC344" s="0" t="str">
        <f aca="false">IFERROR(INDEX($A$1:$A$5,MATCH(5,$S344:$W344,0)),IF(5=MAX($S344:$W344)+1,"取消",""))</f>
        <v>取消</v>
      </c>
      <c r="AD344" s="0" t="str">
        <f aca="false">IFERROR(INDEX($A$1:$A$5,MATCH(6,$S344:$W344,0)),IF(6=MAX($S344:$W344)+1,"取消",""))</f>
        <v/>
      </c>
      <c r="AF344" s="0" t="n">
        <f aca="false">IF(OR($A$1=公区维修!$F344,$BN$1=1),0,1-SUMPRODUCT(--(($A$1=公区维修!$F344)+$BN$1&gt;0)))</f>
        <v>0</v>
      </c>
      <c r="AG344" s="0" t="n">
        <f aca="false">IF(OR($A$2=公区维修!$F344,$BN$2=1),0,2-SUMPRODUCT(--(($A$1:$A$2=公区维修!$F344)+$BN$1:$BN$2&gt;0)))</f>
        <v>1</v>
      </c>
      <c r="AH344" s="0" t="n">
        <f aca="false">IF(OR($A$3=公区维修!$F344,$BN$3=1),0,3-SUMPRODUCT(--(($A$1:$A$3=公区维修!$F344)+$BN$1:$BN$3&gt;0)))</f>
        <v>2</v>
      </c>
      <c r="AI344" s="0" t="n">
        <f aca="false">IF(OR($A$4=公区维修!$F344,$BN$4=1),0,4-SUMPRODUCT(--(($A$1:$A$4=公区维修!$F344)+$BN$1:$BN$4&gt;0)))</f>
        <v>3</v>
      </c>
      <c r="AJ344" s="0" t="n">
        <f aca="false">IF(OR($A$5=公区维修!$F344,$BN$5=1),0,5-SUMPRODUCT(--(($A$1:$A$5=公区维修!$F344)+$BN$1:$BN$5&gt;0)))</f>
        <v>4</v>
      </c>
      <c r="AL344" s="0" t="str">
        <f aca="false">IFERROR(INDEX($A$1:$A$5,MATCH(1,$AF344:$AJ344,0)),IF(1=MAX($AF344:$AJ344)+1,"取消",""))</f>
        <v>李师傅</v>
      </c>
      <c r="AM344" s="0" t="str">
        <f aca="false">IFERROR(INDEX($A$1:$A$5,MATCH(2,$AF344:$AJ344,0)),IF(2=MAX($AF344:$AJ344)+1,"取消",""))</f>
        <v>王师傅</v>
      </c>
      <c r="AN344" s="0" t="str">
        <f aca="false">IFERROR(INDEX($A$1:$A$5,MATCH(3,$AF344:$AJ344,0)),IF(3=MAX($AF344:$AJ344)+1,"取消",""))</f>
        <v>陈师傅</v>
      </c>
      <c r="AO344" s="0" t="str">
        <f aca="false">IFERROR(INDEX($A$1:$A$5,MATCH(4,$AF344:$AJ344,0)),IF(4=MAX($AF344:$AJ344)+1,"取消",""))</f>
        <v>刘师傅</v>
      </c>
      <c r="AP344" s="0" t="str">
        <f aca="false">IFERROR(INDEX($A$1:$A$5,MATCH(5,$AF344:$AJ344,0)),IF(5=MAX($AF344:$AJ344)+1,"取消",""))</f>
        <v>取消</v>
      </c>
      <c r="AQ344" s="0" t="str">
        <f aca="false">IFERROR(INDEX($A$1:$A$5,MATCH(6,$AF344:$AJ344,0)),IF(6=MAX($AF344:$AJ344)+1,"取消",""))</f>
        <v/>
      </c>
      <c r="AS344" s="0" t="n">
        <f aca="false">IF(OR($A$1=公区维修!$F344,$A$1=公区维修!$G344,$BN$1=1),0,1-SUMPRODUCT(--(($A$1=公区维修!$F344)+($A$1=公区维修!$G344)+$BN$1&gt;0)))</f>
        <v>0</v>
      </c>
      <c r="AT344" s="0" t="n">
        <f aca="false">IF(OR($A$2=公区维修!$F344,$A$2=公区维修!$G344,$BN$2=1),0,2-SUMPRODUCT(--(($A$1:$A$2=公区维修!$F344)+($A$1:$A$2=公区维修!$G344)+$BN$1:$BN$2&gt;0)))</f>
        <v>1</v>
      </c>
      <c r="AU344" s="0" t="n">
        <f aca="false">IF(OR($A$3=公区维修!$F344,$A$3=公区维修!$G344,$BN$3=1),0,3-SUMPRODUCT(--(($A$1:$A$3=公区维修!$F344)+($A$1:$A$3=公区维修!$G344)+$BN$1:$BN$3&gt;0)))</f>
        <v>2</v>
      </c>
      <c r="AV344" s="0" t="n">
        <f aca="false">IF(OR($A$4=公区维修!$F344,$A$4=公区维修!$G344,$BN$4=1),0,4-SUMPRODUCT(--(($A$1:$A$4=公区维修!$F344)+($A$1:$A$4=公区维修!$G344)+$BN$1:$BN$4&gt;0)))</f>
        <v>3</v>
      </c>
      <c r="AW344" s="0" t="n">
        <f aca="false">IF(OR($A$5=公区维修!$F344,$A$5=公区维修!$G344,$BN$5=1),0,5-SUMPRODUCT(--(($A$1:$A$5=公区维修!$F344)+($A$1:$A$5=公区维修!$G344)+$BN$1:$BN$5&gt;0)))</f>
        <v>4</v>
      </c>
      <c r="AY344" s="0" t="str">
        <f aca="false">IFERROR(INDEX($A$1:$A$5,MATCH(1,$AS344:$AW344,0)),IF(1=MAX($AS344:$AW344)+1,"取消",""))</f>
        <v>李师傅</v>
      </c>
      <c r="AZ344" s="0" t="str">
        <f aca="false">IFERROR(INDEX($A$1:$A$5,MATCH(2,$AS344:$AW344,0)),IF(2=MAX($AS344:$AW344)+1,"取消",""))</f>
        <v>王师傅</v>
      </c>
      <c r="BA344" s="0" t="str">
        <f aca="false">IFERROR(INDEX($A$1:$A$5,MATCH(3,$AS344:$AW344,0)),IF(3=MAX($AS344:$AW344)+1,"取消",""))</f>
        <v>陈师傅</v>
      </c>
      <c r="BB344" s="0" t="str">
        <f aca="false">IFERROR(INDEX($A$1:$A$5,MATCH(4,$AS344:$AW344,0)),IF(4=MAX($AS344:$AW344)+1,"取消",""))</f>
        <v>刘师傅</v>
      </c>
      <c r="BC344" s="0" t="str">
        <f aca="false">IFERROR(INDEX($A$1:$A$5,MATCH(5,$AS344:$AW344,0)),IF(5=MAX($AS344:$AW344)+1,"取消",""))</f>
        <v>取消</v>
      </c>
      <c r="BD344" s="0" t="str">
        <f aca="false">IFERROR(INDEX($A$1:$A$5,MATCH(6,$AS344:$AW344,0)),IF(6=MAX($AS344:$AW344)+1,"取消",""))</f>
        <v/>
      </c>
      <c r="FW344" s="0" t="str">
        <f aca="false">IF(AND(单元查询!$D$3&lt;&gt;"",IF(单元查询!$B$3="公区维修",公区维修!$E344&lt;&gt;"",入户维修!$E344&lt;&gt;""),IF(单元查询!$B$3="公区维修",公区维修!$C344,入户维修!$C344)=单元查询!$D$3,OR(单元查询!$F$3="",IF(单元查询!$B$3="公区维修",公区维修!$D344,入户维修!$D344)&amp;""=(单元查询!$F$3)&amp;"")),MAX($FW$4:$FW343)+1,"")</f>
        <v/>
      </c>
    </row>
    <row r="345" customFormat="false" ht="15" hidden="false" customHeight="true" outlineLevel="0" collapsed="false">
      <c r="F345" s="0" t="n">
        <f aca="false">IF(OR($A$1=入户维修!$F345,$BN$1=1),0,1-SUMPRODUCT(--(($A$1=入户维修!$F345)+$BN$1&gt;0)))</f>
        <v>0</v>
      </c>
      <c r="G345" s="0" t="n">
        <f aca="false">IF(OR($A$2=入户维修!$F345,$BN$2=1),0,2-SUMPRODUCT(--(($A$1:$A$2=入户维修!$F345)+$BN$1:$BN$2&gt;0)))</f>
        <v>1</v>
      </c>
      <c r="H345" s="0" t="n">
        <f aca="false">IF(OR($A$3=入户维修!$F345,$BN$3=1),0,3-SUMPRODUCT(--(($A$1:$A$3=入户维修!$F345)+$BN$1:$BN$3&gt;0)))</f>
        <v>2</v>
      </c>
      <c r="I345" s="0" t="n">
        <f aca="false">IF(OR($A$4=入户维修!$F345,$BN$4=1),0,4-SUMPRODUCT(--(($A$1:$A$4=入户维修!$F345)+$BN$1:$BN$4&gt;0)))</f>
        <v>3</v>
      </c>
      <c r="J345" s="0" t="n">
        <f aca="false">IF(OR($A$5=入户维修!$F345,$BN$5=1),0,5-SUMPRODUCT(--(($A$1:$A$5=入户维修!$F345)+$BN$1:$BN$5&gt;0)))</f>
        <v>4</v>
      </c>
      <c r="L345" s="0" t="str">
        <f aca="false">IFERROR(INDEX($A$1:$A$5,MATCH(1,$F345:$J345,0)),IF(1=MAX($F345:$J345)+1,"取消",""))</f>
        <v>李师傅</v>
      </c>
      <c r="M345" s="0" t="str">
        <f aca="false">IFERROR(INDEX($A$1:$A$5,MATCH(2,$F345:$J345,0)),IF(2=MAX($F345:$J345)+1,"取消",""))</f>
        <v>王师傅</v>
      </c>
      <c r="N345" s="0" t="str">
        <f aca="false">IFERROR(INDEX($A$1:$A$5,MATCH(3,$F345:$J345,0)),IF(3=MAX($F345:$J345)+1,"取消",""))</f>
        <v>陈师傅</v>
      </c>
      <c r="O345" s="0" t="str">
        <f aca="false">IFERROR(INDEX($A$1:$A$5,MATCH(4,$F345:$J345,0)),IF(4=MAX($F345:$J345)+1,"取消",""))</f>
        <v>刘师傅</v>
      </c>
      <c r="P345" s="0" t="str">
        <f aca="false">IFERROR(INDEX($A$1:$A$5,MATCH(5,$F345:$J345,0)),IF(5=MAX($F345:$J345)+1,"取消",""))</f>
        <v>取消</v>
      </c>
      <c r="Q345" s="0" t="str">
        <f aca="false">IFERROR(INDEX($A$1:$A$5,MATCH(6,$F345:$J345,0)),IF(6=MAX($F345:$J345)+1,"取消",""))</f>
        <v/>
      </c>
      <c r="S345" s="0" t="n">
        <f aca="false">IF(OR($A$1=入户维修!$F345,$A$1=入户维修!$G345,$BN$1=1),0,1-SUMPRODUCT(--(($A$1=入户维修!$F345)+($A$1=入户维修!$G345)+$BN$1&gt;0)))</f>
        <v>0</v>
      </c>
      <c r="T345" s="0" t="n">
        <f aca="false">IF(OR($A$2=入户维修!$F345,$A$2=入户维修!$G345,$BN$2=1),0,2-SUMPRODUCT(--(($A$1:$A$2=入户维修!$F345)+($A$1:$A$2=入户维修!$G345)+$BN$1:$BN$2&gt;0)))</f>
        <v>1</v>
      </c>
      <c r="U345" s="0" t="n">
        <f aca="false">IF(OR($A$3=入户维修!$F345,$A$3=入户维修!$G345,$BN$3=1),0,3-SUMPRODUCT(--(($A$1:$A$3=入户维修!$F345)+($A$1:$A$3=入户维修!$G345)+$BN$1:$BN$3&gt;0)))</f>
        <v>2</v>
      </c>
      <c r="V345" s="0" t="n">
        <f aca="false">IF(OR($A$4=入户维修!$F345,$A$4=入户维修!$G345,$BN$4=1),0,4-SUMPRODUCT(--(($A$1:$A$4=入户维修!$F345)+($A$1:$A$4=入户维修!$G345)+$BN$1:$BN$4&gt;0)))</f>
        <v>3</v>
      </c>
      <c r="W345" s="0" t="n">
        <f aca="false">IF(OR($A$5=入户维修!$F345,$A$5=入户维修!$G345,$BN$5=1),0,5-SUMPRODUCT(--(($A$1:$A$5=入户维修!$F345)+($A$1:$A$5=入户维修!$G345)+$BN$1:$BN$5&gt;0)))</f>
        <v>4</v>
      </c>
      <c r="Y345" s="0" t="str">
        <f aca="false">IFERROR(INDEX($A$1:$A$5,MATCH(1,$S345:$W345,0)),IF(1=MAX($S345:$W345)+1,"取消",""))</f>
        <v>李师傅</v>
      </c>
      <c r="Z345" s="0" t="str">
        <f aca="false">IFERROR(INDEX($A$1:$A$5,MATCH(2,$S345:$W345,0)),IF(2=MAX($S345:$W345)+1,"取消",""))</f>
        <v>王师傅</v>
      </c>
      <c r="AA345" s="0" t="str">
        <f aca="false">IFERROR(INDEX($A$1:$A$5,MATCH(3,$S345:$W345,0)),IF(3=MAX($S345:$W345)+1,"取消",""))</f>
        <v>陈师傅</v>
      </c>
      <c r="AB345" s="0" t="str">
        <f aca="false">IFERROR(INDEX($A$1:$A$5,MATCH(4,$S345:$W345,0)),IF(4=MAX($S345:$W345)+1,"取消",""))</f>
        <v>刘师傅</v>
      </c>
      <c r="AC345" s="0" t="str">
        <f aca="false">IFERROR(INDEX($A$1:$A$5,MATCH(5,$S345:$W345,0)),IF(5=MAX($S345:$W345)+1,"取消",""))</f>
        <v>取消</v>
      </c>
      <c r="AD345" s="0" t="str">
        <f aca="false">IFERROR(INDEX($A$1:$A$5,MATCH(6,$S345:$W345,0)),IF(6=MAX($S345:$W345)+1,"取消",""))</f>
        <v/>
      </c>
      <c r="AF345" s="0" t="n">
        <f aca="false">IF(OR($A$1=公区维修!$F345,$BN$1=1),0,1-SUMPRODUCT(--(($A$1=公区维修!$F345)+$BN$1&gt;0)))</f>
        <v>0</v>
      </c>
      <c r="AG345" s="0" t="n">
        <f aca="false">IF(OR($A$2=公区维修!$F345,$BN$2=1),0,2-SUMPRODUCT(--(($A$1:$A$2=公区维修!$F345)+$BN$1:$BN$2&gt;0)))</f>
        <v>1</v>
      </c>
      <c r="AH345" s="0" t="n">
        <f aca="false">IF(OR($A$3=公区维修!$F345,$BN$3=1),0,3-SUMPRODUCT(--(($A$1:$A$3=公区维修!$F345)+$BN$1:$BN$3&gt;0)))</f>
        <v>2</v>
      </c>
      <c r="AI345" s="0" t="n">
        <f aca="false">IF(OR($A$4=公区维修!$F345,$BN$4=1),0,4-SUMPRODUCT(--(($A$1:$A$4=公区维修!$F345)+$BN$1:$BN$4&gt;0)))</f>
        <v>3</v>
      </c>
      <c r="AJ345" s="0" t="n">
        <f aca="false">IF(OR($A$5=公区维修!$F345,$BN$5=1),0,5-SUMPRODUCT(--(($A$1:$A$5=公区维修!$F345)+$BN$1:$BN$5&gt;0)))</f>
        <v>4</v>
      </c>
      <c r="AL345" s="0" t="str">
        <f aca="false">IFERROR(INDEX($A$1:$A$5,MATCH(1,$AF345:$AJ345,0)),IF(1=MAX($AF345:$AJ345)+1,"取消",""))</f>
        <v>李师傅</v>
      </c>
      <c r="AM345" s="0" t="str">
        <f aca="false">IFERROR(INDEX($A$1:$A$5,MATCH(2,$AF345:$AJ345,0)),IF(2=MAX($AF345:$AJ345)+1,"取消",""))</f>
        <v>王师傅</v>
      </c>
      <c r="AN345" s="0" t="str">
        <f aca="false">IFERROR(INDEX($A$1:$A$5,MATCH(3,$AF345:$AJ345,0)),IF(3=MAX($AF345:$AJ345)+1,"取消",""))</f>
        <v>陈师傅</v>
      </c>
      <c r="AO345" s="0" t="str">
        <f aca="false">IFERROR(INDEX($A$1:$A$5,MATCH(4,$AF345:$AJ345,0)),IF(4=MAX($AF345:$AJ345)+1,"取消",""))</f>
        <v>刘师傅</v>
      </c>
      <c r="AP345" s="0" t="str">
        <f aca="false">IFERROR(INDEX($A$1:$A$5,MATCH(5,$AF345:$AJ345,0)),IF(5=MAX($AF345:$AJ345)+1,"取消",""))</f>
        <v>取消</v>
      </c>
      <c r="AQ345" s="0" t="str">
        <f aca="false">IFERROR(INDEX($A$1:$A$5,MATCH(6,$AF345:$AJ345,0)),IF(6=MAX($AF345:$AJ345)+1,"取消",""))</f>
        <v/>
      </c>
      <c r="AS345" s="0" t="n">
        <f aca="false">IF(OR($A$1=公区维修!$F345,$A$1=公区维修!$G345,$BN$1=1),0,1-SUMPRODUCT(--(($A$1=公区维修!$F345)+($A$1=公区维修!$G345)+$BN$1&gt;0)))</f>
        <v>0</v>
      </c>
      <c r="AT345" s="0" t="n">
        <f aca="false">IF(OR($A$2=公区维修!$F345,$A$2=公区维修!$G345,$BN$2=1),0,2-SUMPRODUCT(--(($A$1:$A$2=公区维修!$F345)+($A$1:$A$2=公区维修!$G345)+$BN$1:$BN$2&gt;0)))</f>
        <v>1</v>
      </c>
      <c r="AU345" s="0" t="n">
        <f aca="false">IF(OR($A$3=公区维修!$F345,$A$3=公区维修!$G345,$BN$3=1),0,3-SUMPRODUCT(--(($A$1:$A$3=公区维修!$F345)+($A$1:$A$3=公区维修!$G345)+$BN$1:$BN$3&gt;0)))</f>
        <v>2</v>
      </c>
      <c r="AV345" s="0" t="n">
        <f aca="false">IF(OR($A$4=公区维修!$F345,$A$4=公区维修!$G345,$BN$4=1),0,4-SUMPRODUCT(--(($A$1:$A$4=公区维修!$F345)+($A$1:$A$4=公区维修!$G345)+$BN$1:$BN$4&gt;0)))</f>
        <v>3</v>
      </c>
      <c r="AW345" s="0" t="n">
        <f aca="false">IF(OR($A$5=公区维修!$F345,$A$5=公区维修!$G345,$BN$5=1),0,5-SUMPRODUCT(--(($A$1:$A$5=公区维修!$F345)+($A$1:$A$5=公区维修!$G345)+$BN$1:$BN$5&gt;0)))</f>
        <v>4</v>
      </c>
      <c r="AY345" s="0" t="str">
        <f aca="false">IFERROR(INDEX($A$1:$A$5,MATCH(1,$AS345:$AW345,0)),IF(1=MAX($AS345:$AW345)+1,"取消",""))</f>
        <v>李师傅</v>
      </c>
      <c r="AZ345" s="0" t="str">
        <f aca="false">IFERROR(INDEX($A$1:$A$5,MATCH(2,$AS345:$AW345,0)),IF(2=MAX($AS345:$AW345)+1,"取消",""))</f>
        <v>王师傅</v>
      </c>
      <c r="BA345" s="0" t="str">
        <f aca="false">IFERROR(INDEX($A$1:$A$5,MATCH(3,$AS345:$AW345,0)),IF(3=MAX($AS345:$AW345)+1,"取消",""))</f>
        <v>陈师傅</v>
      </c>
      <c r="BB345" s="0" t="str">
        <f aca="false">IFERROR(INDEX($A$1:$A$5,MATCH(4,$AS345:$AW345,0)),IF(4=MAX($AS345:$AW345)+1,"取消",""))</f>
        <v>刘师傅</v>
      </c>
      <c r="BC345" s="0" t="str">
        <f aca="false">IFERROR(INDEX($A$1:$A$5,MATCH(5,$AS345:$AW345,0)),IF(5=MAX($AS345:$AW345)+1,"取消",""))</f>
        <v>取消</v>
      </c>
      <c r="BD345" s="0" t="str">
        <f aca="false">IFERROR(INDEX($A$1:$A$5,MATCH(6,$AS345:$AW345,0)),IF(6=MAX($AS345:$AW345)+1,"取消",""))</f>
        <v/>
      </c>
      <c r="FW345" s="0" t="str">
        <f aca="false">IF(AND(单元查询!$D$3&lt;&gt;"",IF(单元查询!$B$3="公区维修",公区维修!$E345&lt;&gt;"",入户维修!$E345&lt;&gt;""),IF(单元查询!$B$3="公区维修",公区维修!$C345,入户维修!$C345)=单元查询!$D$3,OR(单元查询!$F$3="",IF(单元查询!$B$3="公区维修",公区维修!$D345,入户维修!$D345)&amp;""=(单元查询!$F$3)&amp;"")),MAX($FW$4:$FW344)+1,"")</f>
        <v/>
      </c>
    </row>
    <row r="346" customFormat="false" ht="15" hidden="false" customHeight="true" outlineLevel="0" collapsed="false">
      <c r="F346" s="0" t="n">
        <f aca="false">IF(OR($A$1=入户维修!$F346,$BN$1=1),0,1-SUMPRODUCT(--(($A$1=入户维修!$F346)+$BN$1&gt;0)))</f>
        <v>0</v>
      </c>
      <c r="G346" s="0" t="n">
        <f aca="false">IF(OR($A$2=入户维修!$F346,$BN$2=1),0,2-SUMPRODUCT(--(($A$1:$A$2=入户维修!$F346)+$BN$1:$BN$2&gt;0)))</f>
        <v>1</v>
      </c>
      <c r="H346" s="0" t="n">
        <f aca="false">IF(OR($A$3=入户维修!$F346,$BN$3=1),0,3-SUMPRODUCT(--(($A$1:$A$3=入户维修!$F346)+$BN$1:$BN$3&gt;0)))</f>
        <v>2</v>
      </c>
      <c r="I346" s="0" t="n">
        <f aca="false">IF(OR($A$4=入户维修!$F346,$BN$4=1),0,4-SUMPRODUCT(--(($A$1:$A$4=入户维修!$F346)+$BN$1:$BN$4&gt;0)))</f>
        <v>3</v>
      </c>
      <c r="J346" s="0" t="n">
        <f aca="false">IF(OR($A$5=入户维修!$F346,$BN$5=1),0,5-SUMPRODUCT(--(($A$1:$A$5=入户维修!$F346)+$BN$1:$BN$5&gt;0)))</f>
        <v>4</v>
      </c>
      <c r="L346" s="0" t="str">
        <f aca="false">IFERROR(INDEX($A$1:$A$5,MATCH(1,$F346:$J346,0)),IF(1=MAX($F346:$J346)+1,"取消",""))</f>
        <v>李师傅</v>
      </c>
      <c r="M346" s="0" t="str">
        <f aca="false">IFERROR(INDEX($A$1:$A$5,MATCH(2,$F346:$J346,0)),IF(2=MAX($F346:$J346)+1,"取消",""))</f>
        <v>王师傅</v>
      </c>
      <c r="N346" s="0" t="str">
        <f aca="false">IFERROR(INDEX($A$1:$A$5,MATCH(3,$F346:$J346,0)),IF(3=MAX($F346:$J346)+1,"取消",""))</f>
        <v>陈师傅</v>
      </c>
      <c r="O346" s="0" t="str">
        <f aca="false">IFERROR(INDEX($A$1:$A$5,MATCH(4,$F346:$J346,0)),IF(4=MAX($F346:$J346)+1,"取消",""))</f>
        <v>刘师傅</v>
      </c>
      <c r="P346" s="0" t="str">
        <f aca="false">IFERROR(INDEX($A$1:$A$5,MATCH(5,$F346:$J346,0)),IF(5=MAX($F346:$J346)+1,"取消",""))</f>
        <v>取消</v>
      </c>
      <c r="Q346" s="0" t="str">
        <f aca="false">IFERROR(INDEX($A$1:$A$5,MATCH(6,$F346:$J346,0)),IF(6=MAX($F346:$J346)+1,"取消",""))</f>
        <v/>
      </c>
      <c r="S346" s="0" t="n">
        <f aca="false">IF(OR($A$1=入户维修!$F346,$A$1=入户维修!$G346,$BN$1=1),0,1-SUMPRODUCT(--(($A$1=入户维修!$F346)+($A$1=入户维修!$G346)+$BN$1&gt;0)))</f>
        <v>0</v>
      </c>
      <c r="T346" s="0" t="n">
        <f aca="false">IF(OR($A$2=入户维修!$F346,$A$2=入户维修!$G346,$BN$2=1),0,2-SUMPRODUCT(--(($A$1:$A$2=入户维修!$F346)+($A$1:$A$2=入户维修!$G346)+$BN$1:$BN$2&gt;0)))</f>
        <v>1</v>
      </c>
      <c r="U346" s="0" t="n">
        <f aca="false">IF(OR($A$3=入户维修!$F346,$A$3=入户维修!$G346,$BN$3=1),0,3-SUMPRODUCT(--(($A$1:$A$3=入户维修!$F346)+($A$1:$A$3=入户维修!$G346)+$BN$1:$BN$3&gt;0)))</f>
        <v>2</v>
      </c>
      <c r="V346" s="0" t="n">
        <f aca="false">IF(OR($A$4=入户维修!$F346,$A$4=入户维修!$G346,$BN$4=1),0,4-SUMPRODUCT(--(($A$1:$A$4=入户维修!$F346)+($A$1:$A$4=入户维修!$G346)+$BN$1:$BN$4&gt;0)))</f>
        <v>3</v>
      </c>
      <c r="W346" s="0" t="n">
        <f aca="false">IF(OR($A$5=入户维修!$F346,$A$5=入户维修!$G346,$BN$5=1),0,5-SUMPRODUCT(--(($A$1:$A$5=入户维修!$F346)+($A$1:$A$5=入户维修!$G346)+$BN$1:$BN$5&gt;0)))</f>
        <v>4</v>
      </c>
      <c r="Y346" s="0" t="str">
        <f aca="false">IFERROR(INDEX($A$1:$A$5,MATCH(1,$S346:$W346,0)),IF(1=MAX($S346:$W346)+1,"取消",""))</f>
        <v>李师傅</v>
      </c>
      <c r="Z346" s="0" t="str">
        <f aca="false">IFERROR(INDEX($A$1:$A$5,MATCH(2,$S346:$W346,0)),IF(2=MAX($S346:$W346)+1,"取消",""))</f>
        <v>王师傅</v>
      </c>
      <c r="AA346" s="0" t="str">
        <f aca="false">IFERROR(INDEX($A$1:$A$5,MATCH(3,$S346:$W346,0)),IF(3=MAX($S346:$W346)+1,"取消",""))</f>
        <v>陈师傅</v>
      </c>
      <c r="AB346" s="0" t="str">
        <f aca="false">IFERROR(INDEX($A$1:$A$5,MATCH(4,$S346:$W346,0)),IF(4=MAX($S346:$W346)+1,"取消",""))</f>
        <v>刘师傅</v>
      </c>
      <c r="AC346" s="0" t="str">
        <f aca="false">IFERROR(INDEX($A$1:$A$5,MATCH(5,$S346:$W346,0)),IF(5=MAX($S346:$W346)+1,"取消",""))</f>
        <v>取消</v>
      </c>
      <c r="AD346" s="0" t="str">
        <f aca="false">IFERROR(INDEX($A$1:$A$5,MATCH(6,$S346:$W346,0)),IF(6=MAX($S346:$W346)+1,"取消",""))</f>
        <v/>
      </c>
      <c r="AF346" s="0" t="n">
        <f aca="false">IF(OR($A$1=公区维修!$F346,$BN$1=1),0,1-SUMPRODUCT(--(($A$1=公区维修!$F346)+$BN$1&gt;0)))</f>
        <v>0</v>
      </c>
      <c r="AG346" s="0" t="n">
        <f aca="false">IF(OR($A$2=公区维修!$F346,$BN$2=1),0,2-SUMPRODUCT(--(($A$1:$A$2=公区维修!$F346)+$BN$1:$BN$2&gt;0)))</f>
        <v>1</v>
      </c>
      <c r="AH346" s="0" t="n">
        <f aca="false">IF(OR($A$3=公区维修!$F346,$BN$3=1),0,3-SUMPRODUCT(--(($A$1:$A$3=公区维修!$F346)+$BN$1:$BN$3&gt;0)))</f>
        <v>2</v>
      </c>
      <c r="AI346" s="0" t="n">
        <f aca="false">IF(OR($A$4=公区维修!$F346,$BN$4=1),0,4-SUMPRODUCT(--(($A$1:$A$4=公区维修!$F346)+$BN$1:$BN$4&gt;0)))</f>
        <v>3</v>
      </c>
      <c r="AJ346" s="0" t="n">
        <f aca="false">IF(OR($A$5=公区维修!$F346,$BN$5=1),0,5-SUMPRODUCT(--(($A$1:$A$5=公区维修!$F346)+$BN$1:$BN$5&gt;0)))</f>
        <v>4</v>
      </c>
      <c r="AL346" s="0" t="str">
        <f aca="false">IFERROR(INDEX($A$1:$A$5,MATCH(1,$AF346:$AJ346,0)),IF(1=MAX($AF346:$AJ346)+1,"取消",""))</f>
        <v>李师傅</v>
      </c>
      <c r="AM346" s="0" t="str">
        <f aca="false">IFERROR(INDEX($A$1:$A$5,MATCH(2,$AF346:$AJ346,0)),IF(2=MAX($AF346:$AJ346)+1,"取消",""))</f>
        <v>王师傅</v>
      </c>
      <c r="AN346" s="0" t="str">
        <f aca="false">IFERROR(INDEX($A$1:$A$5,MATCH(3,$AF346:$AJ346,0)),IF(3=MAX($AF346:$AJ346)+1,"取消",""))</f>
        <v>陈师傅</v>
      </c>
      <c r="AO346" s="0" t="str">
        <f aca="false">IFERROR(INDEX($A$1:$A$5,MATCH(4,$AF346:$AJ346,0)),IF(4=MAX($AF346:$AJ346)+1,"取消",""))</f>
        <v>刘师傅</v>
      </c>
      <c r="AP346" s="0" t="str">
        <f aca="false">IFERROR(INDEX($A$1:$A$5,MATCH(5,$AF346:$AJ346,0)),IF(5=MAX($AF346:$AJ346)+1,"取消",""))</f>
        <v>取消</v>
      </c>
      <c r="AQ346" s="0" t="str">
        <f aca="false">IFERROR(INDEX($A$1:$A$5,MATCH(6,$AF346:$AJ346,0)),IF(6=MAX($AF346:$AJ346)+1,"取消",""))</f>
        <v/>
      </c>
      <c r="AS346" s="0" t="n">
        <f aca="false">IF(OR($A$1=公区维修!$F346,$A$1=公区维修!$G346,$BN$1=1),0,1-SUMPRODUCT(--(($A$1=公区维修!$F346)+($A$1=公区维修!$G346)+$BN$1&gt;0)))</f>
        <v>0</v>
      </c>
      <c r="AT346" s="0" t="n">
        <f aca="false">IF(OR($A$2=公区维修!$F346,$A$2=公区维修!$G346,$BN$2=1),0,2-SUMPRODUCT(--(($A$1:$A$2=公区维修!$F346)+($A$1:$A$2=公区维修!$G346)+$BN$1:$BN$2&gt;0)))</f>
        <v>1</v>
      </c>
      <c r="AU346" s="0" t="n">
        <f aca="false">IF(OR($A$3=公区维修!$F346,$A$3=公区维修!$G346,$BN$3=1),0,3-SUMPRODUCT(--(($A$1:$A$3=公区维修!$F346)+($A$1:$A$3=公区维修!$G346)+$BN$1:$BN$3&gt;0)))</f>
        <v>2</v>
      </c>
      <c r="AV346" s="0" t="n">
        <f aca="false">IF(OR($A$4=公区维修!$F346,$A$4=公区维修!$G346,$BN$4=1),0,4-SUMPRODUCT(--(($A$1:$A$4=公区维修!$F346)+($A$1:$A$4=公区维修!$G346)+$BN$1:$BN$4&gt;0)))</f>
        <v>3</v>
      </c>
      <c r="AW346" s="0" t="n">
        <f aca="false">IF(OR($A$5=公区维修!$F346,$A$5=公区维修!$G346,$BN$5=1),0,5-SUMPRODUCT(--(($A$1:$A$5=公区维修!$F346)+($A$1:$A$5=公区维修!$G346)+$BN$1:$BN$5&gt;0)))</f>
        <v>4</v>
      </c>
      <c r="AY346" s="0" t="str">
        <f aca="false">IFERROR(INDEX($A$1:$A$5,MATCH(1,$AS346:$AW346,0)),IF(1=MAX($AS346:$AW346)+1,"取消",""))</f>
        <v>李师傅</v>
      </c>
      <c r="AZ346" s="0" t="str">
        <f aca="false">IFERROR(INDEX($A$1:$A$5,MATCH(2,$AS346:$AW346,0)),IF(2=MAX($AS346:$AW346)+1,"取消",""))</f>
        <v>王师傅</v>
      </c>
      <c r="BA346" s="0" t="str">
        <f aca="false">IFERROR(INDEX($A$1:$A$5,MATCH(3,$AS346:$AW346,0)),IF(3=MAX($AS346:$AW346)+1,"取消",""))</f>
        <v>陈师傅</v>
      </c>
      <c r="BB346" s="0" t="str">
        <f aca="false">IFERROR(INDEX($A$1:$A$5,MATCH(4,$AS346:$AW346,0)),IF(4=MAX($AS346:$AW346)+1,"取消",""))</f>
        <v>刘师傅</v>
      </c>
      <c r="BC346" s="0" t="str">
        <f aca="false">IFERROR(INDEX($A$1:$A$5,MATCH(5,$AS346:$AW346,0)),IF(5=MAX($AS346:$AW346)+1,"取消",""))</f>
        <v>取消</v>
      </c>
      <c r="BD346" s="0" t="str">
        <f aca="false">IFERROR(INDEX($A$1:$A$5,MATCH(6,$AS346:$AW346,0)),IF(6=MAX($AS346:$AW346)+1,"取消",""))</f>
        <v/>
      </c>
      <c r="FW346" s="0" t="str">
        <f aca="false">IF(AND(单元查询!$D$3&lt;&gt;"",IF(单元查询!$B$3="公区维修",公区维修!$E346&lt;&gt;"",入户维修!$E346&lt;&gt;""),IF(单元查询!$B$3="公区维修",公区维修!$C346,入户维修!$C346)=单元查询!$D$3,OR(单元查询!$F$3="",IF(单元查询!$B$3="公区维修",公区维修!$D346,入户维修!$D346)&amp;""=(单元查询!$F$3)&amp;"")),MAX($FW$4:$FW345)+1,"")</f>
        <v/>
      </c>
    </row>
    <row r="347" customFormat="false" ht="15" hidden="false" customHeight="true" outlineLevel="0" collapsed="false">
      <c r="F347" s="0" t="n">
        <f aca="false">IF(OR($A$1=入户维修!$F347,$BN$1=1),0,1-SUMPRODUCT(--(($A$1=入户维修!$F347)+$BN$1&gt;0)))</f>
        <v>0</v>
      </c>
      <c r="G347" s="0" t="n">
        <f aca="false">IF(OR($A$2=入户维修!$F347,$BN$2=1),0,2-SUMPRODUCT(--(($A$1:$A$2=入户维修!$F347)+$BN$1:$BN$2&gt;0)))</f>
        <v>1</v>
      </c>
      <c r="H347" s="0" t="n">
        <f aca="false">IF(OR($A$3=入户维修!$F347,$BN$3=1),0,3-SUMPRODUCT(--(($A$1:$A$3=入户维修!$F347)+$BN$1:$BN$3&gt;0)))</f>
        <v>2</v>
      </c>
      <c r="I347" s="0" t="n">
        <f aca="false">IF(OR($A$4=入户维修!$F347,$BN$4=1),0,4-SUMPRODUCT(--(($A$1:$A$4=入户维修!$F347)+$BN$1:$BN$4&gt;0)))</f>
        <v>3</v>
      </c>
      <c r="J347" s="0" t="n">
        <f aca="false">IF(OR($A$5=入户维修!$F347,$BN$5=1),0,5-SUMPRODUCT(--(($A$1:$A$5=入户维修!$F347)+$BN$1:$BN$5&gt;0)))</f>
        <v>4</v>
      </c>
      <c r="L347" s="0" t="str">
        <f aca="false">IFERROR(INDEX($A$1:$A$5,MATCH(1,$F347:$J347,0)),IF(1=MAX($F347:$J347)+1,"取消",""))</f>
        <v>李师傅</v>
      </c>
      <c r="M347" s="0" t="str">
        <f aca="false">IFERROR(INDEX($A$1:$A$5,MATCH(2,$F347:$J347,0)),IF(2=MAX($F347:$J347)+1,"取消",""))</f>
        <v>王师傅</v>
      </c>
      <c r="N347" s="0" t="str">
        <f aca="false">IFERROR(INDEX($A$1:$A$5,MATCH(3,$F347:$J347,0)),IF(3=MAX($F347:$J347)+1,"取消",""))</f>
        <v>陈师傅</v>
      </c>
      <c r="O347" s="0" t="str">
        <f aca="false">IFERROR(INDEX($A$1:$A$5,MATCH(4,$F347:$J347,0)),IF(4=MAX($F347:$J347)+1,"取消",""))</f>
        <v>刘师傅</v>
      </c>
      <c r="P347" s="0" t="str">
        <f aca="false">IFERROR(INDEX($A$1:$A$5,MATCH(5,$F347:$J347,0)),IF(5=MAX($F347:$J347)+1,"取消",""))</f>
        <v>取消</v>
      </c>
      <c r="Q347" s="0" t="str">
        <f aca="false">IFERROR(INDEX($A$1:$A$5,MATCH(6,$F347:$J347,0)),IF(6=MAX($F347:$J347)+1,"取消",""))</f>
        <v/>
      </c>
      <c r="S347" s="0" t="n">
        <f aca="false">IF(OR($A$1=入户维修!$F347,$A$1=入户维修!$G347,$BN$1=1),0,1-SUMPRODUCT(--(($A$1=入户维修!$F347)+($A$1=入户维修!$G347)+$BN$1&gt;0)))</f>
        <v>0</v>
      </c>
      <c r="T347" s="0" t="n">
        <f aca="false">IF(OR($A$2=入户维修!$F347,$A$2=入户维修!$G347,$BN$2=1),0,2-SUMPRODUCT(--(($A$1:$A$2=入户维修!$F347)+($A$1:$A$2=入户维修!$G347)+$BN$1:$BN$2&gt;0)))</f>
        <v>1</v>
      </c>
      <c r="U347" s="0" t="n">
        <f aca="false">IF(OR($A$3=入户维修!$F347,$A$3=入户维修!$G347,$BN$3=1),0,3-SUMPRODUCT(--(($A$1:$A$3=入户维修!$F347)+($A$1:$A$3=入户维修!$G347)+$BN$1:$BN$3&gt;0)))</f>
        <v>2</v>
      </c>
      <c r="V347" s="0" t="n">
        <f aca="false">IF(OR($A$4=入户维修!$F347,$A$4=入户维修!$G347,$BN$4=1),0,4-SUMPRODUCT(--(($A$1:$A$4=入户维修!$F347)+($A$1:$A$4=入户维修!$G347)+$BN$1:$BN$4&gt;0)))</f>
        <v>3</v>
      </c>
      <c r="W347" s="0" t="n">
        <f aca="false">IF(OR($A$5=入户维修!$F347,$A$5=入户维修!$G347,$BN$5=1),0,5-SUMPRODUCT(--(($A$1:$A$5=入户维修!$F347)+($A$1:$A$5=入户维修!$G347)+$BN$1:$BN$5&gt;0)))</f>
        <v>4</v>
      </c>
      <c r="Y347" s="0" t="str">
        <f aca="false">IFERROR(INDEX($A$1:$A$5,MATCH(1,$S347:$W347,0)),IF(1=MAX($S347:$W347)+1,"取消",""))</f>
        <v>李师傅</v>
      </c>
      <c r="Z347" s="0" t="str">
        <f aca="false">IFERROR(INDEX($A$1:$A$5,MATCH(2,$S347:$W347,0)),IF(2=MAX($S347:$W347)+1,"取消",""))</f>
        <v>王师傅</v>
      </c>
      <c r="AA347" s="0" t="str">
        <f aca="false">IFERROR(INDEX($A$1:$A$5,MATCH(3,$S347:$W347,0)),IF(3=MAX($S347:$W347)+1,"取消",""))</f>
        <v>陈师傅</v>
      </c>
      <c r="AB347" s="0" t="str">
        <f aca="false">IFERROR(INDEX($A$1:$A$5,MATCH(4,$S347:$W347,0)),IF(4=MAX($S347:$W347)+1,"取消",""))</f>
        <v>刘师傅</v>
      </c>
      <c r="AC347" s="0" t="str">
        <f aca="false">IFERROR(INDEX($A$1:$A$5,MATCH(5,$S347:$W347,0)),IF(5=MAX($S347:$W347)+1,"取消",""))</f>
        <v>取消</v>
      </c>
      <c r="AD347" s="0" t="str">
        <f aca="false">IFERROR(INDEX($A$1:$A$5,MATCH(6,$S347:$W347,0)),IF(6=MAX($S347:$W347)+1,"取消",""))</f>
        <v/>
      </c>
      <c r="AF347" s="0" t="n">
        <f aca="false">IF(OR($A$1=公区维修!$F347,$BN$1=1),0,1-SUMPRODUCT(--(($A$1=公区维修!$F347)+$BN$1&gt;0)))</f>
        <v>0</v>
      </c>
      <c r="AG347" s="0" t="n">
        <f aca="false">IF(OR($A$2=公区维修!$F347,$BN$2=1),0,2-SUMPRODUCT(--(($A$1:$A$2=公区维修!$F347)+$BN$1:$BN$2&gt;0)))</f>
        <v>1</v>
      </c>
      <c r="AH347" s="0" t="n">
        <f aca="false">IF(OR($A$3=公区维修!$F347,$BN$3=1),0,3-SUMPRODUCT(--(($A$1:$A$3=公区维修!$F347)+$BN$1:$BN$3&gt;0)))</f>
        <v>2</v>
      </c>
      <c r="AI347" s="0" t="n">
        <f aca="false">IF(OR($A$4=公区维修!$F347,$BN$4=1),0,4-SUMPRODUCT(--(($A$1:$A$4=公区维修!$F347)+$BN$1:$BN$4&gt;0)))</f>
        <v>3</v>
      </c>
      <c r="AJ347" s="0" t="n">
        <f aca="false">IF(OR($A$5=公区维修!$F347,$BN$5=1),0,5-SUMPRODUCT(--(($A$1:$A$5=公区维修!$F347)+$BN$1:$BN$5&gt;0)))</f>
        <v>4</v>
      </c>
      <c r="AL347" s="0" t="str">
        <f aca="false">IFERROR(INDEX($A$1:$A$5,MATCH(1,$AF347:$AJ347,0)),IF(1=MAX($AF347:$AJ347)+1,"取消",""))</f>
        <v>李师傅</v>
      </c>
      <c r="AM347" s="0" t="str">
        <f aca="false">IFERROR(INDEX($A$1:$A$5,MATCH(2,$AF347:$AJ347,0)),IF(2=MAX($AF347:$AJ347)+1,"取消",""))</f>
        <v>王师傅</v>
      </c>
      <c r="AN347" s="0" t="str">
        <f aca="false">IFERROR(INDEX($A$1:$A$5,MATCH(3,$AF347:$AJ347,0)),IF(3=MAX($AF347:$AJ347)+1,"取消",""))</f>
        <v>陈师傅</v>
      </c>
      <c r="AO347" s="0" t="str">
        <f aca="false">IFERROR(INDEX($A$1:$A$5,MATCH(4,$AF347:$AJ347,0)),IF(4=MAX($AF347:$AJ347)+1,"取消",""))</f>
        <v>刘师傅</v>
      </c>
      <c r="AP347" s="0" t="str">
        <f aca="false">IFERROR(INDEX($A$1:$A$5,MATCH(5,$AF347:$AJ347,0)),IF(5=MAX($AF347:$AJ347)+1,"取消",""))</f>
        <v>取消</v>
      </c>
      <c r="AQ347" s="0" t="str">
        <f aca="false">IFERROR(INDEX($A$1:$A$5,MATCH(6,$AF347:$AJ347,0)),IF(6=MAX($AF347:$AJ347)+1,"取消",""))</f>
        <v/>
      </c>
      <c r="AS347" s="0" t="n">
        <f aca="false">IF(OR($A$1=公区维修!$F347,$A$1=公区维修!$G347,$BN$1=1),0,1-SUMPRODUCT(--(($A$1=公区维修!$F347)+($A$1=公区维修!$G347)+$BN$1&gt;0)))</f>
        <v>0</v>
      </c>
      <c r="AT347" s="0" t="n">
        <f aca="false">IF(OR($A$2=公区维修!$F347,$A$2=公区维修!$G347,$BN$2=1),0,2-SUMPRODUCT(--(($A$1:$A$2=公区维修!$F347)+($A$1:$A$2=公区维修!$G347)+$BN$1:$BN$2&gt;0)))</f>
        <v>1</v>
      </c>
      <c r="AU347" s="0" t="n">
        <f aca="false">IF(OR($A$3=公区维修!$F347,$A$3=公区维修!$G347,$BN$3=1),0,3-SUMPRODUCT(--(($A$1:$A$3=公区维修!$F347)+($A$1:$A$3=公区维修!$G347)+$BN$1:$BN$3&gt;0)))</f>
        <v>2</v>
      </c>
      <c r="AV347" s="0" t="n">
        <f aca="false">IF(OR($A$4=公区维修!$F347,$A$4=公区维修!$G347,$BN$4=1),0,4-SUMPRODUCT(--(($A$1:$A$4=公区维修!$F347)+($A$1:$A$4=公区维修!$G347)+$BN$1:$BN$4&gt;0)))</f>
        <v>3</v>
      </c>
      <c r="AW347" s="0" t="n">
        <f aca="false">IF(OR($A$5=公区维修!$F347,$A$5=公区维修!$G347,$BN$5=1),0,5-SUMPRODUCT(--(($A$1:$A$5=公区维修!$F347)+($A$1:$A$5=公区维修!$G347)+$BN$1:$BN$5&gt;0)))</f>
        <v>4</v>
      </c>
      <c r="AY347" s="0" t="str">
        <f aca="false">IFERROR(INDEX($A$1:$A$5,MATCH(1,$AS347:$AW347,0)),IF(1=MAX($AS347:$AW347)+1,"取消",""))</f>
        <v>李师傅</v>
      </c>
      <c r="AZ347" s="0" t="str">
        <f aca="false">IFERROR(INDEX($A$1:$A$5,MATCH(2,$AS347:$AW347,0)),IF(2=MAX($AS347:$AW347)+1,"取消",""))</f>
        <v>王师傅</v>
      </c>
      <c r="BA347" s="0" t="str">
        <f aca="false">IFERROR(INDEX($A$1:$A$5,MATCH(3,$AS347:$AW347,0)),IF(3=MAX($AS347:$AW347)+1,"取消",""))</f>
        <v>陈师傅</v>
      </c>
      <c r="BB347" s="0" t="str">
        <f aca="false">IFERROR(INDEX($A$1:$A$5,MATCH(4,$AS347:$AW347,0)),IF(4=MAX($AS347:$AW347)+1,"取消",""))</f>
        <v>刘师傅</v>
      </c>
      <c r="BC347" s="0" t="str">
        <f aca="false">IFERROR(INDEX($A$1:$A$5,MATCH(5,$AS347:$AW347,0)),IF(5=MAX($AS347:$AW347)+1,"取消",""))</f>
        <v>取消</v>
      </c>
      <c r="BD347" s="0" t="str">
        <f aca="false">IFERROR(INDEX($A$1:$A$5,MATCH(6,$AS347:$AW347,0)),IF(6=MAX($AS347:$AW347)+1,"取消",""))</f>
        <v/>
      </c>
      <c r="FW347" s="0" t="str">
        <f aca="false">IF(AND(单元查询!$D$3&lt;&gt;"",IF(单元查询!$B$3="公区维修",公区维修!$E347&lt;&gt;"",入户维修!$E347&lt;&gt;""),IF(单元查询!$B$3="公区维修",公区维修!$C347,入户维修!$C347)=单元查询!$D$3,OR(单元查询!$F$3="",IF(单元查询!$B$3="公区维修",公区维修!$D347,入户维修!$D347)&amp;""=(单元查询!$F$3)&amp;"")),MAX($FW$4:$FW346)+1,"")</f>
        <v/>
      </c>
    </row>
    <row r="348" customFormat="false" ht="15" hidden="false" customHeight="true" outlineLevel="0" collapsed="false">
      <c r="F348" s="0" t="n">
        <f aca="false">IF(OR($A$1=入户维修!$F348,$BN$1=1),0,1-SUMPRODUCT(--(($A$1=入户维修!$F348)+$BN$1&gt;0)))</f>
        <v>0</v>
      </c>
      <c r="G348" s="0" t="n">
        <f aca="false">IF(OR($A$2=入户维修!$F348,$BN$2=1),0,2-SUMPRODUCT(--(($A$1:$A$2=入户维修!$F348)+$BN$1:$BN$2&gt;0)))</f>
        <v>1</v>
      </c>
      <c r="H348" s="0" t="n">
        <f aca="false">IF(OR($A$3=入户维修!$F348,$BN$3=1),0,3-SUMPRODUCT(--(($A$1:$A$3=入户维修!$F348)+$BN$1:$BN$3&gt;0)))</f>
        <v>2</v>
      </c>
      <c r="I348" s="0" t="n">
        <f aca="false">IF(OR($A$4=入户维修!$F348,$BN$4=1),0,4-SUMPRODUCT(--(($A$1:$A$4=入户维修!$F348)+$BN$1:$BN$4&gt;0)))</f>
        <v>3</v>
      </c>
      <c r="J348" s="0" t="n">
        <f aca="false">IF(OR($A$5=入户维修!$F348,$BN$5=1),0,5-SUMPRODUCT(--(($A$1:$A$5=入户维修!$F348)+$BN$1:$BN$5&gt;0)))</f>
        <v>4</v>
      </c>
      <c r="L348" s="0" t="str">
        <f aca="false">IFERROR(INDEX($A$1:$A$5,MATCH(1,$F348:$J348,0)),IF(1=MAX($F348:$J348)+1,"取消",""))</f>
        <v>李师傅</v>
      </c>
      <c r="M348" s="0" t="str">
        <f aca="false">IFERROR(INDEX($A$1:$A$5,MATCH(2,$F348:$J348,0)),IF(2=MAX($F348:$J348)+1,"取消",""))</f>
        <v>王师傅</v>
      </c>
      <c r="N348" s="0" t="str">
        <f aca="false">IFERROR(INDEX($A$1:$A$5,MATCH(3,$F348:$J348,0)),IF(3=MAX($F348:$J348)+1,"取消",""))</f>
        <v>陈师傅</v>
      </c>
      <c r="O348" s="0" t="str">
        <f aca="false">IFERROR(INDEX($A$1:$A$5,MATCH(4,$F348:$J348,0)),IF(4=MAX($F348:$J348)+1,"取消",""))</f>
        <v>刘师傅</v>
      </c>
      <c r="P348" s="0" t="str">
        <f aca="false">IFERROR(INDEX($A$1:$A$5,MATCH(5,$F348:$J348,0)),IF(5=MAX($F348:$J348)+1,"取消",""))</f>
        <v>取消</v>
      </c>
      <c r="Q348" s="0" t="str">
        <f aca="false">IFERROR(INDEX($A$1:$A$5,MATCH(6,$F348:$J348,0)),IF(6=MAX($F348:$J348)+1,"取消",""))</f>
        <v/>
      </c>
      <c r="S348" s="0" t="n">
        <f aca="false">IF(OR($A$1=入户维修!$F348,$A$1=入户维修!$G348,$BN$1=1),0,1-SUMPRODUCT(--(($A$1=入户维修!$F348)+($A$1=入户维修!$G348)+$BN$1&gt;0)))</f>
        <v>0</v>
      </c>
      <c r="T348" s="0" t="n">
        <f aca="false">IF(OR($A$2=入户维修!$F348,$A$2=入户维修!$G348,$BN$2=1),0,2-SUMPRODUCT(--(($A$1:$A$2=入户维修!$F348)+($A$1:$A$2=入户维修!$G348)+$BN$1:$BN$2&gt;0)))</f>
        <v>1</v>
      </c>
      <c r="U348" s="0" t="n">
        <f aca="false">IF(OR($A$3=入户维修!$F348,$A$3=入户维修!$G348,$BN$3=1),0,3-SUMPRODUCT(--(($A$1:$A$3=入户维修!$F348)+($A$1:$A$3=入户维修!$G348)+$BN$1:$BN$3&gt;0)))</f>
        <v>2</v>
      </c>
      <c r="V348" s="0" t="n">
        <f aca="false">IF(OR($A$4=入户维修!$F348,$A$4=入户维修!$G348,$BN$4=1),0,4-SUMPRODUCT(--(($A$1:$A$4=入户维修!$F348)+($A$1:$A$4=入户维修!$G348)+$BN$1:$BN$4&gt;0)))</f>
        <v>3</v>
      </c>
      <c r="W348" s="0" t="n">
        <f aca="false">IF(OR($A$5=入户维修!$F348,$A$5=入户维修!$G348,$BN$5=1),0,5-SUMPRODUCT(--(($A$1:$A$5=入户维修!$F348)+($A$1:$A$5=入户维修!$G348)+$BN$1:$BN$5&gt;0)))</f>
        <v>4</v>
      </c>
      <c r="Y348" s="0" t="str">
        <f aca="false">IFERROR(INDEX($A$1:$A$5,MATCH(1,$S348:$W348,0)),IF(1=MAX($S348:$W348)+1,"取消",""))</f>
        <v>李师傅</v>
      </c>
      <c r="Z348" s="0" t="str">
        <f aca="false">IFERROR(INDEX($A$1:$A$5,MATCH(2,$S348:$W348,0)),IF(2=MAX($S348:$W348)+1,"取消",""))</f>
        <v>王师傅</v>
      </c>
      <c r="AA348" s="0" t="str">
        <f aca="false">IFERROR(INDEX($A$1:$A$5,MATCH(3,$S348:$W348,0)),IF(3=MAX($S348:$W348)+1,"取消",""))</f>
        <v>陈师傅</v>
      </c>
      <c r="AB348" s="0" t="str">
        <f aca="false">IFERROR(INDEX($A$1:$A$5,MATCH(4,$S348:$W348,0)),IF(4=MAX($S348:$W348)+1,"取消",""))</f>
        <v>刘师傅</v>
      </c>
      <c r="AC348" s="0" t="str">
        <f aca="false">IFERROR(INDEX($A$1:$A$5,MATCH(5,$S348:$W348,0)),IF(5=MAX($S348:$W348)+1,"取消",""))</f>
        <v>取消</v>
      </c>
      <c r="AD348" s="0" t="str">
        <f aca="false">IFERROR(INDEX($A$1:$A$5,MATCH(6,$S348:$W348,0)),IF(6=MAX($S348:$W348)+1,"取消",""))</f>
        <v/>
      </c>
      <c r="AF348" s="0" t="n">
        <f aca="false">IF(OR($A$1=公区维修!$F348,$BN$1=1),0,1-SUMPRODUCT(--(($A$1=公区维修!$F348)+$BN$1&gt;0)))</f>
        <v>0</v>
      </c>
      <c r="AG348" s="0" t="n">
        <f aca="false">IF(OR($A$2=公区维修!$F348,$BN$2=1),0,2-SUMPRODUCT(--(($A$1:$A$2=公区维修!$F348)+$BN$1:$BN$2&gt;0)))</f>
        <v>1</v>
      </c>
      <c r="AH348" s="0" t="n">
        <f aca="false">IF(OR($A$3=公区维修!$F348,$BN$3=1),0,3-SUMPRODUCT(--(($A$1:$A$3=公区维修!$F348)+$BN$1:$BN$3&gt;0)))</f>
        <v>2</v>
      </c>
      <c r="AI348" s="0" t="n">
        <f aca="false">IF(OR($A$4=公区维修!$F348,$BN$4=1),0,4-SUMPRODUCT(--(($A$1:$A$4=公区维修!$F348)+$BN$1:$BN$4&gt;0)))</f>
        <v>3</v>
      </c>
      <c r="AJ348" s="0" t="n">
        <f aca="false">IF(OR($A$5=公区维修!$F348,$BN$5=1),0,5-SUMPRODUCT(--(($A$1:$A$5=公区维修!$F348)+$BN$1:$BN$5&gt;0)))</f>
        <v>4</v>
      </c>
      <c r="AL348" s="0" t="str">
        <f aca="false">IFERROR(INDEX($A$1:$A$5,MATCH(1,$AF348:$AJ348,0)),IF(1=MAX($AF348:$AJ348)+1,"取消",""))</f>
        <v>李师傅</v>
      </c>
      <c r="AM348" s="0" t="str">
        <f aca="false">IFERROR(INDEX($A$1:$A$5,MATCH(2,$AF348:$AJ348,0)),IF(2=MAX($AF348:$AJ348)+1,"取消",""))</f>
        <v>王师傅</v>
      </c>
      <c r="AN348" s="0" t="str">
        <f aca="false">IFERROR(INDEX($A$1:$A$5,MATCH(3,$AF348:$AJ348,0)),IF(3=MAX($AF348:$AJ348)+1,"取消",""))</f>
        <v>陈师傅</v>
      </c>
      <c r="AO348" s="0" t="str">
        <f aca="false">IFERROR(INDEX($A$1:$A$5,MATCH(4,$AF348:$AJ348,0)),IF(4=MAX($AF348:$AJ348)+1,"取消",""))</f>
        <v>刘师傅</v>
      </c>
      <c r="AP348" s="0" t="str">
        <f aca="false">IFERROR(INDEX($A$1:$A$5,MATCH(5,$AF348:$AJ348,0)),IF(5=MAX($AF348:$AJ348)+1,"取消",""))</f>
        <v>取消</v>
      </c>
      <c r="AQ348" s="0" t="str">
        <f aca="false">IFERROR(INDEX($A$1:$A$5,MATCH(6,$AF348:$AJ348,0)),IF(6=MAX($AF348:$AJ348)+1,"取消",""))</f>
        <v/>
      </c>
      <c r="AS348" s="0" t="n">
        <f aca="false">IF(OR($A$1=公区维修!$F348,$A$1=公区维修!$G348,$BN$1=1),0,1-SUMPRODUCT(--(($A$1=公区维修!$F348)+($A$1=公区维修!$G348)+$BN$1&gt;0)))</f>
        <v>0</v>
      </c>
      <c r="AT348" s="0" t="n">
        <f aca="false">IF(OR($A$2=公区维修!$F348,$A$2=公区维修!$G348,$BN$2=1),0,2-SUMPRODUCT(--(($A$1:$A$2=公区维修!$F348)+($A$1:$A$2=公区维修!$G348)+$BN$1:$BN$2&gt;0)))</f>
        <v>1</v>
      </c>
      <c r="AU348" s="0" t="n">
        <f aca="false">IF(OR($A$3=公区维修!$F348,$A$3=公区维修!$G348,$BN$3=1),0,3-SUMPRODUCT(--(($A$1:$A$3=公区维修!$F348)+($A$1:$A$3=公区维修!$G348)+$BN$1:$BN$3&gt;0)))</f>
        <v>2</v>
      </c>
      <c r="AV348" s="0" t="n">
        <f aca="false">IF(OR($A$4=公区维修!$F348,$A$4=公区维修!$G348,$BN$4=1),0,4-SUMPRODUCT(--(($A$1:$A$4=公区维修!$F348)+($A$1:$A$4=公区维修!$G348)+$BN$1:$BN$4&gt;0)))</f>
        <v>3</v>
      </c>
      <c r="AW348" s="0" t="n">
        <f aca="false">IF(OR($A$5=公区维修!$F348,$A$5=公区维修!$G348,$BN$5=1),0,5-SUMPRODUCT(--(($A$1:$A$5=公区维修!$F348)+($A$1:$A$5=公区维修!$G348)+$BN$1:$BN$5&gt;0)))</f>
        <v>4</v>
      </c>
      <c r="AY348" s="0" t="str">
        <f aca="false">IFERROR(INDEX($A$1:$A$5,MATCH(1,$AS348:$AW348,0)),IF(1=MAX($AS348:$AW348)+1,"取消",""))</f>
        <v>李师傅</v>
      </c>
      <c r="AZ348" s="0" t="str">
        <f aca="false">IFERROR(INDEX($A$1:$A$5,MATCH(2,$AS348:$AW348,0)),IF(2=MAX($AS348:$AW348)+1,"取消",""))</f>
        <v>王师傅</v>
      </c>
      <c r="BA348" s="0" t="str">
        <f aca="false">IFERROR(INDEX($A$1:$A$5,MATCH(3,$AS348:$AW348,0)),IF(3=MAX($AS348:$AW348)+1,"取消",""))</f>
        <v>陈师傅</v>
      </c>
      <c r="BB348" s="0" t="str">
        <f aca="false">IFERROR(INDEX($A$1:$A$5,MATCH(4,$AS348:$AW348,0)),IF(4=MAX($AS348:$AW348)+1,"取消",""))</f>
        <v>刘师傅</v>
      </c>
      <c r="BC348" s="0" t="str">
        <f aca="false">IFERROR(INDEX($A$1:$A$5,MATCH(5,$AS348:$AW348,0)),IF(5=MAX($AS348:$AW348)+1,"取消",""))</f>
        <v>取消</v>
      </c>
      <c r="BD348" s="0" t="str">
        <f aca="false">IFERROR(INDEX($A$1:$A$5,MATCH(6,$AS348:$AW348,0)),IF(6=MAX($AS348:$AW348)+1,"取消",""))</f>
        <v/>
      </c>
      <c r="FW348" s="0" t="str">
        <f aca="false">IF(AND(单元查询!$D$3&lt;&gt;"",IF(单元查询!$B$3="公区维修",公区维修!$E348&lt;&gt;"",入户维修!$E348&lt;&gt;""),IF(单元查询!$B$3="公区维修",公区维修!$C348,入户维修!$C348)=单元查询!$D$3,OR(单元查询!$F$3="",IF(单元查询!$B$3="公区维修",公区维修!$D348,入户维修!$D348)&amp;""=(单元查询!$F$3)&amp;"")),MAX($FW$4:$FW347)+1,"")</f>
        <v/>
      </c>
    </row>
    <row r="349" customFormat="false" ht="15" hidden="false" customHeight="true" outlineLevel="0" collapsed="false">
      <c r="F349" s="0" t="n">
        <f aca="false">IF(OR($A$1=入户维修!$F349,$BN$1=1),0,1-SUMPRODUCT(--(($A$1=入户维修!$F349)+$BN$1&gt;0)))</f>
        <v>0</v>
      </c>
      <c r="G349" s="0" t="n">
        <f aca="false">IF(OR($A$2=入户维修!$F349,$BN$2=1),0,2-SUMPRODUCT(--(($A$1:$A$2=入户维修!$F349)+$BN$1:$BN$2&gt;0)))</f>
        <v>1</v>
      </c>
      <c r="H349" s="0" t="n">
        <f aca="false">IF(OR($A$3=入户维修!$F349,$BN$3=1),0,3-SUMPRODUCT(--(($A$1:$A$3=入户维修!$F349)+$BN$1:$BN$3&gt;0)))</f>
        <v>2</v>
      </c>
      <c r="I349" s="0" t="n">
        <f aca="false">IF(OR($A$4=入户维修!$F349,$BN$4=1),0,4-SUMPRODUCT(--(($A$1:$A$4=入户维修!$F349)+$BN$1:$BN$4&gt;0)))</f>
        <v>3</v>
      </c>
      <c r="J349" s="0" t="n">
        <f aca="false">IF(OR($A$5=入户维修!$F349,$BN$5=1),0,5-SUMPRODUCT(--(($A$1:$A$5=入户维修!$F349)+$BN$1:$BN$5&gt;0)))</f>
        <v>4</v>
      </c>
      <c r="L349" s="0" t="str">
        <f aca="false">IFERROR(INDEX($A$1:$A$5,MATCH(1,$F349:$J349,0)),IF(1=MAX($F349:$J349)+1,"取消",""))</f>
        <v>李师傅</v>
      </c>
      <c r="M349" s="0" t="str">
        <f aca="false">IFERROR(INDEX($A$1:$A$5,MATCH(2,$F349:$J349,0)),IF(2=MAX($F349:$J349)+1,"取消",""))</f>
        <v>王师傅</v>
      </c>
      <c r="N349" s="0" t="str">
        <f aca="false">IFERROR(INDEX($A$1:$A$5,MATCH(3,$F349:$J349,0)),IF(3=MAX($F349:$J349)+1,"取消",""))</f>
        <v>陈师傅</v>
      </c>
      <c r="O349" s="0" t="str">
        <f aca="false">IFERROR(INDEX($A$1:$A$5,MATCH(4,$F349:$J349,0)),IF(4=MAX($F349:$J349)+1,"取消",""))</f>
        <v>刘师傅</v>
      </c>
      <c r="P349" s="0" t="str">
        <f aca="false">IFERROR(INDEX($A$1:$A$5,MATCH(5,$F349:$J349,0)),IF(5=MAX($F349:$J349)+1,"取消",""))</f>
        <v>取消</v>
      </c>
      <c r="Q349" s="0" t="str">
        <f aca="false">IFERROR(INDEX($A$1:$A$5,MATCH(6,$F349:$J349,0)),IF(6=MAX($F349:$J349)+1,"取消",""))</f>
        <v/>
      </c>
      <c r="S349" s="0" t="n">
        <f aca="false">IF(OR($A$1=入户维修!$F349,$A$1=入户维修!$G349,$BN$1=1),0,1-SUMPRODUCT(--(($A$1=入户维修!$F349)+($A$1=入户维修!$G349)+$BN$1&gt;0)))</f>
        <v>0</v>
      </c>
      <c r="T349" s="0" t="n">
        <f aca="false">IF(OR($A$2=入户维修!$F349,$A$2=入户维修!$G349,$BN$2=1),0,2-SUMPRODUCT(--(($A$1:$A$2=入户维修!$F349)+($A$1:$A$2=入户维修!$G349)+$BN$1:$BN$2&gt;0)))</f>
        <v>1</v>
      </c>
      <c r="U349" s="0" t="n">
        <f aca="false">IF(OR($A$3=入户维修!$F349,$A$3=入户维修!$G349,$BN$3=1),0,3-SUMPRODUCT(--(($A$1:$A$3=入户维修!$F349)+($A$1:$A$3=入户维修!$G349)+$BN$1:$BN$3&gt;0)))</f>
        <v>2</v>
      </c>
      <c r="V349" s="0" t="n">
        <f aca="false">IF(OR($A$4=入户维修!$F349,$A$4=入户维修!$G349,$BN$4=1),0,4-SUMPRODUCT(--(($A$1:$A$4=入户维修!$F349)+($A$1:$A$4=入户维修!$G349)+$BN$1:$BN$4&gt;0)))</f>
        <v>3</v>
      </c>
      <c r="W349" s="0" t="n">
        <f aca="false">IF(OR($A$5=入户维修!$F349,$A$5=入户维修!$G349,$BN$5=1),0,5-SUMPRODUCT(--(($A$1:$A$5=入户维修!$F349)+($A$1:$A$5=入户维修!$G349)+$BN$1:$BN$5&gt;0)))</f>
        <v>4</v>
      </c>
      <c r="Y349" s="0" t="str">
        <f aca="false">IFERROR(INDEX($A$1:$A$5,MATCH(1,$S349:$W349,0)),IF(1=MAX($S349:$W349)+1,"取消",""))</f>
        <v>李师傅</v>
      </c>
      <c r="Z349" s="0" t="str">
        <f aca="false">IFERROR(INDEX($A$1:$A$5,MATCH(2,$S349:$W349,0)),IF(2=MAX($S349:$W349)+1,"取消",""))</f>
        <v>王师傅</v>
      </c>
      <c r="AA349" s="0" t="str">
        <f aca="false">IFERROR(INDEX($A$1:$A$5,MATCH(3,$S349:$W349,0)),IF(3=MAX($S349:$W349)+1,"取消",""))</f>
        <v>陈师傅</v>
      </c>
      <c r="AB349" s="0" t="str">
        <f aca="false">IFERROR(INDEX($A$1:$A$5,MATCH(4,$S349:$W349,0)),IF(4=MAX($S349:$W349)+1,"取消",""))</f>
        <v>刘师傅</v>
      </c>
      <c r="AC349" s="0" t="str">
        <f aca="false">IFERROR(INDEX($A$1:$A$5,MATCH(5,$S349:$W349,0)),IF(5=MAX($S349:$W349)+1,"取消",""))</f>
        <v>取消</v>
      </c>
      <c r="AD349" s="0" t="str">
        <f aca="false">IFERROR(INDEX($A$1:$A$5,MATCH(6,$S349:$W349,0)),IF(6=MAX($S349:$W349)+1,"取消",""))</f>
        <v/>
      </c>
      <c r="AF349" s="0" t="n">
        <f aca="false">IF(OR($A$1=公区维修!$F349,$BN$1=1),0,1-SUMPRODUCT(--(($A$1=公区维修!$F349)+$BN$1&gt;0)))</f>
        <v>0</v>
      </c>
      <c r="AG349" s="0" t="n">
        <f aca="false">IF(OR($A$2=公区维修!$F349,$BN$2=1),0,2-SUMPRODUCT(--(($A$1:$A$2=公区维修!$F349)+$BN$1:$BN$2&gt;0)))</f>
        <v>1</v>
      </c>
      <c r="AH349" s="0" t="n">
        <f aca="false">IF(OR($A$3=公区维修!$F349,$BN$3=1),0,3-SUMPRODUCT(--(($A$1:$A$3=公区维修!$F349)+$BN$1:$BN$3&gt;0)))</f>
        <v>2</v>
      </c>
      <c r="AI349" s="0" t="n">
        <f aca="false">IF(OR($A$4=公区维修!$F349,$BN$4=1),0,4-SUMPRODUCT(--(($A$1:$A$4=公区维修!$F349)+$BN$1:$BN$4&gt;0)))</f>
        <v>3</v>
      </c>
      <c r="AJ349" s="0" t="n">
        <f aca="false">IF(OR($A$5=公区维修!$F349,$BN$5=1),0,5-SUMPRODUCT(--(($A$1:$A$5=公区维修!$F349)+$BN$1:$BN$5&gt;0)))</f>
        <v>4</v>
      </c>
      <c r="AL349" s="0" t="str">
        <f aca="false">IFERROR(INDEX($A$1:$A$5,MATCH(1,$AF349:$AJ349,0)),IF(1=MAX($AF349:$AJ349)+1,"取消",""))</f>
        <v>李师傅</v>
      </c>
      <c r="AM349" s="0" t="str">
        <f aca="false">IFERROR(INDEX($A$1:$A$5,MATCH(2,$AF349:$AJ349,0)),IF(2=MAX($AF349:$AJ349)+1,"取消",""))</f>
        <v>王师傅</v>
      </c>
      <c r="AN349" s="0" t="str">
        <f aca="false">IFERROR(INDEX($A$1:$A$5,MATCH(3,$AF349:$AJ349,0)),IF(3=MAX($AF349:$AJ349)+1,"取消",""))</f>
        <v>陈师傅</v>
      </c>
      <c r="AO349" s="0" t="str">
        <f aca="false">IFERROR(INDEX($A$1:$A$5,MATCH(4,$AF349:$AJ349,0)),IF(4=MAX($AF349:$AJ349)+1,"取消",""))</f>
        <v>刘师傅</v>
      </c>
      <c r="AP349" s="0" t="str">
        <f aca="false">IFERROR(INDEX($A$1:$A$5,MATCH(5,$AF349:$AJ349,0)),IF(5=MAX($AF349:$AJ349)+1,"取消",""))</f>
        <v>取消</v>
      </c>
      <c r="AQ349" s="0" t="str">
        <f aca="false">IFERROR(INDEX($A$1:$A$5,MATCH(6,$AF349:$AJ349,0)),IF(6=MAX($AF349:$AJ349)+1,"取消",""))</f>
        <v/>
      </c>
      <c r="AS349" s="0" t="n">
        <f aca="false">IF(OR($A$1=公区维修!$F349,$A$1=公区维修!$G349,$BN$1=1),0,1-SUMPRODUCT(--(($A$1=公区维修!$F349)+($A$1=公区维修!$G349)+$BN$1&gt;0)))</f>
        <v>0</v>
      </c>
      <c r="AT349" s="0" t="n">
        <f aca="false">IF(OR($A$2=公区维修!$F349,$A$2=公区维修!$G349,$BN$2=1),0,2-SUMPRODUCT(--(($A$1:$A$2=公区维修!$F349)+($A$1:$A$2=公区维修!$G349)+$BN$1:$BN$2&gt;0)))</f>
        <v>1</v>
      </c>
      <c r="AU349" s="0" t="n">
        <f aca="false">IF(OR($A$3=公区维修!$F349,$A$3=公区维修!$G349,$BN$3=1),0,3-SUMPRODUCT(--(($A$1:$A$3=公区维修!$F349)+($A$1:$A$3=公区维修!$G349)+$BN$1:$BN$3&gt;0)))</f>
        <v>2</v>
      </c>
      <c r="AV349" s="0" t="n">
        <f aca="false">IF(OR($A$4=公区维修!$F349,$A$4=公区维修!$G349,$BN$4=1),0,4-SUMPRODUCT(--(($A$1:$A$4=公区维修!$F349)+($A$1:$A$4=公区维修!$G349)+$BN$1:$BN$4&gt;0)))</f>
        <v>3</v>
      </c>
      <c r="AW349" s="0" t="n">
        <f aca="false">IF(OR($A$5=公区维修!$F349,$A$5=公区维修!$G349,$BN$5=1),0,5-SUMPRODUCT(--(($A$1:$A$5=公区维修!$F349)+($A$1:$A$5=公区维修!$G349)+$BN$1:$BN$5&gt;0)))</f>
        <v>4</v>
      </c>
      <c r="AY349" s="0" t="str">
        <f aca="false">IFERROR(INDEX($A$1:$A$5,MATCH(1,$AS349:$AW349,0)),IF(1=MAX($AS349:$AW349)+1,"取消",""))</f>
        <v>李师傅</v>
      </c>
      <c r="AZ349" s="0" t="str">
        <f aca="false">IFERROR(INDEX($A$1:$A$5,MATCH(2,$AS349:$AW349,0)),IF(2=MAX($AS349:$AW349)+1,"取消",""))</f>
        <v>王师傅</v>
      </c>
      <c r="BA349" s="0" t="str">
        <f aca="false">IFERROR(INDEX($A$1:$A$5,MATCH(3,$AS349:$AW349,0)),IF(3=MAX($AS349:$AW349)+1,"取消",""))</f>
        <v>陈师傅</v>
      </c>
      <c r="BB349" s="0" t="str">
        <f aca="false">IFERROR(INDEX($A$1:$A$5,MATCH(4,$AS349:$AW349,0)),IF(4=MAX($AS349:$AW349)+1,"取消",""))</f>
        <v>刘师傅</v>
      </c>
      <c r="BC349" s="0" t="str">
        <f aca="false">IFERROR(INDEX($A$1:$A$5,MATCH(5,$AS349:$AW349,0)),IF(5=MAX($AS349:$AW349)+1,"取消",""))</f>
        <v>取消</v>
      </c>
      <c r="BD349" s="0" t="str">
        <f aca="false">IFERROR(INDEX($A$1:$A$5,MATCH(6,$AS349:$AW349,0)),IF(6=MAX($AS349:$AW349)+1,"取消",""))</f>
        <v/>
      </c>
      <c r="FW349" s="0" t="str">
        <f aca="false">IF(AND(单元查询!$D$3&lt;&gt;"",IF(单元查询!$B$3="公区维修",公区维修!$E349&lt;&gt;"",入户维修!$E349&lt;&gt;""),IF(单元查询!$B$3="公区维修",公区维修!$C349,入户维修!$C349)=单元查询!$D$3,OR(单元查询!$F$3="",IF(单元查询!$B$3="公区维修",公区维修!$D349,入户维修!$D349)&amp;""=(单元查询!$F$3)&amp;"")),MAX($FW$4:$FW348)+1,"")</f>
        <v/>
      </c>
    </row>
    <row r="350" customFormat="false" ht="15" hidden="false" customHeight="true" outlineLevel="0" collapsed="false">
      <c r="F350" s="0" t="n">
        <f aca="false">IF(OR($A$1=入户维修!$F350,$BN$1=1),0,1-SUMPRODUCT(--(($A$1=入户维修!$F350)+$BN$1&gt;0)))</f>
        <v>0</v>
      </c>
      <c r="G350" s="0" t="n">
        <f aca="false">IF(OR($A$2=入户维修!$F350,$BN$2=1),0,2-SUMPRODUCT(--(($A$1:$A$2=入户维修!$F350)+$BN$1:$BN$2&gt;0)))</f>
        <v>1</v>
      </c>
      <c r="H350" s="0" t="n">
        <f aca="false">IF(OR($A$3=入户维修!$F350,$BN$3=1),0,3-SUMPRODUCT(--(($A$1:$A$3=入户维修!$F350)+$BN$1:$BN$3&gt;0)))</f>
        <v>2</v>
      </c>
      <c r="I350" s="0" t="n">
        <f aca="false">IF(OR($A$4=入户维修!$F350,$BN$4=1),0,4-SUMPRODUCT(--(($A$1:$A$4=入户维修!$F350)+$BN$1:$BN$4&gt;0)))</f>
        <v>3</v>
      </c>
      <c r="J350" s="0" t="n">
        <f aca="false">IF(OR($A$5=入户维修!$F350,$BN$5=1),0,5-SUMPRODUCT(--(($A$1:$A$5=入户维修!$F350)+$BN$1:$BN$5&gt;0)))</f>
        <v>4</v>
      </c>
      <c r="L350" s="0" t="str">
        <f aca="false">IFERROR(INDEX($A$1:$A$5,MATCH(1,$F350:$J350,0)),IF(1=MAX($F350:$J350)+1,"取消",""))</f>
        <v>李师傅</v>
      </c>
      <c r="M350" s="0" t="str">
        <f aca="false">IFERROR(INDEX($A$1:$A$5,MATCH(2,$F350:$J350,0)),IF(2=MAX($F350:$J350)+1,"取消",""))</f>
        <v>王师傅</v>
      </c>
      <c r="N350" s="0" t="str">
        <f aca="false">IFERROR(INDEX($A$1:$A$5,MATCH(3,$F350:$J350,0)),IF(3=MAX($F350:$J350)+1,"取消",""))</f>
        <v>陈师傅</v>
      </c>
      <c r="O350" s="0" t="str">
        <f aca="false">IFERROR(INDEX($A$1:$A$5,MATCH(4,$F350:$J350,0)),IF(4=MAX($F350:$J350)+1,"取消",""))</f>
        <v>刘师傅</v>
      </c>
      <c r="P350" s="0" t="str">
        <f aca="false">IFERROR(INDEX($A$1:$A$5,MATCH(5,$F350:$J350,0)),IF(5=MAX($F350:$J350)+1,"取消",""))</f>
        <v>取消</v>
      </c>
      <c r="Q350" s="0" t="str">
        <f aca="false">IFERROR(INDEX($A$1:$A$5,MATCH(6,$F350:$J350,0)),IF(6=MAX($F350:$J350)+1,"取消",""))</f>
        <v/>
      </c>
      <c r="S350" s="0" t="n">
        <f aca="false">IF(OR($A$1=入户维修!$F350,$A$1=入户维修!$G350,$BN$1=1),0,1-SUMPRODUCT(--(($A$1=入户维修!$F350)+($A$1=入户维修!$G350)+$BN$1&gt;0)))</f>
        <v>0</v>
      </c>
      <c r="T350" s="0" t="n">
        <f aca="false">IF(OR($A$2=入户维修!$F350,$A$2=入户维修!$G350,$BN$2=1),0,2-SUMPRODUCT(--(($A$1:$A$2=入户维修!$F350)+($A$1:$A$2=入户维修!$G350)+$BN$1:$BN$2&gt;0)))</f>
        <v>1</v>
      </c>
      <c r="U350" s="0" t="n">
        <f aca="false">IF(OR($A$3=入户维修!$F350,$A$3=入户维修!$G350,$BN$3=1),0,3-SUMPRODUCT(--(($A$1:$A$3=入户维修!$F350)+($A$1:$A$3=入户维修!$G350)+$BN$1:$BN$3&gt;0)))</f>
        <v>2</v>
      </c>
      <c r="V350" s="0" t="n">
        <f aca="false">IF(OR($A$4=入户维修!$F350,$A$4=入户维修!$G350,$BN$4=1),0,4-SUMPRODUCT(--(($A$1:$A$4=入户维修!$F350)+($A$1:$A$4=入户维修!$G350)+$BN$1:$BN$4&gt;0)))</f>
        <v>3</v>
      </c>
      <c r="W350" s="0" t="n">
        <f aca="false">IF(OR($A$5=入户维修!$F350,$A$5=入户维修!$G350,$BN$5=1),0,5-SUMPRODUCT(--(($A$1:$A$5=入户维修!$F350)+($A$1:$A$5=入户维修!$G350)+$BN$1:$BN$5&gt;0)))</f>
        <v>4</v>
      </c>
      <c r="Y350" s="0" t="str">
        <f aca="false">IFERROR(INDEX($A$1:$A$5,MATCH(1,$S350:$W350,0)),IF(1=MAX($S350:$W350)+1,"取消",""))</f>
        <v>李师傅</v>
      </c>
      <c r="Z350" s="0" t="str">
        <f aca="false">IFERROR(INDEX($A$1:$A$5,MATCH(2,$S350:$W350,0)),IF(2=MAX($S350:$W350)+1,"取消",""))</f>
        <v>王师傅</v>
      </c>
      <c r="AA350" s="0" t="str">
        <f aca="false">IFERROR(INDEX($A$1:$A$5,MATCH(3,$S350:$W350,0)),IF(3=MAX($S350:$W350)+1,"取消",""))</f>
        <v>陈师傅</v>
      </c>
      <c r="AB350" s="0" t="str">
        <f aca="false">IFERROR(INDEX($A$1:$A$5,MATCH(4,$S350:$W350,0)),IF(4=MAX($S350:$W350)+1,"取消",""))</f>
        <v>刘师傅</v>
      </c>
      <c r="AC350" s="0" t="str">
        <f aca="false">IFERROR(INDEX($A$1:$A$5,MATCH(5,$S350:$W350,0)),IF(5=MAX($S350:$W350)+1,"取消",""))</f>
        <v>取消</v>
      </c>
      <c r="AD350" s="0" t="str">
        <f aca="false">IFERROR(INDEX($A$1:$A$5,MATCH(6,$S350:$W350,0)),IF(6=MAX($S350:$W350)+1,"取消",""))</f>
        <v/>
      </c>
      <c r="AF350" s="0" t="n">
        <f aca="false">IF(OR($A$1=公区维修!$F350,$BN$1=1),0,1-SUMPRODUCT(--(($A$1=公区维修!$F350)+$BN$1&gt;0)))</f>
        <v>0</v>
      </c>
      <c r="AG350" s="0" t="n">
        <f aca="false">IF(OR($A$2=公区维修!$F350,$BN$2=1),0,2-SUMPRODUCT(--(($A$1:$A$2=公区维修!$F350)+$BN$1:$BN$2&gt;0)))</f>
        <v>1</v>
      </c>
      <c r="AH350" s="0" t="n">
        <f aca="false">IF(OR($A$3=公区维修!$F350,$BN$3=1),0,3-SUMPRODUCT(--(($A$1:$A$3=公区维修!$F350)+$BN$1:$BN$3&gt;0)))</f>
        <v>2</v>
      </c>
      <c r="AI350" s="0" t="n">
        <f aca="false">IF(OR($A$4=公区维修!$F350,$BN$4=1),0,4-SUMPRODUCT(--(($A$1:$A$4=公区维修!$F350)+$BN$1:$BN$4&gt;0)))</f>
        <v>3</v>
      </c>
      <c r="AJ350" s="0" t="n">
        <f aca="false">IF(OR($A$5=公区维修!$F350,$BN$5=1),0,5-SUMPRODUCT(--(($A$1:$A$5=公区维修!$F350)+$BN$1:$BN$5&gt;0)))</f>
        <v>4</v>
      </c>
      <c r="AL350" s="0" t="str">
        <f aca="false">IFERROR(INDEX($A$1:$A$5,MATCH(1,$AF350:$AJ350,0)),IF(1=MAX($AF350:$AJ350)+1,"取消",""))</f>
        <v>李师傅</v>
      </c>
      <c r="AM350" s="0" t="str">
        <f aca="false">IFERROR(INDEX($A$1:$A$5,MATCH(2,$AF350:$AJ350,0)),IF(2=MAX($AF350:$AJ350)+1,"取消",""))</f>
        <v>王师傅</v>
      </c>
      <c r="AN350" s="0" t="str">
        <f aca="false">IFERROR(INDEX($A$1:$A$5,MATCH(3,$AF350:$AJ350,0)),IF(3=MAX($AF350:$AJ350)+1,"取消",""))</f>
        <v>陈师傅</v>
      </c>
      <c r="AO350" s="0" t="str">
        <f aca="false">IFERROR(INDEX($A$1:$A$5,MATCH(4,$AF350:$AJ350,0)),IF(4=MAX($AF350:$AJ350)+1,"取消",""))</f>
        <v>刘师傅</v>
      </c>
      <c r="AP350" s="0" t="str">
        <f aca="false">IFERROR(INDEX($A$1:$A$5,MATCH(5,$AF350:$AJ350,0)),IF(5=MAX($AF350:$AJ350)+1,"取消",""))</f>
        <v>取消</v>
      </c>
      <c r="AQ350" s="0" t="str">
        <f aca="false">IFERROR(INDEX($A$1:$A$5,MATCH(6,$AF350:$AJ350,0)),IF(6=MAX($AF350:$AJ350)+1,"取消",""))</f>
        <v/>
      </c>
      <c r="AS350" s="0" t="n">
        <f aca="false">IF(OR($A$1=公区维修!$F350,$A$1=公区维修!$G350,$BN$1=1),0,1-SUMPRODUCT(--(($A$1=公区维修!$F350)+($A$1=公区维修!$G350)+$BN$1&gt;0)))</f>
        <v>0</v>
      </c>
      <c r="AT350" s="0" t="n">
        <f aca="false">IF(OR($A$2=公区维修!$F350,$A$2=公区维修!$G350,$BN$2=1),0,2-SUMPRODUCT(--(($A$1:$A$2=公区维修!$F350)+($A$1:$A$2=公区维修!$G350)+$BN$1:$BN$2&gt;0)))</f>
        <v>1</v>
      </c>
      <c r="AU350" s="0" t="n">
        <f aca="false">IF(OR($A$3=公区维修!$F350,$A$3=公区维修!$G350,$BN$3=1),0,3-SUMPRODUCT(--(($A$1:$A$3=公区维修!$F350)+($A$1:$A$3=公区维修!$G350)+$BN$1:$BN$3&gt;0)))</f>
        <v>2</v>
      </c>
      <c r="AV350" s="0" t="n">
        <f aca="false">IF(OR($A$4=公区维修!$F350,$A$4=公区维修!$G350,$BN$4=1),0,4-SUMPRODUCT(--(($A$1:$A$4=公区维修!$F350)+($A$1:$A$4=公区维修!$G350)+$BN$1:$BN$4&gt;0)))</f>
        <v>3</v>
      </c>
      <c r="AW350" s="0" t="n">
        <f aca="false">IF(OR($A$5=公区维修!$F350,$A$5=公区维修!$G350,$BN$5=1),0,5-SUMPRODUCT(--(($A$1:$A$5=公区维修!$F350)+($A$1:$A$5=公区维修!$G350)+$BN$1:$BN$5&gt;0)))</f>
        <v>4</v>
      </c>
      <c r="AY350" s="0" t="str">
        <f aca="false">IFERROR(INDEX($A$1:$A$5,MATCH(1,$AS350:$AW350,0)),IF(1=MAX($AS350:$AW350)+1,"取消",""))</f>
        <v>李师傅</v>
      </c>
      <c r="AZ350" s="0" t="str">
        <f aca="false">IFERROR(INDEX($A$1:$A$5,MATCH(2,$AS350:$AW350,0)),IF(2=MAX($AS350:$AW350)+1,"取消",""))</f>
        <v>王师傅</v>
      </c>
      <c r="BA350" s="0" t="str">
        <f aca="false">IFERROR(INDEX($A$1:$A$5,MATCH(3,$AS350:$AW350,0)),IF(3=MAX($AS350:$AW350)+1,"取消",""))</f>
        <v>陈师傅</v>
      </c>
      <c r="BB350" s="0" t="str">
        <f aca="false">IFERROR(INDEX($A$1:$A$5,MATCH(4,$AS350:$AW350,0)),IF(4=MAX($AS350:$AW350)+1,"取消",""))</f>
        <v>刘师傅</v>
      </c>
      <c r="BC350" s="0" t="str">
        <f aca="false">IFERROR(INDEX($A$1:$A$5,MATCH(5,$AS350:$AW350,0)),IF(5=MAX($AS350:$AW350)+1,"取消",""))</f>
        <v>取消</v>
      </c>
      <c r="BD350" s="0" t="str">
        <f aca="false">IFERROR(INDEX($A$1:$A$5,MATCH(6,$AS350:$AW350,0)),IF(6=MAX($AS350:$AW350)+1,"取消",""))</f>
        <v/>
      </c>
      <c r="FW350" s="0" t="str">
        <f aca="false">IF(AND(单元查询!$D$3&lt;&gt;"",IF(单元查询!$B$3="公区维修",公区维修!$E350&lt;&gt;"",入户维修!$E350&lt;&gt;""),IF(单元查询!$B$3="公区维修",公区维修!$C350,入户维修!$C350)=单元查询!$D$3,OR(单元查询!$F$3="",IF(单元查询!$B$3="公区维修",公区维修!$D350,入户维修!$D350)&amp;""=(单元查询!$F$3)&amp;"")),MAX($FW$4:$FW349)+1,"")</f>
        <v/>
      </c>
    </row>
    <row r="351" customFormat="false" ht="15" hidden="false" customHeight="true" outlineLevel="0" collapsed="false">
      <c r="F351" s="0" t="n">
        <f aca="false">IF(OR($A$1=入户维修!$F351,$BN$1=1),0,1-SUMPRODUCT(--(($A$1=入户维修!$F351)+$BN$1&gt;0)))</f>
        <v>0</v>
      </c>
      <c r="G351" s="0" t="n">
        <f aca="false">IF(OR($A$2=入户维修!$F351,$BN$2=1),0,2-SUMPRODUCT(--(($A$1:$A$2=入户维修!$F351)+$BN$1:$BN$2&gt;0)))</f>
        <v>1</v>
      </c>
      <c r="H351" s="0" t="n">
        <f aca="false">IF(OR($A$3=入户维修!$F351,$BN$3=1),0,3-SUMPRODUCT(--(($A$1:$A$3=入户维修!$F351)+$BN$1:$BN$3&gt;0)))</f>
        <v>2</v>
      </c>
      <c r="I351" s="0" t="n">
        <f aca="false">IF(OR($A$4=入户维修!$F351,$BN$4=1),0,4-SUMPRODUCT(--(($A$1:$A$4=入户维修!$F351)+$BN$1:$BN$4&gt;0)))</f>
        <v>3</v>
      </c>
      <c r="J351" s="0" t="n">
        <f aca="false">IF(OR($A$5=入户维修!$F351,$BN$5=1),0,5-SUMPRODUCT(--(($A$1:$A$5=入户维修!$F351)+$BN$1:$BN$5&gt;0)))</f>
        <v>4</v>
      </c>
      <c r="L351" s="0" t="str">
        <f aca="false">IFERROR(INDEX($A$1:$A$5,MATCH(1,$F351:$J351,0)),IF(1=MAX($F351:$J351)+1,"取消",""))</f>
        <v>李师傅</v>
      </c>
      <c r="M351" s="0" t="str">
        <f aca="false">IFERROR(INDEX($A$1:$A$5,MATCH(2,$F351:$J351,0)),IF(2=MAX($F351:$J351)+1,"取消",""))</f>
        <v>王师傅</v>
      </c>
      <c r="N351" s="0" t="str">
        <f aca="false">IFERROR(INDEX($A$1:$A$5,MATCH(3,$F351:$J351,0)),IF(3=MAX($F351:$J351)+1,"取消",""))</f>
        <v>陈师傅</v>
      </c>
      <c r="O351" s="0" t="str">
        <f aca="false">IFERROR(INDEX($A$1:$A$5,MATCH(4,$F351:$J351,0)),IF(4=MAX($F351:$J351)+1,"取消",""))</f>
        <v>刘师傅</v>
      </c>
      <c r="P351" s="0" t="str">
        <f aca="false">IFERROR(INDEX($A$1:$A$5,MATCH(5,$F351:$J351,0)),IF(5=MAX($F351:$J351)+1,"取消",""))</f>
        <v>取消</v>
      </c>
      <c r="Q351" s="0" t="str">
        <f aca="false">IFERROR(INDEX($A$1:$A$5,MATCH(6,$F351:$J351,0)),IF(6=MAX($F351:$J351)+1,"取消",""))</f>
        <v/>
      </c>
      <c r="S351" s="0" t="n">
        <f aca="false">IF(OR($A$1=入户维修!$F351,$A$1=入户维修!$G351,$BN$1=1),0,1-SUMPRODUCT(--(($A$1=入户维修!$F351)+($A$1=入户维修!$G351)+$BN$1&gt;0)))</f>
        <v>0</v>
      </c>
      <c r="T351" s="0" t="n">
        <f aca="false">IF(OR($A$2=入户维修!$F351,$A$2=入户维修!$G351,$BN$2=1),0,2-SUMPRODUCT(--(($A$1:$A$2=入户维修!$F351)+($A$1:$A$2=入户维修!$G351)+$BN$1:$BN$2&gt;0)))</f>
        <v>1</v>
      </c>
      <c r="U351" s="0" t="n">
        <f aca="false">IF(OR($A$3=入户维修!$F351,$A$3=入户维修!$G351,$BN$3=1),0,3-SUMPRODUCT(--(($A$1:$A$3=入户维修!$F351)+($A$1:$A$3=入户维修!$G351)+$BN$1:$BN$3&gt;0)))</f>
        <v>2</v>
      </c>
      <c r="V351" s="0" t="n">
        <f aca="false">IF(OR($A$4=入户维修!$F351,$A$4=入户维修!$G351,$BN$4=1),0,4-SUMPRODUCT(--(($A$1:$A$4=入户维修!$F351)+($A$1:$A$4=入户维修!$G351)+$BN$1:$BN$4&gt;0)))</f>
        <v>3</v>
      </c>
      <c r="W351" s="0" t="n">
        <f aca="false">IF(OR($A$5=入户维修!$F351,$A$5=入户维修!$G351,$BN$5=1),0,5-SUMPRODUCT(--(($A$1:$A$5=入户维修!$F351)+($A$1:$A$5=入户维修!$G351)+$BN$1:$BN$5&gt;0)))</f>
        <v>4</v>
      </c>
      <c r="Y351" s="0" t="str">
        <f aca="false">IFERROR(INDEX($A$1:$A$5,MATCH(1,$S351:$W351,0)),IF(1=MAX($S351:$W351)+1,"取消",""))</f>
        <v>李师傅</v>
      </c>
      <c r="Z351" s="0" t="str">
        <f aca="false">IFERROR(INDEX($A$1:$A$5,MATCH(2,$S351:$W351,0)),IF(2=MAX($S351:$W351)+1,"取消",""))</f>
        <v>王师傅</v>
      </c>
      <c r="AA351" s="0" t="str">
        <f aca="false">IFERROR(INDEX($A$1:$A$5,MATCH(3,$S351:$W351,0)),IF(3=MAX($S351:$W351)+1,"取消",""))</f>
        <v>陈师傅</v>
      </c>
      <c r="AB351" s="0" t="str">
        <f aca="false">IFERROR(INDEX($A$1:$A$5,MATCH(4,$S351:$W351,0)),IF(4=MAX($S351:$W351)+1,"取消",""))</f>
        <v>刘师傅</v>
      </c>
      <c r="AC351" s="0" t="str">
        <f aca="false">IFERROR(INDEX($A$1:$A$5,MATCH(5,$S351:$W351,0)),IF(5=MAX($S351:$W351)+1,"取消",""))</f>
        <v>取消</v>
      </c>
      <c r="AD351" s="0" t="str">
        <f aca="false">IFERROR(INDEX($A$1:$A$5,MATCH(6,$S351:$W351,0)),IF(6=MAX($S351:$W351)+1,"取消",""))</f>
        <v/>
      </c>
      <c r="AF351" s="0" t="n">
        <f aca="false">IF(OR($A$1=公区维修!$F351,$BN$1=1),0,1-SUMPRODUCT(--(($A$1=公区维修!$F351)+$BN$1&gt;0)))</f>
        <v>0</v>
      </c>
      <c r="AG351" s="0" t="n">
        <f aca="false">IF(OR($A$2=公区维修!$F351,$BN$2=1),0,2-SUMPRODUCT(--(($A$1:$A$2=公区维修!$F351)+$BN$1:$BN$2&gt;0)))</f>
        <v>1</v>
      </c>
      <c r="AH351" s="0" t="n">
        <f aca="false">IF(OR($A$3=公区维修!$F351,$BN$3=1),0,3-SUMPRODUCT(--(($A$1:$A$3=公区维修!$F351)+$BN$1:$BN$3&gt;0)))</f>
        <v>2</v>
      </c>
      <c r="AI351" s="0" t="n">
        <f aca="false">IF(OR($A$4=公区维修!$F351,$BN$4=1),0,4-SUMPRODUCT(--(($A$1:$A$4=公区维修!$F351)+$BN$1:$BN$4&gt;0)))</f>
        <v>3</v>
      </c>
      <c r="AJ351" s="0" t="n">
        <f aca="false">IF(OR($A$5=公区维修!$F351,$BN$5=1),0,5-SUMPRODUCT(--(($A$1:$A$5=公区维修!$F351)+$BN$1:$BN$5&gt;0)))</f>
        <v>4</v>
      </c>
      <c r="AL351" s="0" t="str">
        <f aca="false">IFERROR(INDEX($A$1:$A$5,MATCH(1,$AF351:$AJ351,0)),IF(1=MAX($AF351:$AJ351)+1,"取消",""))</f>
        <v>李师傅</v>
      </c>
      <c r="AM351" s="0" t="str">
        <f aca="false">IFERROR(INDEX($A$1:$A$5,MATCH(2,$AF351:$AJ351,0)),IF(2=MAX($AF351:$AJ351)+1,"取消",""))</f>
        <v>王师傅</v>
      </c>
      <c r="AN351" s="0" t="str">
        <f aca="false">IFERROR(INDEX($A$1:$A$5,MATCH(3,$AF351:$AJ351,0)),IF(3=MAX($AF351:$AJ351)+1,"取消",""))</f>
        <v>陈师傅</v>
      </c>
      <c r="AO351" s="0" t="str">
        <f aca="false">IFERROR(INDEX($A$1:$A$5,MATCH(4,$AF351:$AJ351,0)),IF(4=MAX($AF351:$AJ351)+1,"取消",""))</f>
        <v>刘师傅</v>
      </c>
      <c r="AP351" s="0" t="str">
        <f aca="false">IFERROR(INDEX($A$1:$A$5,MATCH(5,$AF351:$AJ351,0)),IF(5=MAX($AF351:$AJ351)+1,"取消",""))</f>
        <v>取消</v>
      </c>
      <c r="AQ351" s="0" t="str">
        <f aca="false">IFERROR(INDEX($A$1:$A$5,MATCH(6,$AF351:$AJ351,0)),IF(6=MAX($AF351:$AJ351)+1,"取消",""))</f>
        <v/>
      </c>
      <c r="AS351" s="0" t="n">
        <f aca="false">IF(OR($A$1=公区维修!$F351,$A$1=公区维修!$G351,$BN$1=1),0,1-SUMPRODUCT(--(($A$1=公区维修!$F351)+($A$1=公区维修!$G351)+$BN$1&gt;0)))</f>
        <v>0</v>
      </c>
      <c r="AT351" s="0" t="n">
        <f aca="false">IF(OR($A$2=公区维修!$F351,$A$2=公区维修!$G351,$BN$2=1),0,2-SUMPRODUCT(--(($A$1:$A$2=公区维修!$F351)+($A$1:$A$2=公区维修!$G351)+$BN$1:$BN$2&gt;0)))</f>
        <v>1</v>
      </c>
      <c r="AU351" s="0" t="n">
        <f aca="false">IF(OR($A$3=公区维修!$F351,$A$3=公区维修!$G351,$BN$3=1),0,3-SUMPRODUCT(--(($A$1:$A$3=公区维修!$F351)+($A$1:$A$3=公区维修!$G351)+$BN$1:$BN$3&gt;0)))</f>
        <v>2</v>
      </c>
      <c r="AV351" s="0" t="n">
        <f aca="false">IF(OR($A$4=公区维修!$F351,$A$4=公区维修!$G351,$BN$4=1),0,4-SUMPRODUCT(--(($A$1:$A$4=公区维修!$F351)+($A$1:$A$4=公区维修!$G351)+$BN$1:$BN$4&gt;0)))</f>
        <v>3</v>
      </c>
      <c r="AW351" s="0" t="n">
        <f aca="false">IF(OR($A$5=公区维修!$F351,$A$5=公区维修!$G351,$BN$5=1),0,5-SUMPRODUCT(--(($A$1:$A$5=公区维修!$F351)+($A$1:$A$5=公区维修!$G351)+$BN$1:$BN$5&gt;0)))</f>
        <v>4</v>
      </c>
      <c r="AY351" s="0" t="str">
        <f aca="false">IFERROR(INDEX($A$1:$A$5,MATCH(1,$AS351:$AW351,0)),IF(1=MAX($AS351:$AW351)+1,"取消",""))</f>
        <v>李师傅</v>
      </c>
      <c r="AZ351" s="0" t="str">
        <f aca="false">IFERROR(INDEX($A$1:$A$5,MATCH(2,$AS351:$AW351,0)),IF(2=MAX($AS351:$AW351)+1,"取消",""))</f>
        <v>王师傅</v>
      </c>
      <c r="BA351" s="0" t="str">
        <f aca="false">IFERROR(INDEX($A$1:$A$5,MATCH(3,$AS351:$AW351,0)),IF(3=MAX($AS351:$AW351)+1,"取消",""))</f>
        <v>陈师傅</v>
      </c>
      <c r="BB351" s="0" t="str">
        <f aca="false">IFERROR(INDEX($A$1:$A$5,MATCH(4,$AS351:$AW351,0)),IF(4=MAX($AS351:$AW351)+1,"取消",""))</f>
        <v>刘师傅</v>
      </c>
      <c r="BC351" s="0" t="str">
        <f aca="false">IFERROR(INDEX($A$1:$A$5,MATCH(5,$AS351:$AW351,0)),IF(5=MAX($AS351:$AW351)+1,"取消",""))</f>
        <v>取消</v>
      </c>
      <c r="BD351" s="0" t="str">
        <f aca="false">IFERROR(INDEX($A$1:$A$5,MATCH(6,$AS351:$AW351,0)),IF(6=MAX($AS351:$AW351)+1,"取消",""))</f>
        <v/>
      </c>
      <c r="FW351" s="0" t="str">
        <f aca="false">IF(AND(单元查询!$D$3&lt;&gt;"",IF(单元查询!$B$3="公区维修",公区维修!$E351&lt;&gt;"",入户维修!$E351&lt;&gt;""),IF(单元查询!$B$3="公区维修",公区维修!$C351,入户维修!$C351)=单元查询!$D$3,OR(单元查询!$F$3="",IF(单元查询!$B$3="公区维修",公区维修!$D351,入户维修!$D351)&amp;""=(单元查询!$F$3)&amp;"")),MAX($FW$4:$FW350)+1,"")</f>
        <v/>
      </c>
    </row>
    <row r="352" customFormat="false" ht="15" hidden="false" customHeight="true" outlineLevel="0" collapsed="false">
      <c r="F352" s="0" t="n">
        <f aca="false">IF(OR($A$1=入户维修!$F352,$BN$1=1),0,1-SUMPRODUCT(--(($A$1=入户维修!$F352)+$BN$1&gt;0)))</f>
        <v>0</v>
      </c>
      <c r="G352" s="0" t="n">
        <f aca="false">IF(OR($A$2=入户维修!$F352,$BN$2=1),0,2-SUMPRODUCT(--(($A$1:$A$2=入户维修!$F352)+$BN$1:$BN$2&gt;0)))</f>
        <v>1</v>
      </c>
      <c r="H352" s="0" t="n">
        <f aca="false">IF(OR($A$3=入户维修!$F352,$BN$3=1),0,3-SUMPRODUCT(--(($A$1:$A$3=入户维修!$F352)+$BN$1:$BN$3&gt;0)))</f>
        <v>2</v>
      </c>
      <c r="I352" s="0" t="n">
        <f aca="false">IF(OR($A$4=入户维修!$F352,$BN$4=1),0,4-SUMPRODUCT(--(($A$1:$A$4=入户维修!$F352)+$BN$1:$BN$4&gt;0)))</f>
        <v>3</v>
      </c>
      <c r="J352" s="0" t="n">
        <f aca="false">IF(OR($A$5=入户维修!$F352,$BN$5=1),0,5-SUMPRODUCT(--(($A$1:$A$5=入户维修!$F352)+$BN$1:$BN$5&gt;0)))</f>
        <v>4</v>
      </c>
      <c r="L352" s="0" t="str">
        <f aca="false">IFERROR(INDEX($A$1:$A$5,MATCH(1,$F352:$J352,0)),IF(1=MAX($F352:$J352)+1,"取消",""))</f>
        <v>李师傅</v>
      </c>
      <c r="M352" s="0" t="str">
        <f aca="false">IFERROR(INDEX($A$1:$A$5,MATCH(2,$F352:$J352,0)),IF(2=MAX($F352:$J352)+1,"取消",""))</f>
        <v>王师傅</v>
      </c>
      <c r="N352" s="0" t="str">
        <f aca="false">IFERROR(INDEX($A$1:$A$5,MATCH(3,$F352:$J352,0)),IF(3=MAX($F352:$J352)+1,"取消",""))</f>
        <v>陈师傅</v>
      </c>
      <c r="O352" s="0" t="str">
        <f aca="false">IFERROR(INDEX($A$1:$A$5,MATCH(4,$F352:$J352,0)),IF(4=MAX($F352:$J352)+1,"取消",""))</f>
        <v>刘师傅</v>
      </c>
      <c r="P352" s="0" t="str">
        <f aca="false">IFERROR(INDEX($A$1:$A$5,MATCH(5,$F352:$J352,0)),IF(5=MAX($F352:$J352)+1,"取消",""))</f>
        <v>取消</v>
      </c>
      <c r="Q352" s="0" t="str">
        <f aca="false">IFERROR(INDEX($A$1:$A$5,MATCH(6,$F352:$J352,0)),IF(6=MAX($F352:$J352)+1,"取消",""))</f>
        <v/>
      </c>
      <c r="S352" s="0" t="n">
        <f aca="false">IF(OR($A$1=入户维修!$F352,$A$1=入户维修!$G352,$BN$1=1),0,1-SUMPRODUCT(--(($A$1=入户维修!$F352)+($A$1=入户维修!$G352)+$BN$1&gt;0)))</f>
        <v>0</v>
      </c>
      <c r="T352" s="0" t="n">
        <f aca="false">IF(OR($A$2=入户维修!$F352,$A$2=入户维修!$G352,$BN$2=1),0,2-SUMPRODUCT(--(($A$1:$A$2=入户维修!$F352)+($A$1:$A$2=入户维修!$G352)+$BN$1:$BN$2&gt;0)))</f>
        <v>1</v>
      </c>
      <c r="U352" s="0" t="n">
        <f aca="false">IF(OR($A$3=入户维修!$F352,$A$3=入户维修!$G352,$BN$3=1),0,3-SUMPRODUCT(--(($A$1:$A$3=入户维修!$F352)+($A$1:$A$3=入户维修!$G352)+$BN$1:$BN$3&gt;0)))</f>
        <v>2</v>
      </c>
      <c r="V352" s="0" t="n">
        <f aca="false">IF(OR($A$4=入户维修!$F352,$A$4=入户维修!$G352,$BN$4=1),0,4-SUMPRODUCT(--(($A$1:$A$4=入户维修!$F352)+($A$1:$A$4=入户维修!$G352)+$BN$1:$BN$4&gt;0)))</f>
        <v>3</v>
      </c>
      <c r="W352" s="0" t="n">
        <f aca="false">IF(OR($A$5=入户维修!$F352,$A$5=入户维修!$G352,$BN$5=1),0,5-SUMPRODUCT(--(($A$1:$A$5=入户维修!$F352)+($A$1:$A$5=入户维修!$G352)+$BN$1:$BN$5&gt;0)))</f>
        <v>4</v>
      </c>
      <c r="Y352" s="0" t="str">
        <f aca="false">IFERROR(INDEX($A$1:$A$5,MATCH(1,$S352:$W352,0)),IF(1=MAX($S352:$W352)+1,"取消",""))</f>
        <v>李师傅</v>
      </c>
      <c r="Z352" s="0" t="str">
        <f aca="false">IFERROR(INDEX($A$1:$A$5,MATCH(2,$S352:$W352,0)),IF(2=MAX($S352:$W352)+1,"取消",""))</f>
        <v>王师傅</v>
      </c>
      <c r="AA352" s="0" t="str">
        <f aca="false">IFERROR(INDEX($A$1:$A$5,MATCH(3,$S352:$W352,0)),IF(3=MAX($S352:$W352)+1,"取消",""))</f>
        <v>陈师傅</v>
      </c>
      <c r="AB352" s="0" t="str">
        <f aca="false">IFERROR(INDEX($A$1:$A$5,MATCH(4,$S352:$W352,0)),IF(4=MAX($S352:$W352)+1,"取消",""))</f>
        <v>刘师傅</v>
      </c>
      <c r="AC352" s="0" t="str">
        <f aca="false">IFERROR(INDEX($A$1:$A$5,MATCH(5,$S352:$W352,0)),IF(5=MAX($S352:$W352)+1,"取消",""))</f>
        <v>取消</v>
      </c>
      <c r="AD352" s="0" t="str">
        <f aca="false">IFERROR(INDEX($A$1:$A$5,MATCH(6,$S352:$W352,0)),IF(6=MAX($S352:$W352)+1,"取消",""))</f>
        <v/>
      </c>
      <c r="AF352" s="0" t="n">
        <f aca="false">IF(OR($A$1=公区维修!$F352,$BN$1=1),0,1-SUMPRODUCT(--(($A$1=公区维修!$F352)+$BN$1&gt;0)))</f>
        <v>0</v>
      </c>
      <c r="AG352" s="0" t="n">
        <f aca="false">IF(OR($A$2=公区维修!$F352,$BN$2=1),0,2-SUMPRODUCT(--(($A$1:$A$2=公区维修!$F352)+$BN$1:$BN$2&gt;0)))</f>
        <v>1</v>
      </c>
      <c r="AH352" s="0" t="n">
        <f aca="false">IF(OR($A$3=公区维修!$F352,$BN$3=1),0,3-SUMPRODUCT(--(($A$1:$A$3=公区维修!$F352)+$BN$1:$BN$3&gt;0)))</f>
        <v>2</v>
      </c>
      <c r="AI352" s="0" t="n">
        <f aca="false">IF(OR($A$4=公区维修!$F352,$BN$4=1),0,4-SUMPRODUCT(--(($A$1:$A$4=公区维修!$F352)+$BN$1:$BN$4&gt;0)))</f>
        <v>3</v>
      </c>
      <c r="AJ352" s="0" t="n">
        <f aca="false">IF(OR($A$5=公区维修!$F352,$BN$5=1),0,5-SUMPRODUCT(--(($A$1:$A$5=公区维修!$F352)+$BN$1:$BN$5&gt;0)))</f>
        <v>4</v>
      </c>
      <c r="AL352" s="0" t="str">
        <f aca="false">IFERROR(INDEX($A$1:$A$5,MATCH(1,$AF352:$AJ352,0)),IF(1=MAX($AF352:$AJ352)+1,"取消",""))</f>
        <v>李师傅</v>
      </c>
      <c r="AM352" s="0" t="str">
        <f aca="false">IFERROR(INDEX($A$1:$A$5,MATCH(2,$AF352:$AJ352,0)),IF(2=MAX($AF352:$AJ352)+1,"取消",""))</f>
        <v>王师傅</v>
      </c>
      <c r="AN352" s="0" t="str">
        <f aca="false">IFERROR(INDEX($A$1:$A$5,MATCH(3,$AF352:$AJ352,0)),IF(3=MAX($AF352:$AJ352)+1,"取消",""))</f>
        <v>陈师傅</v>
      </c>
      <c r="AO352" s="0" t="str">
        <f aca="false">IFERROR(INDEX($A$1:$A$5,MATCH(4,$AF352:$AJ352,0)),IF(4=MAX($AF352:$AJ352)+1,"取消",""))</f>
        <v>刘师傅</v>
      </c>
      <c r="AP352" s="0" t="str">
        <f aca="false">IFERROR(INDEX($A$1:$A$5,MATCH(5,$AF352:$AJ352,0)),IF(5=MAX($AF352:$AJ352)+1,"取消",""))</f>
        <v>取消</v>
      </c>
      <c r="AQ352" s="0" t="str">
        <f aca="false">IFERROR(INDEX($A$1:$A$5,MATCH(6,$AF352:$AJ352,0)),IF(6=MAX($AF352:$AJ352)+1,"取消",""))</f>
        <v/>
      </c>
      <c r="AS352" s="0" t="n">
        <f aca="false">IF(OR($A$1=公区维修!$F352,$A$1=公区维修!$G352,$BN$1=1),0,1-SUMPRODUCT(--(($A$1=公区维修!$F352)+($A$1=公区维修!$G352)+$BN$1&gt;0)))</f>
        <v>0</v>
      </c>
      <c r="AT352" s="0" t="n">
        <f aca="false">IF(OR($A$2=公区维修!$F352,$A$2=公区维修!$G352,$BN$2=1),0,2-SUMPRODUCT(--(($A$1:$A$2=公区维修!$F352)+($A$1:$A$2=公区维修!$G352)+$BN$1:$BN$2&gt;0)))</f>
        <v>1</v>
      </c>
      <c r="AU352" s="0" t="n">
        <f aca="false">IF(OR($A$3=公区维修!$F352,$A$3=公区维修!$G352,$BN$3=1),0,3-SUMPRODUCT(--(($A$1:$A$3=公区维修!$F352)+($A$1:$A$3=公区维修!$G352)+$BN$1:$BN$3&gt;0)))</f>
        <v>2</v>
      </c>
      <c r="AV352" s="0" t="n">
        <f aca="false">IF(OR($A$4=公区维修!$F352,$A$4=公区维修!$G352,$BN$4=1),0,4-SUMPRODUCT(--(($A$1:$A$4=公区维修!$F352)+($A$1:$A$4=公区维修!$G352)+$BN$1:$BN$4&gt;0)))</f>
        <v>3</v>
      </c>
      <c r="AW352" s="0" t="n">
        <f aca="false">IF(OR($A$5=公区维修!$F352,$A$5=公区维修!$G352,$BN$5=1),0,5-SUMPRODUCT(--(($A$1:$A$5=公区维修!$F352)+($A$1:$A$5=公区维修!$G352)+$BN$1:$BN$5&gt;0)))</f>
        <v>4</v>
      </c>
      <c r="AY352" s="0" t="str">
        <f aca="false">IFERROR(INDEX($A$1:$A$5,MATCH(1,$AS352:$AW352,0)),IF(1=MAX($AS352:$AW352)+1,"取消",""))</f>
        <v>李师傅</v>
      </c>
      <c r="AZ352" s="0" t="str">
        <f aca="false">IFERROR(INDEX($A$1:$A$5,MATCH(2,$AS352:$AW352,0)),IF(2=MAX($AS352:$AW352)+1,"取消",""))</f>
        <v>王师傅</v>
      </c>
      <c r="BA352" s="0" t="str">
        <f aca="false">IFERROR(INDEX($A$1:$A$5,MATCH(3,$AS352:$AW352,0)),IF(3=MAX($AS352:$AW352)+1,"取消",""))</f>
        <v>陈师傅</v>
      </c>
      <c r="BB352" s="0" t="str">
        <f aca="false">IFERROR(INDEX($A$1:$A$5,MATCH(4,$AS352:$AW352,0)),IF(4=MAX($AS352:$AW352)+1,"取消",""))</f>
        <v>刘师傅</v>
      </c>
      <c r="BC352" s="0" t="str">
        <f aca="false">IFERROR(INDEX($A$1:$A$5,MATCH(5,$AS352:$AW352,0)),IF(5=MAX($AS352:$AW352)+1,"取消",""))</f>
        <v>取消</v>
      </c>
      <c r="BD352" s="0" t="str">
        <f aca="false">IFERROR(INDEX($A$1:$A$5,MATCH(6,$AS352:$AW352,0)),IF(6=MAX($AS352:$AW352)+1,"取消",""))</f>
        <v/>
      </c>
      <c r="FW352" s="0" t="str">
        <f aca="false">IF(AND(单元查询!$D$3&lt;&gt;"",IF(单元查询!$B$3="公区维修",公区维修!$E352&lt;&gt;"",入户维修!$E352&lt;&gt;""),IF(单元查询!$B$3="公区维修",公区维修!$C352,入户维修!$C352)=单元查询!$D$3,OR(单元查询!$F$3="",IF(单元查询!$B$3="公区维修",公区维修!$D352,入户维修!$D352)&amp;""=(单元查询!$F$3)&amp;"")),MAX($FW$4:$FW351)+1,"")</f>
        <v/>
      </c>
    </row>
    <row r="353" customFormat="false" ht="15" hidden="false" customHeight="true" outlineLevel="0" collapsed="false">
      <c r="F353" s="0" t="n">
        <f aca="false">IF(OR($A$1=入户维修!$F353,$BN$1=1),0,1-SUMPRODUCT(--(($A$1=入户维修!$F353)+$BN$1&gt;0)))</f>
        <v>0</v>
      </c>
      <c r="G353" s="0" t="n">
        <f aca="false">IF(OR($A$2=入户维修!$F353,$BN$2=1),0,2-SUMPRODUCT(--(($A$1:$A$2=入户维修!$F353)+$BN$1:$BN$2&gt;0)))</f>
        <v>1</v>
      </c>
      <c r="H353" s="0" t="n">
        <f aca="false">IF(OR($A$3=入户维修!$F353,$BN$3=1),0,3-SUMPRODUCT(--(($A$1:$A$3=入户维修!$F353)+$BN$1:$BN$3&gt;0)))</f>
        <v>2</v>
      </c>
      <c r="I353" s="0" t="n">
        <f aca="false">IF(OR($A$4=入户维修!$F353,$BN$4=1),0,4-SUMPRODUCT(--(($A$1:$A$4=入户维修!$F353)+$BN$1:$BN$4&gt;0)))</f>
        <v>3</v>
      </c>
      <c r="J353" s="0" t="n">
        <f aca="false">IF(OR($A$5=入户维修!$F353,$BN$5=1),0,5-SUMPRODUCT(--(($A$1:$A$5=入户维修!$F353)+$BN$1:$BN$5&gt;0)))</f>
        <v>4</v>
      </c>
      <c r="L353" s="0" t="str">
        <f aca="false">IFERROR(INDEX($A$1:$A$5,MATCH(1,$F353:$J353,0)),IF(1=MAX($F353:$J353)+1,"取消",""))</f>
        <v>李师傅</v>
      </c>
      <c r="M353" s="0" t="str">
        <f aca="false">IFERROR(INDEX($A$1:$A$5,MATCH(2,$F353:$J353,0)),IF(2=MAX($F353:$J353)+1,"取消",""))</f>
        <v>王师傅</v>
      </c>
      <c r="N353" s="0" t="str">
        <f aca="false">IFERROR(INDEX($A$1:$A$5,MATCH(3,$F353:$J353,0)),IF(3=MAX($F353:$J353)+1,"取消",""))</f>
        <v>陈师傅</v>
      </c>
      <c r="O353" s="0" t="str">
        <f aca="false">IFERROR(INDEX($A$1:$A$5,MATCH(4,$F353:$J353,0)),IF(4=MAX($F353:$J353)+1,"取消",""))</f>
        <v>刘师傅</v>
      </c>
      <c r="P353" s="0" t="str">
        <f aca="false">IFERROR(INDEX($A$1:$A$5,MATCH(5,$F353:$J353,0)),IF(5=MAX($F353:$J353)+1,"取消",""))</f>
        <v>取消</v>
      </c>
      <c r="Q353" s="0" t="str">
        <f aca="false">IFERROR(INDEX($A$1:$A$5,MATCH(6,$F353:$J353,0)),IF(6=MAX($F353:$J353)+1,"取消",""))</f>
        <v/>
      </c>
      <c r="S353" s="0" t="n">
        <f aca="false">IF(OR($A$1=入户维修!$F353,$A$1=入户维修!$G353,$BN$1=1),0,1-SUMPRODUCT(--(($A$1=入户维修!$F353)+($A$1=入户维修!$G353)+$BN$1&gt;0)))</f>
        <v>0</v>
      </c>
      <c r="T353" s="0" t="n">
        <f aca="false">IF(OR($A$2=入户维修!$F353,$A$2=入户维修!$G353,$BN$2=1),0,2-SUMPRODUCT(--(($A$1:$A$2=入户维修!$F353)+($A$1:$A$2=入户维修!$G353)+$BN$1:$BN$2&gt;0)))</f>
        <v>1</v>
      </c>
      <c r="U353" s="0" t="n">
        <f aca="false">IF(OR($A$3=入户维修!$F353,$A$3=入户维修!$G353,$BN$3=1),0,3-SUMPRODUCT(--(($A$1:$A$3=入户维修!$F353)+($A$1:$A$3=入户维修!$G353)+$BN$1:$BN$3&gt;0)))</f>
        <v>2</v>
      </c>
      <c r="V353" s="0" t="n">
        <f aca="false">IF(OR($A$4=入户维修!$F353,$A$4=入户维修!$G353,$BN$4=1),0,4-SUMPRODUCT(--(($A$1:$A$4=入户维修!$F353)+($A$1:$A$4=入户维修!$G353)+$BN$1:$BN$4&gt;0)))</f>
        <v>3</v>
      </c>
      <c r="W353" s="0" t="n">
        <f aca="false">IF(OR($A$5=入户维修!$F353,$A$5=入户维修!$G353,$BN$5=1),0,5-SUMPRODUCT(--(($A$1:$A$5=入户维修!$F353)+($A$1:$A$5=入户维修!$G353)+$BN$1:$BN$5&gt;0)))</f>
        <v>4</v>
      </c>
      <c r="Y353" s="0" t="str">
        <f aca="false">IFERROR(INDEX($A$1:$A$5,MATCH(1,$S353:$W353,0)),IF(1=MAX($S353:$W353)+1,"取消",""))</f>
        <v>李师傅</v>
      </c>
      <c r="Z353" s="0" t="str">
        <f aca="false">IFERROR(INDEX($A$1:$A$5,MATCH(2,$S353:$W353,0)),IF(2=MAX($S353:$W353)+1,"取消",""))</f>
        <v>王师傅</v>
      </c>
      <c r="AA353" s="0" t="str">
        <f aca="false">IFERROR(INDEX($A$1:$A$5,MATCH(3,$S353:$W353,0)),IF(3=MAX($S353:$W353)+1,"取消",""))</f>
        <v>陈师傅</v>
      </c>
      <c r="AB353" s="0" t="str">
        <f aca="false">IFERROR(INDEX($A$1:$A$5,MATCH(4,$S353:$W353,0)),IF(4=MAX($S353:$W353)+1,"取消",""))</f>
        <v>刘师傅</v>
      </c>
      <c r="AC353" s="0" t="str">
        <f aca="false">IFERROR(INDEX($A$1:$A$5,MATCH(5,$S353:$W353,0)),IF(5=MAX($S353:$W353)+1,"取消",""))</f>
        <v>取消</v>
      </c>
      <c r="AD353" s="0" t="str">
        <f aca="false">IFERROR(INDEX($A$1:$A$5,MATCH(6,$S353:$W353,0)),IF(6=MAX($S353:$W353)+1,"取消",""))</f>
        <v/>
      </c>
      <c r="AF353" s="0" t="n">
        <f aca="false">IF(OR($A$1=公区维修!$F353,$BN$1=1),0,1-SUMPRODUCT(--(($A$1=公区维修!$F353)+$BN$1&gt;0)))</f>
        <v>0</v>
      </c>
      <c r="AG353" s="0" t="n">
        <f aca="false">IF(OR($A$2=公区维修!$F353,$BN$2=1),0,2-SUMPRODUCT(--(($A$1:$A$2=公区维修!$F353)+$BN$1:$BN$2&gt;0)))</f>
        <v>1</v>
      </c>
      <c r="AH353" s="0" t="n">
        <f aca="false">IF(OR($A$3=公区维修!$F353,$BN$3=1),0,3-SUMPRODUCT(--(($A$1:$A$3=公区维修!$F353)+$BN$1:$BN$3&gt;0)))</f>
        <v>2</v>
      </c>
      <c r="AI353" s="0" t="n">
        <f aca="false">IF(OR($A$4=公区维修!$F353,$BN$4=1),0,4-SUMPRODUCT(--(($A$1:$A$4=公区维修!$F353)+$BN$1:$BN$4&gt;0)))</f>
        <v>3</v>
      </c>
      <c r="AJ353" s="0" t="n">
        <f aca="false">IF(OR($A$5=公区维修!$F353,$BN$5=1),0,5-SUMPRODUCT(--(($A$1:$A$5=公区维修!$F353)+$BN$1:$BN$5&gt;0)))</f>
        <v>4</v>
      </c>
      <c r="AL353" s="0" t="str">
        <f aca="false">IFERROR(INDEX($A$1:$A$5,MATCH(1,$AF353:$AJ353,0)),IF(1=MAX($AF353:$AJ353)+1,"取消",""))</f>
        <v>李师傅</v>
      </c>
      <c r="AM353" s="0" t="str">
        <f aca="false">IFERROR(INDEX($A$1:$A$5,MATCH(2,$AF353:$AJ353,0)),IF(2=MAX($AF353:$AJ353)+1,"取消",""))</f>
        <v>王师傅</v>
      </c>
      <c r="AN353" s="0" t="str">
        <f aca="false">IFERROR(INDEX($A$1:$A$5,MATCH(3,$AF353:$AJ353,0)),IF(3=MAX($AF353:$AJ353)+1,"取消",""))</f>
        <v>陈师傅</v>
      </c>
      <c r="AO353" s="0" t="str">
        <f aca="false">IFERROR(INDEX($A$1:$A$5,MATCH(4,$AF353:$AJ353,0)),IF(4=MAX($AF353:$AJ353)+1,"取消",""))</f>
        <v>刘师傅</v>
      </c>
      <c r="AP353" s="0" t="str">
        <f aca="false">IFERROR(INDEX($A$1:$A$5,MATCH(5,$AF353:$AJ353,0)),IF(5=MAX($AF353:$AJ353)+1,"取消",""))</f>
        <v>取消</v>
      </c>
      <c r="AQ353" s="0" t="str">
        <f aca="false">IFERROR(INDEX($A$1:$A$5,MATCH(6,$AF353:$AJ353,0)),IF(6=MAX($AF353:$AJ353)+1,"取消",""))</f>
        <v/>
      </c>
      <c r="AS353" s="0" t="n">
        <f aca="false">IF(OR($A$1=公区维修!$F353,$A$1=公区维修!$G353,$BN$1=1),0,1-SUMPRODUCT(--(($A$1=公区维修!$F353)+($A$1=公区维修!$G353)+$BN$1&gt;0)))</f>
        <v>0</v>
      </c>
      <c r="AT353" s="0" t="n">
        <f aca="false">IF(OR($A$2=公区维修!$F353,$A$2=公区维修!$G353,$BN$2=1),0,2-SUMPRODUCT(--(($A$1:$A$2=公区维修!$F353)+($A$1:$A$2=公区维修!$G353)+$BN$1:$BN$2&gt;0)))</f>
        <v>1</v>
      </c>
      <c r="AU353" s="0" t="n">
        <f aca="false">IF(OR($A$3=公区维修!$F353,$A$3=公区维修!$G353,$BN$3=1),0,3-SUMPRODUCT(--(($A$1:$A$3=公区维修!$F353)+($A$1:$A$3=公区维修!$G353)+$BN$1:$BN$3&gt;0)))</f>
        <v>2</v>
      </c>
      <c r="AV353" s="0" t="n">
        <f aca="false">IF(OR($A$4=公区维修!$F353,$A$4=公区维修!$G353,$BN$4=1),0,4-SUMPRODUCT(--(($A$1:$A$4=公区维修!$F353)+($A$1:$A$4=公区维修!$G353)+$BN$1:$BN$4&gt;0)))</f>
        <v>3</v>
      </c>
      <c r="AW353" s="0" t="n">
        <f aca="false">IF(OR($A$5=公区维修!$F353,$A$5=公区维修!$G353,$BN$5=1),0,5-SUMPRODUCT(--(($A$1:$A$5=公区维修!$F353)+($A$1:$A$5=公区维修!$G353)+$BN$1:$BN$5&gt;0)))</f>
        <v>4</v>
      </c>
      <c r="AY353" s="0" t="str">
        <f aca="false">IFERROR(INDEX($A$1:$A$5,MATCH(1,$AS353:$AW353,0)),IF(1=MAX($AS353:$AW353)+1,"取消",""))</f>
        <v>李师傅</v>
      </c>
      <c r="AZ353" s="0" t="str">
        <f aca="false">IFERROR(INDEX($A$1:$A$5,MATCH(2,$AS353:$AW353,0)),IF(2=MAX($AS353:$AW353)+1,"取消",""))</f>
        <v>王师傅</v>
      </c>
      <c r="BA353" s="0" t="str">
        <f aca="false">IFERROR(INDEX($A$1:$A$5,MATCH(3,$AS353:$AW353,0)),IF(3=MAX($AS353:$AW353)+1,"取消",""))</f>
        <v>陈师傅</v>
      </c>
      <c r="BB353" s="0" t="str">
        <f aca="false">IFERROR(INDEX($A$1:$A$5,MATCH(4,$AS353:$AW353,0)),IF(4=MAX($AS353:$AW353)+1,"取消",""))</f>
        <v>刘师傅</v>
      </c>
      <c r="BC353" s="0" t="str">
        <f aca="false">IFERROR(INDEX($A$1:$A$5,MATCH(5,$AS353:$AW353,0)),IF(5=MAX($AS353:$AW353)+1,"取消",""))</f>
        <v>取消</v>
      </c>
      <c r="BD353" s="0" t="str">
        <f aca="false">IFERROR(INDEX($A$1:$A$5,MATCH(6,$AS353:$AW353,0)),IF(6=MAX($AS353:$AW353)+1,"取消",""))</f>
        <v/>
      </c>
      <c r="FW353" s="0" t="str">
        <f aca="false">IF(AND(单元查询!$D$3&lt;&gt;"",IF(单元查询!$B$3="公区维修",公区维修!$E353&lt;&gt;"",入户维修!$E353&lt;&gt;""),IF(单元查询!$B$3="公区维修",公区维修!$C353,入户维修!$C353)=单元查询!$D$3,OR(单元查询!$F$3="",IF(单元查询!$B$3="公区维修",公区维修!$D353,入户维修!$D353)&amp;""=(单元查询!$F$3)&amp;"")),MAX($FW$4:$FW352)+1,"")</f>
        <v/>
      </c>
    </row>
    <row r="354" customFormat="false" ht="15" hidden="false" customHeight="true" outlineLevel="0" collapsed="false">
      <c r="F354" s="0" t="n">
        <f aca="false">IF(OR($A$1=入户维修!$F354,$BN$1=1),0,1-SUMPRODUCT(--(($A$1=入户维修!$F354)+$BN$1&gt;0)))</f>
        <v>0</v>
      </c>
      <c r="G354" s="0" t="n">
        <f aca="false">IF(OR($A$2=入户维修!$F354,$BN$2=1),0,2-SUMPRODUCT(--(($A$1:$A$2=入户维修!$F354)+$BN$1:$BN$2&gt;0)))</f>
        <v>1</v>
      </c>
      <c r="H354" s="0" t="n">
        <f aca="false">IF(OR($A$3=入户维修!$F354,$BN$3=1),0,3-SUMPRODUCT(--(($A$1:$A$3=入户维修!$F354)+$BN$1:$BN$3&gt;0)))</f>
        <v>2</v>
      </c>
      <c r="I354" s="0" t="n">
        <f aca="false">IF(OR($A$4=入户维修!$F354,$BN$4=1),0,4-SUMPRODUCT(--(($A$1:$A$4=入户维修!$F354)+$BN$1:$BN$4&gt;0)))</f>
        <v>3</v>
      </c>
      <c r="J354" s="0" t="n">
        <f aca="false">IF(OR($A$5=入户维修!$F354,$BN$5=1),0,5-SUMPRODUCT(--(($A$1:$A$5=入户维修!$F354)+$BN$1:$BN$5&gt;0)))</f>
        <v>4</v>
      </c>
      <c r="L354" s="0" t="str">
        <f aca="false">IFERROR(INDEX($A$1:$A$5,MATCH(1,$F354:$J354,0)),IF(1=MAX($F354:$J354)+1,"取消",""))</f>
        <v>李师傅</v>
      </c>
      <c r="M354" s="0" t="str">
        <f aca="false">IFERROR(INDEX($A$1:$A$5,MATCH(2,$F354:$J354,0)),IF(2=MAX($F354:$J354)+1,"取消",""))</f>
        <v>王师傅</v>
      </c>
      <c r="N354" s="0" t="str">
        <f aca="false">IFERROR(INDEX($A$1:$A$5,MATCH(3,$F354:$J354,0)),IF(3=MAX($F354:$J354)+1,"取消",""))</f>
        <v>陈师傅</v>
      </c>
      <c r="O354" s="0" t="str">
        <f aca="false">IFERROR(INDEX($A$1:$A$5,MATCH(4,$F354:$J354,0)),IF(4=MAX($F354:$J354)+1,"取消",""))</f>
        <v>刘师傅</v>
      </c>
      <c r="P354" s="0" t="str">
        <f aca="false">IFERROR(INDEX($A$1:$A$5,MATCH(5,$F354:$J354,0)),IF(5=MAX($F354:$J354)+1,"取消",""))</f>
        <v>取消</v>
      </c>
      <c r="Q354" s="0" t="str">
        <f aca="false">IFERROR(INDEX($A$1:$A$5,MATCH(6,$F354:$J354,0)),IF(6=MAX($F354:$J354)+1,"取消",""))</f>
        <v/>
      </c>
      <c r="S354" s="0" t="n">
        <f aca="false">IF(OR($A$1=入户维修!$F354,$A$1=入户维修!$G354,$BN$1=1),0,1-SUMPRODUCT(--(($A$1=入户维修!$F354)+($A$1=入户维修!$G354)+$BN$1&gt;0)))</f>
        <v>0</v>
      </c>
      <c r="T354" s="0" t="n">
        <f aca="false">IF(OR($A$2=入户维修!$F354,$A$2=入户维修!$G354,$BN$2=1),0,2-SUMPRODUCT(--(($A$1:$A$2=入户维修!$F354)+($A$1:$A$2=入户维修!$G354)+$BN$1:$BN$2&gt;0)))</f>
        <v>1</v>
      </c>
      <c r="U354" s="0" t="n">
        <f aca="false">IF(OR($A$3=入户维修!$F354,$A$3=入户维修!$G354,$BN$3=1),0,3-SUMPRODUCT(--(($A$1:$A$3=入户维修!$F354)+($A$1:$A$3=入户维修!$G354)+$BN$1:$BN$3&gt;0)))</f>
        <v>2</v>
      </c>
      <c r="V354" s="0" t="n">
        <f aca="false">IF(OR($A$4=入户维修!$F354,$A$4=入户维修!$G354,$BN$4=1),0,4-SUMPRODUCT(--(($A$1:$A$4=入户维修!$F354)+($A$1:$A$4=入户维修!$G354)+$BN$1:$BN$4&gt;0)))</f>
        <v>3</v>
      </c>
      <c r="W354" s="0" t="n">
        <f aca="false">IF(OR($A$5=入户维修!$F354,$A$5=入户维修!$G354,$BN$5=1),0,5-SUMPRODUCT(--(($A$1:$A$5=入户维修!$F354)+($A$1:$A$5=入户维修!$G354)+$BN$1:$BN$5&gt;0)))</f>
        <v>4</v>
      </c>
      <c r="Y354" s="0" t="str">
        <f aca="false">IFERROR(INDEX($A$1:$A$5,MATCH(1,$S354:$W354,0)),IF(1=MAX($S354:$W354)+1,"取消",""))</f>
        <v>李师傅</v>
      </c>
      <c r="Z354" s="0" t="str">
        <f aca="false">IFERROR(INDEX($A$1:$A$5,MATCH(2,$S354:$W354,0)),IF(2=MAX($S354:$W354)+1,"取消",""))</f>
        <v>王师傅</v>
      </c>
      <c r="AA354" s="0" t="str">
        <f aca="false">IFERROR(INDEX($A$1:$A$5,MATCH(3,$S354:$W354,0)),IF(3=MAX($S354:$W354)+1,"取消",""))</f>
        <v>陈师傅</v>
      </c>
      <c r="AB354" s="0" t="str">
        <f aca="false">IFERROR(INDEX($A$1:$A$5,MATCH(4,$S354:$W354,0)),IF(4=MAX($S354:$W354)+1,"取消",""))</f>
        <v>刘师傅</v>
      </c>
      <c r="AC354" s="0" t="str">
        <f aca="false">IFERROR(INDEX($A$1:$A$5,MATCH(5,$S354:$W354,0)),IF(5=MAX($S354:$W354)+1,"取消",""))</f>
        <v>取消</v>
      </c>
      <c r="AD354" s="0" t="str">
        <f aca="false">IFERROR(INDEX($A$1:$A$5,MATCH(6,$S354:$W354,0)),IF(6=MAX($S354:$W354)+1,"取消",""))</f>
        <v/>
      </c>
      <c r="AF354" s="0" t="n">
        <f aca="false">IF(OR($A$1=公区维修!$F354,$BN$1=1),0,1-SUMPRODUCT(--(($A$1=公区维修!$F354)+$BN$1&gt;0)))</f>
        <v>0</v>
      </c>
      <c r="AG354" s="0" t="n">
        <f aca="false">IF(OR($A$2=公区维修!$F354,$BN$2=1),0,2-SUMPRODUCT(--(($A$1:$A$2=公区维修!$F354)+$BN$1:$BN$2&gt;0)))</f>
        <v>1</v>
      </c>
      <c r="AH354" s="0" t="n">
        <f aca="false">IF(OR($A$3=公区维修!$F354,$BN$3=1),0,3-SUMPRODUCT(--(($A$1:$A$3=公区维修!$F354)+$BN$1:$BN$3&gt;0)))</f>
        <v>2</v>
      </c>
      <c r="AI354" s="0" t="n">
        <f aca="false">IF(OR($A$4=公区维修!$F354,$BN$4=1),0,4-SUMPRODUCT(--(($A$1:$A$4=公区维修!$F354)+$BN$1:$BN$4&gt;0)))</f>
        <v>3</v>
      </c>
      <c r="AJ354" s="0" t="n">
        <f aca="false">IF(OR($A$5=公区维修!$F354,$BN$5=1),0,5-SUMPRODUCT(--(($A$1:$A$5=公区维修!$F354)+$BN$1:$BN$5&gt;0)))</f>
        <v>4</v>
      </c>
      <c r="AL354" s="0" t="str">
        <f aca="false">IFERROR(INDEX($A$1:$A$5,MATCH(1,$AF354:$AJ354,0)),IF(1=MAX($AF354:$AJ354)+1,"取消",""))</f>
        <v>李师傅</v>
      </c>
      <c r="AM354" s="0" t="str">
        <f aca="false">IFERROR(INDEX($A$1:$A$5,MATCH(2,$AF354:$AJ354,0)),IF(2=MAX($AF354:$AJ354)+1,"取消",""))</f>
        <v>王师傅</v>
      </c>
      <c r="AN354" s="0" t="str">
        <f aca="false">IFERROR(INDEX($A$1:$A$5,MATCH(3,$AF354:$AJ354,0)),IF(3=MAX($AF354:$AJ354)+1,"取消",""))</f>
        <v>陈师傅</v>
      </c>
      <c r="AO354" s="0" t="str">
        <f aca="false">IFERROR(INDEX($A$1:$A$5,MATCH(4,$AF354:$AJ354,0)),IF(4=MAX($AF354:$AJ354)+1,"取消",""))</f>
        <v>刘师傅</v>
      </c>
      <c r="AP354" s="0" t="str">
        <f aca="false">IFERROR(INDEX($A$1:$A$5,MATCH(5,$AF354:$AJ354,0)),IF(5=MAX($AF354:$AJ354)+1,"取消",""))</f>
        <v>取消</v>
      </c>
      <c r="AQ354" s="0" t="str">
        <f aca="false">IFERROR(INDEX($A$1:$A$5,MATCH(6,$AF354:$AJ354,0)),IF(6=MAX($AF354:$AJ354)+1,"取消",""))</f>
        <v/>
      </c>
      <c r="AS354" s="0" t="n">
        <f aca="false">IF(OR($A$1=公区维修!$F354,$A$1=公区维修!$G354,$BN$1=1),0,1-SUMPRODUCT(--(($A$1=公区维修!$F354)+($A$1=公区维修!$G354)+$BN$1&gt;0)))</f>
        <v>0</v>
      </c>
      <c r="AT354" s="0" t="n">
        <f aca="false">IF(OR($A$2=公区维修!$F354,$A$2=公区维修!$G354,$BN$2=1),0,2-SUMPRODUCT(--(($A$1:$A$2=公区维修!$F354)+($A$1:$A$2=公区维修!$G354)+$BN$1:$BN$2&gt;0)))</f>
        <v>1</v>
      </c>
      <c r="AU354" s="0" t="n">
        <f aca="false">IF(OR($A$3=公区维修!$F354,$A$3=公区维修!$G354,$BN$3=1),0,3-SUMPRODUCT(--(($A$1:$A$3=公区维修!$F354)+($A$1:$A$3=公区维修!$G354)+$BN$1:$BN$3&gt;0)))</f>
        <v>2</v>
      </c>
      <c r="AV354" s="0" t="n">
        <f aca="false">IF(OR($A$4=公区维修!$F354,$A$4=公区维修!$G354,$BN$4=1),0,4-SUMPRODUCT(--(($A$1:$A$4=公区维修!$F354)+($A$1:$A$4=公区维修!$G354)+$BN$1:$BN$4&gt;0)))</f>
        <v>3</v>
      </c>
      <c r="AW354" s="0" t="n">
        <f aca="false">IF(OR($A$5=公区维修!$F354,$A$5=公区维修!$G354,$BN$5=1),0,5-SUMPRODUCT(--(($A$1:$A$5=公区维修!$F354)+($A$1:$A$5=公区维修!$G354)+$BN$1:$BN$5&gt;0)))</f>
        <v>4</v>
      </c>
      <c r="AY354" s="0" t="str">
        <f aca="false">IFERROR(INDEX($A$1:$A$5,MATCH(1,$AS354:$AW354,0)),IF(1=MAX($AS354:$AW354)+1,"取消",""))</f>
        <v>李师傅</v>
      </c>
      <c r="AZ354" s="0" t="str">
        <f aca="false">IFERROR(INDEX($A$1:$A$5,MATCH(2,$AS354:$AW354,0)),IF(2=MAX($AS354:$AW354)+1,"取消",""))</f>
        <v>王师傅</v>
      </c>
      <c r="BA354" s="0" t="str">
        <f aca="false">IFERROR(INDEX($A$1:$A$5,MATCH(3,$AS354:$AW354,0)),IF(3=MAX($AS354:$AW354)+1,"取消",""))</f>
        <v>陈师傅</v>
      </c>
      <c r="BB354" s="0" t="str">
        <f aca="false">IFERROR(INDEX($A$1:$A$5,MATCH(4,$AS354:$AW354,0)),IF(4=MAX($AS354:$AW354)+1,"取消",""))</f>
        <v>刘师傅</v>
      </c>
      <c r="BC354" s="0" t="str">
        <f aca="false">IFERROR(INDEX($A$1:$A$5,MATCH(5,$AS354:$AW354,0)),IF(5=MAX($AS354:$AW354)+1,"取消",""))</f>
        <v>取消</v>
      </c>
      <c r="BD354" s="0" t="str">
        <f aca="false">IFERROR(INDEX($A$1:$A$5,MATCH(6,$AS354:$AW354,0)),IF(6=MAX($AS354:$AW354)+1,"取消",""))</f>
        <v/>
      </c>
      <c r="FW354" s="0" t="str">
        <f aca="false">IF(AND(单元查询!$D$3&lt;&gt;"",IF(单元查询!$B$3="公区维修",公区维修!$E354&lt;&gt;"",入户维修!$E354&lt;&gt;""),IF(单元查询!$B$3="公区维修",公区维修!$C354,入户维修!$C354)=单元查询!$D$3,OR(单元查询!$F$3="",IF(单元查询!$B$3="公区维修",公区维修!$D354,入户维修!$D354)&amp;""=(单元查询!$F$3)&amp;"")),MAX($FW$4:$FW353)+1,"")</f>
        <v/>
      </c>
    </row>
    <row r="355" customFormat="false" ht="15" hidden="false" customHeight="true" outlineLevel="0" collapsed="false">
      <c r="F355" s="0" t="n">
        <f aca="false">IF(OR($A$1=入户维修!$F355,$BN$1=1),0,1-SUMPRODUCT(--(($A$1=入户维修!$F355)+$BN$1&gt;0)))</f>
        <v>0</v>
      </c>
      <c r="G355" s="0" t="n">
        <f aca="false">IF(OR($A$2=入户维修!$F355,$BN$2=1),0,2-SUMPRODUCT(--(($A$1:$A$2=入户维修!$F355)+$BN$1:$BN$2&gt;0)))</f>
        <v>1</v>
      </c>
      <c r="H355" s="0" t="n">
        <f aca="false">IF(OR($A$3=入户维修!$F355,$BN$3=1),0,3-SUMPRODUCT(--(($A$1:$A$3=入户维修!$F355)+$BN$1:$BN$3&gt;0)))</f>
        <v>2</v>
      </c>
      <c r="I355" s="0" t="n">
        <f aca="false">IF(OR($A$4=入户维修!$F355,$BN$4=1),0,4-SUMPRODUCT(--(($A$1:$A$4=入户维修!$F355)+$BN$1:$BN$4&gt;0)))</f>
        <v>3</v>
      </c>
      <c r="J355" s="0" t="n">
        <f aca="false">IF(OR($A$5=入户维修!$F355,$BN$5=1),0,5-SUMPRODUCT(--(($A$1:$A$5=入户维修!$F355)+$BN$1:$BN$5&gt;0)))</f>
        <v>4</v>
      </c>
      <c r="L355" s="0" t="str">
        <f aca="false">IFERROR(INDEX($A$1:$A$5,MATCH(1,$F355:$J355,0)),IF(1=MAX($F355:$J355)+1,"取消",""))</f>
        <v>李师傅</v>
      </c>
      <c r="M355" s="0" t="str">
        <f aca="false">IFERROR(INDEX($A$1:$A$5,MATCH(2,$F355:$J355,0)),IF(2=MAX($F355:$J355)+1,"取消",""))</f>
        <v>王师傅</v>
      </c>
      <c r="N355" s="0" t="str">
        <f aca="false">IFERROR(INDEX($A$1:$A$5,MATCH(3,$F355:$J355,0)),IF(3=MAX($F355:$J355)+1,"取消",""))</f>
        <v>陈师傅</v>
      </c>
      <c r="O355" s="0" t="str">
        <f aca="false">IFERROR(INDEX($A$1:$A$5,MATCH(4,$F355:$J355,0)),IF(4=MAX($F355:$J355)+1,"取消",""))</f>
        <v>刘师傅</v>
      </c>
      <c r="P355" s="0" t="str">
        <f aca="false">IFERROR(INDEX($A$1:$A$5,MATCH(5,$F355:$J355,0)),IF(5=MAX($F355:$J355)+1,"取消",""))</f>
        <v>取消</v>
      </c>
      <c r="Q355" s="0" t="str">
        <f aca="false">IFERROR(INDEX($A$1:$A$5,MATCH(6,$F355:$J355,0)),IF(6=MAX($F355:$J355)+1,"取消",""))</f>
        <v/>
      </c>
      <c r="S355" s="0" t="n">
        <f aca="false">IF(OR($A$1=入户维修!$F355,$A$1=入户维修!$G355,$BN$1=1),0,1-SUMPRODUCT(--(($A$1=入户维修!$F355)+($A$1=入户维修!$G355)+$BN$1&gt;0)))</f>
        <v>0</v>
      </c>
      <c r="T355" s="0" t="n">
        <f aca="false">IF(OR($A$2=入户维修!$F355,$A$2=入户维修!$G355,$BN$2=1),0,2-SUMPRODUCT(--(($A$1:$A$2=入户维修!$F355)+($A$1:$A$2=入户维修!$G355)+$BN$1:$BN$2&gt;0)))</f>
        <v>1</v>
      </c>
      <c r="U355" s="0" t="n">
        <f aca="false">IF(OR($A$3=入户维修!$F355,$A$3=入户维修!$G355,$BN$3=1),0,3-SUMPRODUCT(--(($A$1:$A$3=入户维修!$F355)+($A$1:$A$3=入户维修!$G355)+$BN$1:$BN$3&gt;0)))</f>
        <v>2</v>
      </c>
      <c r="V355" s="0" t="n">
        <f aca="false">IF(OR($A$4=入户维修!$F355,$A$4=入户维修!$G355,$BN$4=1),0,4-SUMPRODUCT(--(($A$1:$A$4=入户维修!$F355)+($A$1:$A$4=入户维修!$G355)+$BN$1:$BN$4&gt;0)))</f>
        <v>3</v>
      </c>
      <c r="W355" s="0" t="n">
        <f aca="false">IF(OR($A$5=入户维修!$F355,$A$5=入户维修!$G355,$BN$5=1),0,5-SUMPRODUCT(--(($A$1:$A$5=入户维修!$F355)+($A$1:$A$5=入户维修!$G355)+$BN$1:$BN$5&gt;0)))</f>
        <v>4</v>
      </c>
      <c r="Y355" s="0" t="str">
        <f aca="false">IFERROR(INDEX($A$1:$A$5,MATCH(1,$S355:$W355,0)),IF(1=MAX($S355:$W355)+1,"取消",""))</f>
        <v>李师傅</v>
      </c>
      <c r="Z355" s="0" t="str">
        <f aca="false">IFERROR(INDEX($A$1:$A$5,MATCH(2,$S355:$W355,0)),IF(2=MAX($S355:$W355)+1,"取消",""))</f>
        <v>王师傅</v>
      </c>
      <c r="AA355" s="0" t="str">
        <f aca="false">IFERROR(INDEX($A$1:$A$5,MATCH(3,$S355:$W355,0)),IF(3=MAX($S355:$W355)+1,"取消",""))</f>
        <v>陈师傅</v>
      </c>
      <c r="AB355" s="0" t="str">
        <f aca="false">IFERROR(INDEX($A$1:$A$5,MATCH(4,$S355:$W355,0)),IF(4=MAX($S355:$W355)+1,"取消",""))</f>
        <v>刘师傅</v>
      </c>
      <c r="AC355" s="0" t="str">
        <f aca="false">IFERROR(INDEX($A$1:$A$5,MATCH(5,$S355:$W355,0)),IF(5=MAX($S355:$W355)+1,"取消",""))</f>
        <v>取消</v>
      </c>
      <c r="AD355" s="0" t="str">
        <f aca="false">IFERROR(INDEX($A$1:$A$5,MATCH(6,$S355:$W355,0)),IF(6=MAX($S355:$W355)+1,"取消",""))</f>
        <v/>
      </c>
      <c r="AF355" s="0" t="n">
        <f aca="false">IF(OR($A$1=公区维修!$F355,$BN$1=1),0,1-SUMPRODUCT(--(($A$1=公区维修!$F355)+$BN$1&gt;0)))</f>
        <v>0</v>
      </c>
      <c r="AG355" s="0" t="n">
        <f aca="false">IF(OR($A$2=公区维修!$F355,$BN$2=1),0,2-SUMPRODUCT(--(($A$1:$A$2=公区维修!$F355)+$BN$1:$BN$2&gt;0)))</f>
        <v>1</v>
      </c>
      <c r="AH355" s="0" t="n">
        <f aca="false">IF(OR($A$3=公区维修!$F355,$BN$3=1),0,3-SUMPRODUCT(--(($A$1:$A$3=公区维修!$F355)+$BN$1:$BN$3&gt;0)))</f>
        <v>2</v>
      </c>
      <c r="AI355" s="0" t="n">
        <f aca="false">IF(OR($A$4=公区维修!$F355,$BN$4=1),0,4-SUMPRODUCT(--(($A$1:$A$4=公区维修!$F355)+$BN$1:$BN$4&gt;0)))</f>
        <v>3</v>
      </c>
      <c r="AJ355" s="0" t="n">
        <f aca="false">IF(OR($A$5=公区维修!$F355,$BN$5=1),0,5-SUMPRODUCT(--(($A$1:$A$5=公区维修!$F355)+$BN$1:$BN$5&gt;0)))</f>
        <v>4</v>
      </c>
      <c r="AL355" s="0" t="str">
        <f aca="false">IFERROR(INDEX($A$1:$A$5,MATCH(1,$AF355:$AJ355,0)),IF(1=MAX($AF355:$AJ355)+1,"取消",""))</f>
        <v>李师傅</v>
      </c>
      <c r="AM355" s="0" t="str">
        <f aca="false">IFERROR(INDEX($A$1:$A$5,MATCH(2,$AF355:$AJ355,0)),IF(2=MAX($AF355:$AJ355)+1,"取消",""))</f>
        <v>王师傅</v>
      </c>
      <c r="AN355" s="0" t="str">
        <f aca="false">IFERROR(INDEX($A$1:$A$5,MATCH(3,$AF355:$AJ355,0)),IF(3=MAX($AF355:$AJ355)+1,"取消",""))</f>
        <v>陈师傅</v>
      </c>
      <c r="AO355" s="0" t="str">
        <f aca="false">IFERROR(INDEX($A$1:$A$5,MATCH(4,$AF355:$AJ355,0)),IF(4=MAX($AF355:$AJ355)+1,"取消",""))</f>
        <v>刘师傅</v>
      </c>
      <c r="AP355" s="0" t="str">
        <f aca="false">IFERROR(INDEX($A$1:$A$5,MATCH(5,$AF355:$AJ355,0)),IF(5=MAX($AF355:$AJ355)+1,"取消",""))</f>
        <v>取消</v>
      </c>
      <c r="AQ355" s="0" t="str">
        <f aca="false">IFERROR(INDEX($A$1:$A$5,MATCH(6,$AF355:$AJ355,0)),IF(6=MAX($AF355:$AJ355)+1,"取消",""))</f>
        <v/>
      </c>
      <c r="AS355" s="0" t="n">
        <f aca="false">IF(OR($A$1=公区维修!$F355,$A$1=公区维修!$G355,$BN$1=1),0,1-SUMPRODUCT(--(($A$1=公区维修!$F355)+($A$1=公区维修!$G355)+$BN$1&gt;0)))</f>
        <v>0</v>
      </c>
      <c r="AT355" s="0" t="n">
        <f aca="false">IF(OR($A$2=公区维修!$F355,$A$2=公区维修!$G355,$BN$2=1),0,2-SUMPRODUCT(--(($A$1:$A$2=公区维修!$F355)+($A$1:$A$2=公区维修!$G355)+$BN$1:$BN$2&gt;0)))</f>
        <v>1</v>
      </c>
      <c r="AU355" s="0" t="n">
        <f aca="false">IF(OR($A$3=公区维修!$F355,$A$3=公区维修!$G355,$BN$3=1),0,3-SUMPRODUCT(--(($A$1:$A$3=公区维修!$F355)+($A$1:$A$3=公区维修!$G355)+$BN$1:$BN$3&gt;0)))</f>
        <v>2</v>
      </c>
      <c r="AV355" s="0" t="n">
        <f aca="false">IF(OR($A$4=公区维修!$F355,$A$4=公区维修!$G355,$BN$4=1),0,4-SUMPRODUCT(--(($A$1:$A$4=公区维修!$F355)+($A$1:$A$4=公区维修!$G355)+$BN$1:$BN$4&gt;0)))</f>
        <v>3</v>
      </c>
      <c r="AW355" s="0" t="n">
        <f aca="false">IF(OR($A$5=公区维修!$F355,$A$5=公区维修!$G355,$BN$5=1),0,5-SUMPRODUCT(--(($A$1:$A$5=公区维修!$F355)+($A$1:$A$5=公区维修!$G355)+$BN$1:$BN$5&gt;0)))</f>
        <v>4</v>
      </c>
      <c r="AY355" s="0" t="str">
        <f aca="false">IFERROR(INDEX($A$1:$A$5,MATCH(1,$AS355:$AW355,0)),IF(1=MAX($AS355:$AW355)+1,"取消",""))</f>
        <v>李师傅</v>
      </c>
      <c r="AZ355" s="0" t="str">
        <f aca="false">IFERROR(INDEX($A$1:$A$5,MATCH(2,$AS355:$AW355,0)),IF(2=MAX($AS355:$AW355)+1,"取消",""))</f>
        <v>王师傅</v>
      </c>
      <c r="BA355" s="0" t="str">
        <f aca="false">IFERROR(INDEX($A$1:$A$5,MATCH(3,$AS355:$AW355,0)),IF(3=MAX($AS355:$AW355)+1,"取消",""))</f>
        <v>陈师傅</v>
      </c>
      <c r="BB355" s="0" t="str">
        <f aca="false">IFERROR(INDEX($A$1:$A$5,MATCH(4,$AS355:$AW355,0)),IF(4=MAX($AS355:$AW355)+1,"取消",""))</f>
        <v>刘师傅</v>
      </c>
      <c r="BC355" s="0" t="str">
        <f aca="false">IFERROR(INDEX($A$1:$A$5,MATCH(5,$AS355:$AW355,0)),IF(5=MAX($AS355:$AW355)+1,"取消",""))</f>
        <v>取消</v>
      </c>
      <c r="BD355" s="0" t="str">
        <f aca="false">IFERROR(INDEX($A$1:$A$5,MATCH(6,$AS355:$AW355,0)),IF(6=MAX($AS355:$AW355)+1,"取消",""))</f>
        <v/>
      </c>
      <c r="FW355" s="0" t="str">
        <f aca="false">IF(AND(单元查询!$D$3&lt;&gt;"",IF(单元查询!$B$3="公区维修",公区维修!$E355&lt;&gt;"",入户维修!$E355&lt;&gt;""),IF(单元查询!$B$3="公区维修",公区维修!$C355,入户维修!$C355)=单元查询!$D$3,OR(单元查询!$F$3="",IF(单元查询!$B$3="公区维修",公区维修!$D355,入户维修!$D355)&amp;""=(单元查询!$F$3)&amp;"")),MAX($FW$4:$FW354)+1,"")</f>
        <v/>
      </c>
    </row>
    <row r="356" customFormat="false" ht="15" hidden="false" customHeight="true" outlineLevel="0" collapsed="false">
      <c r="F356" s="0" t="n">
        <f aca="false">IF(OR($A$1=入户维修!$F356,$BN$1=1),0,1-SUMPRODUCT(--(($A$1=入户维修!$F356)+$BN$1&gt;0)))</f>
        <v>0</v>
      </c>
      <c r="G356" s="0" t="n">
        <f aca="false">IF(OR($A$2=入户维修!$F356,$BN$2=1),0,2-SUMPRODUCT(--(($A$1:$A$2=入户维修!$F356)+$BN$1:$BN$2&gt;0)))</f>
        <v>1</v>
      </c>
      <c r="H356" s="0" t="n">
        <f aca="false">IF(OR($A$3=入户维修!$F356,$BN$3=1),0,3-SUMPRODUCT(--(($A$1:$A$3=入户维修!$F356)+$BN$1:$BN$3&gt;0)))</f>
        <v>2</v>
      </c>
      <c r="I356" s="0" t="n">
        <f aca="false">IF(OR($A$4=入户维修!$F356,$BN$4=1),0,4-SUMPRODUCT(--(($A$1:$A$4=入户维修!$F356)+$BN$1:$BN$4&gt;0)))</f>
        <v>3</v>
      </c>
      <c r="J356" s="0" t="n">
        <f aca="false">IF(OR($A$5=入户维修!$F356,$BN$5=1),0,5-SUMPRODUCT(--(($A$1:$A$5=入户维修!$F356)+$BN$1:$BN$5&gt;0)))</f>
        <v>4</v>
      </c>
      <c r="L356" s="0" t="str">
        <f aca="false">IFERROR(INDEX($A$1:$A$5,MATCH(1,$F356:$J356,0)),IF(1=MAX($F356:$J356)+1,"取消",""))</f>
        <v>李师傅</v>
      </c>
      <c r="M356" s="0" t="str">
        <f aca="false">IFERROR(INDEX($A$1:$A$5,MATCH(2,$F356:$J356,0)),IF(2=MAX($F356:$J356)+1,"取消",""))</f>
        <v>王师傅</v>
      </c>
      <c r="N356" s="0" t="str">
        <f aca="false">IFERROR(INDEX($A$1:$A$5,MATCH(3,$F356:$J356,0)),IF(3=MAX($F356:$J356)+1,"取消",""))</f>
        <v>陈师傅</v>
      </c>
      <c r="O356" s="0" t="str">
        <f aca="false">IFERROR(INDEX($A$1:$A$5,MATCH(4,$F356:$J356,0)),IF(4=MAX($F356:$J356)+1,"取消",""))</f>
        <v>刘师傅</v>
      </c>
      <c r="P356" s="0" t="str">
        <f aca="false">IFERROR(INDEX($A$1:$A$5,MATCH(5,$F356:$J356,0)),IF(5=MAX($F356:$J356)+1,"取消",""))</f>
        <v>取消</v>
      </c>
      <c r="Q356" s="0" t="str">
        <f aca="false">IFERROR(INDEX($A$1:$A$5,MATCH(6,$F356:$J356,0)),IF(6=MAX($F356:$J356)+1,"取消",""))</f>
        <v/>
      </c>
      <c r="S356" s="0" t="n">
        <f aca="false">IF(OR($A$1=入户维修!$F356,$A$1=入户维修!$G356,$BN$1=1),0,1-SUMPRODUCT(--(($A$1=入户维修!$F356)+($A$1=入户维修!$G356)+$BN$1&gt;0)))</f>
        <v>0</v>
      </c>
      <c r="T356" s="0" t="n">
        <f aca="false">IF(OR($A$2=入户维修!$F356,$A$2=入户维修!$G356,$BN$2=1),0,2-SUMPRODUCT(--(($A$1:$A$2=入户维修!$F356)+($A$1:$A$2=入户维修!$G356)+$BN$1:$BN$2&gt;0)))</f>
        <v>1</v>
      </c>
      <c r="U356" s="0" t="n">
        <f aca="false">IF(OR($A$3=入户维修!$F356,$A$3=入户维修!$G356,$BN$3=1),0,3-SUMPRODUCT(--(($A$1:$A$3=入户维修!$F356)+($A$1:$A$3=入户维修!$G356)+$BN$1:$BN$3&gt;0)))</f>
        <v>2</v>
      </c>
      <c r="V356" s="0" t="n">
        <f aca="false">IF(OR($A$4=入户维修!$F356,$A$4=入户维修!$G356,$BN$4=1),0,4-SUMPRODUCT(--(($A$1:$A$4=入户维修!$F356)+($A$1:$A$4=入户维修!$G356)+$BN$1:$BN$4&gt;0)))</f>
        <v>3</v>
      </c>
      <c r="W356" s="0" t="n">
        <f aca="false">IF(OR($A$5=入户维修!$F356,$A$5=入户维修!$G356,$BN$5=1),0,5-SUMPRODUCT(--(($A$1:$A$5=入户维修!$F356)+($A$1:$A$5=入户维修!$G356)+$BN$1:$BN$5&gt;0)))</f>
        <v>4</v>
      </c>
      <c r="Y356" s="0" t="str">
        <f aca="false">IFERROR(INDEX($A$1:$A$5,MATCH(1,$S356:$W356,0)),IF(1=MAX($S356:$W356)+1,"取消",""))</f>
        <v>李师傅</v>
      </c>
      <c r="Z356" s="0" t="str">
        <f aca="false">IFERROR(INDEX($A$1:$A$5,MATCH(2,$S356:$W356,0)),IF(2=MAX($S356:$W356)+1,"取消",""))</f>
        <v>王师傅</v>
      </c>
      <c r="AA356" s="0" t="str">
        <f aca="false">IFERROR(INDEX($A$1:$A$5,MATCH(3,$S356:$W356,0)),IF(3=MAX($S356:$W356)+1,"取消",""))</f>
        <v>陈师傅</v>
      </c>
      <c r="AB356" s="0" t="str">
        <f aca="false">IFERROR(INDEX($A$1:$A$5,MATCH(4,$S356:$W356,0)),IF(4=MAX($S356:$W356)+1,"取消",""))</f>
        <v>刘师傅</v>
      </c>
      <c r="AC356" s="0" t="str">
        <f aca="false">IFERROR(INDEX($A$1:$A$5,MATCH(5,$S356:$W356,0)),IF(5=MAX($S356:$W356)+1,"取消",""))</f>
        <v>取消</v>
      </c>
      <c r="AD356" s="0" t="str">
        <f aca="false">IFERROR(INDEX($A$1:$A$5,MATCH(6,$S356:$W356,0)),IF(6=MAX($S356:$W356)+1,"取消",""))</f>
        <v/>
      </c>
      <c r="AF356" s="0" t="n">
        <f aca="false">IF(OR($A$1=公区维修!$F356,$BN$1=1),0,1-SUMPRODUCT(--(($A$1=公区维修!$F356)+$BN$1&gt;0)))</f>
        <v>0</v>
      </c>
      <c r="AG356" s="0" t="n">
        <f aca="false">IF(OR($A$2=公区维修!$F356,$BN$2=1),0,2-SUMPRODUCT(--(($A$1:$A$2=公区维修!$F356)+$BN$1:$BN$2&gt;0)))</f>
        <v>1</v>
      </c>
      <c r="AH356" s="0" t="n">
        <f aca="false">IF(OR($A$3=公区维修!$F356,$BN$3=1),0,3-SUMPRODUCT(--(($A$1:$A$3=公区维修!$F356)+$BN$1:$BN$3&gt;0)))</f>
        <v>2</v>
      </c>
      <c r="AI356" s="0" t="n">
        <f aca="false">IF(OR($A$4=公区维修!$F356,$BN$4=1),0,4-SUMPRODUCT(--(($A$1:$A$4=公区维修!$F356)+$BN$1:$BN$4&gt;0)))</f>
        <v>3</v>
      </c>
      <c r="AJ356" s="0" t="n">
        <f aca="false">IF(OR($A$5=公区维修!$F356,$BN$5=1),0,5-SUMPRODUCT(--(($A$1:$A$5=公区维修!$F356)+$BN$1:$BN$5&gt;0)))</f>
        <v>4</v>
      </c>
      <c r="AL356" s="0" t="str">
        <f aca="false">IFERROR(INDEX($A$1:$A$5,MATCH(1,$AF356:$AJ356,0)),IF(1=MAX($AF356:$AJ356)+1,"取消",""))</f>
        <v>李师傅</v>
      </c>
      <c r="AM356" s="0" t="str">
        <f aca="false">IFERROR(INDEX($A$1:$A$5,MATCH(2,$AF356:$AJ356,0)),IF(2=MAX($AF356:$AJ356)+1,"取消",""))</f>
        <v>王师傅</v>
      </c>
      <c r="AN356" s="0" t="str">
        <f aca="false">IFERROR(INDEX($A$1:$A$5,MATCH(3,$AF356:$AJ356,0)),IF(3=MAX($AF356:$AJ356)+1,"取消",""))</f>
        <v>陈师傅</v>
      </c>
      <c r="AO356" s="0" t="str">
        <f aca="false">IFERROR(INDEX($A$1:$A$5,MATCH(4,$AF356:$AJ356,0)),IF(4=MAX($AF356:$AJ356)+1,"取消",""))</f>
        <v>刘师傅</v>
      </c>
      <c r="AP356" s="0" t="str">
        <f aca="false">IFERROR(INDEX($A$1:$A$5,MATCH(5,$AF356:$AJ356,0)),IF(5=MAX($AF356:$AJ356)+1,"取消",""))</f>
        <v>取消</v>
      </c>
      <c r="AQ356" s="0" t="str">
        <f aca="false">IFERROR(INDEX($A$1:$A$5,MATCH(6,$AF356:$AJ356,0)),IF(6=MAX($AF356:$AJ356)+1,"取消",""))</f>
        <v/>
      </c>
      <c r="AS356" s="0" t="n">
        <f aca="false">IF(OR($A$1=公区维修!$F356,$A$1=公区维修!$G356,$BN$1=1),0,1-SUMPRODUCT(--(($A$1=公区维修!$F356)+($A$1=公区维修!$G356)+$BN$1&gt;0)))</f>
        <v>0</v>
      </c>
      <c r="AT356" s="0" t="n">
        <f aca="false">IF(OR($A$2=公区维修!$F356,$A$2=公区维修!$G356,$BN$2=1),0,2-SUMPRODUCT(--(($A$1:$A$2=公区维修!$F356)+($A$1:$A$2=公区维修!$G356)+$BN$1:$BN$2&gt;0)))</f>
        <v>1</v>
      </c>
      <c r="AU356" s="0" t="n">
        <f aca="false">IF(OR($A$3=公区维修!$F356,$A$3=公区维修!$G356,$BN$3=1),0,3-SUMPRODUCT(--(($A$1:$A$3=公区维修!$F356)+($A$1:$A$3=公区维修!$G356)+$BN$1:$BN$3&gt;0)))</f>
        <v>2</v>
      </c>
      <c r="AV356" s="0" t="n">
        <f aca="false">IF(OR($A$4=公区维修!$F356,$A$4=公区维修!$G356,$BN$4=1),0,4-SUMPRODUCT(--(($A$1:$A$4=公区维修!$F356)+($A$1:$A$4=公区维修!$G356)+$BN$1:$BN$4&gt;0)))</f>
        <v>3</v>
      </c>
      <c r="AW356" s="0" t="n">
        <f aca="false">IF(OR($A$5=公区维修!$F356,$A$5=公区维修!$G356,$BN$5=1),0,5-SUMPRODUCT(--(($A$1:$A$5=公区维修!$F356)+($A$1:$A$5=公区维修!$G356)+$BN$1:$BN$5&gt;0)))</f>
        <v>4</v>
      </c>
      <c r="AY356" s="0" t="str">
        <f aca="false">IFERROR(INDEX($A$1:$A$5,MATCH(1,$AS356:$AW356,0)),IF(1=MAX($AS356:$AW356)+1,"取消",""))</f>
        <v>李师傅</v>
      </c>
      <c r="AZ356" s="0" t="str">
        <f aca="false">IFERROR(INDEX($A$1:$A$5,MATCH(2,$AS356:$AW356,0)),IF(2=MAX($AS356:$AW356)+1,"取消",""))</f>
        <v>王师傅</v>
      </c>
      <c r="BA356" s="0" t="str">
        <f aca="false">IFERROR(INDEX($A$1:$A$5,MATCH(3,$AS356:$AW356,0)),IF(3=MAX($AS356:$AW356)+1,"取消",""))</f>
        <v>陈师傅</v>
      </c>
      <c r="BB356" s="0" t="str">
        <f aca="false">IFERROR(INDEX($A$1:$A$5,MATCH(4,$AS356:$AW356,0)),IF(4=MAX($AS356:$AW356)+1,"取消",""))</f>
        <v>刘师傅</v>
      </c>
      <c r="BC356" s="0" t="str">
        <f aca="false">IFERROR(INDEX($A$1:$A$5,MATCH(5,$AS356:$AW356,0)),IF(5=MAX($AS356:$AW356)+1,"取消",""))</f>
        <v>取消</v>
      </c>
      <c r="BD356" s="0" t="str">
        <f aca="false">IFERROR(INDEX($A$1:$A$5,MATCH(6,$AS356:$AW356,0)),IF(6=MAX($AS356:$AW356)+1,"取消",""))</f>
        <v/>
      </c>
      <c r="FW356" s="0" t="str">
        <f aca="false">IF(AND(单元查询!$D$3&lt;&gt;"",IF(单元查询!$B$3="公区维修",公区维修!$E356&lt;&gt;"",入户维修!$E356&lt;&gt;""),IF(单元查询!$B$3="公区维修",公区维修!$C356,入户维修!$C356)=单元查询!$D$3,OR(单元查询!$F$3="",IF(单元查询!$B$3="公区维修",公区维修!$D356,入户维修!$D356)&amp;""=(单元查询!$F$3)&amp;"")),MAX($FW$4:$FW355)+1,"")</f>
        <v/>
      </c>
    </row>
    <row r="357" customFormat="false" ht="15" hidden="false" customHeight="true" outlineLevel="0" collapsed="false">
      <c r="F357" s="0" t="n">
        <f aca="false">IF(OR($A$1=入户维修!$F357,$BN$1=1),0,1-SUMPRODUCT(--(($A$1=入户维修!$F357)+$BN$1&gt;0)))</f>
        <v>0</v>
      </c>
      <c r="G357" s="0" t="n">
        <f aca="false">IF(OR($A$2=入户维修!$F357,$BN$2=1),0,2-SUMPRODUCT(--(($A$1:$A$2=入户维修!$F357)+$BN$1:$BN$2&gt;0)))</f>
        <v>1</v>
      </c>
      <c r="H357" s="0" t="n">
        <f aca="false">IF(OR($A$3=入户维修!$F357,$BN$3=1),0,3-SUMPRODUCT(--(($A$1:$A$3=入户维修!$F357)+$BN$1:$BN$3&gt;0)))</f>
        <v>2</v>
      </c>
      <c r="I357" s="0" t="n">
        <f aca="false">IF(OR($A$4=入户维修!$F357,$BN$4=1),0,4-SUMPRODUCT(--(($A$1:$A$4=入户维修!$F357)+$BN$1:$BN$4&gt;0)))</f>
        <v>3</v>
      </c>
      <c r="J357" s="0" t="n">
        <f aca="false">IF(OR($A$5=入户维修!$F357,$BN$5=1),0,5-SUMPRODUCT(--(($A$1:$A$5=入户维修!$F357)+$BN$1:$BN$5&gt;0)))</f>
        <v>4</v>
      </c>
      <c r="L357" s="0" t="str">
        <f aca="false">IFERROR(INDEX($A$1:$A$5,MATCH(1,$F357:$J357,0)),IF(1=MAX($F357:$J357)+1,"取消",""))</f>
        <v>李师傅</v>
      </c>
      <c r="M357" s="0" t="str">
        <f aca="false">IFERROR(INDEX($A$1:$A$5,MATCH(2,$F357:$J357,0)),IF(2=MAX($F357:$J357)+1,"取消",""))</f>
        <v>王师傅</v>
      </c>
      <c r="N357" s="0" t="str">
        <f aca="false">IFERROR(INDEX($A$1:$A$5,MATCH(3,$F357:$J357,0)),IF(3=MAX($F357:$J357)+1,"取消",""))</f>
        <v>陈师傅</v>
      </c>
      <c r="O357" s="0" t="str">
        <f aca="false">IFERROR(INDEX($A$1:$A$5,MATCH(4,$F357:$J357,0)),IF(4=MAX($F357:$J357)+1,"取消",""))</f>
        <v>刘师傅</v>
      </c>
      <c r="P357" s="0" t="str">
        <f aca="false">IFERROR(INDEX($A$1:$A$5,MATCH(5,$F357:$J357,0)),IF(5=MAX($F357:$J357)+1,"取消",""))</f>
        <v>取消</v>
      </c>
      <c r="Q357" s="0" t="str">
        <f aca="false">IFERROR(INDEX($A$1:$A$5,MATCH(6,$F357:$J357,0)),IF(6=MAX($F357:$J357)+1,"取消",""))</f>
        <v/>
      </c>
      <c r="S357" s="0" t="n">
        <f aca="false">IF(OR($A$1=入户维修!$F357,$A$1=入户维修!$G357,$BN$1=1),0,1-SUMPRODUCT(--(($A$1=入户维修!$F357)+($A$1=入户维修!$G357)+$BN$1&gt;0)))</f>
        <v>0</v>
      </c>
      <c r="T357" s="0" t="n">
        <f aca="false">IF(OR($A$2=入户维修!$F357,$A$2=入户维修!$G357,$BN$2=1),0,2-SUMPRODUCT(--(($A$1:$A$2=入户维修!$F357)+($A$1:$A$2=入户维修!$G357)+$BN$1:$BN$2&gt;0)))</f>
        <v>1</v>
      </c>
      <c r="U357" s="0" t="n">
        <f aca="false">IF(OR($A$3=入户维修!$F357,$A$3=入户维修!$G357,$BN$3=1),0,3-SUMPRODUCT(--(($A$1:$A$3=入户维修!$F357)+($A$1:$A$3=入户维修!$G357)+$BN$1:$BN$3&gt;0)))</f>
        <v>2</v>
      </c>
      <c r="V357" s="0" t="n">
        <f aca="false">IF(OR($A$4=入户维修!$F357,$A$4=入户维修!$G357,$BN$4=1),0,4-SUMPRODUCT(--(($A$1:$A$4=入户维修!$F357)+($A$1:$A$4=入户维修!$G357)+$BN$1:$BN$4&gt;0)))</f>
        <v>3</v>
      </c>
      <c r="W357" s="0" t="n">
        <f aca="false">IF(OR($A$5=入户维修!$F357,$A$5=入户维修!$G357,$BN$5=1),0,5-SUMPRODUCT(--(($A$1:$A$5=入户维修!$F357)+($A$1:$A$5=入户维修!$G357)+$BN$1:$BN$5&gt;0)))</f>
        <v>4</v>
      </c>
      <c r="Y357" s="0" t="str">
        <f aca="false">IFERROR(INDEX($A$1:$A$5,MATCH(1,$S357:$W357,0)),IF(1=MAX($S357:$W357)+1,"取消",""))</f>
        <v>李师傅</v>
      </c>
      <c r="Z357" s="0" t="str">
        <f aca="false">IFERROR(INDEX($A$1:$A$5,MATCH(2,$S357:$W357,0)),IF(2=MAX($S357:$W357)+1,"取消",""))</f>
        <v>王师傅</v>
      </c>
      <c r="AA357" s="0" t="str">
        <f aca="false">IFERROR(INDEX($A$1:$A$5,MATCH(3,$S357:$W357,0)),IF(3=MAX($S357:$W357)+1,"取消",""))</f>
        <v>陈师傅</v>
      </c>
      <c r="AB357" s="0" t="str">
        <f aca="false">IFERROR(INDEX($A$1:$A$5,MATCH(4,$S357:$W357,0)),IF(4=MAX($S357:$W357)+1,"取消",""))</f>
        <v>刘师傅</v>
      </c>
      <c r="AC357" s="0" t="str">
        <f aca="false">IFERROR(INDEX($A$1:$A$5,MATCH(5,$S357:$W357,0)),IF(5=MAX($S357:$W357)+1,"取消",""))</f>
        <v>取消</v>
      </c>
      <c r="AD357" s="0" t="str">
        <f aca="false">IFERROR(INDEX($A$1:$A$5,MATCH(6,$S357:$W357,0)),IF(6=MAX($S357:$W357)+1,"取消",""))</f>
        <v/>
      </c>
      <c r="AF357" s="0" t="n">
        <f aca="false">IF(OR($A$1=公区维修!$F357,$BN$1=1),0,1-SUMPRODUCT(--(($A$1=公区维修!$F357)+$BN$1&gt;0)))</f>
        <v>0</v>
      </c>
      <c r="AG357" s="0" t="n">
        <f aca="false">IF(OR($A$2=公区维修!$F357,$BN$2=1),0,2-SUMPRODUCT(--(($A$1:$A$2=公区维修!$F357)+$BN$1:$BN$2&gt;0)))</f>
        <v>1</v>
      </c>
      <c r="AH357" s="0" t="n">
        <f aca="false">IF(OR($A$3=公区维修!$F357,$BN$3=1),0,3-SUMPRODUCT(--(($A$1:$A$3=公区维修!$F357)+$BN$1:$BN$3&gt;0)))</f>
        <v>2</v>
      </c>
      <c r="AI357" s="0" t="n">
        <f aca="false">IF(OR($A$4=公区维修!$F357,$BN$4=1),0,4-SUMPRODUCT(--(($A$1:$A$4=公区维修!$F357)+$BN$1:$BN$4&gt;0)))</f>
        <v>3</v>
      </c>
      <c r="AJ357" s="0" t="n">
        <f aca="false">IF(OR($A$5=公区维修!$F357,$BN$5=1),0,5-SUMPRODUCT(--(($A$1:$A$5=公区维修!$F357)+$BN$1:$BN$5&gt;0)))</f>
        <v>4</v>
      </c>
      <c r="AL357" s="0" t="str">
        <f aca="false">IFERROR(INDEX($A$1:$A$5,MATCH(1,$AF357:$AJ357,0)),IF(1=MAX($AF357:$AJ357)+1,"取消",""))</f>
        <v>李师傅</v>
      </c>
      <c r="AM357" s="0" t="str">
        <f aca="false">IFERROR(INDEX($A$1:$A$5,MATCH(2,$AF357:$AJ357,0)),IF(2=MAX($AF357:$AJ357)+1,"取消",""))</f>
        <v>王师傅</v>
      </c>
      <c r="AN357" s="0" t="str">
        <f aca="false">IFERROR(INDEX($A$1:$A$5,MATCH(3,$AF357:$AJ357,0)),IF(3=MAX($AF357:$AJ357)+1,"取消",""))</f>
        <v>陈师傅</v>
      </c>
      <c r="AO357" s="0" t="str">
        <f aca="false">IFERROR(INDEX($A$1:$A$5,MATCH(4,$AF357:$AJ357,0)),IF(4=MAX($AF357:$AJ357)+1,"取消",""))</f>
        <v>刘师傅</v>
      </c>
      <c r="AP357" s="0" t="str">
        <f aca="false">IFERROR(INDEX($A$1:$A$5,MATCH(5,$AF357:$AJ357,0)),IF(5=MAX($AF357:$AJ357)+1,"取消",""))</f>
        <v>取消</v>
      </c>
      <c r="AQ357" s="0" t="str">
        <f aca="false">IFERROR(INDEX($A$1:$A$5,MATCH(6,$AF357:$AJ357,0)),IF(6=MAX($AF357:$AJ357)+1,"取消",""))</f>
        <v/>
      </c>
      <c r="AS357" s="0" t="n">
        <f aca="false">IF(OR($A$1=公区维修!$F357,$A$1=公区维修!$G357,$BN$1=1),0,1-SUMPRODUCT(--(($A$1=公区维修!$F357)+($A$1=公区维修!$G357)+$BN$1&gt;0)))</f>
        <v>0</v>
      </c>
      <c r="AT357" s="0" t="n">
        <f aca="false">IF(OR($A$2=公区维修!$F357,$A$2=公区维修!$G357,$BN$2=1),0,2-SUMPRODUCT(--(($A$1:$A$2=公区维修!$F357)+($A$1:$A$2=公区维修!$G357)+$BN$1:$BN$2&gt;0)))</f>
        <v>1</v>
      </c>
      <c r="AU357" s="0" t="n">
        <f aca="false">IF(OR($A$3=公区维修!$F357,$A$3=公区维修!$G357,$BN$3=1),0,3-SUMPRODUCT(--(($A$1:$A$3=公区维修!$F357)+($A$1:$A$3=公区维修!$G357)+$BN$1:$BN$3&gt;0)))</f>
        <v>2</v>
      </c>
      <c r="AV357" s="0" t="n">
        <f aca="false">IF(OR($A$4=公区维修!$F357,$A$4=公区维修!$G357,$BN$4=1),0,4-SUMPRODUCT(--(($A$1:$A$4=公区维修!$F357)+($A$1:$A$4=公区维修!$G357)+$BN$1:$BN$4&gt;0)))</f>
        <v>3</v>
      </c>
      <c r="AW357" s="0" t="n">
        <f aca="false">IF(OR($A$5=公区维修!$F357,$A$5=公区维修!$G357,$BN$5=1),0,5-SUMPRODUCT(--(($A$1:$A$5=公区维修!$F357)+($A$1:$A$5=公区维修!$G357)+$BN$1:$BN$5&gt;0)))</f>
        <v>4</v>
      </c>
      <c r="AY357" s="0" t="str">
        <f aca="false">IFERROR(INDEX($A$1:$A$5,MATCH(1,$AS357:$AW357,0)),IF(1=MAX($AS357:$AW357)+1,"取消",""))</f>
        <v>李师傅</v>
      </c>
      <c r="AZ357" s="0" t="str">
        <f aca="false">IFERROR(INDEX($A$1:$A$5,MATCH(2,$AS357:$AW357,0)),IF(2=MAX($AS357:$AW357)+1,"取消",""))</f>
        <v>王师傅</v>
      </c>
      <c r="BA357" s="0" t="str">
        <f aca="false">IFERROR(INDEX($A$1:$A$5,MATCH(3,$AS357:$AW357,0)),IF(3=MAX($AS357:$AW357)+1,"取消",""))</f>
        <v>陈师傅</v>
      </c>
      <c r="BB357" s="0" t="str">
        <f aca="false">IFERROR(INDEX($A$1:$A$5,MATCH(4,$AS357:$AW357,0)),IF(4=MAX($AS357:$AW357)+1,"取消",""))</f>
        <v>刘师傅</v>
      </c>
      <c r="BC357" s="0" t="str">
        <f aca="false">IFERROR(INDEX($A$1:$A$5,MATCH(5,$AS357:$AW357,0)),IF(5=MAX($AS357:$AW357)+1,"取消",""))</f>
        <v>取消</v>
      </c>
      <c r="BD357" s="0" t="str">
        <f aca="false">IFERROR(INDEX($A$1:$A$5,MATCH(6,$AS357:$AW357,0)),IF(6=MAX($AS357:$AW357)+1,"取消",""))</f>
        <v/>
      </c>
      <c r="FW357" s="0" t="str">
        <f aca="false">IF(AND(单元查询!$D$3&lt;&gt;"",IF(单元查询!$B$3="公区维修",公区维修!$E357&lt;&gt;"",入户维修!$E357&lt;&gt;""),IF(单元查询!$B$3="公区维修",公区维修!$C357,入户维修!$C357)=单元查询!$D$3,OR(单元查询!$F$3="",IF(单元查询!$B$3="公区维修",公区维修!$D357,入户维修!$D357)&amp;""=(单元查询!$F$3)&amp;"")),MAX($FW$4:$FW356)+1,"")</f>
        <v/>
      </c>
    </row>
    <row r="358" customFormat="false" ht="15" hidden="false" customHeight="true" outlineLevel="0" collapsed="false">
      <c r="F358" s="0" t="n">
        <f aca="false">IF(OR($A$1=入户维修!$F358,$BN$1=1),0,1-SUMPRODUCT(--(($A$1=入户维修!$F358)+$BN$1&gt;0)))</f>
        <v>0</v>
      </c>
      <c r="G358" s="0" t="n">
        <f aca="false">IF(OR($A$2=入户维修!$F358,$BN$2=1),0,2-SUMPRODUCT(--(($A$1:$A$2=入户维修!$F358)+$BN$1:$BN$2&gt;0)))</f>
        <v>1</v>
      </c>
      <c r="H358" s="0" t="n">
        <f aca="false">IF(OR($A$3=入户维修!$F358,$BN$3=1),0,3-SUMPRODUCT(--(($A$1:$A$3=入户维修!$F358)+$BN$1:$BN$3&gt;0)))</f>
        <v>2</v>
      </c>
      <c r="I358" s="0" t="n">
        <f aca="false">IF(OR($A$4=入户维修!$F358,$BN$4=1),0,4-SUMPRODUCT(--(($A$1:$A$4=入户维修!$F358)+$BN$1:$BN$4&gt;0)))</f>
        <v>3</v>
      </c>
      <c r="J358" s="0" t="n">
        <f aca="false">IF(OR($A$5=入户维修!$F358,$BN$5=1),0,5-SUMPRODUCT(--(($A$1:$A$5=入户维修!$F358)+$BN$1:$BN$5&gt;0)))</f>
        <v>4</v>
      </c>
      <c r="L358" s="0" t="str">
        <f aca="false">IFERROR(INDEX($A$1:$A$5,MATCH(1,$F358:$J358,0)),IF(1=MAX($F358:$J358)+1,"取消",""))</f>
        <v>李师傅</v>
      </c>
      <c r="M358" s="0" t="str">
        <f aca="false">IFERROR(INDEX($A$1:$A$5,MATCH(2,$F358:$J358,0)),IF(2=MAX($F358:$J358)+1,"取消",""))</f>
        <v>王师傅</v>
      </c>
      <c r="N358" s="0" t="str">
        <f aca="false">IFERROR(INDEX($A$1:$A$5,MATCH(3,$F358:$J358,0)),IF(3=MAX($F358:$J358)+1,"取消",""))</f>
        <v>陈师傅</v>
      </c>
      <c r="O358" s="0" t="str">
        <f aca="false">IFERROR(INDEX($A$1:$A$5,MATCH(4,$F358:$J358,0)),IF(4=MAX($F358:$J358)+1,"取消",""))</f>
        <v>刘师傅</v>
      </c>
      <c r="P358" s="0" t="str">
        <f aca="false">IFERROR(INDEX($A$1:$A$5,MATCH(5,$F358:$J358,0)),IF(5=MAX($F358:$J358)+1,"取消",""))</f>
        <v>取消</v>
      </c>
      <c r="Q358" s="0" t="str">
        <f aca="false">IFERROR(INDEX($A$1:$A$5,MATCH(6,$F358:$J358,0)),IF(6=MAX($F358:$J358)+1,"取消",""))</f>
        <v/>
      </c>
      <c r="S358" s="0" t="n">
        <f aca="false">IF(OR($A$1=入户维修!$F358,$A$1=入户维修!$G358,$BN$1=1),0,1-SUMPRODUCT(--(($A$1=入户维修!$F358)+($A$1=入户维修!$G358)+$BN$1&gt;0)))</f>
        <v>0</v>
      </c>
      <c r="T358" s="0" t="n">
        <f aca="false">IF(OR($A$2=入户维修!$F358,$A$2=入户维修!$G358,$BN$2=1),0,2-SUMPRODUCT(--(($A$1:$A$2=入户维修!$F358)+($A$1:$A$2=入户维修!$G358)+$BN$1:$BN$2&gt;0)))</f>
        <v>1</v>
      </c>
      <c r="U358" s="0" t="n">
        <f aca="false">IF(OR($A$3=入户维修!$F358,$A$3=入户维修!$G358,$BN$3=1),0,3-SUMPRODUCT(--(($A$1:$A$3=入户维修!$F358)+($A$1:$A$3=入户维修!$G358)+$BN$1:$BN$3&gt;0)))</f>
        <v>2</v>
      </c>
      <c r="V358" s="0" t="n">
        <f aca="false">IF(OR($A$4=入户维修!$F358,$A$4=入户维修!$G358,$BN$4=1),0,4-SUMPRODUCT(--(($A$1:$A$4=入户维修!$F358)+($A$1:$A$4=入户维修!$G358)+$BN$1:$BN$4&gt;0)))</f>
        <v>3</v>
      </c>
      <c r="W358" s="0" t="n">
        <f aca="false">IF(OR($A$5=入户维修!$F358,$A$5=入户维修!$G358,$BN$5=1),0,5-SUMPRODUCT(--(($A$1:$A$5=入户维修!$F358)+($A$1:$A$5=入户维修!$G358)+$BN$1:$BN$5&gt;0)))</f>
        <v>4</v>
      </c>
      <c r="Y358" s="0" t="str">
        <f aca="false">IFERROR(INDEX($A$1:$A$5,MATCH(1,$S358:$W358,0)),IF(1=MAX($S358:$W358)+1,"取消",""))</f>
        <v>李师傅</v>
      </c>
      <c r="Z358" s="0" t="str">
        <f aca="false">IFERROR(INDEX($A$1:$A$5,MATCH(2,$S358:$W358,0)),IF(2=MAX($S358:$W358)+1,"取消",""))</f>
        <v>王师傅</v>
      </c>
      <c r="AA358" s="0" t="str">
        <f aca="false">IFERROR(INDEX($A$1:$A$5,MATCH(3,$S358:$W358,0)),IF(3=MAX($S358:$W358)+1,"取消",""))</f>
        <v>陈师傅</v>
      </c>
      <c r="AB358" s="0" t="str">
        <f aca="false">IFERROR(INDEX($A$1:$A$5,MATCH(4,$S358:$W358,0)),IF(4=MAX($S358:$W358)+1,"取消",""))</f>
        <v>刘师傅</v>
      </c>
      <c r="AC358" s="0" t="str">
        <f aca="false">IFERROR(INDEX($A$1:$A$5,MATCH(5,$S358:$W358,0)),IF(5=MAX($S358:$W358)+1,"取消",""))</f>
        <v>取消</v>
      </c>
      <c r="AD358" s="0" t="str">
        <f aca="false">IFERROR(INDEX($A$1:$A$5,MATCH(6,$S358:$W358,0)),IF(6=MAX($S358:$W358)+1,"取消",""))</f>
        <v/>
      </c>
      <c r="AF358" s="0" t="n">
        <f aca="false">IF(OR($A$1=公区维修!$F358,$BN$1=1),0,1-SUMPRODUCT(--(($A$1=公区维修!$F358)+$BN$1&gt;0)))</f>
        <v>0</v>
      </c>
      <c r="AG358" s="0" t="n">
        <f aca="false">IF(OR($A$2=公区维修!$F358,$BN$2=1),0,2-SUMPRODUCT(--(($A$1:$A$2=公区维修!$F358)+$BN$1:$BN$2&gt;0)))</f>
        <v>1</v>
      </c>
      <c r="AH358" s="0" t="n">
        <f aca="false">IF(OR($A$3=公区维修!$F358,$BN$3=1),0,3-SUMPRODUCT(--(($A$1:$A$3=公区维修!$F358)+$BN$1:$BN$3&gt;0)))</f>
        <v>2</v>
      </c>
      <c r="AI358" s="0" t="n">
        <f aca="false">IF(OR($A$4=公区维修!$F358,$BN$4=1),0,4-SUMPRODUCT(--(($A$1:$A$4=公区维修!$F358)+$BN$1:$BN$4&gt;0)))</f>
        <v>3</v>
      </c>
      <c r="AJ358" s="0" t="n">
        <f aca="false">IF(OR($A$5=公区维修!$F358,$BN$5=1),0,5-SUMPRODUCT(--(($A$1:$A$5=公区维修!$F358)+$BN$1:$BN$5&gt;0)))</f>
        <v>4</v>
      </c>
      <c r="AL358" s="0" t="str">
        <f aca="false">IFERROR(INDEX($A$1:$A$5,MATCH(1,$AF358:$AJ358,0)),IF(1=MAX($AF358:$AJ358)+1,"取消",""))</f>
        <v>李师傅</v>
      </c>
      <c r="AM358" s="0" t="str">
        <f aca="false">IFERROR(INDEX($A$1:$A$5,MATCH(2,$AF358:$AJ358,0)),IF(2=MAX($AF358:$AJ358)+1,"取消",""))</f>
        <v>王师傅</v>
      </c>
      <c r="AN358" s="0" t="str">
        <f aca="false">IFERROR(INDEX($A$1:$A$5,MATCH(3,$AF358:$AJ358,0)),IF(3=MAX($AF358:$AJ358)+1,"取消",""))</f>
        <v>陈师傅</v>
      </c>
      <c r="AO358" s="0" t="str">
        <f aca="false">IFERROR(INDEX($A$1:$A$5,MATCH(4,$AF358:$AJ358,0)),IF(4=MAX($AF358:$AJ358)+1,"取消",""))</f>
        <v>刘师傅</v>
      </c>
      <c r="AP358" s="0" t="str">
        <f aca="false">IFERROR(INDEX($A$1:$A$5,MATCH(5,$AF358:$AJ358,0)),IF(5=MAX($AF358:$AJ358)+1,"取消",""))</f>
        <v>取消</v>
      </c>
      <c r="AQ358" s="0" t="str">
        <f aca="false">IFERROR(INDEX($A$1:$A$5,MATCH(6,$AF358:$AJ358,0)),IF(6=MAX($AF358:$AJ358)+1,"取消",""))</f>
        <v/>
      </c>
      <c r="AS358" s="0" t="n">
        <f aca="false">IF(OR($A$1=公区维修!$F358,$A$1=公区维修!$G358,$BN$1=1),0,1-SUMPRODUCT(--(($A$1=公区维修!$F358)+($A$1=公区维修!$G358)+$BN$1&gt;0)))</f>
        <v>0</v>
      </c>
      <c r="AT358" s="0" t="n">
        <f aca="false">IF(OR($A$2=公区维修!$F358,$A$2=公区维修!$G358,$BN$2=1),0,2-SUMPRODUCT(--(($A$1:$A$2=公区维修!$F358)+($A$1:$A$2=公区维修!$G358)+$BN$1:$BN$2&gt;0)))</f>
        <v>1</v>
      </c>
      <c r="AU358" s="0" t="n">
        <f aca="false">IF(OR($A$3=公区维修!$F358,$A$3=公区维修!$G358,$BN$3=1),0,3-SUMPRODUCT(--(($A$1:$A$3=公区维修!$F358)+($A$1:$A$3=公区维修!$G358)+$BN$1:$BN$3&gt;0)))</f>
        <v>2</v>
      </c>
      <c r="AV358" s="0" t="n">
        <f aca="false">IF(OR($A$4=公区维修!$F358,$A$4=公区维修!$G358,$BN$4=1),0,4-SUMPRODUCT(--(($A$1:$A$4=公区维修!$F358)+($A$1:$A$4=公区维修!$G358)+$BN$1:$BN$4&gt;0)))</f>
        <v>3</v>
      </c>
      <c r="AW358" s="0" t="n">
        <f aca="false">IF(OR($A$5=公区维修!$F358,$A$5=公区维修!$G358,$BN$5=1),0,5-SUMPRODUCT(--(($A$1:$A$5=公区维修!$F358)+($A$1:$A$5=公区维修!$G358)+$BN$1:$BN$5&gt;0)))</f>
        <v>4</v>
      </c>
      <c r="AY358" s="0" t="str">
        <f aca="false">IFERROR(INDEX($A$1:$A$5,MATCH(1,$AS358:$AW358,0)),IF(1=MAX($AS358:$AW358)+1,"取消",""))</f>
        <v>李师傅</v>
      </c>
      <c r="AZ358" s="0" t="str">
        <f aca="false">IFERROR(INDEX($A$1:$A$5,MATCH(2,$AS358:$AW358,0)),IF(2=MAX($AS358:$AW358)+1,"取消",""))</f>
        <v>王师傅</v>
      </c>
      <c r="BA358" s="0" t="str">
        <f aca="false">IFERROR(INDEX($A$1:$A$5,MATCH(3,$AS358:$AW358,0)),IF(3=MAX($AS358:$AW358)+1,"取消",""))</f>
        <v>陈师傅</v>
      </c>
      <c r="BB358" s="0" t="str">
        <f aca="false">IFERROR(INDEX($A$1:$A$5,MATCH(4,$AS358:$AW358,0)),IF(4=MAX($AS358:$AW358)+1,"取消",""))</f>
        <v>刘师傅</v>
      </c>
      <c r="BC358" s="0" t="str">
        <f aca="false">IFERROR(INDEX($A$1:$A$5,MATCH(5,$AS358:$AW358,0)),IF(5=MAX($AS358:$AW358)+1,"取消",""))</f>
        <v>取消</v>
      </c>
      <c r="BD358" s="0" t="str">
        <f aca="false">IFERROR(INDEX($A$1:$A$5,MATCH(6,$AS358:$AW358,0)),IF(6=MAX($AS358:$AW358)+1,"取消",""))</f>
        <v/>
      </c>
      <c r="FW358" s="0" t="str">
        <f aca="false">IF(AND(单元查询!$D$3&lt;&gt;"",IF(单元查询!$B$3="公区维修",公区维修!$E358&lt;&gt;"",入户维修!$E358&lt;&gt;""),IF(单元查询!$B$3="公区维修",公区维修!$C358,入户维修!$C358)=单元查询!$D$3,OR(单元查询!$F$3="",IF(单元查询!$B$3="公区维修",公区维修!$D358,入户维修!$D358)&amp;""=(单元查询!$F$3)&amp;"")),MAX($FW$4:$FW357)+1,"")</f>
        <v/>
      </c>
    </row>
    <row r="359" customFormat="false" ht="15" hidden="false" customHeight="true" outlineLevel="0" collapsed="false">
      <c r="F359" s="0" t="n">
        <f aca="false">IF(OR($A$1=入户维修!$F359,$BN$1=1),0,1-SUMPRODUCT(--(($A$1=入户维修!$F359)+$BN$1&gt;0)))</f>
        <v>0</v>
      </c>
      <c r="G359" s="0" t="n">
        <f aca="false">IF(OR($A$2=入户维修!$F359,$BN$2=1),0,2-SUMPRODUCT(--(($A$1:$A$2=入户维修!$F359)+$BN$1:$BN$2&gt;0)))</f>
        <v>1</v>
      </c>
      <c r="H359" s="0" t="n">
        <f aca="false">IF(OR($A$3=入户维修!$F359,$BN$3=1),0,3-SUMPRODUCT(--(($A$1:$A$3=入户维修!$F359)+$BN$1:$BN$3&gt;0)))</f>
        <v>2</v>
      </c>
      <c r="I359" s="0" t="n">
        <f aca="false">IF(OR($A$4=入户维修!$F359,$BN$4=1),0,4-SUMPRODUCT(--(($A$1:$A$4=入户维修!$F359)+$BN$1:$BN$4&gt;0)))</f>
        <v>3</v>
      </c>
      <c r="J359" s="0" t="n">
        <f aca="false">IF(OR($A$5=入户维修!$F359,$BN$5=1),0,5-SUMPRODUCT(--(($A$1:$A$5=入户维修!$F359)+$BN$1:$BN$5&gt;0)))</f>
        <v>4</v>
      </c>
      <c r="L359" s="0" t="str">
        <f aca="false">IFERROR(INDEX($A$1:$A$5,MATCH(1,$F359:$J359,0)),IF(1=MAX($F359:$J359)+1,"取消",""))</f>
        <v>李师傅</v>
      </c>
      <c r="M359" s="0" t="str">
        <f aca="false">IFERROR(INDEX($A$1:$A$5,MATCH(2,$F359:$J359,0)),IF(2=MAX($F359:$J359)+1,"取消",""))</f>
        <v>王师傅</v>
      </c>
      <c r="N359" s="0" t="str">
        <f aca="false">IFERROR(INDEX($A$1:$A$5,MATCH(3,$F359:$J359,0)),IF(3=MAX($F359:$J359)+1,"取消",""))</f>
        <v>陈师傅</v>
      </c>
      <c r="O359" s="0" t="str">
        <f aca="false">IFERROR(INDEX($A$1:$A$5,MATCH(4,$F359:$J359,0)),IF(4=MAX($F359:$J359)+1,"取消",""))</f>
        <v>刘师傅</v>
      </c>
      <c r="P359" s="0" t="str">
        <f aca="false">IFERROR(INDEX($A$1:$A$5,MATCH(5,$F359:$J359,0)),IF(5=MAX($F359:$J359)+1,"取消",""))</f>
        <v>取消</v>
      </c>
      <c r="Q359" s="0" t="str">
        <f aca="false">IFERROR(INDEX($A$1:$A$5,MATCH(6,$F359:$J359,0)),IF(6=MAX($F359:$J359)+1,"取消",""))</f>
        <v/>
      </c>
      <c r="S359" s="0" t="n">
        <f aca="false">IF(OR($A$1=入户维修!$F359,$A$1=入户维修!$G359,$BN$1=1),0,1-SUMPRODUCT(--(($A$1=入户维修!$F359)+($A$1=入户维修!$G359)+$BN$1&gt;0)))</f>
        <v>0</v>
      </c>
      <c r="T359" s="0" t="n">
        <f aca="false">IF(OR($A$2=入户维修!$F359,$A$2=入户维修!$G359,$BN$2=1),0,2-SUMPRODUCT(--(($A$1:$A$2=入户维修!$F359)+($A$1:$A$2=入户维修!$G359)+$BN$1:$BN$2&gt;0)))</f>
        <v>1</v>
      </c>
      <c r="U359" s="0" t="n">
        <f aca="false">IF(OR($A$3=入户维修!$F359,$A$3=入户维修!$G359,$BN$3=1),0,3-SUMPRODUCT(--(($A$1:$A$3=入户维修!$F359)+($A$1:$A$3=入户维修!$G359)+$BN$1:$BN$3&gt;0)))</f>
        <v>2</v>
      </c>
      <c r="V359" s="0" t="n">
        <f aca="false">IF(OR($A$4=入户维修!$F359,$A$4=入户维修!$G359,$BN$4=1),0,4-SUMPRODUCT(--(($A$1:$A$4=入户维修!$F359)+($A$1:$A$4=入户维修!$G359)+$BN$1:$BN$4&gt;0)))</f>
        <v>3</v>
      </c>
      <c r="W359" s="0" t="n">
        <f aca="false">IF(OR($A$5=入户维修!$F359,$A$5=入户维修!$G359,$BN$5=1),0,5-SUMPRODUCT(--(($A$1:$A$5=入户维修!$F359)+($A$1:$A$5=入户维修!$G359)+$BN$1:$BN$5&gt;0)))</f>
        <v>4</v>
      </c>
      <c r="Y359" s="0" t="str">
        <f aca="false">IFERROR(INDEX($A$1:$A$5,MATCH(1,$S359:$W359,0)),IF(1=MAX($S359:$W359)+1,"取消",""))</f>
        <v>李师傅</v>
      </c>
      <c r="Z359" s="0" t="str">
        <f aca="false">IFERROR(INDEX($A$1:$A$5,MATCH(2,$S359:$W359,0)),IF(2=MAX($S359:$W359)+1,"取消",""))</f>
        <v>王师傅</v>
      </c>
      <c r="AA359" s="0" t="str">
        <f aca="false">IFERROR(INDEX($A$1:$A$5,MATCH(3,$S359:$W359,0)),IF(3=MAX($S359:$W359)+1,"取消",""))</f>
        <v>陈师傅</v>
      </c>
      <c r="AB359" s="0" t="str">
        <f aca="false">IFERROR(INDEX($A$1:$A$5,MATCH(4,$S359:$W359,0)),IF(4=MAX($S359:$W359)+1,"取消",""))</f>
        <v>刘师傅</v>
      </c>
      <c r="AC359" s="0" t="str">
        <f aca="false">IFERROR(INDEX($A$1:$A$5,MATCH(5,$S359:$W359,0)),IF(5=MAX($S359:$W359)+1,"取消",""))</f>
        <v>取消</v>
      </c>
      <c r="AD359" s="0" t="str">
        <f aca="false">IFERROR(INDEX($A$1:$A$5,MATCH(6,$S359:$W359,0)),IF(6=MAX($S359:$W359)+1,"取消",""))</f>
        <v/>
      </c>
      <c r="AF359" s="0" t="n">
        <f aca="false">IF(OR($A$1=公区维修!$F359,$BN$1=1),0,1-SUMPRODUCT(--(($A$1=公区维修!$F359)+$BN$1&gt;0)))</f>
        <v>0</v>
      </c>
      <c r="AG359" s="0" t="n">
        <f aca="false">IF(OR($A$2=公区维修!$F359,$BN$2=1),0,2-SUMPRODUCT(--(($A$1:$A$2=公区维修!$F359)+$BN$1:$BN$2&gt;0)))</f>
        <v>1</v>
      </c>
      <c r="AH359" s="0" t="n">
        <f aca="false">IF(OR($A$3=公区维修!$F359,$BN$3=1),0,3-SUMPRODUCT(--(($A$1:$A$3=公区维修!$F359)+$BN$1:$BN$3&gt;0)))</f>
        <v>2</v>
      </c>
      <c r="AI359" s="0" t="n">
        <f aca="false">IF(OR($A$4=公区维修!$F359,$BN$4=1),0,4-SUMPRODUCT(--(($A$1:$A$4=公区维修!$F359)+$BN$1:$BN$4&gt;0)))</f>
        <v>3</v>
      </c>
      <c r="AJ359" s="0" t="n">
        <f aca="false">IF(OR($A$5=公区维修!$F359,$BN$5=1),0,5-SUMPRODUCT(--(($A$1:$A$5=公区维修!$F359)+$BN$1:$BN$5&gt;0)))</f>
        <v>4</v>
      </c>
      <c r="AL359" s="0" t="str">
        <f aca="false">IFERROR(INDEX($A$1:$A$5,MATCH(1,$AF359:$AJ359,0)),IF(1=MAX($AF359:$AJ359)+1,"取消",""))</f>
        <v>李师傅</v>
      </c>
      <c r="AM359" s="0" t="str">
        <f aca="false">IFERROR(INDEX($A$1:$A$5,MATCH(2,$AF359:$AJ359,0)),IF(2=MAX($AF359:$AJ359)+1,"取消",""))</f>
        <v>王师傅</v>
      </c>
      <c r="AN359" s="0" t="str">
        <f aca="false">IFERROR(INDEX($A$1:$A$5,MATCH(3,$AF359:$AJ359,0)),IF(3=MAX($AF359:$AJ359)+1,"取消",""))</f>
        <v>陈师傅</v>
      </c>
      <c r="AO359" s="0" t="str">
        <f aca="false">IFERROR(INDEX($A$1:$A$5,MATCH(4,$AF359:$AJ359,0)),IF(4=MAX($AF359:$AJ359)+1,"取消",""))</f>
        <v>刘师傅</v>
      </c>
      <c r="AP359" s="0" t="str">
        <f aca="false">IFERROR(INDEX($A$1:$A$5,MATCH(5,$AF359:$AJ359,0)),IF(5=MAX($AF359:$AJ359)+1,"取消",""))</f>
        <v>取消</v>
      </c>
      <c r="AQ359" s="0" t="str">
        <f aca="false">IFERROR(INDEX($A$1:$A$5,MATCH(6,$AF359:$AJ359,0)),IF(6=MAX($AF359:$AJ359)+1,"取消",""))</f>
        <v/>
      </c>
      <c r="AS359" s="0" t="n">
        <f aca="false">IF(OR($A$1=公区维修!$F359,$A$1=公区维修!$G359,$BN$1=1),0,1-SUMPRODUCT(--(($A$1=公区维修!$F359)+($A$1=公区维修!$G359)+$BN$1&gt;0)))</f>
        <v>0</v>
      </c>
      <c r="AT359" s="0" t="n">
        <f aca="false">IF(OR($A$2=公区维修!$F359,$A$2=公区维修!$G359,$BN$2=1),0,2-SUMPRODUCT(--(($A$1:$A$2=公区维修!$F359)+($A$1:$A$2=公区维修!$G359)+$BN$1:$BN$2&gt;0)))</f>
        <v>1</v>
      </c>
      <c r="AU359" s="0" t="n">
        <f aca="false">IF(OR($A$3=公区维修!$F359,$A$3=公区维修!$G359,$BN$3=1),0,3-SUMPRODUCT(--(($A$1:$A$3=公区维修!$F359)+($A$1:$A$3=公区维修!$G359)+$BN$1:$BN$3&gt;0)))</f>
        <v>2</v>
      </c>
      <c r="AV359" s="0" t="n">
        <f aca="false">IF(OR($A$4=公区维修!$F359,$A$4=公区维修!$G359,$BN$4=1),0,4-SUMPRODUCT(--(($A$1:$A$4=公区维修!$F359)+($A$1:$A$4=公区维修!$G359)+$BN$1:$BN$4&gt;0)))</f>
        <v>3</v>
      </c>
      <c r="AW359" s="0" t="n">
        <f aca="false">IF(OR($A$5=公区维修!$F359,$A$5=公区维修!$G359,$BN$5=1),0,5-SUMPRODUCT(--(($A$1:$A$5=公区维修!$F359)+($A$1:$A$5=公区维修!$G359)+$BN$1:$BN$5&gt;0)))</f>
        <v>4</v>
      </c>
      <c r="AY359" s="0" t="str">
        <f aca="false">IFERROR(INDEX($A$1:$A$5,MATCH(1,$AS359:$AW359,0)),IF(1=MAX($AS359:$AW359)+1,"取消",""))</f>
        <v>李师傅</v>
      </c>
      <c r="AZ359" s="0" t="str">
        <f aca="false">IFERROR(INDEX($A$1:$A$5,MATCH(2,$AS359:$AW359,0)),IF(2=MAX($AS359:$AW359)+1,"取消",""))</f>
        <v>王师傅</v>
      </c>
      <c r="BA359" s="0" t="str">
        <f aca="false">IFERROR(INDEX($A$1:$A$5,MATCH(3,$AS359:$AW359,0)),IF(3=MAX($AS359:$AW359)+1,"取消",""))</f>
        <v>陈师傅</v>
      </c>
      <c r="BB359" s="0" t="str">
        <f aca="false">IFERROR(INDEX($A$1:$A$5,MATCH(4,$AS359:$AW359,0)),IF(4=MAX($AS359:$AW359)+1,"取消",""))</f>
        <v>刘师傅</v>
      </c>
      <c r="BC359" s="0" t="str">
        <f aca="false">IFERROR(INDEX($A$1:$A$5,MATCH(5,$AS359:$AW359,0)),IF(5=MAX($AS359:$AW359)+1,"取消",""))</f>
        <v>取消</v>
      </c>
      <c r="BD359" s="0" t="str">
        <f aca="false">IFERROR(INDEX($A$1:$A$5,MATCH(6,$AS359:$AW359,0)),IF(6=MAX($AS359:$AW359)+1,"取消",""))</f>
        <v/>
      </c>
      <c r="FW359" s="0" t="str">
        <f aca="false">IF(AND(单元查询!$D$3&lt;&gt;"",IF(单元查询!$B$3="公区维修",公区维修!$E359&lt;&gt;"",入户维修!$E359&lt;&gt;""),IF(单元查询!$B$3="公区维修",公区维修!$C359,入户维修!$C359)=单元查询!$D$3,OR(单元查询!$F$3="",IF(单元查询!$B$3="公区维修",公区维修!$D359,入户维修!$D359)&amp;""=(单元查询!$F$3)&amp;"")),MAX($FW$4:$FW358)+1,"")</f>
        <v/>
      </c>
    </row>
    <row r="360" customFormat="false" ht="15" hidden="false" customHeight="true" outlineLevel="0" collapsed="false">
      <c r="F360" s="0" t="n">
        <f aca="false">IF(OR($A$1=入户维修!$F360,$BN$1=1),0,1-SUMPRODUCT(--(($A$1=入户维修!$F360)+$BN$1&gt;0)))</f>
        <v>0</v>
      </c>
      <c r="G360" s="0" t="n">
        <f aca="false">IF(OR($A$2=入户维修!$F360,$BN$2=1),0,2-SUMPRODUCT(--(($A$1:$A$2=入户维修!$F360)+$BN$1:$BN$2&gt;0)))</f>
        <v>1</v>
      </c>
      <c r="H360" s="0" t="n">
        <f aca="false">IF(OR($A$3=入户维修!$F360,$BN$3=1),0,3-SUMPRODUCT(--(($A$1:$A$3=入户维修!$F360)+$BN$1:$BN$3&gt;0)))</f>
        <v>2</v>
      </c>
      <c r="I360" s="0" t="n">
        <f aca="false">IF(OR($A$4=入户维修!$F360,$BN$4=1),0,4-SUMPRODUCT(--(($A$1:$A$4=入户维修!$F360)+$BN$1:$BN$4&gt;0)))</f>
        <v>3</v>
      </c>
      <c r="J360" s="0" t="n">
        <f aca="false">IF(OR($A$5=入户维修!$F360,$BN$5=1),0,5-SUMPRODUCT(--(($A$1:$A$5=入户维修!$F360)+$BN$1:$BN$5&gt;0)))</f>
        <v>4</v>
      </c>
      <c r="L360" s="0" t="str">
        <f aca="false">IFERROR(INDEX($A$1:$A$5,MATCH(1,$F360:$J360,0)),IF(1=MAX($F360:$J360)+1,"取消",""))</f>
        <v>李师傅</v>
      </c>
      <c r="M360" s="0" t="str">
        <f aca="false">IFERROR(INDEX($A$1:$A$5,MATCH(2,$F360:$J360,0)),IF(2=MAX($F360:$J360)+1,"取消",""))</f>
        <v>王师傅</v>
      </c>
      <c r="N360" s="0" t="str">
        <f aca="false">IFERROR(INDEX($A$1:$A$5,MATCH(3,$F360:$J360,0)),IF(3=MAX($F360:$J360)+1,"取消",""))</f>
        <v>陈师傅</v>
      </c>
      <c r="O360" s="0" t="str">
        <f aca="false">IFERROR(INDEX($A$1:$A$5,MATCH(4,$F360:$J360,0)),IF(4=MAX($F360:$J360)+1,"取消",""))</f>
        <v>刘师傅</v>
      </c>
      <c r="P360" s="0" t="str">
        <f aca="false">IFERROR(INDEX($A$1:$A$5,MATCH(5,$F360:$J360,0)),IF(5=MAX($F360:$J360)+1,"取消",""))</f>
        <v>取消</v>
      </c>
      <c r="Q360" s="0" t="str">
        <f aca="false">IFERROR(INDEX($A$1:$A$5,MATCH(6,$F360:$J360,0)),IF(6=MAX($F360:$J360)+1,"取消",""))</f>
        <v/>
      </c>
      <c r="S360" s="0" t="n">
        <f aca="false">IF(OR($A$1=入户维修!$F360,$A$1=入户维修!$G360,$BN$1=1),0,1-SUMPRODUCT(--(($A$1=入户维修!$F360)+($A$1=入户维修!$G360)+$BN$1&gt;0)))</f>
        <v>0</v>
      </c>
      <c r="T360" s="0" t="n">
        <f aca="false">IF(OR($A$2=入户维修!$F360,$A$2=入户维修!$G360,$BN$2=1),0,2-SUMPRODUCT(--(($A$1:$A$2=入户维修!$F360)+($A$1:$A$2=入户维修!$G360)+$BN$1:$BN$2&gt;0)))</f>
        <v>1</v>
      </c>
      <c r="U360" s="0" t="n">
        <f aca="false">IF(OR($A$3=入户维修!$F360,$A$3=入户维修!$G360,$BN$3=1),0,3-SUMPRODUCT(--(($A$1:$A$3=入户维修!$F360)+($A$1:$A$3=入户维修!$G360)+$BN$1:$BN$3&gt;0)))</f>
        <v>2</v>
      </c>
      <c r="V360" s="0" t="n">
        <f aca="false">IF(OR($A$4=入户维修!$F360,$A$4=入户维修!$G360,$BN$4=1),0,4-SUMPRODUCT(--(($A$1:$A$4=入户维修!$F360)+($A$1:$A$4=入户维修!$G360)+$BN$1:$BN$4&gt;0)))</f>
        <v>3</v>
      </c>
      <c r="W360" s="0" t="n">
        <f aca="false">IF(OR($A$5=入户维修!$F360,$A$5=入户维修!$G360,$BN$5=1),0,5-SUMPRODUCT(--(($A$1:$A$5=入户维修!$F360)+($A$1:$A$5=入户维修!$G360)+$BN$1:$BN$5&gt;0)))</f>
        <v>4</v>
      </c>
      <c r="Y360" s="0" t="str">
        <f aca="false">IFERROR(INDEX($A$1:$A$5,MATCH(1,$S360:$W360,0)),IF(1=MAX($S360:$W360)+1,"取消",""))</f>
        <v>李师傅</v>
      </c>
      <c r="Z360" s="0" t="str">
        <f aca="false">IFERROR(INDEX($A$1:$A$5,MATCH(2,$S360:$W360,0)),IF(2=MAX($S360:$W360)+1,"取消",""))</f>
        <v>王师傅</v>
      </c>
      <c r="AA360" s="0" t="str">
        <f aca="false">IFERROR(INDEX($A$1:$A$5,MATCH(3,$S360:$W360,0)),IF(3=MAX($S360:$W360)+1,"取消",""))</f>
        <v>陈师傅</v>
      </c>
      <c r="AB360" s="0" t="str">
        <f aca="false">IFERROR(INDEX($A$1:$A$5,MATCH(4,$S360:$W360,0)),IF(4=MAX($S360:$W360)+1,"取消",""))</f>
        <v>刘师傅</v>
      </c>
      <c r="AC360" s="0" t="str">
        <f aca="false">IFERROR(INDEX($A$1:$A$5,MATCH(5,$S360:$W360,0)),IF(5=MAX($S360:$W360)+1,"取消",""))</f>
        <v>取消</v>
      </c>
      <c r="AD360" s="0" t="str">
        <f aca="false">IFERROR(INDEX($A$1:$A$5,MATCH(6,$S360:$W360,0)),IF(6=MAX($S360:$W360)+1,"取消",""))</f>
        <v/>
      </c>
      <c r="AF360" s="0" t="n">
        <f aca="false">IF(OR($A$1=公区维修!$F360,$BN$1=1),0,1-SUMPRODUCT(--(($A$1=公区维修!$F360)+$BN$1&gt;0)))</f>
        <v>0</v>
      </c>
      <c r="AG360" s="0" t="n">
        <f aca="false">IF(OR($A$2=公区维修!$F360,$BN$2=1),0,2-SUMPRODUCT(--(($A$1:$A$2=公区维修!$F360)+$BN$1:$BN$2&gt;0)))</f>
        <v>1</v>
      </c>
      <c r="AH360" s="0" t="n">
        <f aca="false">IF(OR($A$3=公区维修!$F360,$BN$3=1),0,3-SUMPRODUCT(--(($A$1:$A$3=公区维修!$F360)+$BN$1:$BN$3&gt;0)))</f>
        <v>2</v>
      </c>
      <c r="AI360" s="0" t="n">
        <f aca="false">IF(OR($A$4=公区维修!$F360,$BN$4=1),0,4-SUMPRODUCT(--(($A$1:$A$4=公区维修!$F360)+$BN$1:$BN$4&gt;0)))</f>
        <v>3</v>
      </c>
      <c r="AJ360" s="0" t="n">
        <f aca="false">IF(OR($A$5=公区维修!$F360,$BN$5=1),0,5-SUMPRODUCT(--(($A$1:$A$5=公区维修!$F360)+$BN$1:$BN$5&gt;0)))</f>
        <v>4</v>
      </c>
      <c r="AL360" s="0" t="str">
        <f aca="false">IFERROR(INDEX($A$1:$A$5,MATCH(1,$AF360:$AJ360,0)),IF(1=MAX($AF360:$AJ360)+1,"取消",""))</f>
        <v>李师傅</v>
      </c>
      <c r="AM360" s="0" t="str">
        <f aca="false">IFERROR(INDEX($A$1:$A$5,MATCH(2,$AF360:$AJ360,0)),IF(2=MAX($AF360:$AJ360)+1,"取消",""))</f>
        <v>王师傅</v>
      </c>
      <c r="AN360" s="0" t="str">
        <f aca="false">IFERROR(INDEX($A$1:$A$5,MATCH(3,$AF360:$AJ360,0)),IF(3=MAX($AF360:$AJ360)+1,"取消",""))</f>
        <v>陈师傅</v>
      </c>
      <c r="AO360" s="0" t="str">
        <f aca="false">IFERROR(INDEX($A$1:$A$5,MATCH(4,$AF360:$AJ360,0)),IF(4=MAX($AF360:$AJ360)+1,"取消",""))</f>
        <v>刘师傅</v>
      </c>
      <c r="AP360" s="0" t="str">
        <f aca="false">IFERROR(INDEX($A$1:$A$5,MATCH(5,$AF360:$AJ360,0)),IF(5=MAX($AF360:$AJ360)+1,"取消",""))</f>
        <v>取消</v>
      </c>
      <c r="AQ360" s="0" t="str">
        <f aca="false">IFERROR(INDEX($A$1:$A$5,MATCH(6,$AF360:$AJ360,0)),IF(6=MAX($AF360:$AJ360)+1,"取消",""))</f>
        <v/>
      </c>
      <c r="AS360" s="0" t="n">
        <f aca="false">IF(OR($A$1=公区维修!$F360,$A$1=公区维修!$G360,$BN$1=1),0,1-SUMPRODUCT(--(($A$1=公区维修!$F360)+($A$1=公区维修!$G360)+$BN$1&gt;0)))</f>
        <v>0</v>
      </c>
      <c r="AT360" s="0" t="n">
        <f aca="false">IF(OR($A$2=公区维修!$F360,$A$2=公区维修!$G360,$BN$2=1),0,2-SUMPRODUCT(--(($A$1:$A$2=公区维修!$F360)+($A$1:$A$2=公区维修!$G360)+$BN$1:$BN$2&gt;0)))</f>
        <v>1</v>
      </c>
      <c r="AU360" s="0" t="n">
        <f aca="false">IF(OR($A$3=公区维修!$F360,$A$3=公区维修!$G360,$BN$3=1),0,3-SUMPRODUCT(--(($A$1:$A$3=公区维修!$F360)+($A$1:$A$3=公区维修!$G360)+$BN$1:$BN$3&gt;0)))</f>
        <v>2</v>
      </c>
      <c r="AV360" s="0" t="n">
        <f aca="false">IF(OR($A$4=公区维修!$F360,$A$4=公区维修!$G360,$BN$4=1),0,4-SUMPRODUCT(--(($A$1:$A$4=公区维修!$F360)+($A$1:$A$4=公区维修!$G360)+$BN$1:$BN$4&gt;0)))</f>
        <v>3</v>
      </c>
      <c r="AW360" s="0" t="n">
        <f aca="false">IF(OR($A$5=公区维修!$F360,$A$5=公区维修!$G360,$BN$5=1),0,5-SUMPRODUCT(--(($A$1:$A$5=公区维修!$F360)+($A$1:$A$5=公区维修!$G360)+$BN$1:$BN$5&gt;0)))</f>
        <v>4</v>
      </c>
      <c r="AY360" s="0" t="str">
        <f aca="false">IFERROR(INDEX($A$1:$A$5,MATCH(1,$AS360:$AW360,0)),IF(1=MAX($AS360:$AW360)+1,"取消",""))</f>
        <v>李师傅</v>
      </c>
      <c r="AZ360" s="0" t="str">
        <f aca="false">IFERROR(INDEX($A$1:$A$5,MATCH(2,$AS360:$AW360,0)),IF(2=MAX($AS360:$AW360)+1,"取消",""))</f>
        <v>王师傅</v>
      </c>
      <c r="BA360" s="0" t="str">
        <f aca="false">IFERROR(INDEX($A$1:$A$5,MATCH(3,$AS360:$AW360,0)),IF(3=MAX($AS360:$AW360)+1,"取消",""))</f>
        <v>陈师傅</v>
      </c>
      <c r="BB360" s="0" t="str">
        <f aca="false">IFERROR(INDEX($A$1:$A$5,MATCH(4,$AS360:$AW360,0)),IF(4=MAX($AS360:$AW360)+1,"取消",""))</f>
        <v>刘师傅</v>
      </c>
      <c r="BC360" s="0" t="str">
        <f aca="false">IFERROR(INDEX($A$1:$A$5,MATCH(5,$AS360:$AW360,0)),IF(5=MAX($AS360:$AW360)+1,"取消",""))</f>
        <v>取消</v>
      </c>
      <c r="BD360" s="0" t="str">
        <f aca="false">IFERROR(INDEX($A$1:$A$5,MATCH(6,$AS360:$AW360,0)),IF(6=MAX($AS360:$AW360)+1,"取消",""))</f>
        <v/>
      </c>
      <c r="FW360" s="0" t="str">
        <f aca="false">IF(AND(单元查询!$D$3&lt;&gt;"",IF(单元查询!$B$3="公区维修",公区维修!$E360&lt;&gt;"",入户维修!$E360&lt;&gt;""),IF(单元查询!$B$3="公区维修",公区维修!$C360,入户维修!$C360)=单元查询!$D$3,OR(单元查询!$F$3="",IF(单元查询!$B$3="公区维修",公区维修!$D360,入户维修!$D360)&amp;""=(单元查询!$F$3)&amp;"")),MAX($FW$4:$FW359)+1,"")</f>
        <v/>
      </c>
    </row>
    <row r="361" customFormat="false" ht="15" hidden="false" customHeight="true" outlineLevel="0" collapsed="false">
      <c r="F361" s="0" t="n">
        <f aca="false">IF(OR($A$1=入户维修!$F361,$BN$1=1),0,1-SUMPRODUCT(--(($A$1=入户维修!$F361)+$BN$1&gt;0)))</f>
        <v>0</v>
      </c>
      <c r="G361" s="0" t="n">
        <f aca="false">IF(OR($A$2=入户维修!$F361,$BN$2=1),0,2-SUMPRODUCT(--(($A$1:$A$2=入户维修!$F361)+$BN$1:$BN$2&gt;0)))</f>
        <v>1</v>
      </c>
      <c r="H361" s="0" t="n">
        <f aca="false">IF(OR($A$3=入户维修!$F361,$BN$3=1),0,3-SUMPRODUCT(--(($A$1:$A$3=入户维修!$F361)+$BN$1:$BN$3&gt;0)))</f>
        <v>2</v>
      </c>
      <c r="I361" s="0" t="n">
        <f aca="false">IF(OR($A$4=入户维修!$F361,$BN$4=1),0,4-SUMPRODUCT(--(($A$1:$A$4=入户维修!$F361)+$BN$1:$BN$4&gt;0)))</f>
        <v>3</v>
      </c>
      <c r="J361" s="0" t="n">
        <f aca="false">IF(OR($A$5=入户维修!$F361,$BN$5=1),0,5-SUMPRODUCT(--(($A$1:$A$5=入户维修!$F361)+$BN$1:$BN$5&gt;0)))</f>
        <v>4</v>
      </c>
      <c r="L361" s="0" t="str">
        <f aca="false">IFERROR(INDEX($A$1:$A$5,MATCH(1,$F361:$J361,0)),IF(1=MAX($F361:$J361)+1,"取消",""))</f>
        <v>李师傅</v>
      </c>
      <c r="M361" s="0" t="str">
        <f aca="false">IFERROR(INDEX($A$1:$A$5,MATCH(2,$F361:$J361,0)),IF(2=MAX($F361:$J361)+1,"取消",""))</f>
        <v>王师傅</v>
      </c>
      <c r="N361" s="0" t="str">
        <f aca="false">IFERROR(INDEX($A$1:$A$5,MATCH(3,$F361:$J361,0)),IF(3=MAX($F361:$J361)+1,"取消",""))</f>
        <v>陈师傅</v>
      </c>
      <c r="O361" s="0" t="str">
        <f aca="false">IFERROR(INDEX($A$1:$A$5,MATCH(4,$F361:$J361,0)),IF(4=MAX($F361:$J361)+1,"取消",""))</f>
        <v>刘师傅</v>
      </c>
      <c r="P361" s="0" t="str">
        <f aca="false">IFERROR(INDEX($A$1:$A$5,MATCH(5,$F361:$J361,0)),IF(5=MAX($F361:$J361)+1,"取消",""))</f>
        <v>取消</v>
      </c>
      <c r="Q361" s="0" t="str">
        <f aca="false">IFERROR(INDEX($A$1:$A$5,MATCH(6,$F361:$J361,0)),IF(6=MAX($F361:$J361)+1,"取消",""))</f>
        <v/>
      </c>
      <c r="S361" s="0" t="n">
        <f aca="false">IF(OR($A$1=入户维修!$F361,$A$1=入户维修!$G361,$BN$1=1),0,1-SUMPRODUCT(--(($A$1=入户维修!$F361)+($A$1=入户维修!$G361)+$BN$1&gt;0)))</f>
        <v>0</v>
      </c>
      <c r="T361" s="0" t="n">
        <f aca="false">IF(OR($A$2=入户维修!$F361,$A$2=入户维修!$G361,$BN$2=1),0,2-SUMPRODUCT(--(($A$1:$A$2=入户维修!$F361)+($A$1:$A$2=入户维修!$G361)+$BN$1:$BN$2&gt;0)))</f>
        <v>1</v>
      </c>
      <c r="U361" s="0" t="n">
        <f aca="false">IF(OR($A$3=入户维修!$F361,$A$3=入户维修!$G361,$BN$3=1),0,3-SUMPRODUCT(--(($A$1:$A$3=入户维修!$F361)+($A$1:$A$3=入户维修!$G361)+$BN$1:$BN$3&gt;0)))</f>
        <v>2</v>
      </c>
      <c r="V361" s="0" t="n">
        <f aca="false">IF(OR($A$4=入户维修!$F361,$A$4=入户维修!$G361,$BN$4=1),0,4-SUMPRODUCT(--(($A$1:$A$4=入户维修!$F361)+($A$1:$A$4=入户维修!$G361)+$BN$1:$BN$4&gt;0)))</f>
        <v>3</v>
      </c>
      <c r="W361" s="0" t="n">
        <f aca="false">IF(OR($A$5=入户维修!$F361,$A$5=入户维修!$G361,$BN$5=1),0,5-SUMPRODUCT(--(($A$1:$A$5=入户维修!$F361)+($A$1:$A$5=入户维修!$G361)+$BN$1:$BN$5&gt;0)))</f>
        <v>4</v>
      </c>
      <c r="Y361" s="0" t="str">
        <f aca="false">IFERROR(INDEX($A$1:$A$5,MATCH(1,$S361:$W361,0)),IF(1=MAX($S361:$W361)+1,"取消",""))</f>
        <v>李师傅</v>
      </c>
      <c r="Z361" s="0" t="str">
        <f aca="false">IFERROR(INDEX($A$1:$A$5,MATCH(2,$S361:$W361,0)),IF(2=MAX($S361:$W361)+1,"取消",""))</f>
        <v>王师傅</v>
      </c>
      <c r="AA361" s="0" t="str">
        <f aca="false">IFERROR(INDEX($A$1:$A$5,MATCH(3,$S361:$W361,0)),IF(3=MAX($S361:$W361)+1,"取消",""))</f>
        <v>陈师傅</v>
      </c>
      <c r="AB361" s="0" t="str">
        <f aca="false">IFERROR(INDEX($A$1:$A$5,MATCH(4,$S361:$W361,0)),IF(4=MAX($S361:$W361)+1,"取消",""))</f>
        <v>刘师傅</v>
      </c>
      <c r="AC361" s="0" t="str">
        <f aca="false">IFERROR(INDEX($A$1:$A$5,MATCH(5,$S361:$W361,0)),IF(5=MAX($S361:$W361)+1,"取消",""))</f>
        <v>取消</v>
      </c>
      <c r="AD361" s="0" t="str">
        <f aca="false">IFERROR(INDEX($A$1:$A$5,MATCH(6,$S361:$W361,0)),IF(6=MAX($S361:$W361)+1,"取消",""))</f>
        <v/>
      </c>
      <c r="AF361" s="0" t="n">
        <f aca="false">IF(OR($A$1=公区维修!$F361,$BN$1=1),0,1-SUMPRODUCT(--(($A$1=公区维修!$F361)+$BN$1&gt;0)))</f>
        <v>0</v>
      </c>
      <c r="AG361" s="0" t="n">
        <f aca="false">IF(OR($A$2=公区维修!$F361,$BN$2=1),0,2-SUMPRODUCT(--(($A$1:$A$2=公区维修!$F361)+$BN$1:$BN$2&gt;0)))</f>
        <v>1</v>
      </c>
      <c r="AH361" s="0" t="n">
        <f aca="false">IF(OR($A$3=公区维修!$F361,$BN$3=1),0,3-SUMPRODUCT(--(($A$1:$A$3=公区维修!$F361)+$BN$1:$BN$3&gt;0)))</f>
        <v>2</v>
      </c>
      <c r="AI361" s="0" t="n">
        <f aca="false">IF(OR($A$4=公区维修!$F361,$BN$4=1),0,4-SUMPRODUCT(--(($A$1:$A$4=公区维修!$F361)+$BN$1:$BN$4&gt;0)))</f>
        <v>3</v>
      </c>
      <c r="AJ361" s="0" t="n">
        <f aca="false">IF(OR($A$5=公区维修!$F361,$BN$5=1),0,5-SUMPRODUCT(--(($A$1:$A$5=公区维修!$F361)+$BN$1:$BN$5&gt;0)))</f>
        <v>4</v>
      </c>
      <c r="AL361" s="0" t="str">
        <f aca="false">IFERROR(INDEX($A$1:$A$5,MATCH(1,$AF361:$AJ361,0)),IF(1=MAX($AF361:$AJ361)+1,"取消",""))</f>
        <v>李师傅</v>
      </c>
      <c r="AM361" s="0" t="str">
        <f aca="false">IFERROR(INDEX($A$1:$A$5,MATCH(2,$AF361:$AJ361,0)),IF(2=MAX($AF361:$AJ361)+1,"取消",""))</f>
        <v>王师傅</v>
      </c>
      <c r="AN361" s="0" t="str">
        <f aca="false">IFERROR(INDEX($A$1:$A$5,MATCH(3,$AF361:$AJ361,0)),IF(3=MAX($AF361:$AJ361)+1,"取消",""))</f>
        <v>陈师傅</v>
      </c>
      <c r="AO361" s="0" t="str">
        <f aca="false">IFERROR(INDEX($A$1:$A$5,MATCH(4,$AF361:$AJ361,0)),IF(4=MAX($AF361:$AJ361)+1,"取消",""))</f>
        <v>刘师傅</v>
      </c>
      <c r="AP361" s="0" t="str">
        <f aca="false">IFERROR(INDEX($A$1:$A$5,MATCH(5,$AF361:$AJ361,0)),IF(5=MAX($AF361:$AJ361)+1,"取消",""))</f>
        <v>取消</v>
      </c>
      <c r="AQ361" s="0" t="str">
        <f aca="false">IFERROR(INDEX($A$1:$A$5,MATCH(6,$AF361:$AJ361,0)),IF(6=MAX($AF361:$AJ361)+1,"取消",""))</f>
        <v/>
      </c>
      <c r="AS361" s="0" t="n">
        <f aca="false">IF(OR($A$1=公区维修!$F361,$A$1=公区维修!$G361,$BN$1=1),0,1-SUMPRODUCT(--(($A$1=公区维修!$F361)+($A$1=公区维修!$G361)+$BN$1&gt;0)))</f>
        <v>0</v>
      </c>
      <c r="AT361" s="0" t="n">
        <f aca="false">IF(OR($A$2=公区维修!$F361,$A$2=公区维修!$G361,$BN$2=1),0,2-SUMPRODUCT(--(($A$1:$A$2=公区维修!$F361)+($A$1:$A$2=公区维修!$G361)+$BN$1:$BN$2&gt;0)))</f>
        <v>1</v>
      </c>
      <c r="AU361" s="0" t="n">
        <f aca="false">IF(OR($A$3=公区维修!$F361,$A$3=公区维修!$G361,$BN$3=1),0,3-SUMPRODUCT(--(($A$1:$A$3=公区维修!$F361)+($A$1:$A$3=公区维修!$G361)+$BN$1:$BN$3&gt;0)))</f>
        <v>2</v>
      </c>
      <c r="AV361" s="0" t="n">
        <f aca="false">IF(OR($A$4=公区维修!$F361,$A$4=公区维修!$G361,$BN$4=1),0,4-SUMPRODUCT(--(($A$1:$A$4=公区维修!$F361)+($A$1:$A$4=公区维修!$G361)+$BN$1:$BN$4&gt;0)))</f>
        <v>3</v>
      </c>
      <c r="AW361" s="0" t="n">
        <f aca="false">IF(OR($A$5=公区维修!$F361,$A$5=公区维修!$G361,$BN$5=1),0,5-SUMPRODUCT(--(($A$1:$A$5=公区维修!$F361)+($A$1:$A$5=公区维修!$G361)+$BN$1:$BN$5&gt;0)))</f>
        <v>4</v>
      </c>
      <c r="AY361" s="0" t="str">
        <f aca="false">IFERROR(INDEX($A$1:$A$5,MATCH(1,$AS361:$AW361,0)),IF(1=MAX($AS361:$AW361)+1,"取消",""))</f>
        <v>李师傅</v>
      </c>
      <c r="AZ361" s="0" t="str">
        <f aca="false">IFERROR(INDEX($A$1:$A$5,MATCH(2,$AS361:$AW361,0)),IF(2=MAX($AS361:$AW361)+1,"取消",""))</f>
        <v>王师傅</v>
      </c>
      <c r="BA361" s="0" t="str">
        <f aca="false">IFERROR(INDEX($A$1:$A$5,MATCH(3,$AS361:$AW361,0)),IF(3=MAX($AS361:$AW361)+1,"取消",""))</f>
        <v>陈师傅</v>
      </c>
      <c r="BB361" s="0" t="str">
        <f aca="false">IFERROR(INDEX($A$1:$A$5,MATCH(4,$AS361:$AW361,0)),IF(4=MAX($AS361:$AW361)+1,"取消",""))</f>
        <v>刘师傅</v>
      </c>
      <c r="BC361" s="0" t="str">
        <f aca="false">IFERROR(INDEX($A$1:$A$5,MATCH(5,$AS361:$AW361,0)),IF(5=MAX($AS361:$AW361)+1,"取消",""))</f>
        <v>取消</v>
      </c>
      <c r="BD361" s="0" t="str">
        <f aca="false">IFERROR(INDEX($A$1:$A$5,MATCH(6,$AS361:$AW361,0)),IF(6=MAX($AS361:$AW361)+1,"取消",""))</f>
        <v/>
      </c>
      <c r="FW361" s="0" t="str">
        <f aca="false">IF(AND(单元查询!$D$3&lt;&gt;"",IF(单元查询!$B$3="公区维修",公区维修!$E361&lt;&gt;"",入户维修!$E361&lt;&gt;""),IF(单元查询!$B$3="公区维修",公区维修!$C361,入户维修!$C361)=单元查询!$D$3,OR(单元查询!$F$3="",IF(单元查询!$B$3="公区维修",公区维修!$D361,入户维修!$D361)&amp;""=(单元查询!$F$3)&amp;"")),MAX($FW$4:$FW360)+1,"")</f>
        <v/>
      </c>
    </row>
    <row r="362" customFormat="false" ht="15" hidden="false" customHeight="true" outlineLevel="0" collapsed="false">
      <c r="F362" s="0" t="n">
        <f aca="false">IF(OR($A$1=入户维修!$F362,$BN$1=1),0,1-SUMPRODUCT(--(($A$1=入户维修!$F362)+$BN$1&gt;0)))</f>
        <v>0</v>
      </c>
      <c r="G362" s="0" t="n">
        <f aca="false">IF(OR($A$2=入户维修!$F362,$BN$2=1),0,2-SUMPRODUCT(--(($A$1:$A$2=入户维修!$F362)+$BN$1:$BN$2&gt;0)))</f>
        <v>1</v>
      </c>
      <c r="H362" s="0" t="n">
        <f aca="false">IF(OR($A$3=入户维修!$F362,$BN$3=1),0,3-SUMPRODUCT(--(($A$1:$A$3=入户维修!$F362)+$BN$1:$BN$3&gt;0)))</f>
        <v>2</v>
      </c>
      <c r="I362" s="0" t="n">
        <f aca="false">IF(OR($A$4=入户维修!$F362,$BN$4=1),0,4-SUMPRODUCT(--(($A$1:$A$4=入户维修!$F362)+$BN$1:$BN$4&gt;0)))</f>
        <v>3</v>
      </c>
      <c r="J362" s="0" t="n">
        <f aca="false">IF(OR($A$5=入户维修!$F362,$BN$5=1),0,5-SUMPRODUCT(--(($A$1:$A$5=入户维修!$F362)+$BN$1:$BN$5&gt;0)))</f>
        <v>4</v>
      </c>
      <c r="L362" s="0" t="str">
        <f aca="false">IFERROR(INDEX($A$1:$A$5,MATCH(1,$F362:$J362,0)),IF(1=MAX($F362:$J362)+1,"取消",""))</f>
        <v>李师傅</v>
      </c>
      <c r="M362" s="0" t="str">
        <f aca="false">IFERROR(INDEX($A$1:$A$5,MATCH(2,$F362:$J362,0)),IF(2=MAX($F362:$J362)+1,"取消",""))</f>
        <v>王师傅</v>
      </c>
      <c r="N362" s="0" t="str">
        <f aca="false">IFERROR(INDEX($A$1:$A$5,MATCH(3,$F362:$J362,0)),IF(3=MAX($F362:$J362)+1,"取消",""))</f>
        <v>陈师傅</v>
      </c>
      <c r="O362" s="0" t="str">
        <f aca="false">IFERROR(INDEX($A$1:$A$5,MATCH(4,$F362:$J362,0)),IF(4=MAX($F362:$J362)+1,"取消",""))</f>
        <v>刘师傅</v>
      </c>
      <c r="P362" s="0" t="str">
        <f aca="false">IFERROR(INDEX($A$1:$A$5,MATCH(5,$F362:$J362,0)),IF(5=MAX($F362:$J362)+1,"取消",""))</f>
        <v>取消</v>
      </c>
      <c r="Q362" s="0" t="str">
        <f aca="false">IFERROR(INDEX($A$1:$A$5,MATCH(6,$F362:$J362,0)),IF(6=MAX($F362:$J362)+1,"取消",""))</f>
        <v/>
      </c>
      <c r="S362" s="0" t="n">
        <f aca="false">IF(OR($A$1=入户维修!$F362,$A$1=入户维修!$G362,$BN$1=1),0,1-SUMPRODUCT(--(($A$1=入户维修!$F362)+($A$1=入户维修!$G362)+$BN$1&gt;0)))</f>
        <v>0</v>
      </c>
      <c r="T362" s="0" t="n">
        <f aca="false">IF(OR($A$2=入户维修!$F362,$A$2=入户维修!$G362,$BN$2=1),0,2-SUMPRODUCT(--(($A$1:$A$2=入户维修!$F362)+($A$1:$A$2=入户维修!$G362)+$BN$1:$BN$2&gt;0)))</f>
        <v>1</v>
      </c>
      <c r="U362" s="0" t="n">
        <f aca="false">IF(OR($A$3=入户维修!$F362,$A$3=入户维修!$G362,$BN$3=1),0,3-SUMPRODUCT(--(($A$1:$A$3=入户维修!$F362)+($A$1:$A$3=入户维修!$G362)+$BN$1:$BN$3&gt;0)))</f>
        <v>2</v>
      </c>
      <c r="V362" s="0" t="n">
        <f aca="false">IF(OR($A$4=入户维修!$F362,$A$4=入户维修!$G362,$BN$4=1),0,4-SUMPRODUCT(--(($A$1:$A$4=入户维修!$F362)+($A$1:$A$4=入户维修!$G362)+$BN$1:$BN$4&gt;0)))</f>
        <v>3</v>
      </c>
      <c r="W362" s="0" t="n">
        <f aca="false">IF(OR($A$5=入户维修!$F362,$A$5=入户维修!$G362,$BN$5=1),0,5-SUMPRODUCT(--(($A$1:$A$5=入户维修!$F362)+($A$1:$A$5=入户维修!$G362)+$BN$1:$BN$5&gt;0)))</f>
        <v>4</v>
      </c>
      <c r="Y362" s="0" t="str">
        <f aca="false">IFERROR(INDEX($A$1:$A$5,MATCH(1,$S362:$W362,0)),IF(1=MAX($S362:$W362)+1,"取消",""))</f>
        <v>李师傅</v>
      </c>
      <c r="Z362" s="0" t="str">
        <f aca="false">IFERROR(INDEX($A$1:$A$5,MATCH(2,$S362:$W362,0)),IF(2=MAX($S362:$W362)+1,"取消",""))</f>
        <v>王师傅</v>
      </c>
      <c r="AA362" s="0" t="str">
        <f aca="false">IFERROR(INDEX($A$1:$A$5,MATCH(3,$S362:$W362,0)),IF(3=MAX($S362:$W362)+1,"取消",""))</f>
        <v>陈师傅</v>
      </c>
      <c r="AB362" s="0" t="str">
        <f aca="false">IFERROR(INDEX($A$1:$A$5,MATCH(4,$S362:$W362,0)),IF(4=MAX($S362:$W362)+1,"取消",""))</f>
        <v>刘师傅</v>
      </c>
      <c r="AC362" s="0" t="str">
        <f aca="false">IFERROR(INDEX($A$1:$A$5,MATCH(5,$S362:$W362,0)),IF(5=MAX($S362:$W362)+1,"取消",""))</f>
        <v>取消</v>
      </c>
      <c r="AD362" s="0" t="str">
        <f aca="false">IFERROR(INDEX($A$1:$A$5,MATCH(6,$S362:$W362,0)),IF(6=MAX($S362:$W362)+1,"取消",""))</f>
        <v/>
      </c>
      <c r="AF362" s="0" t="n">
        <f aca="false">IF(OR($A$1=公区维修!$F362,$BN$1=1),0,1-SUMPRODUCT(--(($A$1=公区维修!$F362)+$BN$1&gt;0)))</f>
        <v>0</v>
      </c>
      <c r="AG362" s="0" t="n">
        <f aca="false">IF(OR($A$2=公区维修!$F362,$BN$2=1),0,2-SUMPRODUCT(--(($A$1:$A$2=公区维修!$F362)+$BN$1:$BN$2&gt;0)))</f>
        <v>1</v>
      </c>
      <c r="AH362" s="0" t="n">
        <f aca="false">IF(OR($A$3=公区维修!$F362,$BN$3=1),0,3-SUMPRODUCT(--(($A$1:$A$3=公区维修!$F362)+$BN$1:$BN$3&gt;0)))</f>
        <v>2</v>
      </c>
      <c r="AI362" s="0" t="n">
        <f aca="false">IF(OR($A$4=公区维修!$F362,$BN$4=1),0,4-SUMPRODUCT(--(($A$1:$A$4=公区维修!$F362)+$BN$1:$BN$4&gt;0)))</f>
        <v>3</v>
      </c>
      <c r="AJ362" s="0" t="n">
        <f aca="false">IF(OR($A$5=公区维修!$F362,$BN$5=1),0,5-SUMPRODUCT(--(($A$1:$A$5=公区维修!$F362)+$BN$1:$BN$5&gt;0)))</f>
        <v>4</v>
      </c>
      <c r="AL362" s="0" t="str">
        <f aca="false">IFERROR(INDEX($A$1:$A$5,MATCH(1,$AF362:$AJ362,0)),IF(1=MAX($AF362:$AJ362)+1,"取消",""))</f>
        <v>李师傅</v>
      </c>
      <c r="AM362" s="0" t="str">
        <f aca="false">IFERROR(INDEX($A$1:$A$5,MATCH(2,$AF362:$AJ362,0)),IF(2=MAX($AF362:$AJ362)+1,"取消",""))</f>
        <v>王师傅</v>
      </c>
      <c r="AN362" s="0" t="str">
        <f aca="false">IFERROR(INDEX($A$1:$A$5,MATCH(3,$AF362:$AJ362,0)),IF(3=MAX($AF362:$AJ362)+1,"取消",""))</f>
        <v>陈师傅</v>
      </c>
      <c r="AO362" s="0" t="str">
        <f aca="false">IFERROR(INDEX($A$1:$A$5,MATCH(4,$AF362:$AJ362,0)),IF(4=MAX($AF362:$AJ362)+1,"取消",""))</f>
        <v>刘师傅</v>
      </c>
      <c r="AP362" s="0" t="str">
        <f aca="false">IFERROR(INDEX($A$1:$A$5,MATCH(5,$AF362:$AJ362,0)),IF(5=MAX($AF362:$AJ362)+1,"取消",""))</f>
        <v>取消</v>
      </c>
      <c r="AQ362" s="0" t="str">
        <f aca="false">IFERROR(INDEX($A$1:$A$5,MATCH(6,$AF362:$AJ362,0)),IF(6=MAX($AF362:$AJ362)+1,"取消",""))</f>
        <v/>
      </c>
      <c r="AS362" s="0" t="n">
        <f aca="false">IF(OR($A$1=公区维修!$F362,$A$1=公区维修!$G362,$BN$1=1),0,1-SUMPRODUCT(--(($A$1=公区维修!$F362)+($A$1=公区维修!$G362)+$BN$1&gt;0)))</f>
        <v>0</v>
      </c>
      <c r="AT362" s="0" t="n">
        <f aca="false">IF(OR($A$2=公区维修!$F362,$A$2=公区维修!$G362,$BN$2=1),0,2-SUMPRODUCT(--(($A$1:$A$2=公区维修!$F362)+($A$1:$A$2=公区维修!$G362)+$BN$1:$BN$2&gt;0)))</f>
        <v>1</v>
      </c>
      <c r="AU362" s="0" t="n">
        <f aca="false">IF(OR($A$3=公区维修!$F362,$A$3=公区维修!$G362,$BN$3=1),0,3-SUMPRODUCT(--(($A$1:$A$3=公区维修!$F362)+($A$1:$A$3=公区维修!$G362)+$BN$1:$BN$3&gt;0)))</f>
        <v>2</v>
      </c>
      <c r="AV362" s="0" t="n">
        <f aca="false">IF(OR($A$4=公区维修!$F362,$A$4=公区维修!$G362,$BN$4=1),0,4-SUMPRODUCT(--(($A$1:$A$4=公区维修!$F362)+($A$1:$A$4=公区维修!$G362)+$BN$1:$BN$4&gt;0)))</f>
        <v>3</v>
      </c>
      <c r="AW362" s="0" t="n">
        <f aca="false">IF(OR($A$5=公区维修!$F362,$A$5=公区维修!$G362,$BN$5=1),0,5-SUMPRODUCT(--(($A$1:$A$5=公区维修!$F362)+($A$1:$A$5=公区维修!$G362)+$BN$1:$BN$5&gt;0)))</f>
        <v>4</v>
      </c>
      <c r="AY362" s="0" t="str">
        <f aca="false">IFERROR(INDEX($A$1:$A$5,MATCH(1,$AS362:$AW362,0)),IF(1=MAX($AS362:$AW362)+1,"取消",""))</f>
        <v>李师傅</v>
      </c>
      <c r="AZ362" s="0" t="str">
        <f aca="false">IFERROR(INDEX($A$1:$A$5,MATCH(2,$AS362:$AW362,0)),IF(2=MAX($AS362:$AW362)+1,"取消",""))</f>
        <v>王师傅</v>
      </c>
      <c r="BA362" s="0" t="str">
        <f aca="false">IFERROR(INDEX($A$1:$A$5,MATCH(3,$AS362:$AW362,0)),IF(3=MAX($AS362:$AW362)+1,"取消",""))</f>
        <v>陈师傅</v>
      </c>
      <c r="BB362" s="0" t="str">
        <f aca="false">IFERROR(INDEX($A$1:$A$5,MATCH(4,$AS362:$AW362,0)),IF(4=MAX($AS362:$AW362)+1,"取消",""))</f>
        <v>刘师傅</v>
      </c>
      <c r="BC362" s="0" t="str">
        <f aca="false">IFERROR(INDEX($A$1:$A$5,MATCH(5,$AS362:$AW362,0)),IF(5=MAX($AS362:$AW362)+1,"取消",""))</f>
        <v>取消</v>
      </c>
      <c r="BD362" s="0" t="str">
        <f aca="false">IFERROR(INDEX($A$1:$A$5,MATCH(6,$AS362:$AW362,0)),IF(6=MAX($AS362:$AW362)+1,"取消",""))</f>
        <v/>
      </c>
      <c r="FW362" s="0" t="str">
        <f aca="false">IF(AND(单元查询!$D$3&lt;&gt;"",IF(单元查询!$B$3="公区维修",公区维修!$E362&lt;&gt;"",入户维修!$E362&lt;&gt;""),IF(单元查询!$B$3="公区维修",公区维修!$C362,入户维修!$C362)=单元查询!$D$3,OR(单元查询!$F$3="",IF(单元查询!$B$3="公区维修",公区维修!$D362,入户维修!$D362)&amp;""=(单元查询!$F$3)&amp;"")),MAX($FW$4:$FW361)+1,"")</f>
        <v/>
      </c>
    </row>
    <row r="363" customFormat="false" ht="15" hidden="false" customHeight="true" outlineLevel="0" collapsed="false">
      <c r="F363" s="0" t="n">
        <f aca="false">IF(OR($A$1=入户维修!$F363,$BN$1=1),0,1-SUMPRODUCT(--(($A$1=入户维修!$F363)+$BN$1&gt;0)))</f>
        <v>0</v>
      </c>
      <c r="G363" s="0" t="n">
        <f aca="false">IF(OR($A$2=入户维修!$F363,$BN$2=1),0,2-SUMPRODUCT(--(($A$1:$A$2=入户维修!$F363)+$BN$1:$BN$2&gt;0)))</f>
        <v>1</v>
      </c>
      <c r="H363" s="0" t="n">
        <f aca="false">IF(OR($A$3=入户维修!$F363,$BN$3=1),0,3-SUMPRODUCT(--(($A$1:$A$3=入户维修!$F363)+$BN$1:$BN$3&gt;0)))</f>
        <v>2</v>
      </c>
      <c r="I363" s="0" t="n">
        <f aca="false">IF(OR($A$4=入户维修!$F363,$BN$4=1),0,4-SUMPRODUCT(--(($A$1:$A$4=入户维修!$F363)+$BN$1:$BN$4&gt;0)))</f>
        <v>3</v>
      </c>
      <c r="J363" s="0" t="n">
        <f aca="false">IF(OR($A$5=入户维修!$F363,$BN$5=1),0,5-SUMPRODUCT(--(($A$1:$A$5=入户维修!$F363)+$BN$1:$BN$5&gt;0)))</f>
        <v>4</v>
      </c>
      <c r="L363" s="0" t="str">
        <f aca="false">IFERROR(INDEX($A$1:$A$5,MATCH(1,$F363:$J363,0)),IF(1=MAX($F363:$J363)+1,"取消",""))</f>
        <v>李师傅</v>
      </c>
      <c r="M363" s="0" t="str">
        <f aca="false">IFERROR(INDEX($A$1:$A$5,MATCH(2,$F363:$J363,0)),IF(2=MAX($F363:$J363)+1,"取消",""))</f>
        <v>王师傅</v>
      </c>
      <c r="N363" s="0" t="str">
        <f aca="false">IFERROR(INDEX($A$1:$A$5,MATCH(3,$F363:$J363,0)),IF(3=MAX($F363:$J363)+1,"取消",""))</f>
        <v>陈师傅</v>
      </c>
      <c r="O363" s="0" t="str">
        <f aca="false">IFERROR(INDEX($A$1:$A$5,MATCH(4,$F363:$J363,0)),IF(4=MAX($F363:$J363)+1,"取消",""))</f>
        <v>刘师傅</v>
      </c>
      <c r="P363" s="0" t="str">
        <f aca="false">IFERROR(INDEX($A$1:$A$5,MATCH(5,$F363:$J363,0)),IF(5=MAX($F363:$J363)+1,"取消",""))</f>
        <v>取消</v>
      </c>
      <c r="Q363" s="0" t="str">
        <f aca="false">IFERROR(INDEX($A$1:$A$5,MATCH(6,$F363:$J363,0)),IF(6=MAX($F363:$J363)+1,"取消",""))</f>
        <v/>
      </c>
      <c r="S363" s="0" t="n">
        <f aca="false">IF(OR($A$1=入户维修!$F363,$A$1=入户维修!$G363,$BN$1=1),0,1-SUMPRODUCT(--(($A$1=入户维修!$F363)+($A$1=入户维修!$G363)+$BN$1&gt;0)))</f>
        <v>0</v>
      </c>
      <c r="T363" s="0" t="n">
        <f aca="false">IF(OR($A$2=入户维修!$F363,$A$2=入户维修!$G363,$BN$2=1),0,2-SUMPRODUCT(--(($A$1:$A$2=入户维修!$F363)+($A$1:$A$2=入户维修!$G363)+$BN$1:$BN$2&gt;0)))</f>
        <v>1</v>
      </c>
      <c r="U363" s="0" t="n">
        <f aca="false">IF(OR($A$3=入户维修!$F363,$A$3=入户维修!$G363,$BN$3=1),0,3-SUMPRODUCT(--(($A$1:$A$3=入户维修!$F363)+($A$1:$A$3=入户维修!$G363)+$BN$1:$BN$3&gt;0)))</f>
        <v>2</v>
      </c>
      <c r="V363" s="0" t="n">
        <f aca="false">IF(OR($A$4=入户维修!$F363,$A$4=入户维修!$G363,$BN$4=1),0,4-SUMPRODUCT(--(($A$1:$A$4=入户维修!$F363)+($A$1:$A$4=入户维修!$G363)+$BN$1:$BN$4&gt;0)))</f>
        <v>3</v>
      </c>
      <c r="W363" s="0" t="n">
        <f aca="false">IF(OR($A$5=入户维修!$F363,$A$5=入户维修!$G363,$BN$5=1),0,5-SUMPRODUCT(--(($A$1:$A$5=入户维修!$F363)+($A$1:$A$5=入户维修!$G363)+$BN$1:$BN$5&gt;0)))</f>
        <v>4</v>
      </c>
      <c r="Y363" s="0" t="str">
        <f aca="false">IFERROR(INDEX($A$1:$A$5,MATCH(1,$S363:$W363,0)),IF(1=MAX($S363:$W363)+1,"取消",""))</f>
        <v>李师傅</v>
      </c>
      <c r="Z363" s="0" t="str">
        <f aca="false">IFERROR(INDEX($A$1:$A$5,MATCH(2,$S363:$W363,0)),IF(2=MAX($S363:$W363)+1,"取消",""))</f>
        <v>王师傅</v>
      </c>
      <c r="AA363" s="0" t="str">
        <f aca="false">IFERROR(INDEX($A$1:$A$5,MATCH(3,$S363:$W363,0)),IF(3=MAX($S363:$W363)+1,"取消",""))</f>
        <v>陈师傅</v>
      </c>
      <c r="AB363" s="0" t="str">
        <f aca="false">IFERROR(INDEX($A$1:$A$5,MATCH(4,$S363:$W363,0)),IF(4=MAX($S363:$W363)+1,"取消",""))</f>
        <v>刘师傅</v>
      </c>
      <c r="AC363" s="0" t="str">
        <f aca="false">IFERROR(INDEX($A$1:$A$5,MATCH(5,$S363:$W363,0)),IF(5=MAX($S363:$W363)+1,"取消",""))</f>
        <v>取消</v>
      </c>
      <c r="AD363" s="0" t="str">
        <f aca="false">IFERROR(INDEX($A$1:$A$5,MATCH(6,$S363:$W363,0)),IF(6=MAX($S363:$W363)+1,"取消",""))</f>
        <v/>
      </c>
      <c r="AF363" s="0" t="n">
        <f aca="false">IF(OR($A$1=公区维修!$F363,$BN$1=1),0,1-SUMPRODUCT(--(($A$1=公区维修!$F363)+$BN$1&gt;0)))</f>
        <v>0</v>
      </c>
      <c r="AG363" s="0" t="n">
        <f aca="false">IF(OR($A$2=公区维修!$F363,$BN$2=1),0,2-SUMPRODUCT(--(($A$1:$A$2=公区维修!$F363)+$BN$1:$BN$2&gt;0)))</f>
        <v>1</v>
      </c>
      <c r="AH363" s="0" t="n">
        <f aca="false">IF(OR($A$3=公区维修!$F363,$BN$3=1),0,3-SUMPRODUCT(--(($A$1:$A$3=公区维修!$F363)+$BN$1:$BN$3&gt;0)))</f>
        <v>2</v>
      </c>
      <c r="AI363" s="0" t="n">
        <f aca="false">IF(OR($A$4=公区维修!$F363,$BN$4=1),0,4-SUMPRODUCT(--(($A$1:$A$4=公区维修!$F363)+$BN$1:$BN$4&gt;0)))</f>
        <v>3</v>
      </c>
      <c r="AJ363" s="0" t="n">
        <f aca="false">IF(OR($A$5=公区维修!$F363,$BN$5=1),0,5-SUMPRODUCT(--(($A$1:$A$5=公区维修!$F363)+$BN$1:$BN$5&gt;0)))</f>
        <v>4</v>
      </c>
      <c r="AL363" s="0" t="str">
        <f aca="false">IFERROR(INDEX($A$1:$A$5,MATCH(1,$AF363:$AJ363,0)),IF(1=MAX($AF363:$AJ363)+1,"取消",""))</f>
        <v>李师傅</v>
      </c>
      <c r="AM363" s="0" t="str">
        <f aca="false">IFERROR(INDEX($A$1:$A$5,MATCH(2,$AF363:$AJ363,0)),IF(2=MAX($AF363:$AJ363)+1,"取消",""))</f>
        <v>王师傅</v>
      </c>
      <c r="AN363" s="0" t="str">
        <f aca="false">IFERROR(INDEX($A$1:$A$5,MATCH(3,$AF363:$AJ363,0)),IF(3=MAX($AF363:$AJ363)+1,"取消",""))</f>
        <v>陈师傅</v>
      </c>
      <c r="AO363" s="0" t="str">
        <f aca="false">IFERROR(INDEX($A$1:$A$5,MATCH(4,$AF363:$AJ363,0)),IF(4=MAX($AF363:$AJ363)+1,"取消",""))</f>
        <v>刘师傅</v>
      </c>
      <c r="AP363" s="0" t="str">
        <f aca="false">IFERROR(INDEX($A$1:$A$5,MATCH(5,$AF363:$AJ363,0)),IF(5=MAX($AF363:$AJ363)+1,"取消",""))</f>
        <v>取消</v>
      </c>
      <c r="AQ363" s="0" t="str">
        <f aca="false">IFERROR(INDEX($A$1:$A$5,MATCH(6,$AF363:$AJ363,0)),IF(6=MAX($AF363:$AJ363)+1,"取消",""))</f>
        <v/>
      </c>
      <c r="AS363" s="0" t="n">
        <f aca="false">IF(OR($A$1=公区维修!$F363,$A$1=公区维修!$G363,$BN$1=1),0,1-SUMPRODUCT(--(($A$1=公区维修!$F363)+($A$1=公区维修!$G363)+$BN$1&gt;0)))</f>
        <v>0</v>
      </c>
      <c r="AT363" s="0" t="n">
        <f aca="false">IF(OR($A$2=公区维修!$F363,$A$2=公区维修!$G363,$BN$2=1),0,2-SUMPRODUCT(--(($A$1:$A$2=公区维修!$F363)+($A$1:$A$2=公区维修!$G363)+$BN$1:$BN$2&gt;0)))</f>
        <v>1</v>
      </c>
      <c r="AU363" s="0" t="n">
        <f aca="false">IF(OR($A$3=公区维修!$F363,$A$3=公区维修!$G363,$BN$3=1),0,3-SUMPRODUCT(--(($A$1:$A$3=公区维修!$F363)+($A$1:$A$3=公区维修!$G363)+$BN$1:$BN$3&gt;0)))</f>
        <v>2</v>
      </c>
      <c r="AV363" s="0" t="n">
        <f aca="false">IF(OR($A$4=公区维修!$F363,$A$4=公区维修!$G363,$BN$4=1),0,4-SUMPRODUCT(--(($A$1:$A$4=公区维修!$F363)+($A$1:$A$4=公区维修!$G363)+$BN$1:$BN$4&gt;0)))</f>
        <v>3</v>
      </c>
      <c r="AW363" s="0" t="n">
        <f aca="false">IF(OR($A$5=公区维修!$F363,$A$5=公区维修!$G363,$BN$5=1),0,5-SUMPRODUCT(--(($A$1:$A$5=公区维修!$F363)+($A$1:$A$5=公区维修!$G363)+$BN$1:$BN$5&gt;0)))</f>
        <v>4</v>
      </c>
      <c r="AY363" s="0" t="str">
        <f aca="false">IFERROR(INDEX($A$1:$A$5,MATCH(1,$AS363:$AW363,0)),IF(1=MAX($AS363:$AW363)+1,"取消",""))</f>
        <v>李师傅</v>
      </c>
      <c r="AZ363" s="0" t="str">
        <f aca="false">IFERROR(INDEX($A$1:$A$5,MATCH(2,$AS363:$AW363,0)),IF(2=MAX($AS363:$AW363)+1,"取消",""))</f>
        <v>王师傅</v>
      </c>
      <c r="BA363" s="0" t="str">
        <f aca="false">IFERROR(INDEX($A$1:$A$5,MATCH(3,$AS363:$AW363,0)),IF(3=MAX($AS363:$AW363)+1,"取消",""))</f>
        <v>陈师傅</v>
      </c>
      <c r="BB363" s="0" t="str">
        <f aca="false">IFERROR(INDEX($A$1:$A$5,MATCH(4,$AS363:$AW363,0)),IF(4=MAX($AS363:$AW363)+1,"取消",""))</f>
        <v>刘师傅</v>
      </c>
      <c r="BC363" s="0" t="str">
        <f aca="false">IFERROR(INDEX($A$1:$A$5,MATCH(5,$AS363:$AW363,0)),IF(5=MAX($AS363:$AW363)+1,"取消",""))</f>
        <v>取消</v>
      </c>
      <c r="BD363" s="0" t="str">
        <f aca="false">IFERROR(INDEX($A$1:$A$5,MATCH(6,$AS363:$AW363,0)),IF(6=MAX($AS363:$AW363)+1,"取消",""))</f>
        <v/>
      </c>
      <c r="FW363" s="0" t="str">
        <f aca="false">IF(AND(单元查询!$D$3&lt;&gt;"",IF(单元查询!$B$3="公区维修",公区维修!$E363&lt;&gt;"",入户维修!$E363&lt;&gt;""),IF(单元查询!$B$3="公区维修",公区维修!$C363,入户维修!$C363)=单元查询!$D$3,OR(单元查询!$F$3="",IF(单元查询!$B$3="公区维修",公区维修!$D363,入户维修!$D363)&amp;""=(单元查询!$F$3)&amp;"")),MAX($FW$4:$FW362)+1,"")</f>
        <v/>
      </c>
    </row>
    <row r="364" customFormat="false" ht="15" hidden="false" customHeight="true" outlineLevel="0" collapsed="false">
      <c r="F364" s="0" t="n">
        <f aca="false">IF(OR($A$1=入户维修!$F364,$BN$1=1),0,1-SUMPRODUCT(--(($A$1=入户维修!$F364)+$BN$1&gt;0)))</f>
        <v>0</v>
      </c>
      <c r="G364" s="0" t="n">
        <f aca="false">IF(OR($A$2=入户维修!$F364,$BN$2=1),0,2-SUMPRODUCT(--(($A$1:$A$2=入户维修!$F364)+$BN$1:$BN$2&gt;0)))</f>
        <v>1</v>
      </c>
      <c r="H364" s="0" t="n">
        <f aca="false">IF(OR($A$3=入户维修!$F364,$BN$3=1),0,3-SUMPRODUCT(--(($A$1:$A$3=入户维修!$F364)+$BN$1:$BN$3&gt;0)))</f>
        <v>2</v>
      </c>
      <c r="I364" s="0" t="n">
        <f aca="false">IF(OR($A$4=入户维修!$F364,$BN$4=1),0,4-SUMPRODUCT(--(($A$1:$A$4=入户维修!$F364)+$BN$1:$BN$4&gt;0)))</f>
        <v>3</v>
      </c>
      <c r="J364" s="0" t="n">
        <f aca="false">IF(OR($A$5=入户维修!$F364,$BN$5=1),0,5-SUMPRODUCT(--(($A$1:$A$5=入户维修!$F364)+$BN$1:$BN$5&gt;0)))</f>
        <v>4</v>
      </c>
      <c r="L364" s="0" t="str">
        <f aca="false">IFERROR(INDEX($A$1:$A$5,MATCH(1,$F364:$J364,0)),IF(1=MAX($F364:$J364)+1,"取消",""))</f>
        <v>李师傅</v>
      </c>
      <c r="M364" s="0" t="str">
        <f aca="false">IFERROR(INDEX($A$1:$A$5,MATCH(2,$F364:$J364,0)),IF(2=MAX($F364:$J364)+1,"取消",""))</f>
        <v>王师傅</v>
      </c>
      <c r="N364" s="0" t="str">
        <f aca="false">IFERROR(INDEX($A$1:$A$5,MATCH(3,$F364:$J364,0)),IF(3=MAX($F364:$J364)+1,"取消",""))</f>
        <v>陈师傅</v>
      </c>
      <c r="O364" s="0" t="str">
        <f aca="false">IFERROR(INDEX($A$1:$A$5,MATCH(4,$F364:$J364,0)),IF(4=MAX($F364:$J364)+1,"取消",""))</f>
        <v>刘师傅</v>
      </c>
      <c r="P364" s="0" t="str">
        <f aca="false">IFERROR(INDEX($A$1:$A$5,MATCH(5,$F364:$J364,0)),IF(5=MAX($F364:$J364)+1,"取消",""))</f>
        <v>取消</v>
      </c>
      <c r="Q364" s="0" t="str">
        <f aca="false">IFERROR(INDEX($A$1:$A$5,MATCH(6,$F364:$J364,0)),IF(6=MAX($F364:$J364)+1,"取消",""))</f>
        <v/>
      </c>
      <c r="S364" s="0" t="n">
        <f aca="false">IF(OR($A$1=入户维修!$F364,$A$1=入户维修!$G364,$BN$1=1),0,1-SUMPRODUCT(--(($A$1=入户维修!$F364)+($A$1=入户维修!$G364)+$BN$1&gt;0)))</f>
        <v>0</v>
      </c>
      <c r="T364" s="0" t="n">
        <f aca="false">IF(OR($A$2=入户维修!$F364,$A$2=入户维修!$G364,$BN$2=1),0,2-SUMPRODUCT(--(($A$1:$A$2=入户维修!$F364)+($A$1:$A$2=入户维修!$G364)+$BN$1:$BN$2&gt;0)))</f>
        <v>1</v>
      </c>
      <c r="U364" s="0" t="n">
        <f aca="false">IF(OR($A$3=入户维修!$F364,$A$3=入户维修!$G364,$BN$3=1),0,3-SUMPRODUCT(--(($A$1:$A$3=入户维修!$F364)+($A$1:$A$3=入户维修!$G364)+$BN$1:$BN$3&gt;0)))</f>
        <v>2</v>
      </c>
      <c r="V364" s="0" t="n">
        <f aca="false">IF(OR($A$4=入户维修!$F364,$A$4=入户维修!$G364,$BN$4=1),0,4-SUMPRODUCT(--(($A$1:$A$4=入户维修!$F364)+($A$1:$A$4=入户维修!$G364)+$BN$1:$BN$4&gt;0)))</f>
        <v>3</v>
      </c>
      <c r="W364" s="0" t="n">
        <f aca="false">IF(OR($A$5=入户维修!$F364,$A$5=入户维修!$G364,$BN$5=1),0,5-SUMPRODUCT(--(($A$1:$A$5=入户维修!$F364)+($A$1:$A$5=入户维修!$G364)+$BN$1:$BN$5&gt;0)))</f>
        <v>4</v>
      </c>
      <c r="Y364" s="0" t="str">
        <f aca="false">IFERROR(INDEX($A$1:$A$5,MATCH(1,$S364:$W364,0)),IF(1=MAX($S364:$W364)+1,"取消",""))</f>
        <v>李师傅</v>
      </c>
      <c r="Z364" s="0" t="str">
        <f aca="false">IFERROR(INDEX($A$1:$A$5,MATCH(2,$S364:$W364,0)),IF(2=MAX($S364:$W364)+1,"取消",""))</f>
        <v>王师傅</v>
      </c>
      <c r="AA364" s="0" t="str">
        <f aca="false">IFERROR(INDEX($A$1:$A$5,MATCH(3,$S364:$W364,0)),IF(3=MAX($S364:$W364)+1,"取消",""))</f>
        <v>陈师傅</v>
      </c>
      <c r="AB364" s="0" t="str">
        <f aca="false">IFERROR(INDEX($A$1:$A$5,MATCH(4,$S364:$W364,0)),IF(4=MAX($S364:$W364)+1,"取消",""))</f>
        <v>刘师傅</v>
      </c>
      <c r="AC364" s="0" t="str">
        <f aca="false">IFERROR(INDEX($A$1:$A$5,MATCH(5,$S364:$W364,0)),IF(5=MAX($S364:$W364)+1,"取消",""))</f>
        <v>取消</v>
      </c>
      <c r="AD364" s="0" t="str">
        <f aca="false">IFERROR(INDEX($A$1:$A$5,MATCH(6,$S364:$W364,0)),IF(6=MAX($S364:$W364)+1,"取消",""))</f>
        <v/>
      </c>
      <c r="AF364" s="0" t="n">
        <f aca="false">IF(OR($A$1=公区维修!$F364,$BN$1=1),0,1-SUMPRODUCT(--(($A$1=公区维修!$F364)+$BN$1&gt;0)))</f>
        <v>0</v>
      </c>
      <c r="AG364" s="0" t="n">
        <f aca="false">IF(OR($A$2=公区维修!$F364,$BN$2=1),0,2-SUMPRODUCT(--(($A$1:$A$2=公区维修!$F364)+$BN$1:$BN$2&gt;0)))</f>
        <v>1</v>
      </c>
      <c r="AH364" s="0" t="n">
        <f aca="false">IF(OR($A$3=公区维修!$F364,$BN$3=1),0,3-SUMPRODUCT(--(($A$1:$A$3=公区维修!$F364)+$BN$1:$BN$3&gt;0)))</f>
        <v>2</v>
      </c>
      <c r="AI364" s="0" t="n">
        <f aca="false">IF(OR($A$4=公区维修!$F364,$BN$4=1),0,4-SUMPRODUCT(--(($A$1:$A$4=公区维修!$F364)+$BN$1:$BN$4&gt;0)))</f>
        <v>3</v>
      </c>
      <c r="AJ364" s="0" t="n">
        <f aca="false">IF(OR($A$5=公区维修!$F364,$BN$5=1),0,5-SUMPRODUCT(--(($A$1:$A$5=公区维修!$F364)+$BN$1:$BN$5&gt;0)))</f>
        <v>4</v>
      </c>
      <c r="AL364" s="0" t="str">
        <f aca="false">IFERROR(INDEX($A$1:$A$5,MATCH(1,$AF364:$AJ364,0)),IF(1=MAX($AF364:$AJ364)+1,"取消",""))</f>
        <v>李师傅</v>
      </c>
      <c r="AM364" s="0" t="str">
        <f aca="false">IFERROR(INDEX($A$1:$A$5,MATCH(2,$AF364:$AJ364,0)),IF(2=MAX($AF364:$AJ364)+1,"取消",""))</f>
        <v>王师傅</v>
      </c>
      <c r="AN364" s="0" t="str">
        <f aca="false">IFERROR(INDEX($A$1:$A$5,MATCH(3,$AF364:$AJ364,0)),IF(3=MAX($AF364:$AJ364)+1,"取消",""))</f>
        <v>陈师傅</v>
      </c>
      <c r="AO364" s="0" t="str">
        <f aca="false">IFERROR(INDEX($A$1:$A$5,MATCH(4,$AF364:$AJ364,0)),IF(4=MAX($AF364:$AJ364)+1,"取消",""))</f>
        <v>刘师傅</v>
      </c>
      <c r="AP364" s="0" t="str">
        <f aca="false">IFERROR(INDEX($A$1:$A$5,MATCH(5,$AF364:$AJ364,0)),IF(5=MAX($AF364:$AJ364)+1,"取消",""))</f>
        <v>取消</v>
      </c>
      <c r="AQ364" s="0" t="str">
        <f aca="false">IFERROR(INDEX($A$1:$A$5,MATCH(6,$AF364:$AJ364,0)),IF(6=MAX($AF364:$AJ364)+1,"取消",""))</f>
        <v/>
      </c>
      <c r="AS364" s="0" t="n">
        <f aca="false">IF(OR($A$1=公区维修!$F364,$A$1=公区维修!$G364,$BN$1=1),0,1-SUMPRODUCT(--(($A$1=公区维修!$F364)+($A$1=公区维修!$G364)+$BN$1&gt;0)))</f>
        <v>0</v>
      </c>
      <c r="AT364" s="0" t="n">
        <f aca="false">IF(OR($A$2=公区维修!$F364,$A$2=公区维修!$G364,$BN$2=1),0,2-SUMPRODUCT(--(($A$1:$A$2=公区维修!$F364)+($A$1:$A$2=公区维修!$G364)+$BN$1:$BN$2&gt;0)))</f>
        <v>1</v>
      </c>
      <c r="AU364" s="0" t="n">
        <f aca="false">IF(OR($A$3=公区维修!$F364,$A$3=公区维修!$G364,$BN$3=1),0,3-SUMPRODUCT(--(($A$1:$A$3=公区维修!$F364)+($A$1:$A$3=公区维修!$G364)+$BN$1:$BN$3&gt;0)))</f>
        <v>2</v>
      </c>
      <c r="AV364" s="0" t="n">
        <f aca="false">IF(OR($A$4=公区维修!$F364,$A$4=公区维修!$G364,$BN$4=1),0,4-SUMPRODUCT(--(($A$1:$A$4=公区维修!$F364)+($A$1:$A$4=公区维修!$G364)+$BN$1:$BN$4&gt;0)))</f>
        <v>3</v>
      </c>
      <c r="AW364" s="0" t="n">
        <f aca="false">IF(OR($A$5=公区维修!$F364,$A$5=公区维修!$G364,$BN$5=1),0,5-SUMPRODUCT(--(($A$1:$A$5=公区维修!$F364)+($A$1:$A$5=公区维修!$G364)+$BN$1:$BN$5&gt;0)))</f>
        <v>4</v>
      </c>
      <c r="AY364" s="0" t="str">
        <f aca="false">IFERROR(INDEX($A$1:$A$5,MATCH(1,$AS364:$AW364,0)),IF(1=MAX($AS364:$AW364)+1,"取消",""))</f>
        <v>李师傅</v>
      </c>
      <c r="AZ364" s="0" t="str">
        <f aca="false">IFERROR(INDEX($A$1:$A$5,MATCH(2,$AS364:$AW364,0)),IF(2=MAX($AS364:$AW364)+1,"取消",""))</f>
        <v>王师傅</v>
      </c>
      <c r="BA364" s="0" t="str">
        <f aca="false">IFERROR(INDEX($A$1:$A$5,MATCH(3,$AS364:$AW364,0)),IF(3=MAX($AS364:$AW364)+1,"取消",""))</f>
        <v>陈师傅</v>
      </c>
      <c r="BB364" s="0" t="str">
        <f aca="false">IFERROR(INDEX($A$1:$A$5,MATCH(4,$AS364:$AW364,0)),IF(4=MAX($AS364:$AW364)+1,"取消",""))</f>
        <v>刘师傅</v>
      </c>
      <c r="BC364" s="0" t="str">
        <f aca="false">IFERROR(INDEX($A$1:$A$5,MATCH(5,$AS364:$AW364,0)),IF(5=MAX($AS364:$AW364)+1,"取消",""))</f>
        <v>取消</v>
      </c>
      <c r="BD364" s="0" t="str">
        <f aca="false">IFERROR(INDEX($A$1:$A$5,MATCH(6,$AS364:$AW364,0)),IF(6=MAX($AS364:$AW364)+1,"取消",""))</f>
        <v/>
      </c>
      <c r="FW364" s="0" t="str">
        <f aca="false">IF(AND(单元查询!$D$3&lt;&gt;"",IF(单元查询!$B$3="公区维修",公区维修!$E364&lt;&gt;"",入户维修!$E364&lt;&gt;""),IF(单元查询!$B$3="公区维修",公区维修!$C364,入户维修!$C364)=单元查询!$D$3,OR(单元查询!$F$3="",IF(单元查询!$B$3="公区维修",公区维修!$D364,入户维修!$D364)&amp;""=(单元查询!$F$3)&amp;"")),MAX($FW$4:$FW363)+1,"")</f>
        <v/>
      </c>
    </row>
    <row r="365" customFormat="false" ht="15" hidden="false" customHeight="true" outlineLevel="0" collapsed="false">
      <c r="F365" s="0" t="n">
        <f aca="false">IF(OR($A$1=入户维修!$F365,$BN$1=1),0,1-SUMPRODUCT(--(($A$1=入户维修!$F365)+$BN$1&gt;0)))</f>
        <v>0</v>
      </c>
      <c r="G365" s="0" t="n">
        <f aca="false">IF(OR($A$2=入户维修!$F365,$BN$2=1),0,2-SUMPRODUCT(--(($A$1:$A$2=入户维修!$F365)+$BN$1:$BN$2&gt;0)))</f>
        <v>1</v>
      </c>
      <c r="H365" s="0" t="n">
        <f aca="false">IF(OR($A$3=入户维修!$F365,$BN$3=1),0,3-SUMPRODUCT(--(($A$1:$A$3=入户维修!$F365)+$BN$1:$BN$3&gt;0)))</f>
        <v>2</v>
      </c>
      <c r="I365" s="0" t="n">
        <f aca="false">IF(OR($A$4=入户维修!$F365,$BN$4=1),0,4-SUMPRODUCT(--(($A$1:$A$4=入户维修!$F365)+$BN$1:$BN$4&gt;0)))</f>
        <v>3</v>
      </c>
      <c r="J365" s="0" t="n">
        <f aca="false">IF(OR($A$5=入户维修!$F365,$BN$5=1),0,5-SUMPRODUCT(--(($A$1:$A$5=入户维修!$F365)+$BN$1:$BN$5&gt;0)))</f>
        <v>4</v>
      </c>
      <c r="L365" s="0" t="str">
        <f aca="false">IFERROR(INDEX($A$1:$A$5,MATCH(1,$F365:$J365,0)),IF(1=MAX($F365:$J365)+1,"取消",""))</f>
        <v>李师傅</v>
      </c>
      <c r="M365" s="0" t="str">
        <f aca="false">IFERROR(INDEX($A$1:$A$5,MATCH(2,$F365:$J365,0)),IF(2=MAX($F365:$J365)+1,"取消",""))</f>
        <v>王师傅</v>
      </c>
      <c r="N365" s="0" t="str">
        <f aca="false">IFERROR(INDEX($A$1:$A$5,MATCH(3,$F365:$J365,0)),IF(3=MAX($F365:$J365)+1,"取消",""))</f>
        <v>陈师傅</v>
      </c>
      <c r="O365" s="0" t="str">
        <f aca="false">IFERROR(INDEX($A$1:$A$5,MATCH(4,$F365:$J365,0)),IF(4=MAX($F365:$J365)+1,"取消",""))</f>
        <v>刘师傅</v>
      </c>
      <c r="P365" s="0" t="str">
        <f aca="false">IFERROR(INDEX($A$1:$A$5,MATCH(5,$F365:$J365,0)),IF(5=MAX($F365:$J365)+1,"取消",""))</f>
        <v>取消</v>
      </c>
      <c r="Q365" s="0" t="str">
        <f aca="false">IFERROR(INDEX($A$1:$A$5,MATCH(6,$F365:$J365,0)),IF(6=MAX($F365:$J365)+1,"取消",""))</f>
        <v/>
      </c>
      <c r="S365" s="0" t="n">
        <f aca="false">IF(OR($A$1=入户维修!$F365,$A$1=入户维修!$G365,$BN$1=1),0,1-SUMPRODUCT(--(($A$1=入户维修!$F365)+($A$1=入户维修!$G365)+$BN$1&gt;0)))</f>
        <v>0</v>
      </c>
      <c r="T365" s="0" t="n">
        <f aca="false">IF(OR($A$2=入户维修!$F365,$A$2=入户维修!$G365,$BN$2=1),0,2-SUMPRODUCT(--(($A$1:$A$2=入户维修!$F365)+($A$1:$A$2=入户维修!$G365)+$BN$1:$BN$2&gt;0)))</f>
        <v>1</v>
      </c>
      <c r="U365" s="0" t="n">
        <f aca="false">IF(OR($A$3=入户维修!$F365,$A$3=入户维修!$G365,$BN$3=1),0,3-SUMPRODUCT(--(($A$1:$A$3=入户维修!$F365)+($A$1:$A$3=入户维修!$G365)+$BN$1:$BN$3&gt;0)))</f>
        <v>2</v>
      </c>
      <c r="V365" s="0" t="n">
        <f aca="false">IF(OR($A$4=入户维修!$F365,$A$4=入户维修!$G365,$BN$4=1),0,4-SUMPRODUCT(--(($A$1:$A$4=入户维修!$F365)+($A$1:$A$4=入户维修!$G365)+$BN$1:$BN$4&gt;0)))</f>
        <v>3</v>
      </c>
      <c r="W365" s="0" t="n">
        <f aca="false">IF(OR($A$5=入户维修!$F365,$A$5=入户维修!$G365,$BN$5=1),0,5-SUMPRODUCT(--(($A$1:$A$5=入户维修!$F365)+($A$1:$A$5=入户维修!$G365)+$BN$1:$BN$5&gt;0)))</f>
        <v>4</v>
      </c>
      <c r="Y365" s="0" t="str">
        <f aca="false">IFERROR(INDEX($A$1:$A$5,MATCH(1,$S365:$W365,0)),IF(1=MAX($S365:$W365)+1,"取消",""))</f>
        <v>李师傅</v>
      </c>
      <c r="Z365" s="0" t="str">
        <f aca="false">IFERROR(INDEX($A$1:$A$5,MATCH(2,$S365:$W365,0)),IF(2=MAX($S365:$W365)+1,"取消",""))</f>
        <v>王师傅</v>
      </c>
      <c r="AA365" s="0" t="str">
        <f aca="false">IFERROR(INDEX($A$1:$A$5,MATCH(3,$S365:$W365,0)),IF(3=MAX($S365:$W365)+1,"取消",""))</f>
        <v>陈师傅</v>
      </c>
      <c r="AB365" s="0" t="str">
        <f aca="false">IFERROR(INDEX($A$1:$A$5,MATCH(4,$S365:$W365,0)),IF(4=MAX($S365:$W365)+1,"取消",""))</f>
        <v>刘师傅</v>
      </c>
      <c r="AC365" s="0" t="str">
        <f aca="false">IFERROR(INDEX($A$1:$A$5,MATCH(5,$S365:$W365,0)),IF(5=MAX($S365:$W365)+1,"取消",""))</f>
        <v>取消</v>
      </c>
      <c r="AD365" s="0" t="str">
        <f aca="false">IFERROR(INDEX($A$1:$A$5,MATCH(6,$S365:$W365,0)),IF(6=MAX($S365:$W365)+1,"取消",""))</f>
        <v/>
      </c>
      <c r="AF365" s="0" t="n">
        <f aca="false">IF(OR($A$1=公区维修!$F365,$BN$1=1),0,1-SUMPRODUCT(--(($A$1=公区维修!$F365)+$BN$1&gt;0)))</f>
        <v>0</v>
      </c>
      <c r="AG365" s="0" t="n">
        <f aca="false">IF(OR($A$2=公区维修!$F365,$BN$2=1),0,2-SUMPRODUCT(--(($A$1:$A$2=公区维修!$F365)+$BN$1:$BN$2&gt;0)))</f>
        <v>1</v>
      </c>
      <c r="AH365" s="0" t="n">
        <f aca="false">IF(OR($A$3=公区维修!$F365,$BN$3=1),0,3-SUMPRODUCT(--(($A$1:$A$3=公区维修!$F365)+$BN$1:$BN$3&gt;0)))</f>
        <v>2</v>
      </c>
      <c r="AI365" s="0" t="n">
        <f aca="false">IF(OR($A$4=公区维修!$F365,$BN$4=1),0,4-SUMPRODUCT(--(($A$1:$A$4=公区维修!$F365)+$BN$1:$BN$4&gt;0)))</f>
        <v>3</v>
      </c>
      <c r="AJ365" s="0" t="n">
        <f aca="false">IF(OR($A$5=公区维修!$F365,$BN$5=1),0,5-SUMPRODUCT(--(($A$1:$A$5=公区维修!$F365)+$BN$1:$BN$5&gt;0)))</f>
        <v>4</v>
      </c>
      <c r="AL365" s="0" t="str">
        <f aca="false">IFERROR(INDEX($A$1:$A$5,MATCH(1,$AF365:$AJ365,0)),IF(1=MAX($AF365:$AJ365)+1,"取消",""))</f>
        <v>李师傅</v>
      </c>
      <c r="AM365" s="0" t="str">
        <f aca="false">IFERROR(INDEX($A$1:$A$5,MATCH(2,$AF365:$AJ365,0)),IF(2=MAX($AF365:$AJ365)+1,"取消",""))</f>
        <v>王师傅</v>
      </c>
      <c r="AN365" s="0" t="str">
        <f aca="false">IFERROR(INDEX($A$1:$A$5,MATCH(3,$AF365:$AJ365,0)),IF(3=MAX($AF365:$AJ365)+1,"取消",""))</f>
        <v>陈师傅</v>
      </c>
      <c r="AO365" s="0" t="str">
        <f aca="false">IFERROR(INDEX($A$1:$A$5,MATCH(4,$AF365:$AJ365,0)),IF(4=MAX($AF365:$AJ365)+1,"取消",""))</f>
        <v>刘师傅</v>
      </c>
      <c r="AP365" s="0" t="str">
        <f aca="false">IFERROR(INDEX($A$1:$A$5,MATCH(5,$AF365:$AJ365,0)),IF(5=MAX($AF365:$AJ365)+1,"取消",""))</f>
        <v>取消</v>
      </c>
      <c r="AQ365" s="0" t="str">
        <f aca="false">IFERROR(INDEX($A$1:$A$5,MATCH(6,$AF365:$AJ365,0)),IF(6=MAX($AF365:$AJ365)+1,"取消",""))</f>
        <v/>
      </c>
      <c r="AS365" s="0" t="n">
        <f aca="false">IF(OR($A$1=公区维修!$F365,$A$1=公区维修!$G365,$BN$1=1),0,1-SUMPRODUCT(--(($A$1=公区维修!$F365)+($A$1=公区维修!$G365)+$BN$1&gt;0)))</f>
        <v>0</v>
      </c>
      <c r="AT365" s="0" t="n">
        <f aca="false">IF(OR($A$2=公区维修!$F365,$A$2=公区维修!$G365,$BN$2=1),0,2-SUMPRODUCT(--(($A$1:$A$2=公区维修!$F365)+($A$1:$A$2=公区维修!$G365)+$BN$1:$BN$2&gt;0)))</f>
        <v>1</v>
      </c>
      <c r="AU365" s="0" t="n">
        <f aca="false">IF(OR($A$3=公区维修!$F365,$A$3=公区维修!$G365,$BN$3=1),0,3-SUMPRODUCT(--(($A$1:$A$3=公区维修!$F365)+($A$1:$A$3=公区维修!$G365)+$BN$1:$BN$3&gt;0)))</f>
        <v>2</v>
      </c>
      <c r="AV365" s="0" t="n">
        <f aca="false">IF(OR($A$4=公区维修!$F365,$A$4=公区维修!$G365,$BN$4=1),0,4-SUMPRODUCT(--(($A$1:$A$4=公区维修!$F365)+($A$1:$A$4=公区维修!$G365)+$BN$1:$BN$4&gt;0)))</f>
        <v>3</v>
      </c>
      <c r="AW365" s="0" t="n">
        <f aca="false">IF(OR($A$5=公区维修!$F365,$A$5=公区维修!$G365,$BN$5=1),0,5-SUMPRODUCT(--(($A$1:$A$5=公区维修!$F365)+($A$1:$A$5=公区维修!$G365)+$BN$1:$BN$5&gt;0)))</f>
        <v>4</v>
      </c>
      <c r="AY365" s="0" t="str">
        <f aca="false">IFERROR(INDEX($A$1:$A$5,MATCH(1,$AS365:$AW365,0)),IF(1=MAX($AS365:$AW365)+1,"取消",""))</f>
        <v>李师傅</v>
      </c>
      <c r="AZ365" s="0" t="str">
        <f aca="false">IFERROR(INDEX($A$1:$A$5,MATCH(2,$AS365:$AW365,0)),IF(2=MAX($AS365:$AW365)+1,"取消",""))</f>
        <v>王师傅</v>
      </c>
      <c r="BA365" s="0" t="str">
        <f aca="false">IFERROR(INDEX($A$1:$A$5,MATCH(3,$AS365:$AW365,0)),IF(3=MAX($AS365:$AW365)+1,"取消",""))</f>
        <v>陈师傅</v>
      </c>
      <c r="BB365" s="0" t="str">
        <f aca="false">IFERROR(INDEX($A$1:$A$5,MATCH(4,$AS365:$AW365,0)),IF(4=MAX($AS365:$AW365)+1,"取消",""))</f>
        <v>刘师傅</v>
      </c>
      <c r="BC365" s="0" t="str">
        <f aca="false">IFERROR(INDEX($A$1:$A$5,MATCH(5,$AS365:$AW365,0)),IF(5=MAX($AS365:$AW365)+1,"取消",""))</f>
        <v>取消</v>
      </c>
      <c r="BD365" s="0" t="str">
        <f aca="false">IFERROR(INDEX($A$1:$A$5,MATCH(6,$AS365:$AW365,0)),IF(6=MAX($AS365:$AW365)+1,"取消",""))</f>
        <v/>
      </c>
      <c r="FW365" s="0" t="str">
        <f aca="false">IF(AND(单元查询!$D$3&lt;&gt;"",IF(单元查询!$B$3="公区维修",公区维修!$E365&lt;&gt;"",入户维修!$E365&lt;&gt;""),IF(单元查询!$B$3="公区维修",公区维修!$C365,入户维修!$C365)=单元查询!$D$3,OR(单元查询!$F$3="",IF(单元查询!$B$3="公区维修",公区维修!$D365,入户维修!$D365)&amp;""=(单元查询!$F$3)&amp;"")),MAX($FW$4:$FW364)+1,"")</f>
        <v/>
      </c>
    </row>
    <row r="366" customFormat="false" ht="15" hidden="false" customHeight="true" outlineLevel="0" collapsed="false">
      <c r="F366" s="0" t="n">
        <f aca="false">IF(OR($A$1=入户维修!$F366,$BN$1=1),0,1-SUMPRODUCT(--(($A$1=入户维修!$F366)+$BN$1&gt;0)))</f>
        <v>0</v>
      </c>
      <c r="G366" s="0" t="n">
        <f aca="false">IF(OR($A$2=入户维修!$F366,$BN$2=1),0,2-SUMPRODUCT(--(($A$1:$A$2=入户维修!$F366)+$BN$1:$BN$2&gt;0)))</f>
        <v>1</v>
      </c>
      <c r="H366" s="0" t="n">
        <f aca="false">IF(OR($A$3=入户维修!$F366,$BN$3=1),0,3-SUMPRODUCT(--(($A$1:$A$3=入户维修!$F366)+$BN$1:$BN$3&gt;0)))</f>
        <v>2</v>
      </c>
      <c r="I366" s="0" t="n">
        <f aca="false">IF(OR($A$4=入户维修!$F366,$BN$4=1),0,4-SUMPRODUCT(--(($A$1:$A$4=入户维修!$F366)+$BN$1:$BN$4&gt;0)))</f>
        <v>3</v>
      </c>
      <c r="J366" s="0" t="n">
        <f aca="false">IF(OR($A$5=入户维修!$F366,$BN$5=1),0,5-SUMPRODUCT(--(($A$1:$A$5=入户维修!$F366)+$BN$1:$BN$5&gt;0)))</f>
        <v>4</v>
      </c>
      <c r="L366" s="0" t="str">
        <f aca="false">IFERROR(INDEX($A$1:$A$5,MATCH(1,$F366:$J366,0)),IF(1=MAX($F366:$J366)+1,"取消",""))</f>
        <v>李师傅</v>
      </c>
      <c r="M366" s="0" t="str">
        <f aca="false">IFERROR(INDEX($A$1:$A$5,MATCH(2,$F366:$J366,0)),IF(2=MAX($F366:$J366)+1,"取消",""))</f>
        <v>王师傅</v>
      </c>
      <c r="N366" s="0" t="str">
        <f aca="false">IFERROR(INDEX($A$1:$A$5,MATCH(3,$F366:$J366,0)),IF(3=MAX($F366:$J366)+1,"取消",""))</f>
        <v>陈师傅</v>
      </c>
      <c r="O366" s="0" t="str">
        <f aca="false">IFERROR(INDEX($A$1:$A$5,MATCH(4,$F366:$J366,0)),IF(4=MAX($F366:$J366)+1,"取消",""))</f>
        <v>刘师傅</v>
      </c>
      <c r="P366" s="0" t="str">
        <f aca="false">IFERROR(INDEX($A$1:$A$5,MATCH(5,$F366:$J366,0)),IF(5=MAX($F366:$J366)+1,"取消",""))</f>
        <v>取消</v>
      </c>
      <c r="Q366" s="0" t="str">
        <f aca="false">IFERROR(INDEX($A$1:$A$5,MATCH(6,$F366:$J366,0)),IF(6=MAX($F366:$J366)+1,"取消",""))</f>
        <v/>
      </c>
      <c r="S366" s="0" t="n">
        <f aca="false">IF(OR($A$1=入户维修!$F366,$A$1=入户维修!$G366,$BN$1=1),0,1-SUMPRODUCT(--(($A$1=入户维修!$F366)+($A$1=入户维修!$G366)+$BN$1&gt;0)))</f>
        <v>0</v>
      </c>
      <c r="T366" s="0" t="n">
        <f aca="false">IF(OR($A$2=入户维修!$F366,$A$2=入户维修!$G366,$BN$2=1),0,2-SUMPRODUCT(--(($A$1:$A$2=入户维修!$F366)+($A$1:$A$2=入户维修!$G366)+$BN$1:$BN$2&gt;0)))</f>
        <v>1</v>
      </c>
      <c r="U366" s="0" t="n">
        <f aca="false">IF(OR($A$3=入户维修!$F366,$A$3=入户维修!$G366,$BN$3=1),0,3-SUMPRODUCT(--(($A$1:$A$3=入户维修!$F366)+($A$1:$A$3=入户维修!$G366)+$BN$1:$BN$3&gt;0)))</f>
        <v>2</v>
      </c>
      <c r="V366" s="0" t="n">
        <f aca="false">IF(OR($A$4=入户维修!$F366,$A$4=入户维修!$G366,$BN$4=1),0,4-SUMPRODUCT(--(($A$1:$A$4=入户维修!$F366)+($A$1:$A$4=入户维修!$G366)+$BN$1:$BN$4&gt;0)))</f>
        <v>3</v>
      </c>
      <c r="W366" s="0" t="n">
        <f aca="false">IF(OR($A$5=入户维修!$F366,$A$5=入户维修!$G366,$BN$5=1),0,5-SUMPRODUCT(--(($A$1:$A$5=入户维修!$F366)+($A$1:$A$5=入户维修!$G366)+$BN$1:$BN$5&gt;0)))</f>
        <v>4</v>
      </c>
      <c r="Y366" s="0" t="str">
        <f aca="false">IFERROR(INDEX($A$1:$A$5,MATCH(1,$S366:$W366,0)),IF(1=MAX($S366:$W366)+1,"取消",""))</f>
        <v>李师傅</v>
      </c>
      <c r="Z366" s="0" t="str">
        <f aca="false">IFERROR(INDEX($A$1:$A$5,MATCH(2,$S366:$W366,0)),IF(2=MAX($S366:$W366)+1,"取消",""))</f>
        <v>王师傅</v>
      </c>
      <c r="AA366" s="0" t="str">
        <f aca="false">IFERROR(INDEX($A$1:$A$5,MATCH(3,$S366:$W366,0)),IF(3=MAX($S366:$W366)+1,"取消",""))</f>
        <v>陈师傅</v>
      </c>
      <c r="AB366" s="0" t="str">
        <f aca="false">IFERROR(INDEX($A$1:$A$5,MATCH(4,$S366:$W366,0)),IF(4=MAX($S366:$W366)+1,"取消",""))</f>
        <v>刘师傅</v>
      </c>
      <c r="AC366" s="0" t="str">
        <f aca="false">IFERROR(INDEX($A$1:$A$5,MATCH(5,$S366:$W366,0)),IF(5=MAX($S366:$W366)+1,"取消",""))</f>
        <v>取消</v>
      </c>
      <c r="AD366" s="0" t="str">
        <f aca="false">IFERROR(INDEX($A$1:$A$5,MATCH(6,$S366:$W366,0)),IF(6=MAX($S366:$W366)+1,"取消",""))</f>
        <v/>
      </c>
      <c r="AF366" s="0" t="n">
        <f aca="false">IF(OR($A$1=公区维修!$F366,$BN$1=1),0,1-SUMPRODUCT(--(($A$1=公区维修!$F366)+$BN$1&gt;0)))</f>
        <v>0</v>
      </c>
      <c r="AG366" s="0" t="n">
        <f aca="false">IF(OR($A$2=公区维修!$F366,$BN$2=1),0,2-SUMPRODUCT(--(($A$1:$A$2=公区维修!$F366)+$BN$1:$BN$2&gt;0)))</f>
        <v>1</v>
      </c>
      <c r="AH366" s="0" t="n">
        <f aca="false">IF(OR($A$3=公区维修!$F366,$BN$3=1),0,3-SUMPRODUCT(--(($A$1:$A$3=公区维修!$F366)+$BN$1:$BN$3&gt;0)))</f>
        <v>2</v>
      </c>
      <c r="AI366" s="0" t="n">
        <f aca="false">IF(OR($A$4=公区维修!$F366,$BN$4=1),0,4-SUMPRODUCT(--(($A$1:$A$4=公区维修!$F366)+$BN$1:$BN$4&gt;0)))</f>
        <v>3</v>
      </c>
      <c r="AJ366" s="0" t="n">
        <f aca="false">IF(OR($A$5=公区维修!$F366,$BN$5=1),0,5-SUMPRODUCT(--(($A$1:$A$5=公区维修!$F366)+$BN$1:$BN$5&gt;0)))</f>
        <v>4</v>
      </c>
      <c r="AL366" s="0" t="str">
        <f aca="false">IFERROR(INDEX($A$1:$A$5,MATCH(1,$AF366:$AJ366,0)),IF(1=MAX($AF366:$AJ366)+1,"取消",""))</f>
        <v>李师傅</v>
      </c>
      <c r="AM366" s="0" t="str">
        <f aca="false">IFERROR(INDEX($A$1:$A$5,MATCH(2,$AF366:$AJ366,0)),IF(2=MAX($AF366:$AJ366)+1,"取消",""))</f>
        <v>王师傅</v>
      </c>
      <c r="AN366" s="0" t="str">
        <f aca="false">IFERROR(INDEX($A$1:$A$5,MATCH(3,$AF366:$AJ366,0)),IF(3=MAX($AF366:$AJ366)+1,"取消",""))</f>
        <v>陈师傅</v>
      </c>
      <c r="AO366" s="0" t="str">
        <f aca="false">IFERROR(INDEX($A$1:$A$5,MATCH(4,$AF366:$AJ366,0)),IF(4=MAX($AF366:$AJ366)+1,"取消",""))</f>
        <v>刘师傅</v>
      </c>
      <c r="AP366" s="0" t="str">
        <f aca="false">IFERROR(INDEX($A$1:$A$5,MATCH(5,$AF366:$AJ366,0)),IF(5=MAX($AF366:$AJ366)+1,"取消",""))</f>
        <v>取消</v>
      </c>
      <c r="AQ366" s="0" t="str">
        <f aca="false">IFERROR(INDEX($A$1:$A$5,MATCH(6,$AF366:$AJ366,0)),IF(6=MAX($AF366:$AJ366)+1,"取消",""))</f>
        <v/>
      </c>
      <c r="AS366" s="0" t="n">
        <f aca="false">IF(OR($A$1=公区维修!$F366,$A$1=公区维修!$G366,$BN$1=1),0,1-SUMPRODUCT(--(($A$1=公区维修!$F366)+($A$1=公区维修!$G366)+$BN$1&gt;0)))</f>
        <v>0</v>
      </c>
      <c r="AT366" s="0" t="n">
        <f aca="false">IF(OR($A$2=公区维修!$F366,$A$2=公区维修!$G366,$BN$2=1),0,2-SUMPRODUCT(--(($A$1:$A$2=公区维修!$F366)+($A$1:$A$2=公区维修!$G366)+$BN$1:$BN$2&gt;0)))</f>
        <v>1</v>
      </c>
      <c r="AU366" s="0" t="n">
        <f aca="false">IF(OR($A$3=公区维修!$F366,$A$3=公区维修!$G366,$BN$3=1),0,3-SUMPRODUCT(--(($A$1:$A$3=公区维修!$F366)+($A$1:$A$3=公区维修!$G366)+$BN$1:$BN$3&gt;0)))</f>
        <v>2</v>
      </c>
      <c r="AV366" s="0" t="n">
        <f aca="false">IF(OR($A$4=公区维修!$F366,$A$4=公区维修!$G366,$BN$4=1),0,4-SUMPRODUCT(--(($A$1:$A$4=公区维修!$F366)+($A$1:$A$4=公区维修!$G366)+$BN$1:$BN$4&gt;0)))</f>
        <v>3</v>
      </c>
      <c r="AW366" s="0" t="n">
        <f aca="false">IF(OR($A$5=公区维修!$F366,$A$5=公区维修!$G366,$BN$5=1),0,5-SUMPRODUCT(--(($A$1:$A$5=公区维修!$F366)+($A$1:$A$5=公区维修!$G366)+$BN$1:$BN$5&gt;0)))</f>
        <v>4</v>
      </c>
      <c r="AY366" s="0" t="str">
        <f aca="false">IFERROR(INDEX($A$1:$A$5,MATCH(1,$AS366:$AW366,0)),IF(1=MAX($AS366:$AW366)+1,"取消",""))</f>
        <v>李师傅</v>
      </c>
      <c r="AZ366" s="0" t="str">
        <f aca="false">IFERROR(INDEX($A$1:$A$5,MATCH(2,$AS366:$AW366,0)),IF(2=MAX($AS366:$AW366)+1,"取消",""))</f>
        <v>王师傅</v>
      </c>
      <c r="BA366" s="0" t="str">
        <f aca="false">IFERROR(INDEX($A$1:$A$5,MATCH(3,$AS366:$AW366,0)),IF(3=MAX($AS366:$AW366)+1,"取消",""))</f>
        <v>陈师傅</v>
      </c>
      <c r="BB366" s="0" t="str">
        <f aca="false">IFERROR(INDEX($A$1:$A$5,MATCH(4,$AS366:$AW366,0)),IF(4=MAX($AS366:$AW366)+1,"取消",""))</f>
        <v>刘师傅</v>
      </c>
      <c r="BC366" s="0" t="str">
        <f aca="false">IFERROR(INDEX($A$1:$A$5,MATCH(5,$AS366:$AW366,0)),IF(5=MAX($AS366:$AW366)+1,"取消",""))</f>
        <v>取消</v>
      </c>
      <c r="BD366" s="0" t="str">
        <f aca="false">IFERROR(INDEX($A$1:$A$5,MATCH(6,$AS366:$AW366,0)),IF(6=MAX($AS366:$AW366)+1,"取消",""))</f>
        <v/>
      </c>
      <c r="FW366" s="0" t="str">
        <f aca="false">IF(AND(单元查询!$D$3&lt;&gt;"",IF(单元查询!$B$3="公区维修",公区维修!$E366&lt;&gt;"",入户维修!$E366&lt;&gt;""),IF(单元查询!$B$3="公区维修",公区维修!$C366,入户维修!$C366)=单元查询!$D$3,OR(单元查询!$F$3="",IF(单元查询!$B$3="公区维修",公区维修!$D366,入户维修!$D366)&amp;""=(单元查询!$F$3)&amp;"")),MAX($FW$4:$FW365)+1,"")</f>
        <v/>
      </c>
    </row>
    <row r="367" customFormat="false" ht="15" hidden="false" customHeight="true" outlineLevel="0" collapsed="false">
      <c r="F367" s="0" t="n">
        <f aca="false">IF(OR($A$1=入户维修!$F367,$BN$1=1),0,1-SUMPRODUCT(--(($A$1=入户维修!$F367)+$BN$1&gt;0)))</f>
        <v>0</v>
      </c>
      <c r="G367" s="0" t="n">
        <f aca="false">IF(OR($A$2=入户维修!$F367,$BN$2=1),0,2-SUMPRODUCT(--(($A$1:$A$2=入户维修!$F367)+$BN$1:$BN$2&gt;0)))</f>
        <v>1</v>
      </c>
      <c r="H367" s="0" t="n">
        <f aca="false">IF(OR($A$3=入户维修!$F367,$BN$3=1),0,3-SUMPRODUCT(--(($A$1:$A$3=入户维修!$F367)+$BN$1:$BN$3&gt;0)))</f>
        <v>2</v>
      </c>
      <c r="I367" s="0" t="n">
        <f aca="false">IF(OR($A$4=入户维修!$F367,$BN$4=1),0,4-SUMPRODUCT(--(($A$1:$A$4=入户维修!$F367)+$BN$1:$BN$4&gt;0)))</f>
        <v>3</v>
      </c>
      <c r="J367" s="0" t="n">
        <f aca="false">IF(OR($A$5=入户维修!$F367,$BN$5=1),0,5-SUMPRODUCT(--(($A$1:$A$5=入户维修!$F367)+$BN$1:$BN$5&gt;0)))</f>
        <v>4</v>
      </c>
      <c r="L367" s="0" t="str">
        <f aca="false">IFERROR(INDEX($A$1:$A$5,MATCH(1,$F367:$J367,0)),IF(1=MAX($F367:$J367)+1,"取消",""))</f>
        <v>李师傅</v>
      </c>
      <c r="M367" s="0" t="str">
        <f aca="false">IFERROR(INDEX($A$1:$A$5,MATCH(2,$F367:$J367,0)),IF(2=MAX($F367:$J367)+1,"取消",""))</f>
        <v>王师傅</v>
      </c>
      <c r="N367" s="0" t="str">
        <f aca="false">IFERROR(INDEX($A$1:$A$5,MATCH(3,$F367:$J367,0)),IF(3=MAX($F367:$J367)+1,"取消",""))</f>
        <v>陈师傅</v>
      </c>
      <c r="O367" s="0" t="str">
        <f aca="false">IFERROR(INDEX($A$1:$A$5,MATCH(4,$F367:$J367,0)),IF(4=MAX($F367:$J367)+1,"取消",""))</f>
        <v>刘师傅</v>
      </c>
      <c r="P367" s="0" t="str">
        <f aca="false">IFERROR(INDEX($A$1:$A$5,MATCH(5,$F367:$J367,0)),IF(5=MAX($F367:$J367)+1,"取消",""))</f>
        <v>取消</v>
      </c>
      <c r="Q367" s="0" t="str">
        <f aca="false">IFERROR(INDEX($A$1:$A$5,MATCH(6,$F367:$J367,0)),IF(6=MAX($F367:$J367)+1,"取消",""))</f>
        <v/>
      </c>
      <c r="S367" s="0" t="n">
        <f aca="false">IF(OR($A$1=入户维修!$F367,$A$1=入户维修!$G367,$BN$1=1),0,1-SUMPRODUCT(--(($A$1=入户维修!$F367)+($A$1=入户维修!$G367)+$BN$1&gt;0)))</f>
        <v>0</v>
      </c>
      <c r="T367" s="0" t="n">
        <f aca="false">IF(OR($A$2=入户维修!$F367,$A$2=入户维修!$G367,$BN$2=1),0,2-SUMPRODUCT(--(($A$1:$A$2=入户维修!$F367)+($A$1:$A$2=入户维修!$G367)+$BN$1:$BN$2&gt;0)))</f>
        <v>1</v>
      </c>
      <c r="U367" s="0" t="n">
        <f aca="false">IF(OR($A$3=入户维修!$F367,$A$3=入户维修!$G367,$BN$3=1),0,3-SUMPRODUCT(--(($A$1:$A$3=入户维修!$F367)+($A$1:$A$3=入户维修!$G367)+$BN$1:$BN$3&gt;0)))</f>
        <v>2</v>
      </c>
      <c r="V367" s="0" t="n">
        <f aca="false">IF(OR($A$4=入户维修!$F367,$A$4=入户维修!$G367,$BN$4=1),0,4-SUMPRODUCT(--(($A$1:$A$4=入户维修!$F367)+($A$1:$A$4=入户维修!$G367)+$BN$1:$BN$4&gt;0)))</f>
        <v>3</v>
      </c>
      <c r="W367" s="0" t="n">
        <f aca="false">IF(OR($A$5=入户维修!$F367,$A$5=入户维修!$G367,$BN$5=1),0,5-SUMPRODUCT(--(($A$1:$A$5=入户维修!$F367)+($A$1:$A$5=入户维修!$G367)+$BN$1:$BN$5&gt;0)))</f>
        <v>4</v>
      </c>
      <c r="Y367" s="0" t="str">
        <f aca="false">IFERROR(INDEX($A$1:$A$5,MATCH(1,$S367:$W367,0)),IF(1=MAX($S367:$W367)+1,"取消",""))</f>
        <v>李师傅</v>
      </c>
      <c r="Z367" s="0" t="str">
        <f aca="false">IFERROR(INDEX($A$1:$A$5,MATCH(2,$S367:$W367,0)),IF(2=MAX($S367:$W367)+1,"取消",""))</f>
        <v>王师傅</v>
      </c>
      <c r="AA367" s="0" t="str">
        <f aca="false">IFERROR(INDEX($A$1:$A$5,MATCH(3,$S367:$W367,0)),IF(3=MAX($S367:$W367)+1,"取消",""))</f>
        <v>陈师傅</v>
      </c>
      <c r="AB367" s="0" t="str">
        <f aca="false">IFERROR(INDEX($A$1:$A$5,MATCH(4,$S367:$W367,0)),IF(4=MAX($S367:$W367)+1,"取消",""))</f>
        <v>刘师傅</v>
      </c>
      <c r="AC367" s="0" t="str">
        <f aca="false">IFERROR(INDEX($A$1:$A$5,MATCH(5,$S367:$W367,0)),IF(5=MAX($S367:$W367)+1,"取消",""))</f>
        <v>取消</v>
      </c>
      <c r="AD367" s="0" t="str">
        <f aca="false">IFERROR(INDEX($A$1:$A$5,MATCH(6,$S367:$W367,0)),IF(6=MAX($S367:$W367)+1,"取消",""))</f>
        <v/>
      </c>
      <c r="AF367" s="0" t="n">
        <f aca="false">IF(OR($A$1=公区维修!$F367,$BN$1=1),0,1-SUMPRODUCT(--(($A$1=公区维修!$F367)+$BN$1&gt;0)))</f>
        <v>0</v>
      </c>
      <c r="AG367" s="0" t="n">
        <f aca="false">IF(OR($A$2=公区维修!$F367,$BN$2=1),0,2-SUMPRODUCT(--(($A$1:$A$2=公区维修!$F367)+$BN$1:$BN$2&gt;0)))</f>
        <v>1</v>
      </c>
      <c r="AH367" s="0" t="n">
        <f aca="false">IF(OR($A$3=公区维修!$F367,$BN$3=1),0,3-SUMPRODUCT(--(($A$1:$A$3=公区维修!$F367)+$BN$1:$BN$3&gt;0)))</f>
        <v>2</v>
      </c>
      <c r="AI367" s="0" t="n">
        <f aca="false">IF(OR($A$4=公区维修!$F367,$BN$4=1),0,4-SUMPRODUCT(--(($A$1:$A$4=公区维修!$F367)+$BN$1:$BN$4&gt;0)))</f>
        <v>3</v>
      </c>
      <c r="AJ367" s="0" t="n">
        <f aca="false">IF(OR($A$5=公区维修!$F367,$BN$5=1),0,5-SUMPRODUCT(--(($A$1:$A$5=公区维修!$F367)+$BN$1:$BN$5&gt;0)))</f>
        <v>4</v>
      </c>
      <c r="AL367" s="0" t="str">
        <f aca="false">IFERROR(INDEX($A$1:$A$5,MATCH(1,$AF367:$AJ367,0)),IF(1=MAX($AF367:$AJ367)+1,"取消",""))</f>
        <v>李师傅</v>
      </c>
      <c r="AM367" s="0" t="str">
        <f aca="false">IFERROR(INDEX($A$1:$A$5,MATCH(2,$AF367:$AJ367,0)),IF(2=MAX($AF367:$AJ367)+1,"取消",""))</f>
        <v>王师傅</v>
      </c>
      <c r="AN367" s="0" t="str">
        <f aca="false">IFERROR(INDEX($A$1:$A$5,MATCH(3,$AF367:$AJ367,0)),IF(3=MAX($AF367:$AJ367)+1,"取消",""))</f>
        <v>陈师傅</v>
      </c>
      <c r="AO367" s="0" t="str">
        <f aca="false">IFERROR(INDEX($A$1:$A$5,MATCH(4,$AF367:$AJ367,0)),IF(4=MAX($AF367:$AJ367)+1,"取消",""))</f>
        <v>刘师傅</v>
      </c>
      <c r="AP367" s="0" t="str">
        <f aca="false">IFERROR(INDEX($A$1:$A$5,MATCH(5,$AF367:$AJ367,0)),IF(5=MAX($AF367:$AJ367)+1,"取消",""))</f>
        <v>取消</v>
      </c>
      <c r="AQ367" s="0" t="str">
        <f aca="false">IFERROR(INDEX($A$1:$A$5,MATCH(6,$AF367:$AJ367,0)),IF(6=MAX($AF367:$AJ367)+1,"取消",""))</f>
        <v/>
      </c>
      <c r="AS367" s="0" t="n">
        <f aca="false">IF(OR($A$1=公区维修!$F367,$A$1=公区维修!$G367,$BN$1=1),0,1-SUMPRODUCT(--(($A$1=公区维修!$F367)+($A$1=公区维修!$G367)+$BN$1&gt;0)))</f>
        <v>0</v>
      </c>
      <c r="AT367" s="0" t="n">
        <f aca="false">IF(OR($A$2=公区维修!$F367,$A$2=公区维修!$G367,$BN$2=1),0,2-SUMPRODUCT(--(($A$1:$A$2=公区维修!$F367)+($A$1:$A$2=公区维修!$G367)+$BN$1:$BN$2&gt;0)))</f>
        <v>1</v>
      </c>
      <c r="AU367" s="0" t="n">
        <f aca="false">IF(OR($A$3=公区维修!$F367,$A$3=公区维修!$G367,$BN$3=1),0,3-SUMPRODUCT(--(($A$1:$A$3=公区维修!$F367)+($A$1:$A$3=公区维修!$G367)+$BN$1:$BN$3&gt;0)))</f>
        <v>2</v>
      </c>
      <c r="AV367" s="0" t="n">
        <f aca="false">IF(OR($A$4=公区维修!$F367,$A$4=公区维修!$G367,$BN$4=1),0,4-SUMPRODUCT(--(($A$1:$A$4=公区维修!$F367)+($A$1:$A$4=公区维修!$G367)+$BN$1:$BN$4&gt;0)))</f>
        <v>3</v>
      </c>
      <c r="AW367" s="0" t="n">
        <f aca="false">IF(OR($A$5=公区维修!$F367,$A$5=公区维修!$G367,$BN$5=1),0,5-SUMPRODUCT(--(($A$1:$A$5=公区维修!$F367)+($A$1:$A$5=公区维修!$G367)+$BN$1:$BN$5&gt;0)))</f>
        <v>4</v>
      </c>
      <c r="AY367" s="0" t="str">
        <f aca="false">IFERROR(INDEX($A$1:$A$5,MATCH(1,$AS367:$AW367,0)),IF(1=MAX($AS367:$AW367)+1,"取消",""))</f>
        <v>李师傅</v>
      </c>
      <c r="AZ367" s="0" t="str">
        <f aca="false">IFERROR(INDEX($A$1:$A$5,MATCH(2,$AS367:$AW367,0)),IF(2=MAX($AS367:$AW367)+1,"取消",""))</f>
        <v>王师傅</v>
      </c>
      <c r="BA367" s="0" t="str">
        <f aca="false">IFERROR(INDEX($A$1:$A$5,MATCH(3,$AS367:$AW367,0)),IF(3=MAX($AS367:$AW367)+1,"取消",""))</f>
        <v>陈师傅</v>
      </c>
      <c r="BB367" s="0" t="str">
        <f aca="false">IFERROR(INDEX($A$1:$A$5,MATCH(4,$AS367:$AW367,0)),IF(4=MAX($AS367:$AW367)+1,"取消",""))</f>
        <v>刘师傅</v>
      </c>
      <c r="BC367" s="0" t="str">
        <f aca="false">IFERROR(INDEX($A$1:$A$5,MATCH(5,$AS367:$AW367,0)),IF(5=MAX($AS367:$AW367)+1,"取消",""))</f>
        <v>取消</v>
      </c>
      <c r="BD367" s="0" t="str">
        <f aca="false">IFERROR(INDEX($A$1:$A$5,MATCH(6,$AS367:$AW367,0)),IF(6=MAX($AS367:$AW367)+1,"取消",""))</f>
        <v/>
      </c>
      <c r="FW367" s="0" t="str">
        <f aca="false">IF(AND(单元查询!$D$3&lt;&gt;"",IF(单元查询!$B$3="公区维修",公区维修!$E367&lt;&gt;"",入户维修!$E367&lt;&gt;""),IF(单元查询!$B$3="公区维修",公区维修!$C367,入户维修!$C367)=单元查询!$D$3,OR(单元查询!$F$3="",IF(单元查询!$B$3="公区维修",公区维修!$D367,入户维修!$D367)&amp;""=(单元查询!$F$3)&amp;"")),MAX($FW$4:$FW366)+1,"")</f>
        <v/>
      </c>
    </row>
    <row r="368" customFormat="false" ht="15" hidden="false" customHeight="true" outlineLevel="0" collapsed="false">
      <c r="F368" s="0" t="n">
        <f aca="false">IF(OR($A$1=入户维修!$F368,$BN$1=1),0,1-SUMPRODUCT(--(($A$1=入户维修!$F368)+$BN$1&gt;0)))</f>
        <v>0</v>
      </c>
      <c r="G368" s="0" t="n">
        <f aca="false">IF(OR($A$2=入户维修!$F368,$BN$2=1),0,2-SUMPRODUCT(--(($A$1:$A$2=入户维修!$F368)+$BN$1:$BN$2&gt;0)))</f>
        <v>1</v>
      </c>
      <c r="H368" s="0" t="n">
        <f aca="false">IF(OR($A$3=入户维修!$F368,$BN$3=1),0,3-SUMPRODUCT(--(($A$1:$A$3=入户维修!$F368)+$BN$1:$BN$3&gt;0)))</f>
        <v>2</v>
      </c>
      <c r="I368" s="0" t="n">
        <f aca="false">IF(OR($A$4=入户维修!$F368,$BN$4=1),0,4-SUMPRODUCT(--(($A$1:$A$4=入户维修!$F368)+$BN$1:$BN$4&gt;0)))</f>
        <v>3</v>
      </c>
      <c r="J368" s="0" t="n">
        <f aca="false">IF(OR($A$5=入户维修!$F368,$BN$5=1),0,5-SUMPRODUCT(--(($A$1:$A$5=入户维修!$F368)+$BN$1:$BN$5&gt;0)))</f>
        <v>4</v>
      </c>
      <c r="L368" s="0" t="str">
        <f aca="false">IFERROR(INDEX($A$1:$A$5,MATCH(1,$F368:$J368,0)),IF(1=MAX($F368:$J368)+1,"取消",""))</f>
        <v>李师傅</v>
      </c>
      <c r="M368" s="0" t="str">
        <f aca="false">IFERROR(INDEX($A$1:$A$5,MATCH(2,$F368:$J368,0)),IF(2=MAX($F368:$J368)+1,"取消",""))</f>
        <v>王师傅</v>
      </c>
      <c r="N368" s="0" t="str">
        <f aca="false">IFERROR(INDEX($A$1:$A$5,MATCH(3,$F368:$J368,0)),IF(3=MAX($F368:$J368)+1,"取消",""))</f>
        <v>陈师傅</v>
      </c>
      <c r="O368" s="0" t="str">
        <f aca="false">IFERROR(INDEX($A$1:$A$5,MATCH(4,$F368:$J368,0)),IF(4=MAX($F368:$J368)+1,"取消",""))</f>
        <v>刘师傅</v>
      </c>
      <c r="P368" s="0" t="str">
        <f aca="false">IFERROR(INDEX($A$1:$A$5,MATCH(5,$F368:$J368,0)),IF(5=MAX($F368:$J368)+1,"取消",""))</f>
        <v>取消</v>
      </c>
      <c r="Q368" s="0" t="str">
        <f aca="false">IFERROR(INDEX($A$1:$A$5,MATCH(6,$F368:$J368,0)),IF(6=MAX($F368:$J368)+1,"取消",""))</f>
        <v/>
      </c>
      <c r="S368" s="0" t="n">
        <f aca="false">IF(OR($A$1=入户维修!$F368,$A$1=入户维修!$G368,$BN$1=1),0,1-SUMPRODUCT(--(($A$1=入户维修!$F368)+($A$1=入户维修!$G368)+$BN$1&gt;0)))</f>
        <v>0</v>
      </c>
      <c r="T368" s="0" t="n">
        <f aca="false">IF(OR($A$2=入户维修!$F368,$A$2=入户维修!$G368,$BN$2=1),0,2-SUMPRODUCT(--(($A$1:$A$2=入户维修!$F368)+($A$1:$A$2=入户维修!$G368)+$BN$1:$BN$2&gt;0)))</f>
        <v>1</v>
      </c>
      <c r="U368" s="0" t="n">
        <f aca="false">IF(OR($A$3=入户维修!$F368,$A$3=入户维修!$G368,$BN$3=1),0,3-SUMPRODUCT(--(($A$1:$A$3=入户维修!$F368)+($A$1:$A$3=入户维修!$G368)+$BN$1:$BN$3&gt;0)))</f>
        <v>2</v>
      </c>
      <c r="V368" s="0" t="n">
        <f aca="false">IF(OR($A$4=入户维修!$F368,$A$4=入户维修!$G368,$BN$4=1),0,4-SUMPRODUCT(--(($A$1:$A$4=入户维修!$F368)+($A$1:$A$4=入户维修!$G368)+$BN$1:$BN$4&gt;0)))</f>
        <v>3</v>
      </c>
      <c r="W368" s="0" t="n">
        <f aca="false">IF(OR($A$5=入户维修!$F368,$A$5=入户维修!$G368,$BN$5=1),0,5-SUMPRODUCT(--(($A$1:$A$5=入户维修!$F368)+($A$1:$A$5=入户维修!$G368)+$BN$1:$BN$5&gt;0)))</f>
        <v>4</v>
      </c>
      <c r="Y368" s="0" t="str">
        <f aca="false">IFERROR(INDEX($A$1:$A$5,MATCH(1,$S368:$W368,0)),IF(1=MAX($S368:$W368)+1,"取消",""))</f>
        <v>李师傅</v>
      </c>
      <c r="Z368" s="0" t="str">
        <f aca="false">IFERROR(INDEX($A$1:$A$5,MATCH(2,$S368:$W368,0)),IF(2=MAX($S368:$W368)+1,"取消",""))</f>
        <v>王师傅</v>
      </c>
      <c r="AA368" s="0" t="str">
        <f aca="false">IFERROR(INDEX($A$1:$A$5,MATCH(3,$S368:$W368,0)),IF(3=MAX($S368:$W368)+1,"取消",""))</f>
        <v>陈师傅</v>
      </c>
      <c r="AB368" s="0" t="str">
        <f aca="false">IFERROR(INDEX($A$1:$A$5,MATCH(4,$S368:$W368,0)),IF(4=MAX($S368:$W368)+1,"取消",""))</f>
        <v>刘师傅</v>
      </c>
      <c r="AC368" s="0" t="str">
        <f aca="false">IFERROR(INDEX($A$1:$A$5,MATCH(5,$S368:$W368,0)),IF(5=MAX($S368:$W368)+1,"取消",""))</f>
        <v>取消</v>
      </c>
      <c r="AD368" s="0" t="str">
        <f aca="false">IFERROR(INDEX($A$1:$A$5,MATCH(6,$S368:$W368,0)),IF(6=MAX($S368:$W368)+1,"取消",""))</f>
        <v/>
      </c>
      <c r="AF368" s="0" t="n">
        <f aca="false">IF(OR($A$1=公区维修!$F368,$BN$1=1),0,1-SUMPRODUCT(--(($A$1=公区维修!$F368)+$BN$1&gt;0)))</f>
        <v>0</v>
      </c>
      <c r="AG368" s="0" t="n">
        <f aca="false">IF(OR($A$2=公区维修!$F368,$BN$2=1),0,2-SUMPRODUCT(--(($A$1:$A$2=公区维修!$F368)+$BN$1:$BN$2&gt;0)))</f>
        <v>1</v>
      </c>
      <c r="AH368" s="0" t="n">
        <f aca="false">IF(OR($A$3=公区维修!$F368,$BN$3=1),0,3-SUMPRODUCT(--(($A$1:$A$3=公区维修!$F368)+$BN$1:$BN$3&gt;0)))</f>
        <v>2</v>
      </c>
      <c r="AI368" s="0" t="n">
        <f aca="false">IF(OR($A$4=公区维修!$F368,$BN$4=1),0,4-SUMPRODUCT(--(($A$1:$A$4=公区维修!$F368)+$BN$1:$BN$4&gt;0)))</f>
        <v>3</v>
      </c>
      <c r="AJ368" s="0" t="n">
        <f aca="false">IF(OR($A$5=公区维修!$F368,$BN$5=1),0,5-SUMPRODUCT(--(($A$1:$A$5=公区维修!$F368)+$BN$1:$BN$5&gt;0)))</f>
        <v>4</v>
      </c>
      <c r="AL368" s="0" t="str">
        <f aca="false">IFERROR(INDEX($A$1:$A$5,MATCH(1,$AF368:$AJ368,0)),IF(1=MAX($AF368:$AJ368)+1,"取消",""))</f>
        <v>李师傅</v>
      </c>
      <c r="AM368" s="0" t="str">
        <f aca="false">IFERROR(INDEX($A$1:$A$5,MATCH(2,$AF368:$AJ368,0)),IF(2=MAX($AF368:$AJ368)+1,"取消",""))</f>
        <v>王师傅</v>
      </c>
      <c r="AN368" s="0" t="str">
        <f aca="false">IFERROR(INDEX($A$1:$A$5,MATCH(3,$AF368:$AJ368,0)),IF(3=MAX($AF368:$AJ368)+1,"取消",""))</f>
        <v>陈师傅</v>
      </c>
      <c r="AO368" s="0" t="str">
        <f aca="false">IFERROR(INDEX($A$1:$A$5,MATCH(4,$AF368:$AJ368,0)),IF(4=MAX($AF368:$AJ368)+1,"取消",""))</f>
        <v>刘师傅</v>
      </c>
      <c r="AP368" s="0" t="str">
        <f aca="false">IFERROR(INDEX($A$1:$A$5,MATCH(5,$AF368:$AJ368,0)),IF(5=MAX($AF368:$AJ368)+1,"取消",""))</f>
        <v>取消</v>
      </c>
      <c r="AQ368" s="0" t="str">
        <f aca="false">IFERROR(INDEX($A$1:$A$5,MATCH(6,$AF368:$AJ368,0)),IF(6=MAX($AF368:$AJ368)+1,"取消",""))</f>
        <v/>
      </c>
      <c r="AS368" s="0" t="n">
        <f aca="false">IF(OR($A$1=公区维修!$F368,$A$1=公区维修!$G368,$BN$1=1),0,1-SUMPRODUCT(--(($A$1=公区维修!$F368)+($A$1=公区维修!$G368)+$BN$1&gt;0)))</f>
        <v>0</v>
      </c>
      <c r="AT368" s="0" t="n">
        <f aca="false">IF(OR($A$2=公区维修!$F368,$A$2=公区维修!$G368,$BN$2=1),0,2-SUMPRODUCT(--(($A$1:$A$2=公区维修!$F368)+($A$1:$A$2=公区维修!$G368)+$BN$1:$BN$2&gt;0)))</f>
        <v>1</v>
      </c>
      <c r="AU368" s="0" t="n">
        <f aca="false">IF(OR($A$3=公区维修!$F368,$A$3=公区维修!$G368,$BN$3=1),0,3-SUMPRODUCT(--(($A$1:$A$3=公区维修!$F368)+($A$1:$A$3=公区维修!$G368)+$BN$1:$BN$3&gt;0)))</f>
        <v>2</v>
      </c>
      <c r="AV368" s="0" t="n">
        <f aca="false">IF(OR($A$4=公区维修!$F368,$A$4=公区维修!$G368,$BN$4=1),0,4-SUMPRODUCT(--(($A$1:$A$4=公区维修!$F368)+($A$1:$A$4=公区维修!$G368)+$BN$1:$BN$4&gt;0)))</f>
        <v>3</v>
      </c>
      <c r="AW368" s="0" t="n">
        <f aca="false">IF(OR($A$5=公区维修!$F368,$A$5=公区维修!$G368,$BN$5=1),0,5-SUMPRODUCT(--(($A$1:$A$5=公区维修!$F368)+($A$1:$A$5=公区维修!$G368)+$BN$1:$BN$5&gt;0)))</f>
        <v>4</v>
      </c>
      <c r="AY368" s="0" t="str">
        <f aca="false">IFERROR(INDEX($A$1:$A$5,MATCH(1,$AS368:$AW368,0)),IF(1=MAX($AS368:$AW368)+1,"取消",""))</f>
        <v>李师傅</v>
      </c>
      <c r="AZ368" s="0" t="str">
        <f aca="false">IFERROR(INDEX($A$1:$A$5,MATCH(2,$AS368:$AW368,0)),IF(2=MAX($AS368:$AW368)+1,"取消",""))</f>
        <v>王师傅</v>
      </c>
      <c r="BA368" s="0" t="str">
        <f aca="false">IFERROR(INDEX($A$1:$A$5,MATCH(3,$AS368:$AW368,0)),IF(3=MAX($AS368:$AW368)+1,"取消",""))</f>
        <v>陈师傅</v>
      </c>
      <c r="BB368" s="0" t="str">
        <f aca="false">IFERROR(INDEX($A$1:$A$5,MATCH(4,$AS368:$AW368,0)),IF(4=MAX($AS368:$AW368)+1,"取消",""))</f>
        <v>刘师傅</v>
      </c>
      <c r="BC368" s="0" t="str">
        <f aca="false">IFERROR(INDEX($A$1:$A$5,MATCH(5,$AS368:$AW368,0)),IF(5=MAX($AS368:$AW368)+1,"取消",""))</f>
        <v>取消</v>
      </c>
      <c r="BD368" s="0" t="str">
        <f aca="false">IFERROR(INDEX($A$1:$A$5,MATCH(6,$AS368:$AW368,0)),IF(6=MAX($AS368:$AW368)+1,"取消",""))</f>
        <v/>
      </c>
      <c r="FW368" s="0" t="str">
        <f aca="false">IF(AND(单元查询!$D$3&lt;&gt;"",IF(单元查询!$B$3="公区维修",公区维修!$E368&lt;&gt;"",入户维修!$E368&lt;&gt;""),IF(单元查询!$B$3="公区维修",公区维修!$C368,入户维修!$C368)=单元查询!$D$3,OR(单元查询!$F$3="",IF(单元查询!$B$3="公区维修",公区维修!$D368,入户维修!$D368)&amp;""=(单元查询!$F$3)&amp;"")),MAX($FW$4:$FW367)+1,"")</f>
        <v/>
      </c>
    </row>
    <row r="369" customFormat="false" ht="15" hidden="false" customHeight="true" outlineLevel="0" collapsed="false">
      <c r="F369" s="0" t="n">
        <f aca="false">IF(OR($A$1=入户维修!$F369,$BN$1=1),0,1-SUMPRODUCT(--(($A$1=入户维修!$F369)+$BN$1&gt;0)))</f>
        <v>0</v>
      </c>
      <c r="G369" s="0" t="n">
        <f aca="false">IF(OR($A$2=入户维修!$F369,$BN$2=1),0,2-SUMPRODUCT(--(($A$1:$A$2=入户维修!$F369)+$BN$1:$BN$2&gt;0)))</f>
        <v>1</v>
      </c>
      <c r="H369" s="0" t="n">
        <f aca="false">IF(OR($A$3=入户维修!$F369,$BN$3=1),0,3-SUMPRODUCT(--(($A$1:$A$3=入户维修!$F369)+$BN$1:$BN$3&gt;0)))</f>
        <v>2</v>
      </c>
      <c r="I369" s="0" t="n">
        <f aca="false">IF(OR($A$4=入户维修!$F369,$BN$4=1),0,4-SUMPRODUCT(--(($A$1:$A$4=入户维修!$F369)+$BN$1:$BN$4&gt;0)))</f>
        <v>3</v>
      </c>
      <c r="J369" s="0" t="n">
        <f aca="false">IF(OR($A$5=入户维修!$F369,$BN$5=1),0,5-SUMPRODUCT(--(($A$1:$A$5=入户维修!$F369)+$BN$1:$BN$5&gt;0)))</f>
        <v>4</v>
      </c>
      <c r="L369" s="0" t="str">
        <f aca="false">IFERROR(INDEX($A$1:$A$5,MATCH(1,$F369:$J369,0)),IF(1=MAX($F369:$J369)+1,"取消",""))</f>
        <v>李师傅</v>
      </c>
      <c r="M369" s="0" t="str">
        <f aca="false">IFERROR(INDEX($A$1:$A$5,MATCH(2,$F369:$J369,0)),IF(2=MAX($F369:$J369)+1,"取消",""))</f>
        <v>王师傅</v>
      </c>
      <c r="N369" s="0" t="str">
        <f aca="false">IFERROR(INDEX($A$1:$A$5,MATCH(3,$F369:$J369,0)),IF(3=MAX($F369:$J369)+1,"取消",""))</f>
        <v>陈师傅</v>
      </c>
      <c r="O369" s="0" t="str">
        <f aca="false">IFERROR(INDEX($A$1:$A$5,MATCH(4,$F369:$J369,0)),IF(4=MAX($F369:$J369)+1,"取消",""))</f>
        <v>刘师傅</v>
      </c>
      <c r="P369" s="0" t="str">
        <f aca="false">IFERROR(INDEX($A$1:$A$5,MATCH(5,$F369:$J369,0)),IF(5=MAX($F369:$J369)+1,"取消",""))</f>
        <v>取消</v>
      </c>
      <c r="Q369" s="0" t="str">
        <f aca="false">IFERROR(INDEX($A$1:$A$5,MATCH(6,$F369:$J369,0)),IF(6=MAX($F369:$J369)+1,"取消",""))</f>
        <v/>
      </c>
      <c r="S369" s="0" t="n">
        <f aca="false">IF(OR($A$1=入户维修!$F369,$A$1=入户维修!$G369,$BN$1=1),0,1-SUMPRODUCT(--(($A$1=入户维修!$F369)+($A$1=入户维修!$G369)+$BN$1&gt;0)))</f>
        <v>0</v>
      </c>
      <c r="T369" s="0" t="n">
        <f aca="false">IF(OR($A$2=入户维修!$F369,$A$2=入户维修!$G369,$BN$2=1),0,2-SUMPRODUCT(--(($A$1:$A$2=入户维修!$F369)+($A$1:$A$2=入户维修!$G369)+$BN$1:$BN$2&gt;0)))</f>
        <v>1</v>
      </c>
      <c r="U369" s="0" t="n">
        <f aca="false">IF(OR($A$3=入户维修!$F369,$A$3=入户维修!$G369,$BN$3=1),0,3-SUMPRODUCT(--(($A$1:$A$3=入户维修!$F369)+($A$1:$A$3=入户维修!$G369)+$BN$1:$BN$3&gt;0)))</f>
        <v>2</v>
      </c>
      <c r="V369" s="0" t="n">
        <f aca="false">IF(OR($A$4=入户维修!$F369,$A$4=入户维修!$G369,$BN$4=1),0,4-SUMPRODUCT(--(($A$1:$A$4=入户维修!$F369)+($A$1:$A$4=入户维修!$G369)+$BN$1:$BN$4&gt;0)))</f>
        <v>3</v>
      </c>
      <c r="W369" s="0" t="n">
        <f aca="false">IF(OR($A$5=入户维修!$F369,$A$5=入户维修!$G369,$BN$5=1),0,5-SUMPRODUCT(--(($A$1:$A$5=入户维修!$F369)+($A$1:$A$5=入户维修!$G369)+$BN$1:$BN$5&gt;0)))</f>
        <v>4</v>
      </c>
      <c r="Y369" s="0" t="str">
        <f aca="false">IFERROR(INDEX($A$1:$A$5,MATCH(1,$S369:$W369,0)),IF(1=MAX($S369:$W369)+1,"取消",""))</f>
        <v>李师傅</v>
      </c>
      <c r="Z369" s="0" t="str">
        <f aca="false">IFERROR(INDEX($A$1:$A$5,MATCH(2,$S369:$W369,0)),IF(2=MAX($S369:$W369)+1,"取消",""))</f>
        <v>王师傅</v>
      </c>
      <c r="AA369" s="0" t="str">
        <f aca="false">IFERROR(INDEX($A$1:$A$5,MATCH(3,$S369:$W369,0)),IF(3=MAX($S369:$W369)+1,"取消",""))</f>
        <v>陈师傅</v>
      </c>
      <c r="AB369" s="0" t="str">
        <f aca="false">IFERROR(INDEX($A$1:$A$5,MATCH(4,$S369:$W369,0)),IF(4=MAX($S369:$W369)+1,"取消",""))</f>
        <v>刘师傅</v>
      </c>
      <c r="AC369" s="0" t="str">
        <f aca="false">IFERROR(INDEX($A$1:$A$5,MATCH(5,$S369:$W369,0)),IF(5=MAX($S369:$W369)+1,"取消",""))</f>
        <v>取消</v>
      </c>
      <c r="AD369" s="0" t="str">
        <f aca="false">IFERROR(INDEX($A$1:$A$5,MATCH(6,$S369:$W369,0)),IF(6=MAX($S369:$W369)+1,"取消",""))</f>
        <v/>
      </c>
      <c r="AF369" s="0" t="n">
        <f aca="false">IF(OR($A$1=公区维修!$F369,$BN$1=1),0,1-SUMPRODUCT(--(($A$1=公区维修!$F369)+$BN$1&gt;0)))</f>
        <v>0</v>
      </c>
      <c r="AG369" s="0" t="n">
        <f aca="false">IF(OR($A$2=公区维修!$F369,$BN$2=1),0,2-SUMPRODUCT(--(($A$1:$A$2=公区维修!$F369)+$BN$1:$BN$2&gt;0)))</f>
        <v>1</v>
      </c>
      <c r="AH369" s="0" t="n">
        <f aca="false">IF(OR($A$3=公区维修!$F369,$BN$3=1),0,3-SUMPRODUCT(--(($A$1:$A$3=公区维修!$F369)+$BN$1:$BN$3&gt;0)))</f>
        <v>2</v>
      </c>
      <c r="AI369" s="0" t="n">
        <f aca="false">IF(OR($A$4=公区维修!$F369,$BN$4=1),0,4-SUMPRODUCT(--(($A$1:$A$4=公区维修!$F369)+$BN$1:$BN$4&gt;0)))</f>
        <v>3</v>
      </c>
      <c r="AJ369" s="0" t="n">
        <f aca="false">IF(OR($A$5=公区维修!$F369,$BN$5=1),0,5-SUMPRODUCT(--(($A$1:$A$5=公区维修!$F369)+$BN$1:$BN$5&gt;0)))</f>
        <v>4</v>
      </c>
      <c r="AL369" s="0" t="str">
        <f aca="false">IFERROR(INDEX($A$1:$A$5,MATCH(1,$AF369:$AJ369,0)),IF(1=MAX($AF369:$AJ369)+1,"取消",""))</f>
        <v>李师傅</v>
      </c>
      <c r="AM369" s="0" t="str">
        <f aca="false">IFERROR(INDEX($A$1:$A$5,MATCH(2,$AF369:$AJ369,0)),IF(2=MAX($AF369:$AJ369)+1,"取消",""))</f>
        <v>王师傅</v>
      </c>
      <c r="AN369" s="0" t="str">
        <f aca="false">IFERROR(INDEX($A$1:$A$5,MATCH(3,$AF369:$AJ369,0)),IF(3=MAX($AF369:$AJ369)+1,"取消",""))</f>
        <v>陈师傅</v>
      </c>
      <c r="AO369" s="0" t="str">
        <f aca="false">IFERROR(INDEX($A$1:$A$5,MATCH(4,$AF369:$AJ369,0)),IF(4=MAX($AF369:$AJ369)+1,"取消",""))</f>
        <v>刘师傅</v>
      </c>
      <c r="AP369" s="0" t="str">
        <f aca="false">IFERROR(INDEX($A$1:$A$5,MATCH(5,$AF369:$AJ369,0)),IF(5=MAX($AF369:$AJ369)+1,"取消",""))</f>
        <v>取消</v>
      </c>
      <c r="AQ369" s="0" t="str">
        <f aca="false">IFERROR(INDEX($A$1:$A$5,MATCH(6,$AF369:$AJ369,0)),IF(6=MAX($AF369:$AJ369)+1,"取消",""))</f>
        <v/>
      </c>
      <c r="AS369" s="0" t="n">
        <f aca="false">IF(OR($A$1=公区维修!$F369,$A$1=公区维修!$G369,$BN$1=1),0,1-SUMPRODUCT(--(($A$1=公区维修!$F369)+($A$1=公区维修!$G369)+$BN$1&gt;0)))</f>
        <v>0</v>
      </c>
      <c r="AT369" s="0" t="n">
        <f aca="false">IF(OR($A$2=公区维修!$F369,$A$2=公区维修!$G369,$BN$2=1),0,2-SUMPRODUCT(--(($A$1:$A$2=公区维修!$F369)+($A$1:$A$2=公区维修!$G369)+$BN$1:$BN$2&gt;0)))</f>
        <v>1</v>
      </c>
      <c r="AU369" s="0" t="n">
        <f aca="false">IF(OR($A$3=公区维修!$F369,$A$3=公区维修!$G369,$BN$3=1),0,3-SUMPRODUCT(--(($A$1:$A$3=公区维修!$F369)+($A$1:$A$3=公区维修!$G369)+$BN$1:$BN$3&gt;0)))</f>
        <v>2</v>
      </c>
      <c r="AV369" s="0" t="n">
        <f aca="false">IF(OR($A$4=公区维修!$F369,$A$4=公区维修!$G369,$BN$4=1),0,4-SUMPRODUCT(--(($A$1:$A$4=公区维修!$F369)+($A$1:$A$4=公区维修!$G369)+$BN$1:$BN$4&gt;0)))</f>
        <v>3</v>
      </c>
      <c r="AW369" s="0" t="n">
        <f aca="false">IF(OR($A$5=公区维修!$F369,$A$5=公区维修!$G369,$BN$5=1),0,5-SUMPRODUCT(--(($A$1:$A$5=公区维修!$F369)+($A$1:$A$5=公区维修!$G369)+$BN$1:$BN$5&gt;0)))</f>
        <v>4</v>
      </c>
      <c r="AY369" s="0" t="str">
        <f aca="false">IFERROR(INDEX($A$1:$A$5,MATCH(1,$AS369:$AW369,0)),IF(1=MAX($AS369:$AW369)+1,"取消",""))</f>
        <v>李师傅</v>
      </c>
      <c r="AZ369" s="0" t="str">
        <f aca="false">IFERROR(INDEX($A$1:$A$5,MATCH(2,$AS369:$AW369,0)),IF(2=MAX($AS369:$AW369)+1,"取消",""))</f>
        <v>王师傅</v>
      </c>
      <c r="BA369" s="0" t="str">
        <f aca="false">IFERROR(INDEX($A$1:$A$5,MATCH(3,$AS369:$AW369,0)),IF(3=MAX($AS369:$AW369)+1,"取消",""))</f>
        <v>陈师傅</v>
      </c>
      <c r="BB369" s="0" t="str">
        <f aca="false">IFERROR(INDEX($A$1:$A$5,MATCH(4,$AS369:$AW369,0)),IF(4=MAX($AS369:$AW369)+1,"取消",""))</f>
        <v>刘师傅</v>
      </c>
      <c r="BC369" s="0" t="str">
        <f aca="false">IFERROR(INDEX($A$1:$A$5,MATCH(5,$AS369:$AW369,0)),IF(5=MAX($AS369:$AW369)+1,"取消",""))</f>
        <v>取消</v>
      </c>
      <c r="BD369" s="0" t="str">
        <f aca="false">IFERROR(INDEX($A$1:$A$5,MATCH(6,$AS369:$AW369,0)),IF(6=MAX($AS369:$AW369)+1,"取消",""))</f>
        <v/>
      </c>
      <c r="FW369" s="0" t="str">
        <f aca="false">IF(AND(单元查询!$D$3&lt;&gt;"",IF(单元查询!$B$3="公区维修",公区维修!$E369&lt;&gt;"",入户维修!$E369&lt;&gt;""),IF(单元查询!$B$3="公区维修",公区维修!$C369,入户维修!$C369)=单元查询!$D$3,OR(单元查询!$F$3="",IF(单元查询!$B$3="公区维修",公区维修!$D369,入户维修!$D369)&amp;""=(单元查询!$F$3)&amp;"")),MAX($FW$4:$FW368)+1,"")</f>
        <v/>
      </c>
    </row>
    <row r="370" customFormat="false" ht="15" hidden="false" customHeight="true" outlineLevel="0" collapsed="false">
      <c r="F370" s="0" t="n">
        <f aca="false">IF(OR($A$1=入户维修!$F370,$BN$1=1),0,1-SUMPRODUCT(--(($A$1=入户维修!$F370)+$BN$1&gt;0)))</f>
        <v>0</v>
      </c>
      <c r="G370" s="0" t="n">
        <f aca="false">IF(OR($A$2=入户维修!$F370,$BN$2=1),0,2-SUMPRODUCT(--(($A$1:$A$2=入户维修!$F370)+$BN$1:$BN$2&gt;0)))</f>
        <v>1</v>
      </c>
      <c r="H370" s="0" t="n">
        <f aca="false">IF(OR($A$3=入户维修!$F370,$BN$3=1),0,3-SUMPRODUCT(--(($A$1:$A$3=入户维修!$F370)+$BN$1:$BN$3&gt;0)))</f>
        <v>2</v>
      </c>
      <c r="I370" s="0" t="n">
        <f aca="false">IF(OR($A$4=入户维修!$F370,$BN$4=1),0,4-SUMPRODUCT(--(($A$1:$A$4=入户维修!$F370)+$BN$1:$BN$4&gt;0)))</f>
        <v>3</v>
      </c>
      <c r="J370" s="0" t="n">
        <f aca="false">IF(OR($A$5=入户维修!$F370,$BN$5=1),0,5-SUMPRODUCT(--(($A$1:$A$5=入户维修!$F370)+$BN$1:$BN$5&gt;0)))</f>
        <v>4</v>
      </c>
      <c r="L370" s="0" t="str">
        <f aca="false">IFERROR(INDEX($A$1:$A$5,MATCH(1,$F370:$J370,0)),IF(1=MAX($F370:$J370)+1,"取消",""))</f>
        <v>李师傅</v>
      </c>
      <c r="M370" s="0" t="str">
        <f aca="false">IFERROR(INDEX($A$1:$A$5,MATCH(2,$F370:$J370,0)),IF(2=MAX($F370:$J370)+1,"取消",""))</f>
        <v>王师傅</v>
      </c>
      <c r="N370" s="0" t="str">
        <f aca="false">IFERROR(INDEX($A$1:$A$5,MATCH(3,$F370:$J370,0)),IF(3=MAX($F370:$J370)+1,"取消",""))</f>
        <v>陈师傅</v>
      </c>
      <c r="O370" s="0" t="str">
        <f aca="false">IFERROR(INDEX($A$1:$A$5,MATCH(4,$F370:$J370,0)),IF(4=MAX($F370:$J370)+1,"取消",""))</f>
        <v>刘师傅</v>
      </c>
      <c r="P370" s="0" t="str">
        <f aca="false">IFERROR(INDEX($A$1:$A$5,MATCH(5,$F370:$J370,0)),IF(5=MAX($F370:$J370)+1,"取消",""))</f>
        <v>取消</v>
      </c>
      <c r="Q370" s="0" t="str">
        <f aca="false">IFERROR(INDEX($A$1:$A$5,MATCH(6,$F370:$J370,0)),IF(6=MAX($F370:$J370)+1,"取消",""))</f>
        <v/>
      </c>
      <c r="S370" s="0" t="n">
        <f aca="false">IF(OR($A$1=入户维修!$F370,$A$1=入户维修!$G370,$BN$1=1),0,1-SUMPRODUCT(--(($A$1=入户维修!$F370)+($A$1=入户维修!$G370)+$BN$1&gt;0)))</f>
        <v>0</v>
      </c>
      <c r="T370" s="0" t="n">
        <f aca="false">IF(OR($A$2=入户维修!$F370,$A$2=入户维修!$G370,$BN$2=1),0,2-SUMPRODUCT(--(($A$1:$A$2=入户维修!$F370)+($A$1:$A$2=入户维修!$G370)+$BN$1:$BN$2&gt;0)))</f>
        <v>1</v>
      </c>
      <c r="U370" s="0" t="n">
        <f aca="false">IF(OR($A$3=入户维修!$F370,$A$3=入户维修!$G370,$BN$3=1),0,3-SUMPRODUCT(--(($A$1:$A$3=入户维修!$F370)+($A$1:$A$3=入户维修!$G370)+$BN$1:$BN$3&gt;0)))</f>
        <v>2</v>
      </c>
      <c r="V370" s="0" t="n">
        <f aca="false">IF(OR($A$4=入户维修!$F370,$A$4=入户维修!$G370,$BN$4=1),0,4-SUMPRODUCT(--(($A$1:$A$4=入户维修!$F370)+($A$1:$A$4=入户维修!$G370)+$BN$1:$BN$4&gt;0)))</f>
        <v>3</v>
      </c>
      <c r="W370" s="0" t="n">
        <f aca="false">IF(OR($A$5=入户维修!$F370,$A$5=入户维修!$G370,$BN$5=1),0,5-SUMPRODUCT(--(($A$1:$A$5=入户维修!$F370)+($A$1:$A$5=入户维修!$G370)+$BN$1:$BN$5&gt;0)))</f>
        <v>4</v>
      </c>
      <c r="Y370" s="0" t="str">
        <f aca="false">IFERROR(INDEX($A$1:$A$5,MATCH(1,$S370:$W370,0)),IF(1=MAX($S370:$W370)+1,"取消",""))</f>
        <v>李师傅</v>
      </c>
      <c r="Z370" s="0" t="str">
        <f aca="false">IFERROR(INDEX($A$1:$A$5,MATCH(2,$S370:$W370,0)),IF(2=MAX($S370:$W370)+1,"取消",""))</f>
        <v>王师傅</v>
      </c>
      <c r="AA370" s="0" t="str">
        <f aca="false">IFERROR(INDEX($A$1:$A$5,MATCH(3,$S370:$W370,0)),IF(3=MAX($S370:$W370)+1,"取消",""))</f>
        <v>陈师傅</v>
      </c>
      <c r="AB370" s="0" t="str">
        <f aca="false">IFERROR(INDEX($A$1:$A$5,MATCH(4,$S370:$W370,0)),IF(4=MAX($S370:$W370)+1,"取消",""))</f>
        <v>刘师傅</v>
      </c>
      <c r="AC370" s="0" t="str">
        <f aca="false">IFERROR(INDEX($A$1:$A$5,MATCH(5,$S370:$W370,0)),IF(5=MAX($S370:$W370)+1,"取消",""))</f>
        <v>取消</v>
      </c>
      <c r="AD370" s="0" t="str">
        <f aca="false">IFERROR(INDEX($A$1:$A$5,MATCH(6,$S370:$W370,0)),IF(6=MAX($S370:$W370)+1,"取消",""))</f>
        <v/>
      </c>
      <c r="AF370" s="0" t="n">
        <f aca="false">IF(OR($A$1=公区维修!$F370,$BN$1=1),0,1-SUMPRODUCT(--(($A$1=公区维修!$F370)+$BN$1&gt;0)))</f>
        <v>0</v>
      </c>
      <c r="AG370" s="0" t="n">
        <f aca="false">IF(OR($A$2=公区维修!$F370,$BN$2=1),0,2-SUMPRODUCT(--(($A$1:$A$2=公区维修!$F370)+$BN$1:$BN$2&gt;0)))</f>
        <v>1</v>
      </c>
      <c r="AH370" s="0" t="n">
        <f aca="false">IF(OR($A$3=公区维修!$F370,$BN$3=1),0,3-SUMPRODUCT(--(($A$1:$A$3=公区维修!$F370)+$BN$1:$BN$3&gt;0)))</f>
        <v>2</v>
      </c>
      <c r="AI370" s="0" t="n">
        <f aca="false">IF(OR($A$4=公区维修!$F370,$BN$4=1),0,4-SUMPRODUCT(--(($A$1:$A$4=公区维修!$F370)+$BN$1:$BN$4&gt;0)))</f>
        <v>3</v>
      </c>
      <c r="AJ370" s="0" t="n">
        <f aca="false">IF(OR($A$5=公区维修!$F370,$BN$5=1),0,5-SUMPRODUCT(--(($A$1:$A$5=公区维修!$F370)+$BN$1:$BN$5&gt;0)))</f>
        <v>4</v>
      </c>
      <c r="AL370" s="0" t="str">
        <f aca="false">IFERROR(INDEX($A$1:$A$5,MATCH(1,$AF370:$AJ370,0)),IF(1=MAX($AF370:$AJ370)+1,"取消",""))</f>
        <v>李师傅</v>
      </c>
      <c r="AM370" s="0" t="str">
        <f aca="false">IFERROR(INDEX($A$1:$A$5,MATCH(2,$AF370:$AJ370,0)),IF(2=MAX($AF370:$AJ370)+1,"取消",""))</f>
        <v>王师傅</v>
      </c>
      <c r="AN370" s="0" t="str">
        <f aca="false">IFERROR(INDEX($A$1:$A$5,MATCH(3,$AF370:$AJ370,0)),IF(3=MAX($AF370:$AJ370)+1,"取消",""))</f>
        <v>陈师傅</v>
      </c>
      <c r="AO370" s="0" t="str">
        <f aca="false">IFERROR(INDEX($A$1:$A$5,MATCH(4,$AF370:$AJ370,0)),IF(4=MAX($AF370:$AJ370)+1,"取消",""))</f>
        <v>刘师傅</v>
      </c>
      <c r="AP370" s="0" t="str">
        <f aca="false">IFERROR(INDEX($A$1:$A$5,MATCH(5,$AF370:$AJ370,0)),IF(5=MAX($AF370:$AJ370)+1,"取消",""))</f>
        <v>取消</v>
      </c>
      <c r="AQ370" s="0" t="str">
        <f aca="false">IFERROR(INDEX($A$1:$A$5,MATCH(6,$AF370:$AJ370,0)),IF(6=MAX($AF370:$AJ370)+1,"取消",""))</f>
        <v/>
      </c>
      <c r="AS370" s="0" t="n">
        <f aca="false">IF(OR($A$1=公区维修!$F370,$A$1=公区维修!$G370,$BN$1=1),0,1-SUMPRODUCT(--(($A$1=公区维修!$F370)+($A$1=公区维修!$G370)+$BN$1&gt;0)))</f>
        <v>0</v>
      </c>
      <c r="AT370" s="0" t="n">
        <f aca="false">IF(OR($A$2=公区维修!$F370,$A$2=公区维修!$G370,$BN$2=1),0,2-SUMPRODUCT(--(($A$1:$A$2=公区维修!$F370)+($A$1:$A$2=公区维修!$G370)+$BN$1:$BN$2&gt;0)))</f>
        <v>1</v>
      </c>
      <c r="AU370" s="0" t="n">
        <f aca="false">IF(OR($A$3=公区维修!$F370,$A$3=公区维修!$G370,$BN$3=1),0,3-SUMPRODUCT(--(($A$1:$A$3=公区维修!$F370)+($A$1:$A$3=公区维修!$G370)+$BN$1:$BN$3&gt;0)))</f>
        <v>2</v>
      </c>
      <c r="AV370" s="0" t="n">
        <f aca="false">IF(OR($A$4=公区维修!$F370,$A$4=公区维修!$G370,$BN$4=1),0,4-SUMPRODUCT(--(($A$1:$A$4=公区维修!$F370)+($A$1:$A$4=公区维修!$G370)+$BN$1:$BN$4&gt;0)))</f>
        <v>3</v>
      </c>
      <c r="AW370" s="0" t="n">
        <f aca="false">IF(OR($A$5=公区维修!$F370,$A$5=公区维修!$G370,$BN$5=1),0,5-SUMPRODUCT(--(($A$1:$A$5=公区维修!$F370)+($A$1:$A$5=公区维修!$G370)+$BN$1:$BN$5&gt;0)))</f>
        <v>4</v>
      </c>
      <c r="AY370" s="0" t="str">
        <f aca="false">IFERROR(INDEX($A$1:$A$5,MATCH(1,$AS370:$AW370,0)),IF(1=MAX($AS370:$AW370)+1,"取消",""))</f>
        <v>李师傅</v>
      </c>
      <c r="AZ370" s="0" t="str">
        <f aca="false">IFERROR(INDEX($A$1:$A$5,MATCH(2,$AS370:$AW370,0)),IF(2=MAX($AS370:$AW370)+1,"取消",""))</f>
        <v>王师傅</v>
      </c>
      <c r="BA370" s="0" t="str">
        <f aca="false">IFERROR(INDEX($A$1:$A$5,MATCH(3,$AS370:$AW370,0)),IF(3=MAX($AS370:$AW370)+1,"取消",""))</f>
        <v>陈师傅</v>
      </c>
      <c r="BB370" s="0" t="str">
        <f aca="false">IFERROR(INDEX($A$1:$A$5,MATCH(4,$AS370:$AW370,0)),IF(4=MAX($AS370:$AW370)+1,"取消",""))</f>
        <v>刘师傅</v>
      </c>
      <c r="BC370" s="0" t="str">
        <f aca="false">IFERROR(INDEX($A$1:$A$5,MATCH(5,$AS370:$AW370,0)),IF(5=MAX($AS370:$AW370)+1,"取消",""))</f>
        <v>取消</v>
      </c>
      <c r="BD370" s="0" t="str">
        <f aca="false">IFERROR(INDEX($A$1:$A$5,MATCH(6,$AS370:$AW370,0)),IF(6=MAX($AS370:$AW370)+1,"取消",""))</f>
        <v/>
      </c>
      <c r="FW370" s="0" t="str">
        <f aca="false">IF(AND(单元查询!$D$3&lt;&gt;"",IF(单元查询!$B$3="公区维修",公区维修!$E370&lt;&gt;"",入户维修!$E370&lt;&gt;""),IF(单元查询!$B$3="公区维修",公区维修!$C370,入户维修!$C370)=单元查询!$D$3,OR(单元查询!$F$3="",IF(单元查询!$B$3="公区维修",公区维修!$D370,入户维修!$D370)&amp;""=(单元查询!$F$3)&amp;"")),MAX($FW$4:$FW369)+1,"")</f>
        <v/>
      </c>
    </row>
    <row r="371" customFormat="false" ht="15" hidden="false" customHeight="true" outlineLevel="0" collapsed="false">
      <c r="F371" s="0" t="n">
        <f aca="false">IF(OR($A$1=入户维修!$F371,$BN$1=1),0,1-SUMPRODUCT(--(($A$1=入户维修!$F371)+$BN$1&gt;0)))</f>
        <v>0</v>
      </c>
      <c r="G371" s="0" t="n">
        <f aca="false">IF(OR($A$2=入户维修!$F371,$BN$2=1),0,2-SUMPRODUCT(--(($A$1:$A$2=入户维修!$F371)+$BN$1:$BN$2&gt;0)))</f>
        <v>1</v>
      </c>
      <c r="H371" s="0" t="n">
        <f aca="false">IF(OR($A$3=入户维修!$F371,$BN$3=1),0,3-SUMPRODUCT(--(($A$1:$A$3=入户维修!$F371)+$BN$1:$BN$3&gt;0)))</f>
        <v>2</v>
      </c>
      <c r="I371" s="0" t="n">
        <f aca="false">IF(OR($A$4=入户维修!$F371,$BN$4=1),0,4-SUMPRODUCT(--(($A$1:$A$4=入户维修!$F371)+$BN$1:$BN$4&gt;0)))</f>
        <v>3</v>
      </c>
      <c r="J371" s="0" t="n">
        <f aca="false">IF(OR($A$5=入户维修!$F371,$BN$5=1),0,5-SUMPRODUCT(--(($A$1:$A$5=入户维修!$F371)+$BN$1:$BN$5&gt;0)))</f>
        <v>4</v>
      </c>
      <c r="L371" s="0" t="str">
        <f aca="false">IFERROR(INDEX($A$1:$A$5,MATCH(1,$F371:$J371,0)),IF(1=MAX($F371:$J371)+1,"取消",""))</f>
        <v>李师傅</v>
      </c>
      <c r="M371" s="0" t="str">
        <f aca="false">IFERROR(INDEX($A$1:$A$5,MATCH(2,$F371:$J371,0)),IF(2=MAX($F371:$J371)+1,"取消",""))</f>
        <v>王师傅</v>
      </c>
      <c r="N371" s="0" t="str">
        <f aca="false">IFERROR(INDEX($A$1:$A$5,MATCH(3,$F371:$J371,0)),IF(3=MAX($F371:$J371)+1,"取消",""))</f>
        <v>陈师傅</v>
      </c>
      <c r="O371" s="0" t="str">
        <f aca="false">IFERROR(INDEX($A$1:$A$5,MATCH(4,$F371:$J371,0)),IF(4=MAX($F371:$J371)+1,"取消",""))</f>
        <v>刘师傅</v>
      </c>
      <c r="P371" s="0" t="str">
        <f aca="false">IFERROR(INDEX($A$1:$A$5,MATCH(5,$F371:$J371,0)),IF(5=MAX($F371:$J371)+1,"取消",""))</f>
        <v>取消</v>
      </c>
      <c r="Q371" s="0" t="str">
        <f aca="false">IFERROR(INDEX($A$1:$A$5,MATCH(6,$F371:$J371,0)),IF(6=MAX($F371:$J371)+1,"取消",""))</f>
        <v/>
      </c>
      <c r="S371" s="0" t="n">
        <f aca="false">IF(OR($A$1=入户维修!$F371,$A$1=入户维修!$G371,$BN$1=1),0,1-SUMPRODUCT(--(($A$1=入户维修!$F371)+($A$1=入户维修!$G371)+$BN$1&gt;0)))</f>
        <v>0</v>
      </c>
      <c r="T371" s="0" t="n">
        <f aca="false">IF(OR($A$2=入户维修!$F371,$A$2=入户维修!$G371,$BN$2=1),0,2-SUMPRODUCT(--(($A$1:$A$2=入户维修!$F371)+($A$1:$A$2=入户维修!$G371)+$BN$1:$BN$2&gt;0)))</f>
        <v>1</v>
      </c>
      <c r="U371" s="0" t="n">
        <f aca="false">IF(OR($A$3=入户维修!$F371,$A$3=入户维修!$G371,$BN$3=1),0,3-SUMPRODUCT(--(($A$1:$A$3=入户维修!$F371)+($A$1:$A$3=入户维修!$G371)+$BN$1:$BN$3&gt;0)))</f>
        <v>2</v>
      </c>
      <c r="V371" s="0" t="n">
        <f aca="false">IF(OR($A$4=入户维修!$F371,$A$4=入户维修!$G371,$BN$4=1),0,4-SUMPRODUCT(--(($A$1:$A$4=入户维修!$F371)+($A$1:$A$4=入户维修!$G371)+$BN$1:$BN$4&gt;0)))</f>
        <v>3</v>
      </c>
      <c r="W371" s="0" t="n">
        <f aca="false">IF(OR($A$5=入户维修!$F371,$A$5=入户维修!$G371,$BN$5=1),0,5-SUMPRODUCT(--(($A$1:$A$5=入户维修!$F371)+($A$1:$A$5=入户维修!$G371)+$BN$1:$BN$5&gt;0)))</f>
        <v>4</v>
      </c>
      <c r="Y371" s="0" t="str">
        <f aca="false">IFERROR(INDEX($A$1:$A$5,MATCH(1,$S371:$W371,0)),IF(1=MAX($S371:$W371)+1,"取消",""))</f>
        <v>李师傅</v>
      </c>
      <c r="Z371" s="0" t="str">
        <f aca="false">IFERROR(INDEX($A$1:$A$5,MATCH(2,$S371:$W371,0)),IF(2=MAX($S371:$W371)+1,"取消",""))</f>
        <v>王师傅</v>
      </c>
      <c r="AA371" s="0" t="str">
        <f aca="false">IFERROR(INDEX($A$1:$A$5,MATCH(3,$S371:$W371,0)),IF(3=MAX($S371:$W371)+1,"取消",""))</f>
        <v>陈师傅</v>
      </c>
      <c r="AB371" s="0" t="str">
        <f aca="false">IFERROR(INDEX($A$1:$A$5,MATCH(4,$S371:$W371,0)),IF(4=MAX($S371:$W371)+1,"取消",""))</f>
        <v>刘师傅</v>
      </c>
      <c r="AC371" s="0" t="str">
        <f aca="false">IFERROR(INDEX($A$1:$A$5,MATCH(5,$S371:$W371,0)),IF(5=MAX($S371:$W371)+1,"取消",""))</f>
        <v>取消</v>
      </c>
      <c r="AD371" s="0" t="str">
        <f aca="false">IFERROR(INDEX($A$1:$A$5,MATCH(6,$S371:$W371,0)),IF(6=MAX($S371:$W371)+1,"取消",""))</f>
        <v/>
      </c>
      <c r="AF371" s="0" t="n">
        <f aca="false">IF(OR($A$1=公区维修!$F371,$BN$1=1),0,1-SUMPRODUCT(--(($A$1=公区维修!$F371)+$BN$1&gt;0)))</f>
        <v>0</v>
      </c>
      <c r="AG371" s="0" t="n">
        <f aca="false">IF(OR($A$2=公区维修!$F371,$BN$2=1),0,2-SUMPRODUCT(--(($A$1:$A$2=公区维修!$F371)+$BN$1:$BN$2&gt;0)))</f>
        <v>1</v>
      </c>
      <c r="AH371" s="0" t="n">
        <f aca="false">IF(OR($A$3=公区维修!$F371,$BN$3=1),0,3-SUMPRODUCT(--(($A$1:$A$3=公区维修!$F371)+$BN$1:$BN$3&gt;0)))</f>
        <v>2</v>
      </c>
      <c r="AI371" s="0" t="n">
        <f aca="false">IF(OR($A$4=公区维修!$F371,$BN$4=1),0,4-SUMPRODUCT(--(($A$1:$A$4=公区维修!$F371)+$BN$1:$BN$4&gt;0)))</f>
        <v>3</v>
      </c>
      <c r="AJ371" s="0" t="n">
        <f aca="false">IF(OR($A$5=公区维修!$F371,$BN$5=1),0,5-SUMPRODUCT(--(($A$1:$A$5=公区维修!$F371)+$BN$1:$BN$5&gt;0)))</f>
        <v>4</v>
      </c>
      <c r="AL371" s="0" t="str">
        <f aca="false">IFERROR(INDEX($A$1:$A$5,MATCH(1,$AF371:$AJ371,0)),IF(1=MAX($AF371:$AJ371)+1,"取消",""))</f>
        <v>李师傅</v>
      </c>
      <c r="AM371" s="0" t="str">
        <f aca="false">IFERROR(INDEX($A$1:$A$5,MATCH(2,$AF371:$AJ371,0)),IF(2=MAX($AF371:$AJ371)+1,"取消",""))</f>
        <v>王师傅</v>
      </c>
      <c r="AN371" s="0" t="str">
        <f aca="false">IFERROR(INDEX($A$1:$A$5,MATCH(3,$AF371:$AJ371,0)),IF(3=MAX($AF371:$AJ371)+1,"取消",""))</f>
        <v>陈师傅</v>
      </c>
      <c r="AO371" s="0" t="str">
        <f aca="false">IFERROR(INDEX($A$1:$A$5,MATCH(4,$AF371:$AJ371,0)),IF(4=MAX($AF371:$AJ371)+1,"取消",""))</f>
        <v>刘师傅</v>
      </c>
      <c r="AP371" s="0" t="str">
        <f aca="false">IFERROR(INDEX($A$1:$A$5,MATCH(5,$AF371:$AJ371,0)),IF(5=MAX($AF371:$AJ371)+1,"取消",""))</f>
        <v>取消</v>
      </c>
      <c r="AQ371" s="0" t="str">
        <f aca="false">IFERROR(INDEX($A$1:$A$5,MATCH(6,$AF371:$AJ371,0)),IF(6=MAX($AF371:$AJ371)+1,"取消",""))</f>
        <v/>
      </c>
      <c r="AS371" s="0" t="n">
        <f aca="false">IF(OR($A$1=公区维修!$F371,$A$1=公区维修!$G371,$BN$1=1),0,1-SUMPRODUCT(--(($A$1=公区维修!$F371)+($A$1=公区维修!$G371)+$BN$1&gt;0)))</f>
        <v>0</v>
      </c>
      <c r="AT371" s="0" t="n">
        <f aca="false">IF(OR($A$2=公区维修!$F371,$A$2=公区维修!$G371,$BN$2=1),0,2-SUMPRODUCT(--(($A$1:$A$2=公区维修!$F371)+($A$1:$A$2=公区维修!$G371)+$BN$1:$BN$2&gt;0)))</f>
        <v>1</v>
      </c>
      <c r="AU371" s="0" t="n">
        <f aca="false">IF(OR($A$3=公区维修!$F371,$A$3=公区维修!$G371,$BN$3=1),0,3-SUMPRODUCT(--(($A$1:$A$3=公区维修!$F371)+($A$1:$A$3=公区维修!$G371)+$BN$1:$BN$3&gt;0)))</f>
        <v>2</v>
      </c>
      <c r="AV371" s="0" t="n">
        <f aca="false">IF(OR($A$4=公区维修!$F371,$A$4=公区维修!$G371,$BN$4=1),0,4-SUMPRODUCT(--(($A$1:$A$4=公区维修!$F371)+($A$1:$A$4=公区维修!$G371)+$BN$1:$BN$4&gt;0)))</f>
        <v>3</v>
      </c>
      <c r="AW371" s="0" t="n">
        <f aca="false">IF(OR($A$5=公区维修!$F371,$A$5=公区维修!$G371,$BN$5=1),0,5-SUMPRODUCT(--(($A$1:$A$5=公区维修!$F371)+($A$1:$A$5=公区维修!$G371)+$BN$1:$BN$5&gt;0)))</f>
        <v>4</v>
      </c>
      <c r="AY371" s="0" t="str">
        <f aca="false">IFERROR(INDEX($A$1:$A$5,MATCH(1,$AS371:$AW371,0)),IF(1=MAX($AS371:$AW371)+1,"取消",""))</f>
        <v>李师傅</v>
      </c>
      <c r="AZ371" s="0" t="str">
        <f aca="false">IFERROR(INDEX($A$1:$A$5,MATCH(2,$AS371:$AW371,0)),IF(2=MAX($AS371:$AW371)+1,"取消",""))</f>
        <v>王师傅</v>
      </c>
      <c r="BA371" s="0" t="str">
        <f aca="false">IFERROR(INDEX($A$1:$A$5,MATCH(3,$AS371:$AW371,0)),IF(3=MAX($AS371:$AW371)+1,"取消",""))</f>
        <v>陈师傅</v>
      </c>
      <c r="BB371" s="0" t="str">
        <f aca="false">IFERROR(INDEX($A$1:$A$5,MATCH(4,$AS371:$AW371,0)),IF(4=MAX($AS371:$AW371)+1,"取消",""))</f>
        <v>刘师傅</v>
      </c>
      <c r="BC371" s="0" t="str">
        <f aca="false">IFERROR(INDEX($A$1:$A$5,MATCH(5,$AS371:$AW371,0)),IF(5=MAX($AS371:$AW371)+1,"取消",""))</f>
        <v>取消</v>
      </c>
      <c r="BD371" s="0" t="str">
        <f aca="false">IFERROR(INDEX($A$1:$A$5,MATCH(6,$AS371:$AW371,0)),IF(6=MAX($AS371:$AW371)+1,"取消",""))</f>
        <v/>
      </c>
      <c r="FW371" s="0" t="str">
        <f aca="false">IF(AND(单元查询!$D$3&lt;&gt;"",IF(单元查询!$B$3="公区维修",公区维修!$E371&lt;&gt;"",入户维修!$E371&lt;&gt;""),IF(单元查询!$B$3="公区维修",公区维修!$C371,入户维修!$C371)=单元查询!$D$3,OR(单元查询!$F$3="",IF(单元查询!$B$3="公区维修",公区维修!$D371,入户维修!$D371)&amp;""=(单元查询!$F$3)&amp;"")),MAX($FW$4:$FW370)+1,"")</f>
        <v/>
      </c>
    </row>
    <row r="372" customFormat="false" ht="15" hidden="false" customHeight="true" outlineLevel="0" collapsed="false">
      <c r="F372" s="0" t="n">
        <f aca="false">IF(OR($A$1=入户维修!$F372,$BN$1=1),0,1-SUMPRODUCT(--(($A$1=入户维修!$F372)+$BN$1&gt;0)))</f>
        <v>0</v>
      </c>
      <c r="G372" s="0" t="n">
        <f aca="false">IF(OR($A$2=入户维修!$F372,$BN$2=1),0,2-SUMPRODUCT(--(($A$1:$A$2=入户维修!$F372)+$BN$1:$BN$2&gt;0)))</f>
        <v>1</v>
      </c>
      <c r="H372" s="0" t="n">
        <f aca="false">IF(OR($A$3=入户维修!$F372,$BN$3=1),0,3-SUMPRODUCT(--(($A$1:$A$3=入户维修!$F372)+$BN$1:$BN$3&gt;0)))</f>
        <v>2</v>
      </c>
      <c r="I372" s="0" t="n">
        <f aca="false">IF(OR($A$4=入户维修!$F372,$BN$4=1),0,4-SUMPRODUCT(--(($A$1:$A$4=入户维修!$F372)+$BN$1:$BN$4&gt;0)))</f>
        <v>3</v>
      </c>
      <c r="J372" s="0" t="n">
        <f aca="false">IF(OR($A$5=入户维修!$F372,$BN$5=1),0,5-SUMPRODUCT(--(($A$1:$A$5=入户维修!$F372)+$BN$1:$BN$5&gt;0)))</f>
        <v>4</v>
      </c>
      <c r="L372" s="0" t="str">
        <f aca="false">IFERROR(INDEX($A$1:$A$5,MATCH(1,$F372:$J372,0)),IF(1=MAX($F372:$J372)+1,"取消",""))</f>
        <v>李师傅</v>
      </c>
      <c r="M372" s="0" t="str">
        <f aca="false">IFERROR(INDEX($A$1:$A$5,MATCH(2,$F372:$J372,0)),IF(2=MAX($F372:$J372)+1,"取消",""))</f>
        <v>王师傅</v>
      </c>
      <c r="N372" s="0" t="str">
        <f aca="false">IFERROR(INDEX($A$1:$A$5,MATCH(3,$F372:$J372,0)),IF(3=MAX($F372:$J372)+1,"取消",""))</f>
        <v>陈师傅</v>
      </c>
      <c r="O372" s="0" t="str">
        <f aca="false">IFERROR(INDEX($A$1:$A$5,MATCH(4,$F372:$J372,0)),IF(4=MAX($F372:$J372)+1,"取消",""))</f>
        <v>刘师傅</v>
      </c>
      <c r="P372" s="0" t="str">
        <f aca="false">IFERROR(INDEX($A$1:$A$5,MATCH(5,$F372:$J372,0)),IF(5=MAX($F372:$J372)+1,"取消",""))</f>
        <v>取消</v>
      </c>
      <c r="Q372" s="0" t="str">
        <f aca="false">IFERROR(INDEX($A$1:$A$5,MATCH(6,$F372:$J372,0)),IF(6=MAX($F372:$J372)+1,"取消",""))</f>
        <v/>
      </c>
      <c r="S372" s="0" t="n">
        <f aca="false">IF(OR($A$1=入户维修!$F372,$A$1=入户维修!$G372,$BN$1=1),0,1-SUMPRODUCT(--(($A$1=入户维修!$F372)+($A$1=入户维修!$G372)+$BN$1&gt;0)))</f>
        <v>0</v>
      </c>
      <c r="T372" s="0" t="n">
        <f aca="false">IF(OR($A$2=入户维修!$F372,$A$2=入户维修!$G372,$BN$2=1),0,2-SUMPRODUCT(--(($A$1:$A$2=入户维修!$F372)+($A$1:$A$2=入户维修!$G372)+$BN$1:$BN$2&gt;0)))</f>
        <v>1</v>
      </c>
      <c r="U372" s="0" t="n">
        <f aca="false">IF(OR($A$3=入户维修!$F372,$A$3=入户维修!$G372,$BN$3=1),0,3-SUMPRODUCT(--(($A$1:$A$3=入户维修!$F372)+($A$1:$A$3=入户维修!$G372)+$BN$1:$BN$3&gt;0)))</f>
        <v>2</v>
      </c>
      <c r="V372" s="0" t="n">
        <f aca="false">IF(OR($A$4=入户维修!$F372,$A$4=入户维修!$G372,$BN$4=1),0,4-SUMPRODUCT(--(($A$1:$A$4=入户维修!$F372)+($A$1:$A$4=入户维修!$G372)+$BN$1:$BN$4&gt;0)))</f>
        <v>3</v>
      </c>
      <c r="W372" s="0" t="n">
        <f aca="false">IF(OR($A$5=入户维修!$F372,$A$5=入户维修!$G372,$BN$5=1),0,5-SUMPRODUCT(--(($A$1:$A$5=入户维修!$F372)+($A$1:$A$5=入户维修!$G372)+$BN$1:$BN$5&gt;0)))</f>
        <v>4</v>
      </c>
      <c r="Y372" s="0" t="str">
        <f aca="false">IFERROR(INDEX($A$1:$A$5,MATCH(1,$S372:$W372,0)),IF(1=MAX($S372:$W372)+1,"取消",""))</f>
        <v>李师傅</v>
      </c>
      <c r="Z372" s="0" t="str">
        <f aca="false">IFERROR(INDEX($A$1:$A$5,MATCH(2,$S372:$W372,0)),IF(2=MAX($S372:$W372)+1,"取消",""))</f>
        <v>王师傅</v>
      </c>
      <c r="AA372" s="0" t="str">
        <f aca="false">IFERROR(INDEX($A$1:$A$5,MATCH(3,$S372:$W372,0)),IF(3=MAX($S372:$W372)+1,"取消",""))</f>
        <v>陈师傅</v>
      </c>
      <c r="AB372" s="0" t="str">
        <f aca="false">IFERROR(INDEX($A$1:$A$5,MATCH(4,$S372:$W372,0)),IF(4=MAX($S372:$W372)+1,"取消",""))</f>
        <v>刘师傅</v>
      </c>
      <c r="AC372" s="0" t="str">
        <f aca="false">IFERROR(INDEX($A$1:$A$5,MATCH(5,$S372:$W372,0)),IF(5=MAX($S372:$W372)+1,"取消",""))</f>
        <v>取消</v>
      </c>
      <c r="AD372" s="0" t="str">
        <f aca="false">IFERROR(INDEX($A$1:$A$5,MATCH(6,$S372:$W372,0)),IF(6=MAX($S372:$W372)+1,"取消",""))</f>
        <v/>
      </c>
      <c r="AF372" s="0" t="n">
        <f aca="false">IF(OR($A$1=公区维修!$F372,$BN$1=1),0,1-SUMPRODUCT(--(($A$1=公区维修!$F372)+$BN$1&gt;0)))</f>
        <v>0</v>
      </c>
      <c r="AG372" s="0" t="n">
        <f aca="false">IF(OR($A$2=公区维修!$F372,$BN$2=1),0,2-SUMPRODUCT(--(($A$1:$A$2=公区维修!$F372)+$BN$1:$BN$2&gt;0)))</f>
        <v>1</v>
      </c>
      <c r="AH372" s="0" t="n">
        <f aca="false">IF(OR($A$3=公区维修!$F372,$BN$3=1),0,3-SUMPRODUCT(--(($A$1:$A$3=公区维修!$F372)+$BN$1:$BN$3&gt;0)))</f>
        <v>2</v>
      </c>
      <c r="AI372" s="0" t="n">
        <f aca="false">IF(OR($A$4=公区维修!$F372,$BN$4=1),0,4-SUMPRODUCT(--(($A$1:$A$4=公区维修!$F372)+$BN$1:$BN$4&gt;0)))</f>
        <v>3</v>
      </c>
      <c r="AJ372" s="0" t="n">
        <f aca="false">IF(OR($A$5=公区维修!$F372,$BN$5=1),0,5-SUMPRODUCT(--(($A$1:$A$5=公区维修!$F372)+$BN$1:$BN$5&gt;0)))</f>
        <v>4</v>
      </c>
      <c r="AL372" s="0" t="str">
        <f aca="false">IFERROR(INDEX($A$1:$A$5,MATCH(1,$AF372:$AJ372,0)),IF(1=MAX($AF372:$AJ372)+1,"取消",""))</f>
        <v>李师傅</v>
      </c>
      <c r="AM372" s="0" t="str">
        <f aca="false">IFERROR(INDEX($A$1:$A$5,MATCH(2,$AF372:$AJ372,0)),IF(2=MAX($AF372:$AJ372)+1,"取消",""))</f>
        <v>王师傅</v>
      </c>
      <c r="AN372" s="0" t="str">
        <f aca="false">IFERROR(INDEX($A$1:$A$5,MATCH(3,$AF372:$AJ372,0)),IF(3=MAX($AF372:$AJ372)+1,"取消",""))</f>
        <v>陈师傅</v>
      </c>
      <c r="AO372" s="0" t="str">
        <f aca="false">IFERROR(INDEX($A$1:$A$5,MATCH(4,$AF372:$AJ372,0)),IF(4=MAX($AF372:$AJ372)+1,"取消",""))</f>
        <v>刘师傅</v>
      </c>
      <c r="AP372" s="0" t="str">
        <f aca="false">IFERROR(INDEX($A$1:$A$5,MATCH(5,$AF372:$AJ372,0)),IF(5=MAX($AF372:$AJ372)+1,"取消",""))</f>
        <v>取消</v>
      </c>
      <c r="AQ372" s="0" t="str">
        <f aca="false">IFERROR(INDEX($A$1:$A$5,MATCH(6,$AF372:$AJ372,0)),IF(6=MAX($AF372:$AJ372)+1,"取消",""))</f>
        <v/>
      </c>
      <c r="AS372" s="0" t="n">
        <f aca="false">IF(OR($A$1=公区维修!$F372,$A$1=公区维修!$G372,$BN$1=1),0,1-SUMPRODUCT(--(($A$1=公区维修!$F372)+($A$1=公区维修!$G372)+$BN$1&gt;0)))</f>
        <v>0</v>
      </c>
      <c r="AT372" s="0" t="n">
        <f aca="false">IF(OR($A$2=公区维修!$F372,$A$2=公区维修!$G372,$BN$2=1),0,2-SUMPRODUCT(--(($A$1:$A$2=公区维修!$F372)+($A$1:$A$2=公区维修!$G372)+$BN$1:$BN$2&gt;0)))</f>
        <v>1</v>
      </c>
      <c r="AU372" s="0" t="n">
        <f aca="false">IF(OR($A$3=公区维修!$F372,$A$3=公区维修!$G372,$BN$3=1),0,3-SUMPRODUCT(--(($A$1:$A$3=公区维修!$F372)+($A$1:$A$3=公区维修!$G372)+$BN$1:$BN$3&gt;0)))</f>
        <v>2</v>
      </c>
      <c r="AV372" s="0" t="n">
        <f aca="false">IF(OR($A$4=公区维修!$F372,$A$4=公区维修!$G372,$BN$4=1),0,4-SUMPRODUCT(--(($A$1:$A$4=公区维修!$F372)+($A$1:$A$4=公区维修!$G372)+$BN$1:$BN$4&gt;0)))</f>
        <v>3</v>
      </c>
      <c r="AW372" s="0" t="n">
        <f aca="false">IF(OR($A$5=公区维修!$F372,$A$5=公区维修!$G372,$BN$5=1),0,5-SUMPRODUCT(--(($A$1:$A$5=公区维修!$F372)+($A$1:$A$5=公区维修!$G372)+$BN$1:$BN$5&gt;0)))</f>
        <v>4</v>
      </c>
      <c r="AY372" s="0" t="str">
        <f aca="false">IFERROR(INDEX($A$1:$A$5,MATCH(1,$AS372:$AW372,0)),IF(1=MAX($AS372:$AW372)+1,"取消",""))</f>
        <v>李师傅</v>
      </c>
      <c r="AZ372" s="0" t="str">
        <f aca="false">IFERROR(INDEX($A$1:$A$5,MATCH(2,$AS372:$AW372,0)),IF(2=MAX($AS372:$AW372)+1,"取消",""))</f>
        <v>王师傅</v>
      </c>
      <c r="BA372" s="0" t="str">
        <f aca="false">IFERROR(INDEX($A$1:$A$5,MATCH(3,$AS372:$AW372,0)),IF(3=MAX($AS372:$AW372)+1,"取消",""))</f>
        <v>陈师傅</v>
      </c>
      <c r="BB372" s="0" t="str">
        <f aca="false">IFERROR(INDEX($A$1:$A$5,MATCH(4,$AS372:$AW372,0)),IF(4=MAX($AS372:$AW372)+1,"取消",""))</f>
        <v>刘师傅</v>
      </c>
      <c r="BC372" s="0" t="str">
        <f aca="false">IFERROR(INDEX($A$1:$A$5,MATCH(5,$AS372:$AW372,0)),IF(5=MAX($AS372:$AW372)+1,"取消",""))</f>
        <v>取消</v>
      </c>
      <c r="BD372" s="0" t="str">
        <f aca="false">IFERROR(INDEX($A$1:$A$5,MATCH(6,$AS372:$AW372,0)),IF(6=MAX($AS372:$AW372)+1,"取消",""))</f>
        <v/>
      </c>
      <c r="FW372" s="0" t="str">
        <f aca="false">IF(AND(单元查询!$D$3&lt;&gt;"",IF(单元查询!$B$3="公区维修",公区维修!$E372&lt;&gt;"",入户维修!$E372&lt;&gt;""),IF(单元查询!$B$3="公区维修",公区维修!$C372,入户维修!$C372)=单元查询!$D$3,OR(单元查询!$F$3="",IF(单元查询!$B$3="公区维修",公区维修!$D372,入户维修!$D372)&amp;""=(单元查询!$F$3)&amp;"")),MAX($FW$4:$FW371)+1,"")</f>
        <v/>
      </c>
    </row>
    <row r="373" customFormat="false" ht="15" hidden="false" customHeight="true" outlineLevel="0" collapsed="false">
      <c r="F373" s="0" t="n">
        <f aca="false">IF(OR($A$1=入户维修!$F373,$BN$1=1),0,1-SUMPRODUCT(--(($A$1=入户维修!$F373)+$BN$1&gt;0)))</f>
        <v>0</v>
      </c>
      <c r="G373" s="0" t="n">
        <f aca="false">IF(OR($A$2=入户维修!$F373,$BN$2=1),0,2-SUMPRODUCT(--(($A$1:$A$2=入户维修!$F373)+$BN$1:$BN$2&gt;0)))</f>
        <v>1</v>
      </c>
      <c r="H373" s="0" t="n">
        <f aca="false">IF(OR($A$3=入户维修!$F373,$BN$3=1),0,3-SUMPRODUCT(--(($A$1:$A$3=入户维修!$F373)+$BN$1:$BN$3&gt;0)))</f>
        <v>2</v>
      </c>
      <c r="I373" s="0" t="n">
        <f aca="false">IF(OR($A$4=入户维修!$F373,$BN$4=1),0,4-SUMPRODUCT(--(($A$1:$A$4=入户维修!$F373)+$BN$1:$BN$4&gt;0)))</f>
        <v>3</v>
      </c>
      <c r="J373" s="0" t="n">
        <f aca="false">IF(OR($A$5=入户维修!$F373,$BN$5=1),0,5-SUMPRODUCT(--(($A$1:$A$5=入户维修!$F373)+$BN$1:$BN$5&gt;0)))</f>
        <v>4</v>
      </c>
      <c r="L373" s="0" t="str">
        <f aca="false">IFERROR(INDEX($A$1:$A$5,MATCH(1,$F373:$J373,0)),IF(1=MAX($F373:$J373)+1,"取消",""))</f>
        <v>李师傅</v>
      </c>
      <c r="M373" s="0" t="str">
        <f aca="false">IFERROR(INDEX($A$1:$A$5,MATCH(2,$F373:$J373,0)),IF(2=MAX($F373:$J373)+1,"取消",""))</f>
        <v>王师傅</v>
      </c>
      <c r="N373" s="0" t="str">
        <f aca="false">IFERROR(INDEX($A$1:$A$5,MATCH(3,$F373:$J373,0)),IF(3=MAX($F373:$J373)+1,"取消",""))</f>
        <v>陈师傅</v>
      </c>
      <c r="O373" s="0" t="str">
        <f aca="false">IFERROR(INDEX($A$1:$A$5,MATCH(4,$F373:$J373,0)),IF(4=MAX($F373:$J373)+1,"取消",""))</f>
        <v>刘师傅</v>
      </c>
      <c r="P373" s="0" t="str">
        <f aca="false">IFERROR(INDEX($A$1:$A$5,MATCH(5,$F373:$J373,0)),IF(5=MAX($F373:$J373)+1,"取消",""))</f>
        <v>取消</v>
      </c>
      <c r="Q373" s="0" t="str">
        <f aca="false">IFERROR(INDEX($A$1:$A$5,MATCH(6,$F373:$J373,0)),IF(6=MAX($F373:$J373)+1,"取消",""))</f>
        <v/>
      </c>
      <c r="S373" s="0" t="n">
        <f aca="false">IF(OR($A$1=入户维修!$F373,$A$1=入户维修!$G373,$BN$1=1),0,1-SUMPRODUCT(--(($A$1=入户维修!$F373)+($A$1=入户维修!$G373)+$BN$1&gt;0)))</f>
        <v>0</v>
      </c>
      <c r="T373" s="0" t="n">
        <f aca="false">IF(OR($A$2=入户维修!$F373,$A$2=入户维修!$G373,$BN$2=1),0,2-SUMPRODUCT(--(($A$1:$A$2=入户维修!$F373)+($A$1:$A$2=入户维修!$G373)+$BN$1:$BN$2&gt;0)))</f>
        <v>1</v>
      </c>
      <c r="U373" s="0" t="n">
        <f aca="false">IF(OR($A$3=入户维修!$F373,$A$3=入户维修!$G373,$BN$3=1),0,3-SUMPRODUCT(--(($A$1:$A$3=入户维修!$F373)+($A$1:$A$3=入户维修!$G373)+$BN$1:$BN$3&gt;0)))</f>
        <v>2</v>
      </c>
      <c r="V373" s="0" t="n">
        <f aca="false">IF(OR($A$4=入户维修!$F373,$A$4=入户维修!$G373,$BN$4=1),0,4-SUMPRODUCT(--(($A$1:$A$4=入户维修!$F373)+($A$1:$A$4=入户维修!$G373)+$BN$1:$BN$4&gt;0)))</f>
        <v>3</v>
      </c>
      <c r="W373" s="0" t="n">
        <f aca="false">IF(OR($A$5=入户维修!$F373,$A$5=入户维修!$G373,$BN$5=1),0,5-SUMPRODUCT(--(($A$1:$A$5=入户维修!$F373)+($A$1:$A$5=入户维修!$G373)+$BN$1:$BN$5&gt;0)))</f>
        <v>4</v>
      </c>
      <c r="Y373" s="0" t="str">
        <f aca="false">IFERROR(INDEX($A$1:$A$5,MATCH(1,$S373:$W373,0)),IF(1=MAX($S373:$W373)+1,"取消",""))</f>
        <v>李师傅</v>
      </c>
      <c r="Z373" s="0" t="str">
        <f aca="false">IFERROR(INDEX($A$1:$A$5,MATCH(2,$S373:$W373,0)),IF(2=MAX($S373:$W373)+1,"取消",""))</f>
        <v>王师傅</v>
      </c>
      <c r="AA373" s="0" t="str">
        <f aca="false">IFERROR(INDEX($A$1:$A$5,MATCH(3,$S373:$W373,0)),IF(3=MAX($S373:$W373)+1,"取消",""))</f>
        <v>陈师傅</v>
      </c>
      <c r="AB373" s="0" t="str">
        <f aca="false">IFERROR(INDEX($A$1:$A$5,MATCH(4,$S373:$W373,0)),IF(4=MAX($S373:$W373)+1,"取消",""))</f>
        <v>刘师傅</v>
      </c>
      <c r="AC373" s="0" t="str">
        <f aca="false">IFERROR(INDEX($A$1:$A$5,MATCH(5,$S373:$W373,0)),IF(5=MAX($S373:$W373)+1,"取消",""))</f>
        <v>取消</v>
      </c>
      <c r="AD373" s="0" t="str">
        <f aca="false">IFERROR(INDEX($A$1:$A$5,MATCH(6,$S373:$W373,0)),IF(6=MAX($S373:$W373)+1,"取消",""))</f>
        <v/>
      </c>
      <c r="AF373" s="0" t="n">
        <f aca="false">IF(OR($A$1=公区维修!$F373,$BN$1=1),0,1-SUMPRODUCT(--(($A$1=公区维修!$F373)+$BN$1&gt;0)))</f>
        <v>0</v>
      </c>
      <c r="AG373" s="0" t="n">
        <f aca="false">IF(OR($A$2=公区维修!$F373,$BN$2=1),0,2-SUMPRODUCT(--(($A$1:$A$2=公区维修!$F373)+$BN$1:$BN$2&gt;0)))</f>
        <v>1</v>
      </c>
      <c r="AH373" s="0" t="n">
        <f aca="false">IF(OR($A$3=公区维修!$F373,$BN$3=1),0,3-SUMPRODUCT(--(($A$1:$A$3=公区维修!$F373)+$BN$1:$BN$3&gt;0)))</f>
        <v>2</v>
      </c>
      <c r="AI373" s="0" t="n">
        <f aca="false">IF(OR($A$4=公区维修!$F373,$BN$4=1),0,4-SUMPRODUCT(--(($A$1:$A$4=公区维修!$F373)+$BN$1:$BN$4&gt;0)))</f>
        <v>3</v>
      </c>
      <c r="AJ373" s="0" t="n">
        <f aca="false">IF(OR($A$5=公区维修!$F373,$BN$5=1),0,5-SUMPRODUCT(--(($A$1:$A$5=公区维修!$F373)+$BN$1:$BN$5&gt;0)))</f>
        <v>4</v>
      </c>
      <c r="AL373" s="0" t="str">
        <f aca="false">IFERROR(INDEX($A$1:$A$5,MATCH(1,$AF373:$AJ373,0)),IF(1=MAX($AF373:$AJ373)+1,"取消",""))</f>
        <v>李师傅</v>
      </c>
      <c r="AM373" s="0" t="str">
        <f aca="false">IFERROR(INDEX($A$1:$A$5,MATCH(2,$AF373:$AJ373,0)),IF(2=MAX($AF373:$AJ373)+1,"取消",""))</f>
        <v>王师傅</v>
      </c>
      <c r="AN373" s="0" t="str">
        <f aca="false">IFERROR(INDEX($A$1:$A$5,MATCH(3,$AF373:$AJ373,0)),IF(3=MAX($AF373:$AJ373)+1,"取消",""))</f>
        <v>陈师傅</v>
      </c>
      <c r="AO373" s="0" t="str">
        <f aca="false">IFERROR(INDEX($A$1:$A$5,MATCH(4,$AF373:$AJ373,0)),IF(4=MAX($AF373:$AJ373)+1,"取消",""))</f>
        <v>刘师傅</v>
      </c>
      <c r="AP373" s="0" t="str">
        <f aca="false">IFERROR(INDEX($A$1:$A$5,MATCH(5,$AF373:$AJ373,0)),IF(5=MAX($AF373:$AJ373)+1,"取消",""))</f>
        <v>取消</v>
      </c>
      <c r="AQ373" s="0" t="str">
        <f aca="false">IFERROR(INDEX($A$1:$A$5,MATCH(6,$AF373:$AJ373,0)),IF(6=MAX($AF373:$AJ373)+1,"取消",""))</f>
        <v/>
      </c>
      <c r="AS373" s="0" t="n">
        <f aca="false">IF(OR($A$1=公区维修!$F373,$A$1=公区维修!$G373,$BN$1=1),0,1-SUMPRODUCT(--(($A$1=公区维修!$F373)+($A$1=公区维修!$G373)+$BN$1&gt;0)))</f>
        <v>0</v>
      </c>
      <c r="AT373" s="0" t="n">
        <f aca="false">IF(OR($A$2=公区维修!$F373,$A$2=公区维修!$G373,$BN$2=1),0,2-SUMPRODUCT(--(($A$1:$A$2=公区维修!$F373)+($A$1:$A$2=公区维修!$G373)+$BN$1:$BN$2&gt;0)))</f>
        <v>1</v>
      </c>
      <c r="AU373" s="0" t="n">
        <f aca="false">IF(OR($A$3=公区维修!$F373,$A$3=公区维修!$G373,$BN$3=1),0,3-SUMPRODUCT(--(($A$1:$A$3=公区维修!$F373)+($A$1:$A$3=公区维修!$G373)+$BN$1:$BN$3&gt;0)))</f>
        <v>2</v>
      </c>
      <c r="AV373" s="0" t="n">
        <f aca="false">IF(OR($A$4=公区维修!$F373,$A$4=公区维修!$G373,$BN$4=1),0,4-SUMPRODUCT(--(($A$1:$A$4=公区维修!$F373)+($A$1:$A$4=公区维修!$G373)+$BN$1:$BN$4&gt;0)))</f>
        <v>3</v>
      </c>
      <c r="AW373" s="0" t="n">
        <f aca="false">IF(OR($A$5=公区维修!$F373,$A$5=公区维修!$G373,$BN$5=1),0,5-SUMPRODUCT(--(($A$1:$A$5=公区维修!$F373)+($A$1:$A$5=公区维修!$G373)+$BN$1:$BN$5&gt;0)))</f>
        <v>4</v>
      </c>
      <c r="AY373" s="0" t="str">
        <f aca="false">IFERROR(INDEX($A$1:$A$5,MATCH(1,$AS373:$AW373,0)),IF(1=MAX($AS373:$AW373)+1,"取消",""))</f>
        <v>李师傅</v>
      </c>
      <c r="AZ373" s="0" t="str">
        <f aca="false">IFERROR(INDEX($A$1:$A$5,MATCH(2,$AS373:$AW373,0)),IF(2=MAX($AS373:$AW373)+1,"取消",""))</f>
        <v>王师傅</v>
      </c>
      <c r="BA373" s="0" t="str">
        <f aca="false">IFERROR(INDEX($A$1:$A$5,MATCH(3,$AS373:$AW373,0)),IF(3=MAX($AS373:$AW373)+1,"取消",""))</f>
        <v>陈师傅</v>
      </c>
      <c r="BB373" s="0" t="str">
        <f aca="false">IFERROR(INDEX($A$1:$A$5,MATCH(4,$AS373:$AW373,0)),IF(4=MAX($AS373:$AW373)+1,"取消",""))</f>
        <v>刘师傅</v>
      </c>
      <c r="BC373" s="0" t="str">
        <f aca="false">IFERROR(INDEX($A$1:$A$5,MATCH(5,$AS373:$AW373,0)),IF(5=MAX($AS373:$AW373)+1,"取消",""))</f>
        <v>取消</v>
      </c>
      <c r="BD373" s="0" t="str">
        <f aca="false">IFERROR(INDEX($A$1:$A$5,MATCH(6,$AS373:$AW373,0)),IF(6=MAX($AS373:$AW373)+1,"取消",""))</f>
        <v/>
      </c>
      <c r="FW373" s="0" t="str">
        <f aca="false">IF(AND(单元查询!$D$3&lt;&gt;"",IF(单元查询!$B$3="公区维修",公区维修!$E373&lt;&gt;"",入户维修!$E373&lt;&gt;""),IF(单元查询!$B$3="公区维修",公区维修!$C373,入户维修!$C373)=单元查询!$D$3,OR(单元查询!$F$3="",IF(单元查询!$B$3="公区维修",公区维修!$D373,入户维修!$D373)&amp;""=(单元查询!$F$3)&amp;"")),MAX($FW$4:$FW372)+1,"")</f>
        <v/>
      </c>
    </row>
    <row r="374" customFormat="false" ht="15" hidden="false" customHeight="true" outlineLevel="0" collapsed="false">
      <c r="F374" s="0" t="n">
        <f aca="false">IF(OR($A$1=入户维修!$F374,$BN$1=1),0,1-SUMPRODUCT(--(($A$1=入户维修!$F374)+$BN$1&gt;0)))</f>
        <v>0</v>
      </c>
      <c r="G374" s="0" t="n">
        <f aca="false">IF(OR($A$2=入户维修!$F374,$BN$2=1),0,2-SUMPRODUCT(--(($A$1:$A$2=入户维修!$F374)+$BN$1:$BN$2&gt;0)))</f>
        <v>1</v>
      </c>
      <c r="H374" s="0" t="n">
        <f aca="false">IF(OR($A$3=入户维修!$F374,$BN$3=1),0,3-SUMPRODUCT(--(($A$1:$A$3=入户维修!$F374)+$BN$1:$BN$3&gt;0)))</f>
        <v>2</v>
      </c>
      <c r="I374" s="0" t="n">
        <f aca="false">IF(OR($A$4=入户维修!$F374,$BN$4=1),0,4-SUMPRODUCT(--(($A$1:$A$4=入户维修!$F374)+$BN$1:$BN$4&gt;0)))</f>
        <v>3</v>
      </c>
      <c r="J374" s="0" t="n">
        <f aca="false">IF(OR($A$5=入户维修!$F374,$BN$5=1),0,5-SUMPRODUCT(--(($A$1:$A$5=入户维修!$F374)+$BN$1:$BN$5&gt;0)))</f>
        <v>4</v>
      </c>
      <c r="L374" s="0" t="str">
        <f aca="false">IFERROR(INDEX($A$1:$A$5,MATCH(1,$F374:$J374,0)),IF(1=MAX($F374:$J374)+1,"取消",""))</f>
        <v>李师傅</v>
      </c>
      <c r="M374" s="0" t="str">
        <f aca="false">IFERROR(INDEX($A$1:$A$5,MATCH(2,$F374:$J374,0)),IF(2=MAX($F374:$J374)+1,"取消",""))</f>
        <v>王师傅</v>
      </c>
      <c r="N374" s="0" t="str">
        <f aca="false">IFERROR(INDEX($A$1:$A$5,MATCH(3,$F374:$J374,0)),IF(3=MAX($F374:$J374)+1,"取消",""))</f>
        <v>陈师傅</v>
      </c>
      <c r="O374" s="0" t="str">
        <f aca="false">IFERROR(INDEX($A$1:$A$5,MATCH(4,$F374:$J374,0)),IF(4=MAX($F374:$J374)+1,"取消",""))</f>
        <v>刘师傅</v>
      </c>
      <c r="P374" s="0" t="str">
        <f aca="false">IFERROR(INDEX($A$1:$A$5,MATCH(5,$F374:$J374,0)),IF(5=MAX($F374:$J374)+1,"取消",""))</f>
        <v>取消</v>
      </c>
      <c r="Q374" s="0" t="str">
        <f aca="false">IFERROR(INDEX($A$1:$A$5,MATCH(6,$F374:$J374,0)),IF(6=MAX($F374:$J374)+1,"取消",""))</f>
        <v/>
      </c>
      <c r="S374" s="0" t="n">
        <f aca="false">IF(OR($A$1=入户维修!$F374,$A$1=入户维修!$G374,$BN$1=1),0,1-SUMPRODUCT(--(($A$1=入户维修!$F374)+($A$1=入户维修!$G374)+$BN$1&gt;0)))</f>
        <v>0</v>
      </c>
      <c r="T374" s="0" t="n">
        <f aca="false">IF(OR($A$2=入户维修!$F374,$A$2=入户维修!$G374,$BN$2=1),0,2-SUMPRODUCT(--(($A$1:$A$2=入户维修!$F374)+($A$1:$A$2=入户维修!$G374)+$BN$1:$BN$2&gt;0)))</f>
        <v>1</v>
      </c>
      <c r="U374" s="0" t="n">
        <f aca="false">IF(OR($A$3=入户维修!$F374,$A$3=入户维修!$G374,$BN$3=1),0,3-SUMPRODUCT(--(($A$1:$A$3=入户维修!$F374)+($A$1:$A$3=入户维修!$G374)+$BN$1:$BN$3&gt;0)))</f>
        <v>2</v>
      </c>
      <c r="V374" s="0" t="n">
        <f aca="false">IF(OR($A$4=入户维修!$F374,$A$4=入户维修!$G374,$BN$4=1),0,4-SUMPRODUCT(--(($A$1:$A$4=入户维修!$F374)+($A$1:$A$4=入户维修!$G374)+$BN$1:$BN$4&gt;0)))</f>
        <v>3</v>
      </c>
      <c r="W374" s="0" t="n">
        <f aca="false">IF(OR($A$5=入户维修!$F374,$A$5=入户维修!$G374,$BN$5=1),0,5-SUMPRODUCT(--(($A$1:$A$5=入户维修!$F374)+($A$1:$A$5=入户维修!$G374)+$BN$1:$BN$5&gt;0)))</f>
        <v>4</v>
      </c>
      <c r="Y374" s="0" t="str">
        <f aca="false">IFERROR(INDEX($A$1:$A$5,MATCH(1,$S374:$W374,0)),IF(1=MAX($S374:$W374)+1,"取消",""))</f>
        <v>李师傅</v>
      </c>
      <c r="Z374" s="0" t="str">
        <f aca="false">IFERROR(INDEX($A$1:$A$5,MATCH(2,$S374:$W374,0)),IF(2=MAX($S374:$W374)+1,"取消",""))</f>
        <v>王师傅</v>
      </c>
      <c r="AA374" s="0" t="str">
        <f aca="false">IFERROR(INDEX($A$1:$A$5,MATCH(3,$S374:$W374,0)),IF(3=MAX($S374:$W374)+1,"取消",""))</f>
        <v>陈师傅</v>
      </c>
      <c r="AB374" s="0" t="str">
        <f aca="false">IFERROR(INDEX($A$1:$A$5,MATCH(4,$S374:$W374,0)),IF(4=MAX($S374:$W374)+1,"取消",""))</f>
        <v>刘师傅</v>
      </c>
      <c r="AC374" s="0" t="str">
        <f aca="false">IFERROR(INDEX($A$1:$A$5,MATCH(5,$S374:$W374,0)),IF(5=MAX($S374:$W374)+1,"取消",""))</f>
        <v>取消</v>
      </c>
      <c r="AD374" s="0" t="str">
        <f aca="false">IFERROR(INDEX($A$1:$A$5,MATCH(6,$S374:$W374,0)),IF(6=MAX($S374:$W374)+1,"取消",""))</f>
        <v/>
      </c>
      <c r="AF374" s="0" t="n">
        <f aca="false">IF(OR($A$1=公区维修!$F374,$BN$1=1),0,1-SUMPRODUCT(--(($A$1=公区维修!$F374)+$BN$1&gt;0)))</f>
        <v>0</v>
      </c>
      <c r="AG374" s="0" t="n">
        <f aca="false">IF(OR($A$2=公区维修!$F374,$BN$2=1),0,2-SUMPRODUCT(--(($A$1:$A$2=公区维修!$F374)+$BN$1:$BN$2&gt;0)))</f>
        <v>1</v>
      </c>
      <c r="AH374" s="0" t="n">
        <f aca="false">IF(OR($A$3=公区维修!$F374,$BN$3=1),0,3-SUMPRODUCT(--(($A$1:$A$3=公区维修!$F374)+$BN$1:$BN$3&gt;0)))</f>
        <v>2</v>
      </c>
      <c r="AI374" s="0" t="n">
        <f aca="false">IF(OR($A$4=公区维修!$F374,$BN$4=1),0,4-SUMPRODUCT(--(($A$1:$A$4=公区维修!$F374)+$BN$1:$BN$4&gt;0)))</f>
        <v>3</v>
      </c>
      <c r="AJ374" s="0" t="n">
        <f aca="false">IF(OR($A$5=公区维修!$F374,$BN$5=1),0,5-SUMPRODUCT(--(($A$1:$A$5=公区维修!$F374)+$BN$1:$BN$5&gt;0)))</f>
        <v>4</v>
      </c>
      <c r="AL374" s="0" t="str">
        <f aca="false">IFERROR(INDEX($A$1:$A$5,MATCH(1,$AF374:$AJ374,0)),IF(1=MAX($AF374:$AJ374)+1,"取消",""))</f>
        <v>李师傅</v>
      </c>
      <c r="AM374" s="0" t="str">
        <f aca="false">IFERROR(INDEX($A$1:$A$5,MATCH(2,$AF374:$AJ374,0)),IF(2=MAX($AF374:$AJ374)+1,"取消",""))</f>
        <v>王师傅</v>
      </c>
      <c r="AN374" s="0" t="str">
        <f aca="false">IFERROR(INDEX($A$1:$A$5,MATCH(3,$AF374:$AJ374,0)),IF(3=MAX($AF374:$AJ374)+1,"取消",""))</f>
        <v>陈师傅</v>
      </c>
      <c r="AO374" s="0" t="str">
        <f aca="false">IFERROR(INDEX($A$1:$A$5,MATCH(4,$AF374:$AJ374,0)),IF(4=MAX($AF374:$AJ374)+1,"取消",""))</f>
        <v>刘师傅</v>
      </c>
      <c r="AP374" s="0" t="str">
        <f aca="false">IFERROR(INDEX($A$1:$A$5,MATCH(5,$AF374:$AJ374,0)),IF(5=MAX($AF374:$AJ374)+1,"取消",""))</f>
        <v>取消</v>
      </c>
      <c r="AQ374" s="0" t="str">
        <f aca="false">IFERROR(INDEX($A$1:$A$5,MATCH(6,$AF374:$AJ374,0)),IF(6=MAX($AF374:$AJ374)+1,"取消",""))</f>
        <v/>
      </c>
      <c r="AS374" s="0" t="n">
        <f aca="false">IF(OR($A$1=公区维修!$F374,$A$1=公区维修!$G374,$BN$1=1),0,1-SUMPRODUCT(--(($A$1=公区维修!$F374)+($A$1=公区维修!$G374)+$BN$1&gt;0)))</f>
        <v>0</v>
      </c>
      <c r="AT374" s="0" t="n">
        <f aca="false">IF(OR($A$2=公区维修!$F374,$A$2=公区维修!$G374,$BN$2=1),0,2-SUMPRODUCT(--(($A$1:$A$2=公区维修!$F374)+($A$1:$A$2=公区维修!$G374)+$BN$1:$BN$2&gt;0)))</f>
        <v>1</v>
      </c>
      <c r="AU374" s="0" t="n">
        <f aca="false">IF(OR($A$3=公区维修!$F374,$A$3=公区维修!$G374,$BN$3=1),0,3-SUMPRODUCT(--(($A$1:$A$3=公区维修!$F374)+($A$1:$A$3=公区维修!$G374)+$BN$1:$BN$3&gt;0)))</f>
        <v>2</v>
      </c>
      <c r="AV374" s="0" t="n">
        <f aca="false">IF(OR($A$4=公区维修!$F374,$A$4=公区维修!$G374,$BN$4=1),0,4-SUMPRODUCT(--(($A$1:$A$4=公区维修!$F374)+($A$1:$A$4=公区维修!$G374)+$BN$1:$BN$4&gt;0)))</f>
        <v>3</v>
      </c>
      <c r="AW374" s="0" t="n">
        <f aca="false">IF(OR($A$5=公区维修!$F374,$A$5=公区维修!$G374,$BN$5=1),0,5-SUMPRODUCT(--(($A$1:$A$5=公区维修!$F374)+($A$1:$A$5=公区维修!$G374)+$BN$1:$BN$5&gt;0)))</f>
        <v>4</v>
      </c>
      <c r="AY374" s="0" t="str">
        <f aca="false">IFERROR(INDEX($A$1:$A$5,MATCH(1,$AS374:$AW374,0)),IF(1=MAX($AS374:$AW374)+1,"取消",""))</f>
        <v>李师傅</v>
      </c>
      <c r="AZ374" s="0" t="str">
        <f aca="false">IFERROR(INDEX($A$1:$A$5,MATCH(2,$AS374:$AW374,0)),IF(2=MAX($AS374:$AW374)+1,"取消",""))</f>
        <v>王师傅</v>
      </c>
      <c r="BA374" s="0" t="str">
        <f aca="false">IFERROR(INDEX($A$1:$A$5,MATCH(3,$AS374:$AW374,0)),IF(3=MAX($AS374:$AW374)+1,"取消",""))</f>
        <v>陈师傅</v>
      </c>
      <c r="BB374" s="0" t="str">
        <f aca="false">IFERROR(INDEX($A$1:$A$5,MATCH(4,$AS374:$AW374,0)),IF(4=MAX($AS374:$AW374)+1,"取消",""))</f>
        <v>刘师傅</v>
      </c>
      <c r="BC374" s="0" t="str">
        <f aca="false">IFERROR(INDEX($A$1:$A$5,MATCH(5,$AS374:$AW374,0)),IF(5=MAX($AS374:$AW374)+1,"取消",""))</f>
        <v>取消</v>
      </c>
      <c r="BD374" s="0" t="str">
        <f aca="false">IFERROR(INDEX($A$1:$A$5,MATCH(6,$AS374:$AW374,0)),IF(6=MAX($AS374:$AW374)+1,"取消",""))</f>
        <v/>
      </c>
      <c r="FW374" s="0" t="str">
        <f aca="false">IF(AND(单元查询!$D$3&lt;&gt;"",IF(单元查询!$B$3="公区维修",公区维修!$E374&lt;&gt;"",入户维修!$E374&lt;&gt;""),IF(单元查询!$B$3="公区维修",公区维修!$C374,入户维修!$C374)=单元查询!$D$3,OR(单元查询!$F$3="",IF(单元查询!$B$3="公区维修",公区维修!$D374,入户维修!$D374)&amp;""=(单元查询!$F$3)&amp;"")),MAX($FW$4:$FW373)+1,"")</f>
        <v/>
      </c>
    </row>
    <row r="375" customFormat="false" ht="15" hidden="false" customHeight="true" outlineLevel="0" collapsed="false">
      <c r="F375" s="0" t="n">
        <f aca="false">IF(OR($A$1=入户维修!$F375,$BN$1=1),0,1-SUMPRODUCT(--(($A$1=入户维修!$F375)+$BN$1&gt;0)))</f>
        <v>0</v>
      </c>
      <c r="G375" s="0" t="n">
        <f aca="false">IF(OR($A$2=入户维修!$F375,$BN$2=1),0,2-SUMPRODUCT(--(($A$1:$A$2=入户维修!$F375)+$BN$1:$BN$2&gt;0)))</f>
        <v>1</v>
      </c>
      <c r="H375" s="0" t="n">
        <f aca="false">IF(OR($A$3=入户维修!$F375,$BN$3=1),0,3-SUMPRODUCT(--(($A$1:$A$3=入户维修!$F375)+$BN$1:$BN$3&gt;0)))</f>
        <v>2</v>
      </c>
      <c r="I375" s="0" t="n">
        <f aca="false">IF(OR($A$4=入户维修!$F375,$BN$4=1),0,4-SUMPRODUCT(--(($A$1:$A$4=入户维修!$F375)+$BN$1:$BN$4&gt;0)))</f>
        <v>3</v>
      </c>
      <c r="J375" s="0" t="n">
        <f aca="false">IF(OR($A$5=入户维修!$F375,$BN$5=1),0,5-SUMPRODUCT(--(($A$1:$A$5=入户维修!$F375)+$BN$1:$BN$5&gt;0)))</f>
        <v>4</v>
      </c>
      <c r="L375" s="0" t="str">
        <f aca="false">IFERROR(INDEX($A$1:$A$5,MATCH(1,$F375:$J375,0)),IF(1=MAX($F375:$J375)+1,"取消",""))</f>
        <v>李师傅</v>
      </c>
      <c r="M375" s="0" t="str">
        <f aca="false">IFERROR(INDEX($A$1:$A$5,MATCH(2,$F375:$J375,0)),IF(2=MAX($F375:$J375)+1,"取消",""))</f>
        <v>王师傅</v>
      </c>
      <c r="N375" s="0" t="str">
        <f aca="false">IFERROR(INDEX($A$1:$A$5,MATCH(3,$F375:$J375,0)),IF(3=MAX($F375:$J375)+1,"取消",""))</f>
        <v>陈师傅</v>
      </c>
      <c r="O375" s="0" t="str">
        <f aca="false">IFERROR(INDEX($A$1:$A$5,MATCH(4,$F375:$J375,0)),IF(4=MAX($F375:$J375)+1,"取消",""))</f>
        <v>刘师傅</v>
      </c>
      <c r="P375" s="0" t="str">
        <f aca="false">IFERROR(INDEX($A$1:$A$5,MATCH(5,$F375:$J375,0)),IF(5=MAX($F375:$J375)+1,"取消",""))</f>
        <v>取消</v>
      </c>
      <c r="Q375" s="0" t="str">
        <f aca="false">IFERROR(INDEX($A$1:$A$5,MATCH(6,$F375:$J375,0)),IF(6=MAX($F375:$J375)+1,"取消",""))</f>
        <v/>
      </c>
      <c r="S375" s="0" t="n">
        <f aca="false">IF(OR($A$1=入户维修!$F375,$A$1=入户维修!$G375,$BN$1=1),0,1-SUMPRODUCT(--(($A$1=入户维修!$F375)+($A$1=入户维修!$G375)+$BN$1&gt;0)))</f>
        <v>0</v>
      </c>
      <c r="T375" s="0" t="n">
        <f aca="false">IF(OR($A$2=入户维修!$F375,$A$2=入户维修!$G375,$BN$2=1),0,2-SUMPRODUCT(--(($A$1:$A$2=入户维修!$F375)+($A$1:$A$2=入户维修!$G375)+$BN$1:$BN$2&gt;0)))</f>
        <v>1</v>
      </c>
      <c r="U375" s="0" t="n">
        <f aca="false">IF(OR($A$3=入户维修!$F375,$A$3=入户维修!$G375,$BN$3=1),0,3-SUMPRODUCT(--(($A$1:$A$3=入户维修!$F375)+($A$1:$A$3=入户维修!$G375)+$BN$1:$BN$3&gt;0)))</f>
        <v>2</v>
      </c>
      <c r="V375" s="0" t="n">
        <f aca="false">IF(OR($A$4=入户维修!$F375,$A$4=入户维修!$G375,$BN$4=1),0,4-SUMPRODUCT(--(($A$1:$A$4=入户维修!$F375)+($A$1:$A$4=入户维修!$G375)+$BN$1:$BN$4&gt;0)))</f>
        <v>3</v>
      </c>
      <c r="W375" s="0" t="n">
        <f aca="false">IF(OR($A$5=入户维修!$F375,$A$5=入户维修!$G375,$BN$5=1),0,5-SUMPRODUCT(--(($A$1:$A$5=入户维修!$F375)+($A$1:$A$5=入户维修!$G375)+$BN$1:$BN$5&gt;0)))</f>
        <v>4</v>
      </c>
      <c r="Y375" s="0" t="str">
        <f aca="false">IFERROR(INDEX($A$1:$A$5,MATCH(1,$S375:$W375,0)),IF(1=MAX($S375:$W375)+1,"取消",""))</f>
        <v>李师傅</v>
      </c>
      <c r="Z375" s="0" t="str">
        <f aca="false">IFERROR(INDEX($A$1:$A$5,MATCH(2,$S375:$W375,0)),IF(2=MAX($S375:$W375)+1,"取消",""))</f>
        <v>王师傅</v>
      </c>
      <c r="AA375" s="0" t="str">
        <f aca="false">IFERROR(INDEX($A$1:$A$5,MATCH(3,$S375:$W375,0)),IF(3=MAX($S375:$W375)+1,"取消",""))</f>
        <v>陈师傅</v>
      </c>
      <c r="AB375" s="0" t="str">
        <f aca="false">IFERROR(INDEX($A$1:$A$5,MATCH(4,$S375:$W375,0)),IF(4=MAX($S375:$W375)+1,"取消",""))</f>
        <v>刘师傅</v>
      </c>
      <c r="AC375" s="0" t="str">
        <f aca="false">IFERROR(INDEX($A$1:$A$5,MATCH(5,$S375:$W375,0)),IF(5=MAX($S375:$W375)+1,"取消",""))</f>
        <v>取消</v>
      </c>
      <c r="AD375" s="0" t="str">
        <f aca="false">IFERROR(INDEX($A$1:$A$5,MATCH(6,$S375:$W375,0)),IF(6=MAX($S375:$W375)+1,"取消",""))</f>
        <v/>
      </c>
      <c r="AF375" s="0" t="n">
        <f aca="false">IF(OR($A$1=公区维修!$F375,$BN$1=1),0,1-SUMPRODUCT(--(($A$1=公区维修!$F375)+$BN$1&gt;0)))</f>
        <v>0</v>
      </c>
      <c r="AG375" s="0" t="n">
        <f aca="false">IF(OR($A$2=公区维修!$F375,$BN$2=1),0,2-SUMPRODUCT(--(($A$1:$A$2=公区维修!$F375)+$BN$1:$BN$2&gt;0)))</f>
        <v>1</v>
      </c>
      <c r="AH375" s="0" t="n">
        <f aca="false">IF(OR($A$3=公区维修!$F375,$BN$3=1),0,3-SUMPRODUCT(--(($A$1:$A$3=公区维修!$F375)+$BN$1:$BN$3&gt;0)))</f>
        <v>2</v>
      </c>
      <c r="AI375" s="0" t="n">
        <f aca="false">IF(OR($A$4=公区维修!$F375,$BN$4=1),0,4-SUMPRODUCT(--(($A$1:$A$4=公区维修!$F375)+$BN$1:$BN$4&gt;0)))</f>
        <v>3</v>
      </c>
      <c r="AJ375" s="0" t="n">
        <f aca="false">IF(OR($A$5=公区维修!$F375,$BN$5=1),0,5-SUMPRODUCT(--(($A$1:$A$5=公区维修!$F375)+$BN$1:$BN$5&gt;0)))</f>
        <v>4</v>
      </c>
      <c r="AL375" s="0" t="str">
        <f aca="false">IFERROR(INDEX($A$1:$A$5,MATCH(1,$AF375:$AJ375,0)),IF(1=MAX($AF375:$AJ375)+1,"取消",""))</f>
        <v>李师傅</v>
      </c>
      <c r="AM375" s="0" t="str">
        <f aca="false">IFERROR(INDEX($A$1:$A$5,MATCH(2,$AF375:$AJ375,0)),IF(2=MAX($AF375:$AJ375)+1,"取消",""))</f>
        <v>王师傅</v>
      </c>
      <c r="AN375" s="0" t="str">
        <f aca="false">IFERROR(INDEX($A$1:$A$5,MATCH(3,$AF375:$AJ375,0)),IF(3=MAX($AF375:$AJ375)+1,"取消",""))</f>
        <v>陈师傅</v>
      </c>
      <c r="AO375" s="0" t="str">
        <f aca="false">IFERROR(INDEX($A$1:$A$5,MATCH(4,$AF375:$AJ375,0)),IF(4=MAX($AF375:$AJ375)+1,"取消",""))</f>
        <v>刘师傅</v>
      </c>
      <c r="AP375" s="0" t="str">
        <f aca="false">IFERROR(INDEX($A$1:$A$5,MATCH(5,$AF375:$AJ375,0)),IF(5=MAX($AF375:$AJ375)+1,"取消",""))</f>
        <v>取消</v>
      </c>
      <c r="AQ375" s="0" t="str">
        <f aca="false">IFERROR(INDEX($A$1:$A$5,MATCH(6,$AF375:$AJ375,0)),IF(6=MAX($AF375:$AJ375)+1,"取消",""))</f>
        <v/>
      </c>
      <c r="AS375" s="0" t="n">
        <f aca="false">IF(OR($A$1=公区维修!$F375,$A$1=公区维修!$G375,$BN$1=1),0,1-SUMPRODUCT(--(($A$1=公区维修!$F375)+($A$1=公区维修!$G375)+$BN$1&gt;0)))</f>
        <v>0</v>
      </c>
      <c r="AT375" s="0" t="n">
        <f aca="false">IF(OR($A$2=公区维修!$F375,$A$2=公区维修!$G375,$BN$2=1),0,2-SUMPRODUCT(--(($A$1:$A$2=公区维修!$F375)+($A$1:$A$2=公区维修!$G375)+$BN$1:$BN$2&gt;0)))</f>
        <v>1</v>
      </c>
      <c r="AU375" s="0" t="n">
        <f aca="false">IF(OR($A$3=公区维修!$F375,$A$3=公区维修!$G375,$BN$3=1),0,3-SUMPRODUCT(--(($A$1:$A$3=公区维修!$F375)+($A$1:$A$3=公区维修!$G375)+$BN$1:$BN$3&gt;0)))</f>
        <v>2</v>
      </c>
      <c r="AV375" s="0" t="n">
        <f aca="false">IF(OR($A$4=公区维修!$F375,$A$4=公区维修!$G375,$BN$4=1),0,4-SUMPRODUCT(--(($A$1:$A$4=公区维修!$F375)+($A$1:$A$4=公区维修!$G375)+$BN$1:$BN$4&gt;0)))</f>
        <v>3</v>
      </c>
      <c r="AW375" s="0" t="n">
        <f aca="false">IF(OR($A$5=公区维修!$F375,$A$5=公区维修!$G375,$BN$5=1),0,5-SUMPRODUCT(--(($A$1:$A$5=公区维修!$F375)+($A$1:$A$5=公区维修!$G375)+$BN$1:$BN$5&gt;0)))</f>
        <v>4</v>
      </c>
      <c r="AY375" s="0" t="str">
        <f aca="false">IFERROR(INDEX($A$1:$A$5,MATCH(1,$AS375:$AW375,0)),IF(1=MAX($AS375:$AW375)+1,"取消",""))</f>
        <v>李师傅</v>
      </c>
      <c r="AZ375" s="0" t="str">
        <f aca="false">IFERROR(INDEX($A$1:$A$5,MATCH(2,$AS375:$AW375,0)),IF(2=MAX($AS375:$AW375)+1,"取消",""))</f>
        <v>王师傅</v>
      </c>
      <c r="BA375" s="0" t="str">
        <f aca="false">IFERROR(INDEX($A$1:$A$5,MATCH(3,$AS375:$AW375,0)),IF(3=MAX($AS375:$AW375)+1,"取消",""))</f>
        <v>陈师傅</v>
      </c>
      <c r="BB375" s="0" t="str">
        <f aca="false">IFERROR(INDEX($A$1:$A$5,MATCH(4,$AS375:$AW375,0)),IF(4=MAX($AS375:$AW375)+1,"取消",""))</f>
        <v>刘师傅</v>
      </c>
      <c r="BC375" s="0" t="str">
        <f aca="false">IFERROR(INDEX($A$1:$A$5,MATCH(5,$AS375:$AW375,0)),IF(5=MAX($AS375:$AW375)+1,"取消",""))</f>
        <v>取消</v>
      </c>
      <c r="BD375" s="0" t="str">
        <f aca="false">IFERROR(INDEX($A$1:$A$5,MATCH(6,$AS375:$AW375,0)),IF(6=MAX($AS375:$AW375)+1,"取消",""))</f>
        <v/>
      </c>
      <c r="FW375" s="0" t="str">
        <f aca="false">IF(AND(单元查询!$D$3&lt;&gt;"",IF(单元查询!$B$3="公区维修",公区维修!$E375&lt;&gt;"",入户维修!$E375&lt;&gt;""),IF(单元查询!$B$3="公区维修",公区维修!$C375,入户维修!$C375)=单元查询!$D$3,OR(单元查询!$F$3="",IF(单元查询!$B$3="公区维修",公区维修!$D375,入户维修!$D375)&amp;""=(单元查询!$F$3)&amp;"")),MAX($FW$4:$FW374)+1,"")</f>
        <v/>
      </c>
    </row>
    <row r="376" customFormat="false" ht="15" hidden="false" customHeight="true" outlineLevel="0" collapsed="false">
      <c r="F376" s="0" t="n">
        <f aca="false">IF(OR($A$1=入户维修!$F376,$BN$1=1),0,1-SUMPRODUCT(--(($A$1=入户维修!$F376)+$BN$1&gt;0)))</f>
        <v>0</v>
      </c>
      <c r="G376" s="0" t="n">
        <f aca="false">IF(OR($A$2=入户维修!$F376,$BN$2=1),0,2-SUMPRODUCT(--(($A$1:$A$2=入户维修!$F376)+$BN$1:$BN$2&gt;0)))</f>
        <v>1</v>
      </c>
      <c r="H376" s="0" t="n">
        <f aca="false">IF(OR($A$3=入户维修!$F376,$BN$3=1),0,3-SUMPRODUCT(--(($A$1:$A$3=入户维修!$F376)+$BN$1:$BN$3&gt;0)))</f>
        <v>2</v>
      </c>
      <c r="I376" s="0" t="n">
        <f aca="false">IF(OR($A$4=入户维修!$F376,$BN$4=1),0,4-SUMPRODUCT(--(($A$1:$A$4=入户维修!$F376)+$BN$1:$BN$4&gt;0)))</f>
        <v>3</v>
      </c>
      <c r="J376" s="0" t="n">
        <f aca="false">IF(OR($A$5=入户维修!$F376,$BN$5=1),0,5-SUMPRODUCT(--(($A$1:$A$5=入户维修!$F376)+$BN$1:$BN$5&gt;0)))</f>
        <v>4</v>
      </c>
      <c r="L376" s="0" t="str">
        <f aca="false">IFERROR(INDEX($A$1:$A$5,MATCH(1,$F376:$J376,0)),IF(1=MAX($F376:$J376)+1,"取消",""))</f>
        <v>李师傅</v>
      </c>
      <c r="M376" s="0" t="str">
        <f aca="false">IFERROR(INDEX($A$1:$A$5,MATCH(2,$F376:$J376,0)),IF(2=MAX($F376:$J376)+1,"取消",""))</f>
        <v>王师傅</v>
      </c>
      <c r="N376" s="0" t="str">
        <f aca="false">IFERROR(INDEX($A$1:$A$5,MATCH(3,$F376:$J376,0)),IF(3=MAX($F376:$J376)+1,"取消",""))</f>
        <v>陈师傅</v>
      </c>
      <c r="O376" s="0" t="str">
        <f aca="false">IFERROR(INDEX($A$1:$A$5,MATCH(4,$F376:$J376,0)),IF(4=MAX($F376:$J376)+1,"取消",""))</f>
        <v>刘师傅</v>
      </c>
      <c r="P376" s="0" t="str">
        <f aca="false">IFERROR(INDEX($A$1:$A$5,MATCH(5,$F376:$J376,0)),IF(5=MAX($F376:$J376)+1,"取消",""))</f>
        <v>取消</v>
      </c>
      <c r="Q376" s="0" t="str">
        <f aca="false">IFERROR(INDEX($A$1:$A$5,MATCH(6,$F376:$J376,0)),IF(6=MAX($F376:$J376)+1,"取消",""))</f>
        <v/>
      </c>
      <c r="S376" s="0" t="n">
        <f aca="false">IF(OR($A$1=入户维修!$F376,$A$1=入户维修!$G376,$BN$1=1),0,1-SUMPRODUCT(--(($A$1=入户维修!$F376)+($A$1=入户维修!$G376)+$BN$1&gt;0)))</f>
        <v>0</v>
      </c>
      <c r="T376" s="0" t="n">
        <f aca="false">IF(OR($A$2=入户维修!$F376,$A$2=入户维修!$G376,$BN$2=1),0,2-SUMPRODUCT(--(($A$1:$A$2=入户维修!$F376)+($A$1:$A$2=入户维修!$G376)+$BN$1:$BN$2&gt;0)))</f>
        <v>1</v>
      </c>
      <c r="U376" s="0" t="n">
        <f aca="false">IF(OR($A$3=入户维修!$F376,$A$3=入户维修!$G376,$BN$3=1),0,3-SUMPRODUCT(--(($A$1:$A$3=入户维修!$F376)+($A$1:$A$3=入户维修!$G376)+$BN$1:$BN$3&gt;0)))</f>
        <v>2</v>
      </c>
      <c r="V376" s="0" t="n">
        <f aca="false">IF(OR($A$4=入户维修!$F376,$A$4=入户维修!$G376,$BN$4=1),0,4-SUMPRODUCT(--(($A$1:$A$4=入户维修!$F376)+($A$1:$A$4=入户维修!$G376)+$BN$1:$BN$4&gt;0)))</f>
        <v>3</v>
      </c>
      <c r="W376" s="0" t="n">
        <f aca="false">IF(OR($A$5=入户维修!$F376,$A$5=入户维修!$G376,$BN$5=1),0,5-SUMPRODUCT(--(($A$1:$A$5=入户维修!$F376)+($A$1:$A$5=入户维修!$G376)+$BN$1:$BN$5&gt;0)))</f>
        <v>4</v>
      </c>
      <c r="Y376" s="0" t="str">
        <f aca="false">IFERROR(INDEX($A$1:$A$5,MATCH(1,$S376:$W376,0)),IF(1=MAX($S376:$W376)+1,"取消",""))</f>
        <v>李师傅</v>
      </c>
      <c r="Z376" s="0" t="str">
        <f aca="false">IFERROR(INDEX($A$1:$A$5,MATCH(2,$S376:$W376,0)),IF(2=MAX($S376:$W376)+1,"取消",""))</f>
        <v>王师傅</v>
      </c>
      <c r="AA376" s="0" t="str">
        <f aca="false">IFERROR(INDEX($A$1:$A$5,MATCH(3,$S376:$W376,0)),IF(3=MAX($S376:$W376)+1,"取消",""))</f>
        <v>陈师傅</v>
      </c>
      <c r="AB376" s="0" t="str">
        <f aca="false">IFERROR(INDEX($A$1:$A$5,MATCH(4,$S376:$W376,0)),IF(4=MAX($S376:$W376)+1,"取消",""))</f>
        <v>刘师傅</v>
      </c>
      <c r="AC376" s="0" t="str">
        <f aca="false">IFERROR(INDEX($A$1:$A$5,MATCH(5,$S376:$W376,0)),IF(5=MAX($S376:$W376)+1,"取消",""))</f>
        <v>取消</v>
      </c>
      <c r="AD376" s="0" t="str">
        <f aca="false">IFERROR(INDEX($A$1:$A$5,MATCH(6,$S376:$W376,0)),IF(6=MAX($S376:$W376)+1,"取消",""))</f>
        <v/>
      </c>
      <c r="AF376" s="0" t="n">
        <f aca="false">IF(OR($A$1=公区维修!$F376,$BN$1=1),0,1-SUMPRODUCT(--(($A$1=公区维修!$F376)+$BN$1&gt;0)))</f>
        <v>0</v>
      </c>
      <c r="AG376" s="0" t="n">
        <f aca="false">IF(OR($A$2=公区维修!$F376,$BN$2=1),0,2-SUMPRODUCT(--(($A$1:$A$2=公区维修!$F376)+$BN$1:$BN$2&gt;0)))</f>
        <v>1</v>
      </c>
      <c r="AH376" s="0" t="n">
        <f aca="false">IF(OR($A$3=公区维修!$F376,$BN$3=1),0,3-SUMPRODUCT(--(($A$1:$A$3=公区维修!$F376)+$BN$1:$BN$3&gt;0)))</f>
        <v>2</v>
      </c>
      <c r="AI376" s="0" t="n">
        <f aca="false">IF(OR($A$4=公区维修!$F376,$BN$4=1),0,4-SUMPRODUCT(--(($A$1:$A$4=公区维修!$F376)+$BN$1:$BN$4&gt;0)))</f>
        <v>3</v>
      </c>
      <c r="AJ376" s="0" t="n">
        <f aca="false">IF(OR($A$5=公区维修!$F376,$BN$5=1),0,5-SUMPRODUCT(--(($A$1:$A$5=公区维修!$F376)+$BN$1:$BN$5&gt;0)))</f>
        <v>4</v>
      </c>
      <c r="AL376" s="0" t="str">
        <f aca="false">IFERROR(INDEX($A$1:$A$5,MATCH(1,$AF376:$AJ376,0)),IF(1=MAX($AF376:$AJ376)+1,"取消",""))</f>
        <v>李师傅</v>
      </c>
      <c r="AM376" s="0" t="str">
        <f aca="false">IFERROR(INDEX($A$1:$A$5,MATCH(2,$AF376:$AJ376,0)),IF(2=MAX($AF376:$AJ376)+1,"取消",""))</f>
        <v>王师傅</v>
      </c>
      <c r="AN376" s="0" t="str">
        <f aca="false">IFERROR(INDEX($A$1:$A$5,MATCH(3,$AF376:$AJ376,0)),IF(3=MAX($AF376:$AJ376)+1,"取消",""))</f>
        <v>陈师傅</v>
      </c>
      <c r="AO376" s="0" t="str">
        <f aca="false">IFERROR(INDEX($A$1:$A$5,MATCH(4,$AF376:$AJ376,0)),IF(4=MAX($AF376:$AJ376)+1,"取消",""))</f>
        <v>刘师傅</v>
      </c>
      <c r="AP376" s="0" t="str">
        <f aca="false">IFERROR(INDEX($A$1:$A$5,MATCH(5,$AF376:$AJ376,0)),IF(5=MAX($AF376:$AJ376)+1,"取消",""))</f>
        <v>取消</v>
      </c>
      <c r="AQ376" s="0" t="str">
        <f aca="false">IFERROR(INDEX($A$1:$A$5,MATCH(6,$AF376:$AJ376,0)),IF(6=MAX($AF376:$AJ376)+1,"取消",""))</f>
        <v/>
      </c>
      <c r="AS376" s="0" t="n">
        <f aca="false">IF(OR($A$1=公区维修!$F376,$A$1=公区维修!$G376,$BN$1=1),0,1-SUMPRODUCT(--(($A$1=公区维修!$F376)+($A$1=公区维修!$G376)+$BN$1&gt;0)))</f>
        <v>0</v>
      </c>
      <c r="AT376" s="0" t="n">
        <f aca="false">IF(OR($A$2=公区维修!$F376,$A$2=公区维修!$G376,$BN$2=1),0,2-SUMPRODUCT(--(($A$1:$A$2=公区维修!$F376)+($A$1:$A$2=公区维修!$G376)+$BN$1:$BN$2&gt;0)))</f>
        <v>1</v>
      </c>
      <c r="AU376" s="0" t="n">
        <f aca="false">IF(OR($A$3=公区维修!$F376,$A$3=公区维修!$G376,$BN$3=1),0,3-SUMPRODUCT(--(($A$1:$A$3=公区维修!$F376)+($A$1:$A$3=公区维修!$G376)+$BN$1:$BN$3&gt;0)))</f>
        <v>2</v>
      </c>
      <c r="AV376" s="0" t="n">
        <f aca="false">IF(OR($A$4=公区维修!$F376,$A$4=公区维修!$G376,$BN$4=1),0,4-SUMPRODUCT(--(($A$1:$A$4=公区维修!$F376)+($A$1:$A$4=公区维修!$G376)+$BN$1:$BN$4&gt;0)))</f>
        <v>3</v>
      </c>
      <c r="AW376" s="0" t="n">
        <f aca="false">IF(OR($A$5=公区维修!$F376,$A$5=公区维修!$G376,$BN$5=1),0,5-SUMPRODUCT(--(($A$1:$A$5=公区维修!$F376)+($A$1:$A$5=公区维修!$G376)+$BN$1:$BN$5&gt;0)))</f>
        <v>4</v>
      </c>
      <c r="AY376" s="0" t="str">
        <f aca="false">IFERROR(INDEX($A$1:$A$5,MATCH(1,$AS376:$AW376,0)),IF(1=MAX($AS376:$AW376)+1,"取消",""))</f>
        <v>李师傅</v>
      </c>
      <c r="AZ376" s="0" t="str">
        <f aca="false">IFERROR(INDEX($A$1:$A$5,MATCH(2,$AS376:$AW376,0)),IF(2=MAX($AS376:$AW376)+1,"取消",""))</f>
        <v>王师傅</v>
      </c>
      <c r="BA376" s="0" t="str">
        <f aca="false">IFERROR(INDEX($A$1:$A$5,MATCH(3,$AS376:$AW376,0)),IF(3=MAX($AS376:$AW376)+1,"取消",""))</f>
        <v>陈师傅</v>
      </c>
      <c r="BB376" s="0" t="str">
        <f aca="false">IFERROR(INDEX($A$1:$A$5,MATCH(4,$AS376:$AW376,0)),IF(4=MAX($AS376:$AW376)+1,"取消",""))</f>
        <v>刘师傅</v>
      </c>
      <c r="BC376" s="0" t="str">
        <f aca="false">IFERROR(INDEX($A$1:$A$5,MATCH(5,$AS376:$AW376,0)),IF(5=MAX($AS376:$AW376)+1,"取消",""))</f>
        <v>取消</v>
      </c>
      <c r="BD376" s="0" t="str">
        <f aca="false">IFERROR(INDEX($A$1:$A$5,MATCH(6,$AS376:$AW376,0)),IF(6=MAX($AS376:$AW376)+1,"取消",""))</f>
        <v/>
      </c>
      <c r="FW376" s="0" t="str">
        <f aca="false">IF(AND(单元查询!$D$3&lt;&gt;"",IF(单元查询!$B$3="公区维修",公区维修!$E376&lt;&gt;"",入户维修!$E376&lt;&gt;""),IF(单元查询!$B$3="公区维修",公区维修!$C376,入户维修!$C376)=单元查询!$D$3,OR(单元查询!$F$3="",IF(单元查询!$B$3="公区维修",公区维修!$D376,入户维修!$D376)&amp;""=(单元查询!$F$3)&amp;"")),MAX($FW$4:$FW375)+1,"")</f>
        <v/>
      </c>
    </row>
    <row r="377" customFormat="false" ht="15" hidden="false" customHeight="true" outlineLevel="0" collapsed="false">
      <c r="F377" s="0" t="n">
        <f aca="false">IF(OR($A$1=入户维修!$F377,$BN$1=1),0,1-SUMPRODUCT(--(($A$1=入户维修!$F377)+$BN$1&gt;0)))</f>
        <v>0</v>
      </c>
      <c r="G377" s="0" t="n">
        <f aca="false">IF(OR($A$2=入户维修!$F377,$BN$2=1),0,2-SUMPRODUCT(--(($A$1:$A$2=入户维修!$F377)+$BN$1:$BN$2&gt;0)))</f>
        <v>1</v>
      </c>
      <c r="H377" s="0" t="n">
        <f aca="false">IF(OR($A$3=入户维修!$F377,$BN$3=1),0,3-SUMPRODUCT(--(($A$1:$A$3=入户维修!$F377)+$BN$1:$BN$3&gt;0)))</f>
        <v>2</v>
      </c>
      <c r="I377" s="0" t="n">
        <f aca="false">IF(OR($A$4=入户维修!$F377,$BN$4=1),0,4-SUMPRODUCT(--(($A$1:$A$4=入户维修!$F377)+$BN$1:$BN$4&gt;0)))</f>
        <v>3</v>
      </c>
      <c r="J377" s="0" t="n">
        <f aca="false">IF(OR($A$5=入户维修!$F377,$BN$5=1),0,5-SUMPRODUCT(--(($A$1:$A$5=入户维修!$F377)+$BN$1:$BN$5&gt;0)))</f>
        <v>4</v>
      </c>
      <c r="L377" s="0" t="str">
        <f aca="false">IFERROR(INDEX($A$1:$A$5,MATCH(1,$F377:$J377,0)),IF(1=MAX($F377:$J377)+1,"取消",""))</f>
        <v>李师傅</v>
      </c>
      <c r="M377" s="0" t="str">
        <f aca="false">IFERROR(INDEX($A$1:$A$5,MATCH(2,$F377:$J377,0)),IF(2=MAX($F377:$J377)+1,"取消",""))</f>
        <v>王师傅</v>
      </c>
      <c r="N377" s="0" t="str">
        <f aca="false">IFERROR(INDEX($A$1:$A$5,MATCH(3,$F377:$J377,0)),IF(3=MAX($F377:$J377)+1,"取消",""))</f>
        <v>陈师傅</v>
      </c>
      <c r="O377" s="0" t="str">
        <f aca="false">IFERROR(INDEX($A$1:$A$5,MATCH(4,$F377:$J377,0)),IF(4=MAX($F377:$J377)+1,"取消",""))</f>
        <v>刘师傅</v>
      </c>
      <c r="P377" s="0" t="str">
        <f aca="false">IFERROR(INDEX($A$1:$A$5,MATCH(5,$F377:$J377,0)),IF(5=MAX($F377:$J377)+1,"取消",""))</f>
        <v>取消</v>
      </c>
      <c r="Q377" s="0" t="str">
        <f aca="false">IFERROR(INDEX($A$1:$A$5,MATCH(6,$F377:$J377,0)),IF(6=MAX($F377:$J377)+1,"取消",""))</f>
        <v/>
      </c>
      <c r="S377" s="0" t="n">
        <f aca="false">IF(OR($A$1=入户维修!$F377,$A$1=入户维修!$G377,$BN$1=1),0,1-SUMPRODUCT(--(($A$1=入户维修!$F377)+($A$1=入户维修!$G377)+$BN$1&gt;0)))</f>
        <v>0</v>
      </c>
      <c r="T377" s="0" t="n">
        <f aca="false">IF(OR($A$2=入户维修!$F377,$A$2=入户维修!$G377,$BN$2=1),0,2-SUMPRODUCT(--(($A$1:$A$2=入户维修!$F377)+($A$1:$A$2=入户维修!$G377)+$BN$1:$BN$2&gt;0)))</f>
        <v>1</v>
      </c>
      <c r="U377" s="0" t="n">
        <f aca="false">IF(OR($A$3=入户维修!$F377,$A$3=入户维修!$G377,$BN$3=1),0,3-SUMPRODUCT(--(($A$1:$A$3=入户维修!$F377)+($A$1:$A$3=入户维修!$G377)+$BN$1:$BN$3&gt;0)))</f>
        <v>2</v>
      </c>
      <c r="V377" s="0" t="n">
        <f aca="false">IF(OR($A$4=入户维修!$F377,$A$4=入户维修!$G377,$BN$4=1),0,4-SUMPRODUCT(--(($A$1:$A$4=入户维修!$F377)+($A$1:$A$4=入户维修!$G377)+$BN$1:$BN$4&gt;0)))</f>
        <v>3</v>
      </c>
      <c r="W377" s="0" t="n">
        <f aca="false">IF(OR($A$5=入户维修!$F377,$A$5=入户维修!$G377,$BN$5=1),0,5-SUMPRODUCT(--(($A$1:$A$5=入户维修!$F377)+($A$1:$A$5=入户维修!$G377)+$BN$1:$BN$5&gt;0)))</f>
        <v>4</v>
      </c>
      <c r="Y377" s="0" t="str">
        <f aca="false">IFERROR(INDEX($A$1:$A$5,MATCH(1,$S377:$W377,0)),IF(1=MAX($S377:$W377)+1,"取消",""))</f>
        <v>李师傅</v>
      </c>
      <c r="Z377" s="0" t="str">
        <f aca="false">IFERROR(INDEX($A$1:$A$5,MATCH(2,$S377:$W377,0)),IF(2=MAX($S377:$W377)+1,"取消",""))</f>
        <v>王师傅</v>
      </c>
      <c r="AA377" s="0" t="str">
        <f aca="false">IFERROR(INDEX($A$1:$A$5,MATCH(3,$S377:$W377,0)),IF(3=MAX($S377:$W377)+1,"取消",""))</f>
        <v>陈师傅</v>
      </c>
      <c r="AB377" s="0" t="str">
        <f aca="false">IFERROR(INDEX($A$1:$A$5,MATCH(4,$S377:$W377,0)),IF(4=MAX($S377:$W377)+1,"取消",""))</f>
        <v>刘师傅</v>
      </c>
      <c r="AC377" s="0" t="str">
        <f aca="false">IFERROR(INDEX($A$1:$A$5,MATCH(5,$S377:$W377,0)),IF(5=MAX($S377:$W377)+1,"取消",""))</f>
        <v>取消</v>
      </c>
      <c r="AD377" s="0" t="str">
        <f aca="false">IFERROR(INDEX($A$1:$A$5,MATCH(6,$S377:$W377,0)),IF(6=MAX($S377:$W377)+1,"取消",""))</f>
        <v/>
      </c>
      <c r="AF377" s="0" t="n">
        <f aca="false">IF(OR($A$1=公区维修!$F377,$BN$1=1),0,1-SUMPRODUCT(--(($A$1=公区维修!$F377)+$BN$1&gt;0)))</f>
        <v>0</v>
      </c>
      <c r="AG377" s="0" t="n">
        <f aca="false">IF(OR($A$2=公区维修!$F377,$BN$2=1),0,2-SUMPRODUCT(--(($A$1:$A$2=公区维修!$F377)+$BN$1:$BN$2&gt;0)))</f>
        <v>1</v>
      </c>
      <c r="AH377" s="0" t="n">
        <f aca="false">IF(OR($A$3=公区维修!$F377,$BN$3=1),0,3-SUMPRODUCT(--(($A$1:$A$3=公区维修!$F377)+$BN$1:$BN$3&gt;0)))</f>
        <v>2</v>
      </c>
      <c r="AI377" s="0" t="n">
        <f aca="false">IF(OR($A$4=公区维修!$F377,$BN$4=1),0,4-SUMPRODUCT(--(($A$1:$A$4=公区维修!$F377)+$BN$1:$BN$4&gt;0)))</f>
        <v>3</v>
      </c>
      <c r="AJ377" s="0" t="n">
        <f aca="false">IF(OR($A$5=公区维修!$F377,$BN$5=1),0,5-SUMPRODUCT(--(($A$1:$A$5=公区维修!$F377)+$BN$1:$BN$5&gt;0)))</f>
        <v>4</v>
      </c>
      <c r="AL377" s="0" t="str">
        <f aca="false">IFERROR(INDEX($A$1:$A$5,MATCH(1,$AF377:$AJ377,0)),IF(1=MAX($AF377:$AJ377)+1,"取消",""))</f>
        <v>李师傅</v>
      </c>
      <c r="AM377" s="0" t="str">
        <f aca="false">IFERROR(INDEX($A$1:$A$5,MATCH(2,$AF377:$AJ377,0)),IF(2=MAX($AF377:$AJ377)+1,"取消",""))</f>
        <v>王师傅</v>
      </c>
      <c r="AN377" s="0" t="str">
        <f aca="false">IFERROR(INDEX($A$1:$A$5,MATCH(3,$AF377:$AJ377,0)),IF(3=MAX($AF377:$AJ377)+1,"取消",""))</f>
        <v>陈师傅</v>
      </c>
      <c r="AO377" s="0" t="str">
        <f aca="false">IFERROR(INDEX($A$1:$A$5,MATCH(4,$AF377:$AJ377,0)),IF(4=MAX($AF377:$AJ377)+1,"取消",""))</f>
        <v>刘师傅</v>
      </c>
      <c r="AP377" s="0" t="str">
        <f aca="false">IFERROR(INDEX($A$1:$A$5,MATCH(5,$AF377:$AJ377,0)),IF(5=MAX($AF377:$AJ377)+1,"取消",""))</f>
        <v>取消</v>
      </c>
      <c r="AQ377" s="0" t="str">
        <f aca="false">IFERROR(INDEX($A$1:$A$5,MATCH(6,$AF377:$AJ377,0)),IF(6=MAX($AF377:$AJ377)+1,"取消",""))</f>
        <v/>
      </c>
      <c r="AS377" s="0" t="n">
        <f aca="false">IF(OR($A$1=公区维修!$F377,$A$1=公区维修!$G377,$BN$1=1),0,1-SUMPRODUCT(--(($A$1=公区维修!$F377)+($A$1=公区维修!$G377)+$BN$1&gt;0)))</f>
        <v>0</v>
      </c>
      <c r="AT377" s="0" t="n">
        <f aca="false">IF(OR($A$2=公区维修!$F377,$A$2=公区维修!$G377,$BN$2=1),0,2-SUMPRODUCT(--(($A$1:$A$2=公区维修!$F377)+($A$1:$A$2=公区维修!$G377)+$BN$1:$BN$2&gt;0)))</f>
        <v>1</v>
      </c>
      <c r="AU377" s="0" t="n">
        <f aca="false">IF(OR($A$3=公区维修!$F377,$A$3=公区维修!$G377,$BN$3=1),0,3-SUMPRODUCT(--(($A$1:$A$3=公区维修!$F377)+($A$1:$A$3=公区维修!$G377)+$BN$1:$BN$3&gt;0)))</f>
        <v>2</v>
      </c>
      <c r="AV377" s="0" t="n">
        <f aca="false">IF(OR($A$4=公区维修!$F377,$A$4=公区维修!$G377,$BN$4=1),0,4-SUMPRODUCT(--(($A$1:$A$4=公区维修!$F377)+($A$1:$A$4=公区维修!$G377)+$BN$1:$BN$4&gt;0)))</f>
        <v>3</v>
      </c>
      <c r="AW377" s="0" t="n">
        <f aca="false">IF(OR($A$5=公区维修!$F377,$A$5=公区维修!$G377,$BN$5=1),0,5-SUMPRODUCT(--(($A$1:$A$5=公区维修!$F377)+($A$1:$A$5=公区维修!$G377)+$BN$1:$BN$5&gt;0)))</f>
        <v>4</v>
      </c>
      <c r="AY377" s="0" t="str">
        <f aca="false">IFERROR(INDEX($A$1:$A$5,MATCH(1,$AS377:$AW377,0)),IF(1=MAX($AS377:$AW377)+1,"取消",""))</f>
        <v>李师傅</v>
      </c>
      <c r="AZ377" s="0" t="str">
        <f aca="false">IFERROR(INDEX($A$1:$A$5,MATCH(2,$AS377:$AW377,0)),IF(2=MAX($AS377:$AW377)+1,"取消",""))</f>
        <v>王师傅</v>
      </c>
      <c r="BA377" s="0" t="str">
        <f aca="false">IFERROR(INDEX($A$1:$A$5,MATCH(3,$AS377:$AW377,0)),IF(3=MAX($AS377:$AW377)+1,"取消",""))</f>
        <v>陈师傅</v>
      </c>
      <c r="BB377" s="0" t="str">
        <f aca="false">IFERROR(INDEX($A$1:$A$5,MATCH(4,$AS377:$AW377,0)),IF(4=MAX($AS377:$AW377)+1,"取消",""))</f>
        <v>刘师傅</v>
      </c>
      <c r="BC377" s="0" t="str">
        <f aca="false">IFERROR(INDEX($A$1:$A$5,MATCH(5,$AS377:$AW377,0)),IF(5=MAX($AS377:$AW377)+1,"取消",""))</f>
        <v>取消</v>
      </c>
      <c r="BD377" s="0" t="str">
        <f aca="false">IFERROR(INDEX($A$1:$A$5,MATCH(6,$AS377:$AW377,0)),IF(6=MAX($AS377:$AW377)+1,"取消",""))</f>
        <v/>
      </c>
      <c r="FW377" s="0" t="str">
        <f aca="false">IF(AND(单元查询!$D$3&lt;&gt;"",IF(单元查询!$B$3="公区维修",公区维修!$E377&lt;&gt;"",入户维修!$E377&lt;&gt;""),IF(单元查询!$B$3="公区维修",公区维修!$C377,入户维修!$C377)=单元查询!$D$3,OR(单元查询!$F$3="",IF(单元查询!$B$3="公区维修",公区维修!$D377,入户维修!$D377)&amp;""=(单元查询!$F$3)&amp;"")),MAX($FW$4:$FW376)+1,"")</f>
        <v/>
      </c>
    </row>
    <row r="378" customFormat="false" ht="15" hidden="false" customHeight="true" outlineLevel="0" collapsed="false">
      <c r="F378" s="0" t="n">
        <f aca="false">IF(OR($A$1=入户维修!$F378,$BN$1=1),0,1-SUMPRODUCT(--(($A$1=入户维修!$F378)+$BN$1&gt;0)))</f>
        <v>0</v>
      </c>
      <c r="G378" s="0" t="n">
        <f aca="false">IF(OR($A$2=入户维修!$F378,$BN$2=1),0,2-SUMPRODUCT(--(($A$1:$A$2=入户维修!$F378)+$BN$1:$BN$2&gt;0)))</f>
        <v>1</v>
      </c>
      <c r="H378" s="0" t="n">
        <f aca="false">IF(OR($A$3=入户维修!$F378,$BN$3=1),0,3-SUMPRODUCT(--(($A$1:$A$3=入户维修!$F378)+$BN$1:$BN$3&gt;0)))</f>
        <v>2</v>
      </c>
      <c r="I378" s="0" t="n">
        <f aca="false">IF(OR($A$4=入户维修!$F378,$BN$4=1),0,4-SUMPRODUCT(--(($A$1:$A$4=入户维修!$F378)+$BN$1:$BN$4&gt;0)))</f>
        <v>3</v>
      </c>
      <c r="J378" s="0" t="n">
        <f aca="false">IF(OR($A$5=入户维修!$F378,$BN$5=1),0,5-SUMPRODUCT(--(($A$1:$A$5=入户维修!$F378)+$BN$1:$BN$5&gt;0)))</f>
        <v>4</v>
      </c>
      <c r="L378" s="0" t="str">
        <f aca="false">IFERROR(INDEX($A$1:$A$5,MATCH(1,$F378:$J378,0)),IF(1=MAX($F378:$J378)+1,"取消",""))</f>
        <v>李师傅</v>
      </c>
      <c r="M378" s="0" t="str">
        <f aca="false">IFERROR(INDEX($A$1:$A$5,MATCH(2,$F378:$J378,0)),IF(2=MAX($F378:$J378)+1,"取消",""))</f>
        <v>王师傅</v>
      </c>
      <c r="N378" s="0" t="str">
        <f aca="false">IFERROR(INDEX($A$1:$A$5,MATCH(3,$F378:$J378,0)),IF(3=MAX($F378:$J378)+1,"取消",""))</f>
        <v>陈师傅</v>
      </c>
      <c r="O378" s="0" t="str">
        <f aca="false">IFERROR(INDEX($A$1:$A$5,MATCH(4,$F378:$J378,0)),IF(4=MAX($F378:$J378)+1,"取消",""))</f>
        <v>刘师傅</v>
      </c>
      <c r="P378" s="0" t="str">
        <f aca="false">IFERROR(INDEX($A$1:$A$5,MATCH(5,$F378:$J378,0)),IF(5=MAX($F378:$J378)+1,"取消",""))</f>
        <v>取消</v>
      </c>
      <c r="Q378" s="0" t="str">
        <f aca="false">IFERROR(INDEX($A$1:$A$5,MATCH(6,$F378:$J378,0)),IF(6=MAX($F378:$J378)+1,"取消",""))</f>
        <v/>
      </c>
      <c r="S378" s="0" t="n">
        <f aca="false">IF(OR($A$1=入户维修!$F378,$A$1=入户维修!$G378,$BN$1=1),0,1-SUMPRODUCT(--(($A$1=入户维修!$F378)+($A$1=入户维修!$G378)+$BN$1&gt;0)))</f>
        <v>0</v>
      </c>
      <c r="T378" s="0" t="n">
        <f aca="false">IF(OR($A$2=入户维修!$F378,$A$2=入户维修!$G378,$BN$2=1),0,2-SUMPRODUCT(--(($A$1:$A$2=入户维修!$F378)+($A$1:$A$2=入户维修!$G378)+$BN$1:$BN$2&gt;0)))</f>
        <v>1</v>
      </c>
      <c r="U378" s="0" t="n">
        <f aca="false">IF(OR($A$3=入户维修!$F378,$A$3=入户维修!$G378,$BN$3=1),0,3-SUMPRODUCT(--(($A$1:$A$3=入户维修!$F378)+($A$1:$A$3=入户维修!$G378)+$BN$1:$BN$3&gt;0)))</f>
        <v>2</v>
      </c>
      <c r="V378" s="0" t="n">
        <f aca="false">IF(OR($A$4=入户维修!$F378,$A$4=入户维修!$G378,$BN$4=1),0,4-SUMPRODUCT(--(($A$1:$A$4=入户维修!$F378)+($A$1:$A$4=入户维修!$G378)+$BN$1:$BN$4&gt;0)))</f>
        <v>3</v>
      </c>
      <c r="W378" s="0" t="n">
        <f aca="false">IF(OR($A$5=入户维修!$F378,$A$5=入户维修!$G378,$BN$5=1),0,5-SUMPRODUCT(--(($A$1:$A$5=入户维修!$F378)+($A$1:$A$5=入户维修!$G378)+$BN$1:$BN$5&gt;0)))</f>
        <v>4</v>
      </c>
      <c r="Y378" s="0" t="str">
        <f aca="false">IFERROR(INDEX($A$1:$A$5,MATCH(1,$S378:$W378,0)),IF(1=MAX($S378:$W378)+1,"取消",""))</f>
        <v>李师傅</v>
      </c>
      <c r="Z378" s="0" t="str">
        <f aca="false">IFERROR(INDEX($A$1:$A$5,MATCH(2,$S378:$W378,0)),IF(2=MAX($S378:$W378)+1,"取消",""))</f>
        <v>王师傅</v>
      </c>
      <c r="AA378" s="0" t="str">
        <f aca="false">IFERROR(INDEX($A$1:$A$5,MATCH(3,$S378:$W378,0)),IF(3=MAX($S378:$W378)+1,"取消",""))</f>
        <v>陈师傅</v>
      </c>
      <c r="AB378" s="0" t="str">
        <f aca="false">IFERROR(INDEX($A$1:$A$5,MATCH(4,$S378:$W378,0)),IF(4=MAX($S378:$W378)+1,"取消",""))</f>
        <v>刘师傅</v>
      </c>
      <c r="AC378" s="0" t="str">
        <f aca="false">IFERROR(INDEX($A$1:$A$5,MATCH(5,$S378:$W378,0)),IF(5=MAX($S378:$W378)+1,"取消",""))</f>
        <v>取消</v>
      </c>
      <c r="AD378" s="0" t="str">
        <f aca="false">IFERROR(INDEX($A$1:$A$5,MATCH(6,$S378:$W378,0)),IF(6=MAX($S378:$W378)+1,"取消",""))</f>
        <v/>
      </c>
      <c r="AF378" s="0" t="n">
        <f aca="false">IF(OR($A$1=公区维修!$F378,$BN$1=1),0,1-SUMPRODUCT(--(($A$1=公区维修!$F378)+$BN$1&gt;0)))</f>
        <v>0</v>
      </c>
      <c r="AG378" s="0" t="n">
        <f aca="false">IF(OR($A$2=公区维修!$F378,$BN$2=1),0,2-SUMPRODUCT(--(($A$1:$A$2=公区维修!$F378)+$BN$1:$BN$2&gt;0)))</f>
        <v>1</v>
      </c>
      <c r="AH378" s="0" t="n">
        <f aca="false">IF(OR($A$3=公区维修!$F378,$BN$3=1),0,3-SUMPRODUCT(--(($A$1:$A$3=公区维修!$F378)+$BN$1:$BN$3&gt;0)))</f>
        <v>2</v>
      </c>
      <c r="AI378" s="0" t="n">
        <f aca="false">IF(OR($A$4=公区维修!$F378,$BN$4=1),0,4-SUMPRODUCT(--(($A$1:$A$4=公区维修!$F378)+$BN$1:$BN$4&gt;0)))</f>
        <v>3</v>
      </c>
      <c r="AJ378" s="0" t="n">
        <f aca="false">IF(OR($A$5=公区维修!$F378,$BN$5=1),0,5-SUMPRODUCT(--(($A$1:$A$5=公区维修!$F378)+$BN$1:$BN$5&gt;0)))</f>
        <v>4</v>
      </c>
      <c r="AL378" s="0" t="str">
        <f aca="false">IFERROR(INDEX($A$1:$A$5,MATCH(1,$AF378:$AJ378,0)),IF(1=MAX($AF378:$AJ378)+1,"取消",""))</f>
        <v>李师傅</v>
      </c>
      <c r="AM378" s="0" t="str">
        <f aca="false">IFERROR(INDEX($A$1:$A$5,MATCH(2,$AF378:$AJ378,0)),IF(2=MAX($AF378:$AJ378)+1,"取消",""))</f>
        <v>王师傅</v>
      </c>
      <c r="AN378" s="0" t="str">
        <f aca="false">IFERROR(INDEX($A$1:$A$5,MATCH(3,$AF378:$AJ378,0)),IF(3=MAX($AF378:$AJ378)+1,"取消",""))</f>
        <v>陈师傅</v>
      </c>
      <c r="AO378" s="0" t="str">
        <f aca="false">IFERROR(INDEX($A$1:$A$5,MATCH(4,$AF378:$AJ378,0)),IF(4=MAX($AF378:$AJ378)+1,"取消",""))</f>
        <v>刘师傅</v>
      </c>
      <c r="AP378" s="0" t="str">
        <f aca="false">IFERROR(INDEX($A$1:$A$5,MATCH(5,$AF378:$AJ378,0)),IF(5=MAX($AF378:$AJ378)+1,"取消",""))</f>
        <v>取消</v>
      </c>
      <c r="AQ378" s="0" t="str">
        <f aca="false">IFERROR(INDEX($A$1:$A$5,MATCH(6,$AF378:$AJ378,0)),IF(6=MAX($AF378:$AJ378)+1,"取消",""))</f>
        <v/>
      </c>
      <c r="AS378" s="0" t="n">
        <f aca="false">IF(OR($A$1=公区维修!$F378,$A$1=公区维修!$G378,$BN$1=1),0,1-SUMPRODUCT(--(($A$1=公区维修!$F378)+($A$1=公区维修!$G378)+$BN$1&gt;0)))</f>
        <v>0</v>
      </c>
      <c r="AT378" s="0" t="n">
        <f aca="false">IF(OR($A$2=公区维修!$F378,$A$2=公区维修!$G378,$BN$2=1),0,2-SUMPRODUCT(--(($A$1:$A$2=公区维修!$F378)+($A$1:$A$2=公区维修!$G378)+$BN$1:$BN$2&gt;0)))</f>
        <v>1</v>
      </c>
      <c r="AU378" s="0" t="n">
        <f aca="false">IF(OR($A$3=公区维修!$F378,$A$3=公区维修!$G378,$BN$3=1),0,3-SUMPRODUCT(--(($A$1:$A$3=公区维修!$F378)+($A$1:$A$3=公区维修!$G378)+$BN$1:$BN$3&gt;0)))</f>
        <v>2</v>
      </c>
      <c r="AV378" s="0" t="n">
        <f aca="false">IF(OR($A$4=公区维修!$F378,$A$4=公区维修!$G378,$BN$4=1),0,4-SUMPRODUCT(--(($A$1:$A$4=公区维修!$F378)+($A$1:$A$4=公区维修!$G378)+$BN$1:$BN$4&gt;0)))</f>
        <v>3</v>
      </c>
      <c r="AW378" s="0" t="n">
        <f aca="false">IF(OR($A$5=公区维修!$F378,$A$5=公区维修!$G378,$BN$5=1),0,5-SUMPRODUCT(--(($A$1:$A$5=公区维修!$F378)+($A$1:$A$5=公区维修!$G378)+$BN$1:$BN$5&gt;0)))</f>
        <v>4</v>
      </c>
      <c r="AY378" s="0" t="str">
        <f aca="false">IFERROR(INDEX($A$1:$A$5,MATCH(1,$AS378:$AW378,0)),IF(1=MAX($AS378:$AW378)+1,"取消",""))</f>
        <v>李师傅</v>
      </c>
      <c r="AZ378" s="0" t="str">
        <f aca="false">IFERROR(INDEX($A$1:$A$5,MATCH(2,$AS378:$AW378,0)),IF(2=MAX($AS378:$AW378)+1,"取消",""))</f>
        <v>王师傅</v>
      </c>
      <c r="BA378" s="0" t="str">
        <f aca="false">IFERROR(INDEX($A$1:$A$5,MATCH(3,$AS378:$AW378,0)),IF(3=MAX($AS378:$AW378)+1,"取消",""))</f>
        <v>陈师傅</v>
      </c>
      <c r="BB378" s="0" t="str">
        <f aca="false">IFERROR(INDEX($A$1:$A$5,MATCH(4,$AS378:$AW378,0)),IF(4=MAX($AS378:$AW378)+1,"取消",""))</f>
        <v>刘师傅</v>
      </c>
      <c r="BC378" s="0" t="str">
        <f aca="false">IFERROR(INDEX($A$1:$A$5,MATCH(5,$AS378:$AW378,0)),IF(5=MAX($AS378:$AW378)+1,"取消",""))</f>
        <v>取消</v>
      </c>
      <c r="BD378" s="0" t="str">
        <f aca="false">IFERROR(INDEX($A$1:$A$5,MATCH(6,$AS378:$AW378,0)),IF(6=MAX($AS378:$AW378)+1,"取消",""))</f>
        <v/>
      </c>
      <c r="FW378" s="0" t="str">
        <f aca="false">IF(AND(单元查询!$D$3&lt;&gt;"",IF(单元查询!$B$3="公区维修",公区维修!$E378&lt;&gt;"",入户维修!$E378&lt;&gt;""),IF(单元查询!$B$3="公区维修",公区维修!$C378,入户维修!$C378)=单元查询!$D$3,OR(单元查询!$F$3="",IF(单元查询!$B$3="公区维修",公区维修!$D378,入户维修!$D378)&amp;""=(单元查询!$F$3)&amp;"")),MAX($FW$4:$FW377)+1,"")</f>
        <v/>
      </c>
    </row>
    <row r="379" customFormat="false" ht="15" hidden="false" customHeight="true" outlineLevel="0" collapsed="false">
      <c r="F379" s="0" t="n">
        <f aca="false">IF(OR($A$1=入户维修!$F379,$BN$1=1),0,1-SUMPRODUCT(--(($A$1=入户维修!$F379)+$BN$1&gt;0)))</f>
        <v>0</v>
      </c>
      <c r="G379" s="0" t="n">
        <f aca="false">IF(OR($A$2=入户维修!$F379,$BN$2=1),0,2-SUMPRODUCT(--(($A$1:$A$2=入户维修!$F379)+$BN$1:$BN$2&gt;0)))</f>
        <v>1</v>
      </c>
      <c r="H379" s="0" t="n">
        <f aca="false">IF(OR($A$3=入户维修!$F379,$BN$3=1),0,3-SUMPRODUCT(--(($A$1:$A$3=入户维修!$F379)+$BN$1:$BN$3&gt;0)))</f>
        <v>2</v>
      </c>
      <c r="I379" s="0" t="n">
        <f aca="false">IF(OR($A$4=入户维修!$F379,$BN$4=1),0,4-SUMPRODUCT(--(($A$1:$A$4=入户维修!$F379)+$BN$1:$BN$4&gt;0)))</f>
        <v>3</v>
      </c>
      <c r="J379" s="0" t="n">
        <f aca="false">IF(OR($A$5=入户维修!$F379,$BN$5=1),0,5-SUMPRODUCT(--(($A$1:$A$5=入户维修!$F379)+$BN$1:$BN$5&gt;0)))</f>
        <v>4</v>
      </c>
      <c r="L379" s="0" t="str">
        <f aca="false">IFERROR(INDEX($A$1:$A$5,MATCH(1,$F379:$J379,0)),IF(1=MAX($F379:$J379)+1,"取消",""))</f>
        <v>李师傅</v>
      </c>
      <c r="M379" s="0" t="str">
        <f aca="false">IFERROR(INDEX($A$1:$A$5,MATCH(2,$F379:$J379,0)),IF(2=MAX($F379:$J379)+1,"取消",""))</f>
        <v>王师傅</v>
      </c>
      <c r="N379" s="0" t="str">
        <f aca="false">IFERROR(INDEX($A$1:$A$5,MATCH(3,$F379:$J379,0)),IF(3=MAX($F379:$J379)+1,"取消",""))</f>
        <v>陈师傅</v>
      </c>
      <c r="O379" s="0" t="str">
        <f aca="false">IFERROR(INDEX($A$1:$A$5,MATCH(4,$F379:$J379,0)),IF(4=MAX($F379:$J379)+1,"取消",""))</f>
        <v>刘师傅</v>
      </c>
      <c r="P379" s="0" t="str">
        <f aca="false">IFERROR(INDEX($A$1:$A$5,MATCH(5,$F379:$J379,0)),IF(5=MAX($F379:$J379)+1,"取消",""))</f>
        <v>取消</v>
      </c>
      <c r="Q379" s="0" t="str">
        <f aca="false">IFERROR(INDEX($A$1:$A$5,MATCH(6,$F379:$J379,0)),IF(6=MAX($F379:$J379)+1,"取消",""))</f>
        <v/>
      </c>
      <c r="S379" s="0" t="n">
        <f aca="false">IF(OR($A$1=入户维修!$F379,$A$1=入户维修!$G379,$BN$1=1),0,1-SUMPRODUCT(--(($A$1=入户维修!$F379)+($A$1=入户维修!$G379)+$BN$1&gt;0)))</f>
        <v>0</v>
      </c>
      <c r="T379" s="0" t="n">
        <f aca="false">IF(OR($A$2=入户维修!$F379,$A$2=入户维修!$G379,$BN$2=1),0,2-SUMPRODUCT(--(($A$1:$A$2=入户维修!$F379)+($A$1:$A$2=入户维修!$G379)+$BN$1:$BN$2&gt;0)))</f>
        <v>1</v>
      </c>
      <c r="U379" s="0" t="n">
        <f aca="false">IF(OR($A$3=入户维修!$F379,$A$3=入户维修!$G379,$BN$3=1),0,3-SUMPRODUCT(--(($A$1:$A$3=入户维修!$F379)+($A$1:$A$3=入户维修!$G379)+$BN$1:$BN$3&gt;0)))</f>
        <v>2</v>
      </c>
      <c r="V379" s="0" t="n">
        <f aca="false">IF(OR($A$4=入户维修!$F379,$A$4=入户维修!$G379,$BN$4=1),0,4-SUMPRODUCT(--(($A$1:$A$4=入户维修!$F379)+($A$1:$A$4=入户维修!$G379)+$BN$1:$BN$4&gt;0)))</f>
        <v>3</v>
      </c>
      <c r="W379" s="0" t="n">
        <f aca="false">IF(OR($A$5=入户维修!$F379,$A$5=入户维修!$G379,$BN$5=1),0,5-SUMPRODUCT(--(($A$1:$A$5=入户维修!$F379)+($A$1:$A$5=入户维修!$G379)+$BN$1:$BN$5&gt;0)))</f>
        <v>4</v>
      </c>
      <c r="Y379" s="0" t="str">
        <f aca="false">IFERROR(INDEX($A$1:$A$5,MATCH(1,$S379:$W379,0)),IF(1=MAX($S379:$W379)+1,"取消",""))</f>
        <v>李师傅</v>
      </c>
      <c r="Z379" s="0" t="str">
        <f aca="false">IFERROR(INDEX($A$1:$A$5,MATCH(2,$S379:$W379,0)),IF(2=MAX($S379:$W379)+1,"取消",""))</f>
        <v>王师傅</v>
      </c>
      <c r="AA379" s="0" t="str">
        <f aca="false">IFERROR(INDEX($A$1:$A$5,MATCH(3,$S379:$W379,0)),IF(3=MAX($S379:$W379)+1,"取消",""))</f>
        <v>陈师傅</v>
      </c>
      <c r="AB379" s="0" t="str">
        <f aca="false">IFERROR(INDEX($A$1:$A$5,MATCH(4,$S379:$W379,0)),IF(4=MAX($S379:$W379)+1,"取消",""))</f>
        <v>刘师傅</v>
      </c>
      <c r="AC379" s="0" t="str">
        <f aca="false">IFERROR(INDEX($A$1:$A$5,MATCH(5,$S379:$W379,0)),IF(5=MAX($S379:$W379)+1,"取消",""))</f>
        <v>取消</v>
      </c>
      <c r="AD379" s="0" t="str">
        <f aca="false">IFERROR(INDEX($A$1:$A$5,MATCH(6,$S379:$W379,0)),IF(6=MAX($S379:$W379)+1,"取消",""))</f>
        <v/>
      </c>
      <c r="AF379" s="0" t="n">
        <f aca="false">IF(OR($A$1=公区维修!$F379,$BN$1=1),0,1-SUMPRODUCT(--(($A$1=公区维修!$F379)+$BN$1&gt;0)))</f>
        <v>0</v>
      </c>
      <c r="AG379" s="0" t="n">
        <f aca="false">IF(OR($A$2=公区维修!$F379,$BN$2=1),0,2-SUMPRODUCT(--(($A$1:$A$2=公区维修!$F379)+$BN$1:$BN$2&gt;0)))</f>
        <v>1</v>
      </c>
      <c r="AH379" s="0" t="n">
        <f aca="false">IF(OR($A$3=公区维修!$F379,$BN$3=1),0,3-SUMPRODUCT(--(($A$1:$A$3=公区维修!$F379)+$BN$1:$BN$3&gt;0)))</f>
        <v>2</v>
      </c>
      <c r="AI379" s="0" t="n">
        <f aca="false">IF(OR($A$4=公区维修!$F379,$BN$4=1),0,4-SUMPRODUCT(--(($A$1:$A$4=公区维修!$F379)+$BN$1:$BN$4&gt;0)))</f>
        <v>3</v>
      </c>
      <c r="AJ379" s="0" t="n">
        <f aca="false">IF(OR($A$5=公区维修!$F379,$BN$5=1),0,5-SUMPRODUCT(--(($A$1:$A$5=公区维修!$F379)+$BN$1:$BN$5&gt;0)))</f>
        <v>4</v>
      </c>
      <c r="AL379" s="0" t="str">
        <f aca="false">IFERROR(INDEX($A$1:$A$5,MATCH(1,$AF379:$AJ379,0)),IF(1=MAX($AF379:$AJ379)+1,"取消",""))</f>
        <v>李师傅</v>
      </c>
      <c r="AM379" s="0" t="str">
        <f aca="false">IFERROR(INDEX($A$1:$A$5,MATCH(2,$AF379:$AJ379,0)),IF(2=MAX($AF379:$AJ379)+1,"取消",""))</f>
        <v>王师傅</v>
      </c>
      <c r="AN379" s="0" t="str">
        <f aca="false">IFERROR(INDEX($A$1:$A$5,MATCH(3,$AF379:$AJ379,0)),IF(3=MAX($AF379:$AJ379)+1,"取消",""))</f>
        <v>陈师傅</v>
      </c>
      <c r="AO379" s="0" t="str">
        <f aca="false">IFERROR(INDEX($A$1:$A$5,MATCH(4,$AF379:$AJ379,0)),IF(4=MAX($AF379:$AJ379)+1,"取消",""))</f>
        <v>刘师傅</v>
      </c>
      <c r="AP379" s="0" t="str">
        <f aca="false">IFERROR(INDEX($A$1:$A$5,MATCH(5,$AF379:$AJ379,0)),IF(5=MAX($AF379:$AJ379)+1,"取消",""))</f>
        <v>取消</v>
      </c>
      <c r="AQ379" s="0" t="str">
        <f aca="false">IFERROR(INDEX($A$1:$A$5,MATCH(6,$AF379:$AJ379,0)),IF(6=MAX($AF379:$AJ379)+1,"取消",""))</f>
        <v/>
      </c>
      <c r="AS379" s="0" t="n">
        <f aca="false">IF(OR($A$1=公区维修!$F379,$A$1=公区维修!$G379,$BN$1=1),0,1-SUMPRODUCT(--(($A$1=公区维修!$F379)+($A$1=公区维修!$G379)+$BN$1&gt;0)))</f>
        <v>0</v>
      </c>
      <c r="AT379" s="0" t="n">
        <f aca="false">IF(OR($A$2=公区维修!$F379,$A$2=公区维修!$G379,$BN$2=1),0,2-SUMPRODUCT(--(($A$1:$A$2=公区维修!$F379)+($A$1:$A$2=公区维修!$G379)+$BN$1:$BN$2&gt;0)))</f>
        <v>1</v>
      </c>
      <c r="AU379" s="0" t="n">
        <f aca="false">IF(OR($A$3=公区维修!$F379,$A$3=公区维修!$G379,$BN$3=1),0,3-SUMPRODUCT(--(($A$1:$A$3=公区维修!$F379)+($A$1:$A$3=公区维修!$G379)+$BN$1:$BN$3&gt;0)))</f>
        <v>2</v>
      </c>
      <c r="AV379" s="0" t="n">
        <f aca="false">IF(OR($A$4=公区维修!$F379,$A$4=公区维修!$G379,$BN$4=1),0,4-SUMPRODUCT(--(($A$1:$A$4=公区维修!$F379)+($A$1:$A$4=公区维修!$G379)+$BN$1:$BN$4&gt;0)))</f>
        <v>3</v>
      </c>
      <c r="AW379" s="0" t="n">
        <f aca="false">IF(OR($A$5=公区维修!$F379,$A$5=公区维修!$G379,$BN$5=1),0,5-SUMPRODUCT(--(($A$1:$A$5=公区维修!$F379)+($A$1:$A$5=公区维修!$G379)+$BN$1:$BN$5&gt;0)))</f>
        <v>4</v>
      </c>
      <c r="AY379" s="0" t="str">
        <f aca="false">IFERROR(INDEX($A$1:$A$5,MATCH(1,$AS379:$AW379,0)),IF(1=MAX($AS379:$AW379)+1,"取消",""))</f>
        <v>李师傅</v>
      </c>
      <c r="AZ379" s="0" t="str">
        <f aca="false">IFERROR(INDEX($A$1:$A$5,MATCH(2,$AS379:$AW379,0)),IF(2=MAX($AS379:$AW379)+1,"取消",""))</f>
        <v>王师傅</v>
      </c>
      <c r="BA379" s="0" t="str">
        <f aca="false">IFERROR(INDEX($A$1:$A$5,MATCH(3,$AS379:$AW379,0)),IF(3=MAX($AS379:$AW379)+1,"取消",""))</f>
        <v>陈师傅</v>
      </c>
      <c r="BB379" s="0" t="str">
        <f aca="false">IFERROR(INDEX($A$1:$A$5,MATCH(4,$AS379:$AW379,0)),IF(4=MAX($AS379:$AW379)+1,"取消",""))</f>
        <v>刘师傅</v>
      </c>
      <c r="BC379" s="0" t="str">
        <f aca="false">IFERROR(INDEX($A$1:$A$5,MATCH(5,$AS379:$AW379,0)),IF(5=MAX($AS379:$AW379)+1,"取消",""))</f>
        <v>取消</v>
      </c>
      <c r="BD379" s="0" t="str">
        <f aca="false">IFERROR(INDEX($A$1:$A$5,MATCH(6,$AS379:$AW379,0)),IF(6=MAX($AS379:$AW379)+1,"取消",""))</f>
        <v/>
      </c>
      <c r="FW379" s="0" t="str">
        <f aca="false">IF(AND(单元查询!$D$3&lt;&gt;"",IF(单元查询!$B$3="公区维修",公区维修!$E379&lt;&gt;"",入户维修!$E379&lt;&gt;""),IF(单元查询!$B$3="公区维修",公区维修!$C379,入户维修!$C379)=单元查询!$D$3,OR(单元查询!$F$3="",IF(单元查询!$B$3="公区维修",公区维修!$D379,入户维修!$D379)&amp;""=(单元查询!$F$3)&amp;"")),MAX($FW$4:$FW378)+1,"")</f>
        <v/>
      </c>
    </row>
    <row r="380" customFormat="false" ht="15" hidden="false" customHeight="true" outlineLevel="0" collapsed="false">
      <c r="F380" s="0" t="n">
        <f aca="false">IF(OR($A$1=入户维修!$F380,$BN$1=1),0,1-SUMPRODUCT(--(($A$1=入户维修!$F380)+$BN$1&gt;0)))</f>
        <v>0</v>
      </c>
      <c r="G380" s="0" t="n">
        <f aca="false">IF(OR($A$2=入户维修!$F380,$BN$2=1),0,2-SUMPRODUCT(--(($A$1:$A$2=入户维修!$F380)+$BN$1:$BN$2&gt;0)))</f>
        <v>1</v>
      </c>
      <c r="H380" s="0" t="n">
        <f aca="false">IF(OR($A$3=入户维修!$F380,$BN$3=1),0,3-SUMPRODUCT(--(($A$1:$A$3=入户维修!$F380)+$BN$1:$BN$3&gt;0)))</f>
        <v>2</v>
      </c>
      <c r="I380" s="0" t="n">
        <f aca="false">IF(OR($A$4=入户维修!$F380,$BN$4=1),0,4-SUMPRODUCT(--(($A$1:$A$4=入户维修!$F380)+$BN$1:$BN$4&gt;0)))</f>
        <v>3</v>
      </c>
      <c r="J380" s="0" t="n">
        <f aca="false">IF(OR($A$5=入户维修!$F380,$BN$5=1),0,5-SUMPRODUCT(--(($A$1:$A$5=入户维修!$F380)+$BN$1:$BN$5&gt;0)))</f>
        <v>4</v>
      </c>
      <c r="L380" s="0" t="str">
        <f aca="false">IFERROR(INDEX($A$1:$A$5,MATCH(1,$F380:$J380,0)),IF(1=MAX($F380:$J380)+1,"取消",""))</f>
        <v>李师傅</v>
      </c>
      <c r="M380" s="0" t="str">
        <f aca="false">IFERROR(INDEX($A$1:$A$5,MATCH(2,$F380:$J380,0)),IF(2=MAX($F380:$J380)+1,"取消",""))</f>
        <v>王师傅</v>
      </c>
      <c r="N380" s="0" t="str">
        <f aca="false">IFERROR(INDEX($A$1:$A$5,MATCH(3,$F380:$J380,0)),IF(3=MAX($F380:$J380)+1,"取消",""))</f>
        <v>陈师傅</v>
      </c>
      <c r="O380" s="0" t="str">
        <f aca="false">IFERROR(INDEX($A$1:$A$5,MATCH(4,$F380:$J380,0)),IF(4=MAX($F380:$J380)+1,"取消",""))</f>
        <v>刘师傅</v>
      </c>
      <c r="P380" s="0" t="str">
        <f aca="false">IFERROR(INDEX($A$1:$A$5,MATCH(5,$F380:$J380,0)),IF(5=MAX($F380:$J380)+1,"取消",""))</f>
        <v>取消</v>
      </c>
      <c r="Q380" s="0" t="str">
        <f aca="false">IFERROR(INDEX($A$1:$A$5,MATCH(6,$F380:$J380,0)),IF(6=MAX($F380:$J380)+1,"取消",""))</f>
        <v/>
      </c>
      <c r="S380" s="0" t="n">
        <f aca="false">IF(OR($A$1=入户维修!$F380,$A$1=入户维修!$G380,$BN$1=1),0,1-SUMPRODUCT(--(($A$1=入户维修!$F380)+($A$1=入户维修!$G380)+$BN$1&gt;0)))</f>
        <v>0</v>
      </c>
      <c r="T380" s="0" t="n">
        <f aca="false">IF(OR($A$2=入户维修!$F380,$A$2=入户维修!$G380,$BN$2=1),0,2-SUMPRODUCT(--(($A$1:$A$2=入户维修!$F380)+($A$1:$A$2=入户维修!$G380)+$BN$1:$BN$2&gt;0)))</f>
        <v>1</v>
      </c>
      <c r="U380" s="0" t="n">
        <f aca="false">IF(OR($A$3=入户维修!$F380,$A$3=入户维修!$G380,$BN$3=1),0,3-SUMPRODUCT(--(($A$1:$A$3=入户维修!$F380)+($A$1:$A$3=入户维修!$G380)+$BN$1:$BN$3&gt;0)))</f>
        <v>2</v>
      </c>
      <c r="V380" s="0" t="n">
        <f aca="false">IF(OR($A$4=入户维修!$F380,$A$4=入户维修!$G380,$BN$4=1),0,4-SUMPRODUCT(--(($A$1:$A$4=入户维修!$F380)+($A$1:$A$4=入户维修!$G380)+$BN$1:$BN$4&gt;0)))</f>
        <v>3</v>
      </c>
      <c r="W380" s="0" t="n">
        <f aca="false">IF(OR($A$5=入户维修!$F380,$A$5=入户维修!$G380,$BN$5=1),0,5-SUMPRODUCT(--(($A$1:$A$5=入户维修!$F380)+($A$1:$A$5=入户维修!$G380)+$BN$1:$BN$5&gt;0)))</f>
        <v>4</v>
      </c>
      <c r="Y380" s="0" t="str">
        <f aca="false">IFERROR(INDEX($A$1:$A$5,MATCH(1,$S380:$W380,0)),IF(1=MAX($S380:$W380)+1,"取消",""))</f>
        <v>李师傅</v>
      </c>
      <c r="Z380" s="0" t="str">
        <f aca="false">IFERROR(INDEX($A$1:$A$5,MATCH(2,$S380:$W380,0)),IF(2=MAX($S380:$W380)+1,"取消",""))</f>
        <v>王师傅</v>
      </c>
      <c r="AA380" s="0" t="str">
        <f aca="false">IFERROR(INDEX($A$1:$A$5,MATCH(3,$S380:$W380,0)),IF(3=MAX($S380:$W380)+1,"取消",""))</f>
        <v>陈师傅</v>
      </c>
      <c r="AB380" s="0" t="str">
        <f aca="false">IFERROR(INDEX($A$1:$A$5,MATCH(4,$S380:$W380,0)),IF(4=MAX($S380:$W380)+1,"取消",""))</f>
        <v>刘师傅</v>
      </c>
      <c r="AC380" s="0" t="str">
        <f aca="false">IFERROR(INDEX($A$1:$A$5,MATCH(5,$S380:$W380,0)),IF(5=MAX($S380:$W380)+1,"取消",""))</f>
        <v>取消</v>
      </c>
      <c r="AD380" s="0" t="str">
        <f aca="false">IFERROR(INDEX($A$1:$A$5,MATCH(6,$S380:$W380,0)),IF(6=MAX($S380:$W380)+1,"取消",""))</f>
        <v/>
      </c>
      <c r="AF380" s="0" t="n">
        <f aca="false">IF(OR($A$1=公区维修!$F380,$BN$1=1),0,1-SUMPRODUCT(--(($A$1=公区维修!$F380)+$BN$1&gt;0)))</f>
        <v>0</v>
      </c>
      <c r="AG380" s="0" t="n">
        <f aca="false">IF(OR($A$2=公区维修!$F380,$BN$2=1),0,2-SUMPRODUCT(--(($A$1:$A$2=公区维修!$F380)+$BN$1:$BN$2&gt;0)))</f>
        <v>1</v>
      </c>
      <c r="AH380" s="0" t="n">
        <f aca="false">IF(OR($A$3=公区维修!$F380,$BN$3=1),0,3-SUMPRODUCT(--(($A$1:$A$3=公区维修!$F380)+$BN$1:$BN$3&gt;0)))</f>
        <v>2</v>
      </c>
      <c r="AI380" s="0" t="n">
        <f aca="false">IF(OR($A$4=公区维修!$F380,$BN$4=1),0,4-SUMPRODUCT(--(($A$1:$A$4=公区维修!$F380)+$BN$1:$BN$4&gt;0)))</f>
        <v>3</v>
      </c>
      <c r="AJ380" s="0" t="n">
        <f aca="false">IF(OR($A$5=公区维修!$F380,$BN$5=1),0,5-SUMPRODUCT(--(($A$1:$A$5=公区维修!$F380)+$BN$1:$BN$5&gt;0)))</f>
        <v>4</v>
      </c>
      <c r="AL380" s="0" t="str">
        <f aca="false">IFERROR(INDEX($A$1:$A$5,MATCH(1,$AF380:$AJ380,0)),IF(1=MAX($AF380:$AJ380)+1,"取消",""))</f>
        <v>李师傅</v>
      </c>
      <c r="AM380" s="0" t="str">
        <f aca="false">IFERROR(INDEX($A$1:$A$5,MATCH(2,$AF380:$AJ380,0)),IF(2=MAX($AF380:$AJ380)+1,"取消",""))</f>
        <v>王师傅</v>
      </c>
      <c r="AN380" s="0" t="str">
        <f aca="false">IFERROR(INDEX($A$1:$A$5,MATCH(3,$AF380:$AJ380,0)),IF(3=MAX($AF380:$AJ380)+1,"取消",""))</f>
        <v>陈师傅</v>
      </c>
      <c r="AO380" s="0" t="str">
        <f aca="false">IFERROR(INDEX($A$1:$A$5,MATCH(4,$AF380:$AJ380,0)),IF(4=MAX($AF380:$AJ380)+1,"取消",""))</f>
        <v>刘师傅</v>
      </c>
      <c r="AP380" s="0" t="str">
        <f aca="false">IFERROR(INDEX($A$1:$A$5,MATCH(5,$AF380:$AJ380,0)),IF(5=MAX($AF380:$AJ380)+1,"取消",""))</f>
        <v>取消</v>
      </c>
      <c r="AQ380" s="0" t="str">
        <f aca="false">IFERROR(INDEX($A$1:$A$5,MATCH(6,$AF380:$AJ380,0)),IF(6=MAX($AF380:$AJ380)+1,"取消",""))</f>
        <v/>
      </c>
      <c r="AS380" s="0" t="n">
        <f aca="false">IF(OR($A$1=公区维修!$F380,$A$1=公区维修!$G380,$BN$1=1),0,1-SUMPRODUCT(--(($A$1=公区维修!$F380)+($A$1=公区维修!$G380)+$BN$1&gt;0)))</f>
        <v>0</v>
      </c>
      <c r="AT380" s="0" t="n">
        <f aca="false">IF(OR($A$2=公区维修!$F380,$A$2=公区维修!$G380,$BN$2=1),0,2-SUMPRODUCT(--(($A$1:$A$2=公区维修!$F380)+($A$1:$A$2=公区维修!$G380)+$BN$1:$BN$2&gt;0)))</f>
        <v>1</v>
      </c>
      <c r="AU380" s="0" t="n">
        <f aca="false">IF(OR($A$3=公区维修!$F380,$A$3=公区维修!$G380,$BN$3=1),0,3-SUMPRODUCT(--(($A$1:$A$3=公区维修!$F380)+($A$1:$A$3=公区维修!$G380)+$BN$1:$BN$3&gt;0)))</f>
        <v>2</v>
      </c>
      <c r="AV380" s="0" t="n">
        <f aca="false">IF(OR($A$4=公区维修!$F380,$A$4=公区维修!$G380,$BN$4=1),0,4-SUMPRODUCT(--(($A$1:$A$4=公区维修!$F380)+($A$1:$A$4=公区维修!$G380)+$BN$1:$BN$4&gt;0)))</f>
        <v>3</v>
      </c>
      <c r="AW380" s="0" t="n">
        <f aca="false">IF(OR($A$5=公区维修!$F380,$A$5=公区维修!$G380,$BN$5=1),0,5-SUMPRODUCT(--(($A$1:$A$5=公区维修!$F380)+($A$1:$A$5=公区维修!$G380)+$BN$1:$BN$5&gt;0)))</f>
        <v>4</v>
      </c>
      <c r="AY380" s="0" t="str">
        <f aca="false">IFERROR(INDEX($A$1:$A$5,MATCH(1,$AS380:$AW380,0)),IF(1=MAX($AS380:$AW380)+1,"取消",""))</f>
        <v>李师傅</v>
      </c>
      <c r="AZ380" s="0" t="str">
        <f aca="false">IFERROR(INDEX($A$1:$A$5,MATCH(2,$AS380:$AW380,0)),IF(2=MAX($AS380:$AW380)+1,"取消",""))</f>
        <v>王师傅</v>
      </c>
      <c r="BA380" s="0" t="str">
        <f aca="false">IFERROR(INDEX($A$1:$A$5,MATCH(3,$AS380:$AW380,0)),IF(3=MAX($AS380:$AW380)+1,"取消",""))</f>
        <v>陈师傅</v>
      </c>
      <c r="BB380" s="0" t="str">
        <f aca="false">IFERROR(INDEX($A$1:$A$5,MATCH(4,$AS380:$AW380,0)),IF(4=MAX($AS380:$AW380)+1,"取消",""))</f>
        <v>刘师傅</v>
      </c>
      <c r="BC380" s="0" t="str">
        <f aca="false">IFERROR(INDEX($A$1:$A$5,MATCH(5,$AS380:$AW380,0)),IF(5=MAX($AS380:$AW380)+1,"取消",""))</f>
        <v>取消</v>
      </c>
      <c r="BD380" s="0" t="str">
        <f aca="false">IFERROR(INDEX($A$1:$A$5,MATCH(6,$AS380:$AW380,0)),IF(6=MAX($AS380:$AW380)+1,"取消",""))</f>
        <v/>
      </c>
      <c r="FW380" s="0" t="str">
        <f aca="false">IF(AND(单元查询!$D$3&lt;&gt;"",IF(单元查询!$B$3="公区维修",公区维修!$E380&lt;&gt;"",入户维修!$E380&lt;&gt;""),IF(单元查询!$B$3="公区维修",公区维修!$C380,入户维修!$C380)=单元查询!$D$3,OR(单元查询!$F$3="",IF(单元查询!$B$3="公区维修",公区维修!$D380,入户维修!$D380)&amp;""=(单元查询!$F$3)&amp;"")),MAX($FW$4:$FW379)+1,"")</f>
        <v/>
      </c>
    </row>
    <row r="381" customFormat="false" ht="15" hidden="false" customHeight="true" outlineLevel="0" collapsed="false">
      <c r="F381" s="0" t="n">
        <f aca="false">IF(OR($A$1=入户维修!$F381,$BN$1=1),0,1-SUMPRODUCT(--(($A$1=入户维修!$F381)+$BN$1&gt;0)))</f>
        <v>0</v>
      </c>
      <c r="G381" s="0" t="n">
        <f aca="false">IF(OR($A$2=入户维修!$F381,$BN$2=1),0,2-SUMPRODUCT(--(($A$1:$A$2=入户维修!$F381)+$BN$1:$BN$2&gt;0)))</f>
        <v>1</v>
      </c>
      <c r="H381" s="0" t="n">
        <f aca="false">IF(OR($A$3=入户维修!$F381,$BN$3=1),0,3-SUMPRODUCT(--(($A$1:$A$3=入户维修!$F381)+$BN$1:$BN$3&gt;0)))</f>
        <v>2</v>
      </c>
      <c r="I381" s="0" t="n">
        <f aca="false">IF(OR($A$4=入户维修!$F381,$BN$4=1),0,4-SUMPRODUCT(--(($A$1:$A$4=入户维修!$F381)+$BN$1:$BN$4&gt;0)))</f>
        <v>3</v>
      </c>
      <c r="J381" s="0" t="n">
        <f aca="false">IF(OR($A$5=入户维修!$F381,$BN$5=1),0,5-SUMPRODUCT(--(($A$1:$A$5=入户维修!$F381)+$BN$1:$BN$5&gt;0)))</f>
        <v>4</v>
      </c>
      <c r="L381" s="0" t="str">
        <f aca="false">IFERROR(INDEX($A$1:$A$5,MATCH(1,$F381:$J381,0)),IF(1=MAX($F381:$J381)+1,"取消",""))</f>
        <v>李师傅</v>
      </c>
      <c r="M381" s="0" t="str">
        <f aca="false">IFERROR(INDEX($A$1:$A$5,MATCH(2,$F381:$J381,0)),IF(2=MAX($F381:$J381)+1,"取消",""))</f>
        <v>王师傅</v>
      </c>
      <c r="N381" s="0" t="str">
        <f aca="false">IFERROR(INDEX($A$1:$A$5,MATCH(3,$F381:$J381,0)),IF(3=MAX($F381:$J381)+1,"取消",""))</f>
        <v>陈师傅</v>
      </c>
      <c r="O381" s="0" t="str">
        <f aca="false">IFERROR(INDEX($A$1:$A$5,MATCH(4,$F381:$J381,0)),IF(4=MAX($F381:$J381)+1,"取消",""))</f>
        <v>刘师傅</v>
      </c>
      <c r="P381" s="0" t="str">
        <f aca="false">IFERROR(INDEX($A$1:$A$5,MATCH(5,$F381:$J381,0)),IF(5=MAX($F381:$J381)+1,"取消",""))</f>
        <v>取消</v>
      </c>
      <c r="Q381" s="0" t="str">
        <f aca="false">IFERROR(INDEX($A$1:$A$5,MATCH(6,$F381:$J381,0)),IF(6=MAX($F381:$J381)+1,"取消",""))</f>
        <v/>
      </c>
      <c r="S381" s="0" t="n">
        <f aca="false">IF(OR($A$1=入户维修!$F381,$A$1=入户维修!$G381,$BN$1=1),0,1-SUMPRODUCT(--(($A$1=入户维修!$F381)+($A$1=入户维修!$G381)+$BN$1&gt;0)))</f>
        <v>0</v>
      </c>
      <c r="T381" s="0" t="n">
        <f aca="false">IF(OR($A$2=入户维修!$F381,$A$2=入户维修!$G381,$BN$2=1),0,2-SUMPRODUCT(--(($A$1:$A$2=入户维修!$F381)+($A$1:$A$2=入户维修!$G381)+$BN$1:$BN$2&gt;0)))</f>
        <v>1</v>
      </c>
      <c r="U381" s="0" t="n">
        <f aca="false">IF(OR($A$3=入户维修!$F381,$A$3=入户维修!$G381,$BN$3=1),0,3-SUMPRODUCT(--(($A$1:$A$3=入户维修!$F381)+($A$1:$A$3=入户维修!$G381)+$BN$1:$BN$3&gt;0)))</f>
        <v>2</v>
      </c>
      <c r="V381" s="0" t="n">
        <f aca="false">IF(OR($A$4=入户维修!$F381,$A$4=入户维修!$G381,$BN$4=1),0,4-SUMPRODUCT(--(($A$1:$A$4=入户维修!$F381)+($A$1:$A$4=入户维修!$G381)+$BN$1:$BN$4&gt;0)))</f>
        <v>3</v>
      </c>
      <c r="W381" s="0" t="n">
        <f aca="false">IF(OR($A$5=入户维修!$F381,$A$5=入户维修!$G381,$BN$5=1),0,5-SUMPRODUCT(--(($A$1:$A$5=入户维修!$F381)+($A$1:$A$5=入户维修!$G381)+$BN$1:$BN$5&gt;0)))</f>
        <v>4</v>
      </c>
      <c r="Y381" s="0" t="str">
        <f aca="false">IFERROR(INDEX($A$1:$A$5,MATCH(1,$S381:$W381,0)),IF(1=MAX($S381:$W381)+1,"取消",""))</f>
        <v>李师傅</v>
      </c>
      <c r="Z381" s="0" t="str">
        <f aca="false">IFERROR(INDEX($A$1:$A$5,MATCH(2,$S381:$W381,0)),IF(2=MAX($S381:$W381)+1,"取消",""))</f>
        <v>王师傅</v>
      </c>
      <c r="AA381" s="0" t="str">
        <f aca="false">IFERROR(INDEX($A$1:$A$5,MATCH(3,$S381:$W381,0)),IF(3=MAX($S381:$W381)+1,"取消",""))</f>
        <v>陈师傅</v>
      </c>
      <c r="AB381" s="0" t="str">
        <f aca="false">IFERROR(INDEX($A$1:$A$5,MATCH(4,$S381:$W381,0)),IF(4=MAX($S381:$W381)+1,"取消",""))</f>
        <v>刘师傅</v>
      </c>
      <c r="AC381" s="0" t="str">
        <f aca="false">IFERROR(INDEX($A$1:$A$5,MATCH(5,$S381:$W381,0)),IF(5=MAX($S381:$W381)+1,"取消",""))</f>
        <v>取消</v>
      </c>
      <c r="AD381" s="0" t="str">
        <f aca="false">IFERROR(INDEX($A$1:$A$5,MATCH(6,$S381:$W381,0)),IF(6=MAX($S381:$W381)+1,"取消",""))</f>
        <v/>
      </c>
      <c r="AF381" s="0" t="n">
        <f aca="false">IF(OR($A$1=公区维修!$F381,$BN$1=1),0,1-SUMPRODUCT(--(($A$1=公区维修!$F381)+$BN$1&gt;0)))</f>
        <v>0</v>
      </c>
      <c r="AG381" s="0" t="n">
        <f aca="false">IF(OR($A$2=公区维修!$F381,$BN$2=1),0,2-SUMPRODUCT(--(($A$1:$A$2=公区维修!$F381)+$BN$1:$BN$2&gt;0)))</f>
        <v>1</v>
      </c>
      <c r="AH381" s="0" t="n">
        <f aca="false">IF(OR($A$3=公区维修!$F381,$BN$3=1),0,3-SUMPRODUCT(--(($A$1:$A$3=公区维修!$F381)+$BN$1:$BN$3&gt;0)))</f>
        <v>2</v>
      </c>
      <c r="AI381" s="0" t="n">
        <f aca="false">IF(OR($A$4=公区维修!$F381,$BN$4=1),0,4-SUMPRODUCT(--(($A$1:$A$4=公区维修!$F381)+$BN$1:$BN$4&gt;0)))</f>
        <v>3</v>
      </c>
      <c r="AJ381" s="0" t="n">
        <f aca="false">IF(OR($A$5=公区维修!$F381,$BN$5=1),0,5-SUMPRODUCT(--(($A$1:$A$5=公区维修!$F381)+$BN$1:$BN$5&gt;0)))</f>
        <v>4</v>
      </c>
      <c r="AL381" s="0" t="str">
        <f aca="false">IFERROR(INDEX($A$1:$A$5,MATCH(1,$AF381:$AJ381,0)),IF(1=MAX($AF381:$AJ381)+1,"取消",""))</f>
        <v>李师傅</v>
      </c>
      <c r="AM381" s="0" t="str">
        <f aca="false">IFERROR(INDEX($A$1:$A$5,MATCH(2,$AF381:$AJ381,0)),IF(2=MAX($AF381:$AJ381)+1,"取消",""))</f>
        <v>王师傅</v>
      </c>
      <c r="AN381" s="0" t="str">
        <f aca="false">IFERROR(INDEX($A$1:$A$5,MATCH(3,$AF381:$AJ381,0)),IF(3=MAX($AF381:$AJ381)+1,"取消",""))</f>
        <v>陈师傅</v>
      </c>
      <c r="AO381" s="0" t="str">
        <f aca="false">IFERROR(INDEX($A$1:$A$5,MATCH(4,$AF381:$AJ381,0)),IF(4=MAX($AF381:$AJ381)+1,"取消",""))</f>
        <v>刘师傅</v>
      </c>
      <c r="AP381" s="0" t="str">
        <f aca="false">IFERROR(INDEX($A$1:$A$5,MATCH(5,$AF381:$AJ381,0)),IF(5=MAX($AF381:$AJ381)+1,"取消",""))</f>
        <v>取消</v>
      </c>
      <c r="AQ381" s="0" t="str">
        <f aca="false">IFERROR(INDEX($A$1:$A$5,MATCH(6,$AF381:$AJ381,0)),IF(6=MAX($AF381:$AJ381)+1,"取消",""))</f>
        <v/>
      </c>
      <c r="AS381" s="0" t="n">
        <f aca="false">IF(OR($A$1=公区维修!$F381,$A$1=公区维修!$G381,$BN$1=1),0,1-SUMPRODUCT(--(($A$1=公区维修!$F381)+($A$1=公区维修!$G381)+$BN$1&gt;0)))</f>
        <v>0</v>
      </c>
      <c r="AT381" s="0" t="n">
        <f aca="false">IF(OR($A$2=公区维修!$F381,$A$2=公区维修!$G381,$BN$2=1),0,2-SUMPRODUCT(--(($A$1:$A$2=公区维修!$F381)+($A$1:$A$2=公区维修!$G381)+$BN$1:$BN$2&gt;0)))</f>
        <v>1</v>
      </c>
      <c r="AU381" s="0" t="n">
        <f aca="false">IF(OR($A$3=公区维修!$F381,$A$3=公区维修!$G381,$BN$3=1),0,3-SUMPRODUCT(--(($A$1:$A$3=公区维修!$F381)+($A$1:$A$3=公区维修!$G381)+$BN$1:$BN$3&gt;0)))</f>
        <v>2</v>
      </c>
      <c r="AV381" s="0" t="n">
        <f aca="false">IF(OR($A$4=公区维修!$F381,$A$4=公区维修!$G381,$BN$4=1),0,4-SUMPRODUCT(--(($A$1:$A$4=公区维修!$F381)+($A$1:$A$4=公区维修!$G381)+$BN$1:$BN$4&gt;0)))</f>
        <v>3</v>
      </c>
      <c r="AW381" s="0" t="n">
        <f aca="false">IF(OR($A$5=公区维修!$F381,$A$5=公区维修!$G381,$BN$5=1),0,5-SUMPRODUCT(--(($A$1:$A$5=公区维修!$F381)+($A$1:$A$5=公区维修!$G381)+$BN$1:$BN$5&gt;0)))</f>
        <v>4</v>
      </c>
      <c r="AY381" s="0" t="str">
        <f aca="false">IFERROR(INDEX($A$1:$A$5,MATCH(1,$AS381:$AW381,0)),IF(1=MAX($AS381:$AW381)+1,"取消",""))</f>
        <v>李师傅</v>
      </c>
      <c r="AZ381" s="0" t="str">
        <f aca="false">IFERROR(INDEX($A$1:$A$5,MATCH(2,$AS381:$AW381,0)),IF(2=MAX($AS381:$AW381)+1,"取消",""))</f>
        <v>王师傅</v>
      </c>
      <c r="BA381" s="0" t="str">
        <f aca="false">IFERROR(INDEX($A$1:$A$5,MATCH(3,$AS381:$AW381,0)),IF(3=MAX($AS381:$AW381)+1,"取消",""))</f>
        <v>陈师傅</v>
      </c>
      <c r="BB381" s="0" t="str">
        <f aca="false">IFERROR(INDEX($A$1:$A$5,MATCH(4,$AS381:$AW381,0)),IF(4=MAX($AS381:$AW381)+1,"取消",""))</f>
        <v>刘师傅</v>
      </c>
      <c r="BC381" s="0" t="str">
        <f aca="false">IFERROR(INDEX($A$1:$A$5,MATCH(5,$AS381:$AW381,0)),IF(5=MAX($AS381:$AW381)+1,"取消",""))</f>
        <v>取消</v>
      </c>
      <c r="BD381" s="0" t="str">
        <f aca="false">IFERROR(INDEX($A$1:$A$5,MATCH(6,$AS381:$AW381,0)),IF(6=MAX($AS381:$AW381)+1,"取消",""))</f>
        <v/>
      </c>
      <c r="FW381" s="0" t="str">
        <f aca="false">IF(AND(单元查询!$D$3&lt;&gt;"",IF(单元查询!$B$3="公区维修",公区维修!$E381&lt;&gt;"",入户维修!$E381&lt;&gt;""),IF(单元查询!$B$3="公区维修",公区维修!$C381,入户维修!$C381)=单元查询!$D$3,OR(单元查询!$F$3="",IF(单元查询!$B$3="公区维修",公区维修!$D381,入户维修!$D381)&amp;""=(单元查询!$F$3)&amp;"")),MAX($FW$4:$FW380)+1,"")</f>
        <v/>
      </c>
    </row>
    <row r="382" customFormat="false" ht="15" hidden="false" customHeight="true" outlineLevel="0" collapsed="false">
      <c r="F382" s="0" t="n">
        <f aca="false">IF(OR($A$1=入户维修!$F382,$BN$1=1),0,1-SUMPRODUCT(--(($A$1=入户维修!$F382)+$BN$1&gt;0)))</f>
        <v>0</v>
      </c>
      <c r="G382" s="0" t="n">
        <f aca="false">IF(OR($A$2=入户维修!$F382,$BN$2=1),0,2-SUMPRODUCT(--(($A$1:$A$2=入户维修!$F382)+$BN$1:$BN$2&gt;0)))</f>
        <v>1</v>
      </c>
      <c r="H382" s="0" t="n">
        <f aca="false">IF(OR($A$3=入户维修!$F382,$BN$3=1),0,3-SUMPRODUCT(--(($A$1:$A$3=入户维修!$F382)+$BN$1:$BN$3&gt;0)))</f>
        <v>2</v>
      </c>
      <c r="I382" s="0" t="n">
        <f aca="false">IF(OR($A$4=入户维修!$F382,$BN$4=1),0,4-SUMPRODUCT(--(($A$1:$A$4=入户维修!$F382)+$BN$1:$BN$4&gt;0)))</f>
        <v>3</v>
      </c>
      <c r="J382" s="0" t="n">
        <f aca="false">IF(OR($A$5=入户维修!$F382,$BN$5=1),0,5-SUMPRODUCT(--(($A$1:$A$5=入户维修!$F382)+$BN$1:$BN$5&gt;0)))</f>
        <v>4</v>
      </c>
      <c r="L382" s="0" t="str">
        <f aca="false">IFERROR(INDEX($A$1:$A$5,MATCH(1,$F382:$J382,0)),IF(1=MAX($F382:$J382)+1,"取消",""))</f>
        <v>李师傅</v>
      </c>
      <c r="M382" s="0" t="str">
        <f aca="false">IFERROR(INDEX($A$1:$A$5,MATCH(2,$F382:$J382,0)),IF(2=MAX($F382:$J382)+1,"取消",""))</f>
        <v>王师傅</v>
      </c>
      <c r="N382" s="0" t="str">
        <f aca="false">IFERROR(INDEX($A$1:$A$5,MATCH(3,$F382:$J382,0)),IF(3=MAX($F382:$J382)+1,"取消",""))</f>
        <v>陈师傅</v>
      </c>
      <c r="O382" s="0" t="str">
        <f aca="false">IFERROR(INDEX($A$1:$A$5,MATCH(4,$F382:$J382,0)),IF(4=MAX($F382:$J382)+1,"取消",""))</f>
        <v>刘师傅</v>
      </c>
      <c r="P382" s="0" t="str">
        <f aca="false">IFERROR(INDEX($A$1:$A$5,MATCH(5,$F382:$J382,0)),IF(5=MAX($F382:$J382)+1,"取消",""))</f>
        <v>取消</v>
      </c>
      <c r="Q382" s="0" t="str">
        <f aca="false">IFERROR(INDEX($A$1:$A$5,MATCH(6,$F382:$J382,0)),IF(6=MAX($F382:$J382)+1,"取消",""))</f>
        <v/>
      </c>
      <c r="S382" s="0" t="n">
        <f aca="false">IF(OR($A$1=入户维修!$F382,$A$1=入户维修!$G382,$BN$1=1),0,1-SUMPRODUCT(--(($A$1=入户维修!$F382)+($A$1=入户维修!$G382)+$BN$1&gt;0)))</f>
        <v>0</v>
      </c>
      <c r="T382" s="0" t="n">
        <f aca="false">IF(OR($A$2=入户维修!$F382,$A$2=入户维修!$G382,$BN$2=1),0,2-SUMPRODUCT(--(($A$1:$A$2=入户维修!$F382)+($A$1:$A$2=入户维修!$G382)+$BN$1:$BN$2&gt;0)))</f>
        <v>1</v>
      </c>
      <c r="U382" s="0" t="n">
        <f aca="false">IF(OR($A$3=入户维修!$F382,$A$3=入户维修!$G382,$BN$3=1),0,3-SUMPRODUCT(--(($A$1:$A$3=入户维修!$F382)+($A$1:$A$3=入户维修!$G382)+$BN$1:$BN$3&gt;0)))</f>
        <v>2</v>
      </c>
      <c r="V382" s="0" t="n">
        <f aca="false">IF(OR($A$4=入户维修!$F382,$A$4=入户维修!$G382,$BN$4=1),0,4-SUMPRODUCT(--(($A$1:$A$4=入户维修!$F382)+($A$1:$A$4=入户维修!$G382)+$BN$1:$BN$4&gt;0)))</f>
        <v>3</v>
      </c>
      <c r="W382" s="0" t="n">
        <f aca="false">IF(OR($A$5=入户维修!$F382,$A$5=入户维修!$G382,$BN$5=1),0,5-SUMPRODUCT(--(($A$1:$A$5=入户维修!$F382)+($A$1:$A$5=入户维修!$G382)+$BN$1:$BN$5&gt;0)))</f>
        <v>4</v>
      </c>
      <c r="Y382" s="0" t="str">
        <f aca="false">IFERROR(INDEX($A$1:$A$5,MATCH(1,$S382:$W382,0)),IF(1=MAX($S382:$W382)+1,"取消",""))</f>
        <v>李师傅</v>
      </c>
      <c r="Z382" s="0" t="str">
        <f aca="false">IFERROR(INDEX($A$1:$A$5,MATCH(2,$S382:$W382,0)),IF(2=MAX($S382:$W382)+1,"取消",""))</f>
        <v>王师傅</v>
      </c>
      <c r="AA382" s="0" t="str">
        <f aca="false">IFERROR(INDEX($A$1:$A$5,MATCH(3,$S382:$W382,0)),IF(3=MAX($S382:$W382)+1,"取消",""))</f>
        <v>陈师傅</v>
      </c>
      <c r="AB382" s="0" t="str">
        <f aca="false">IFERROR(INDEX($A$1:$A$5,MATCH(4,$S382:$W382,0)),IF(4=MAX($S382:$W382)+1,"取消",""))</f>
        <v>刘师傅</v>
      </c>
      <c r="AC382" s="0" t="str">
        <f aca="false">IFERROR(INDEX($A$1:$A$5,MATCH(5,$S382:$W382,0)),IF(5=MAX($S382:$W382)+1,"取消",""))</f>
        <v>取消</v>
      </c>
      <c r="AD382" s="0" t="str">
        <f aca="false">IFERROR(INDEX($A$1:$A$5,MATCH(6,$S382:$W382,0)),IF(6=MAX($S382:$W382)+1,"取消",""))</f>
        <v/>
      </c>
      <c r="AF382" s="0" t="n">
        <f aca="false">IF(OR($A$1=公区维修!$F382,$BN$1=1),0,1-SUMPRODUCT(--(($A$1=公区维修!$F382)+$BN$1&gt;0)))</f>
        <v>0</v>
      </c>
      <c r="AG382" s="0" t="n">
        <f aca="false">IF(OR($A$2=公区维修!$F382,$BN$2=1),0,2-SUMPRODUCT(--(($A$1:$A$2=公区维修!$F382)+$BN$1:$BN$2&gt;0)))</f>
        <v>1</v>
      </c>
      <c r="AH382" s="0" t="n">
        <f aca="false">IF(OR($A$3=公区维修!$F382,$BN$3=1),0,3-SUMPRODUCT(--(($A$1:$A$3=公区维修!$F382)+$BN$1:$BN$3&gt;0)))</f>
        <v>2</v>
      </c>
      <c r="AI382" s="0" t="n">
        <f aca="false">IF(OR($A$4=公区维修!$F382,$BN$4=1),0,4-SUMPRODUCT(--(($A$1:$A$4=公区维修!$F382)+$BN$1:$BN$4&gt;0)))</f>
        <v>3</v>
      </c>
      <c r="AJ382" s="0" t="n">
        <f aca="false">IF(OR($A$5=公区维修!$F382,$BN$5=1),0,5-SUMPRODUCT(--(($A$1:$A$5=公区维修!$F382)+$BN$1:$BN$5&gt;0)))</f>
        <v>4</v>
      </c>
      <c r="AL382" s="0" t="str">
        <f aca="false">IFERROR(INDEX($A$1:$A$5,MATCH(1,$AF382:$AJ382,0)),IF(1=MAX($AF382:$AJ382)+1,"取消",""))</f>
        <v>李师傅</v>
      </c>
      <c r="AM382" s="0" t="str">
        <f aca="false">IFERROR(INDEX($A$1:$A$5,MATCH(2,$AF382:$AJ382,0)),IF(2=MAX($AF382:$AJ382)+1,"取消",""))</f>
        <v>王师傅</v>
      </c>
      <c r="AN382" s="0" t="str">
        <f aca="false">IFERROR(INDEX($A$1:$A$5,MATCH(3,$AF382:$AJ382,0)),IF(3=MAX($AF382:$AJ382)+1,"取消",""))</f>
        <v>陈师傅</v>
      </c>
      <c r="AO382" s="0" t="str">
        <f aca="false">IFERROR(INDEX($A$1:$A$5,MATCH(4,$AF382:$AJ382,0)),IF(4=MAX($AF382:$AJ382)+1,"取消",""))</f>
        <v>刘师傅</v>
      </c>
      <c r="AP382" s="0" t="str">
        <f aca="false">IFERROR(INDEX($A$1:$A$5,MATCH(5,$AF382:$AJ382,0)),IF(5=MAX($AF382:$AJ382)+1,"取消",""))</f>
        <v>取消</v>
      </c>
      <c r="AQ382" s="0" t="str">
        <f aca="false">IFERROR(INDEX($A$1:$A$5,MATCH(6,$AF382:$AJ382,0)),IF(6=MAX($AF382:$AJ382)+1,"取消",""))</f>
        <v/>
      </c>
      <c r="AS382" s="0" t="n">
        <f aca="false">IF(OR($A$1=公区维修!$F382,$A$1=公区维修!$G382,$BN$1=1),0,1-SUMPRODUCT(--(($A$1=公区维修!$F382)+($A$1=公区维修!$G382)+$BN$1&gt;0)))</f>
        <v>0</v>
      </c>
      <c r="AT382" s="0" t="n">
        <f aca="false">IF(OR($A$2=公区维修!$F382,$A$2=公区维修!$G382,$BN$2=1),0,2-SUMPRODUCT(--(($A$1:$A$2=公区维修!$F382)+($A$1:$A$2=公区维修!$G382)+$BN$1:$BN$2&gt;0)))</f>
        <v>1</v>
      </c>
      <c r="AU382" s="0" t="n">
        <f aca="false">IF(OR($A$3=公区维修!$F382,$A$3=公区维修!$G382,$BN$3=1),0,3-SUMPRODUCT(--(($A$1:$A$3=公区维修!$F382)+($A$1:$A$3=公区维修!$G382)+$BN$1:$BN$3&gt;0)))</f>
        <v>2</v>
      </c>
      <c r="AV382" s="0" t="n">
        <f aca="false">IF(OR($A$4=公区维修!$F382,$A$4=公区维修!$G382,$BN$4=1),0,4-SUMPRODUCT(--(($A$1:$A$4=公区维修!$F382)+($A$1:$A$4=公区维修!$G382)+$BN$1:$BN$4&gt;0)))</f>
        <v>3</v>
      </c>
      <c r="AW382" s="0" t="n">
        <f aca="false">IF(OR($A$5=公区维修!$F382,$A$5=公区维修!$G382,$BN$5=1),0,5-SUMPRODUCT(--(($A$1:$A$5=公区维修!$F382)+($A$1:$A$5=公区维修!$G382)+$BN$1:$BN$5&gt;0)))</f>
        <v>4</v>
      </c>
      <c r="AY382" s="0" t="str">
        <f aca="false">IFERROR(INDEX($A$1:$A$5,MATCH(1,$AS382:$AW382,0)),IF(1=MAX($AS382:$AW382)+1,"取消",""))</f>
        <v>李师傅</v>
      </c>
      <c r="AZ382" s="0" t="str">
        <f aca="false">IFERROR(INDEX($A$1:$A$5,MATCH(2,$AS382:$AW382,0)),IF(2=MAX($AS382:$AW382)+1,"取消",""))</f>
        <v>王师傅</v>
      </c>
      <c r="BA382" s="0" t="str">
        <f aca="false">IFERROR(INDEX($A$1:$A$5,MATCH(3,$AS382:$AW382,0)),IF(3=MAX($AS382:$AW382)+1,"取消",""))</f>
        <v>陈师傅</v>
      </c>
      <c r="BB382" s="0" t="str">
        <f aca="false">IFERROR(INDEX($A$1:$A$5,MATCH(4,$AS382:$AW382,0)),IF(4=MAX($AS382:$AW382)+1,"取消",""))</f>
        <v>刘师傅</v>
      </c>
      <c r="BC382" s="0" t="str">
        <f aca="false">IFERROR(INDEX($A$1:$A$5,MATCH(5,$AS382:$AW382,0)),IF(5=MAX($AS382:$AW382)+1,"取消",""))</f>
        <v>取消</v>
      </c>
      <c r="BD382" s="0" t="str">
        <f aca="false">IFERROR(INDEX($A$1:$A$5,MATCH(6,$AS382:$AW382,0)),IF(6=MAX($AS382:$AW382)+1,"取消",""))</f>
        <v/>
      </c>
      <c r="FW382" s="0" t="str">
        <f aca="false">IF(AND(单元查询!$D$3&lt;&gt;"",IF(单元查询!$B$3="公区维修",公区维修!$E382&lt;&gt;"",入户维修!$E382&lt;&gt;""),IF(单元查询!$B$3="公区维修",公区维修!$C382,入户维修!$C382)=单元查询!$D$3,OR(单元查询!$F$3="",IF(单元查询!$B$3="公区维修",公区维修!$D382,入户维修!$D382)&amp;""=(单元查询!$F$3)&amp;"")),MAX($FW$4:$FW381)+1,"")</f>
        <v/>
      </c>
    </row>
    <row r="383" customFormat="false" ht="15" hidden="false" customHeight="true" outlineLevel="0" collapsed="false">
      <c r="F383" s="0" t="n">
        <f aca="false">IF(OR($A$1=入户维修!$F383,$BN$1=1),0,1-SUMPRODUCT(--(($A$1=入户维修!$F383)+$BN$1&gt;0)))</f>
        <v>0</v>
      </c>
      <c r="G383" s="0" t="n">
        <f aca="false">IF(OR($A$2=入户维修!$F383,$BN$2=1),0,2-SUMPRODUCT(--(($A$1:$A$2=入户维修!$F383)+$BN$1:$BN$2&gt;0)))</f>
        <v>1</v>
      </c>
      <c r="H383" s="0" t="n">
        <f aca="false">IF(OR($A$3=入户维修!$F383,$BN$3=1),0,3-SUMPRODUCT(--(($A$1:$A$3=入户维修!$F383)+$BN$1:$BN$3&gt;0)))</f>
        <v>2</v>
      </c>
      <c r="I383" s="0" t="n">
        <f aca="false">IF(OR($A$4=入户维修!$F383,$BN$4=1),0,4-SUMPRODUCT(--(($A$1:$A$4=入户维修!$F383)+$BN$1:$BN$4&gt;0)))</f>
        <v>3</v>
      </c>
      <c r="J383" s="0" t="n">
        <f aca="false">IF(OR($A$5=入户维修!$F383,$BN$5=1),0,5-SUMPRODUCT(--(($A$1:$A$5=入户维修!$F383)+$BN$1:$BN$5&gt;0)))</f>
        <v>4</v>
      </c>
      <c r="L383" s="0" t="str">
        <f aca="false">IFERROR(INDEX($A$1:$A$5,MATCH(1,$F383:$J383,0)),IF(1=MAX($F383:$J383)+1,"取消",""))</f>
        <v>李师傅</v>
      </c>
      <c r="M383" s="0" t="str">
        <f aca="false">IFERROR(INDEX($A$1:$A$5,MATCH(2,$F383:$J383,0)),IF(2=MAX($F383:$J383)+1,"取消",""))</f>
        <v>王师傅</v>
      </c>
      <c r="N383" s="0" t="str">
        <f aca="false">IFERROR(INDEX($A$1:$A$5,MATCH(3,$F383:$J383,0)),IF(3=MAX($F383:$J383)+1,"取消",""))</f>
        <v>陈师傅</v>
      </c>
      <c r="O383" s="0" t="str">
        <f aca="false">IFERROR(INDEX($A$1:$A$5,MATCH(4,$F383:$J383,0)),IF(4=MAX($F383:$J383)+1,"取消",""))</f>
        <v>刘师傅</v>
      </c>
      <c r="P383" s="0" t="str">
        <f aca="false">IFERROR(INDEX($A$1:$A$5,MATCH(5,$F383:$J383,0)),IF(5=MAX($F383:$J383)+1,"取消",""))</f>
        <v>取消</v>
      </c>
      <c r="Q383" s="0" t="str">
        <f aca="false">IFERROR(INDEX($A$1:$A$5,MATCH(6,$F383:$J383,0)),IF(6=MAX($F383:$J383)+1,"取消",""))</f>
        <v/>
      </c>
      <c r="S383" s="0" t="n">
        <f aca="false">IF(OR($A$1=入户维修!$F383,$A$1=入户维修!$G383,$BN$1=1),0,1-SUMPRODUCT(--(($A$1=入户维修!$F383)+($A$1=入户维修!$G383)+$BN$1&gt;0)))</f>
        <v>0</v>
      </c>
      <c r="T383" s="0" t="n">
        <f aca="false">IF(OR($A$2=入户维修!$F383,$A$2=入户维修!$G383,$BN$2=1),0,2-SUMPRODUCT(--(($A$1:$A$2=入户维修!$F383)+($A$1:$A$2=入户维修!$G383)+$BN$1:$BN$2&gt;0)))</f>
        <v>1</v>
      </c>
      <c r="U383" s="0" t="n">
        <f aca="false">IF(OR($A$3=入户维修!$F383,$A$3=入户维修!$G383,$BN$3=1),0,3-SUMPRODUCT(--(($A$1:$A$3=入户维修!$F383)+($A$1:$A$3=入户维修!$G383)+$BN$1:$BN$3&gt;0)))</f>
        <v>2</v>
      </c>
      <c r="V383" s="0" t="n">
        <f aca="false">IF(OR($A$4=入户维修!$F383,$A$4=入户维修!$G383,$BN$4=1),0,4-SUMPRODUCT(--(($A$1:$A$4=入户维修!$F383)+($A$1:$A$4=入户维修!$G383)+$BN$1:$BN$4&gt;0)))</f>
        <v>3</v>
      </c>
      <c r="W383" s="0" t="n">
        <f aca="false">IF(OR($A$5=入户维修!$F383,$A$5=入户维修!$G383,$BN$5=1),0,5-SUMPRODUCT(--(($A$1:$A$5=入户维修!$F383)+($A$1:$A$5=入户维修!$G383)+$BN$1:$BN$5&gt;0)))</f>
        <v>4</v>
      </c>
      <c r="Y383" s="0" t="str">
        <f aca="false">IFERROR(INDEX($A$1:$A$5,MATCH(1,$S383:$W383,0)),IF(1=MAX($S383:$W383)+1,"取消",""))</f>
        <v>李师傅</v>
      </c>
      <c r="Z383" s="0" t="str">
        <f aca="false">IFERROR(INDEX($A$1:$A$5,MATCH(2,$S383:$W383,0)),IF(2=MAX($S383:$W383)+1,"取消",""))</f>
        <v>王师傅</v>
      </c>
      <c r="AA383" s="0" t="str">
        <f aca="false">IFERROR(INDEX($A$1:$A$5,MATCH(3,$S383:$W383,0)),IF(3=MAX($S383:$W383)+1,"取消",""))</f>
        <v>陈师傅</v>
      </c>
      <c r="AB383" s="0" t="str">
        <f aca="false">IFERROR(INDEX($A$1:$A$5,MATCH(4,$S383:$W383,0)),IF(4=MAX($S383:$W383)+1,"取消",""))</f>
        <v>刘师傅</v>
      </c>
      <c r="AC383" s="0" t="str">
        <f aca="false">IFERROR(INDEX($A$1:$A$5,MATCH(5,$S383:$W383,0)),IF(5=MAX($S383:$W383)+1,"取消",""))</f>
        <v>取消</v>
      </c>
      <c r="AD383" s="0" t="str">
        <f aca="false">IFERROR(INDEX($A$1:$A$5,MATCH(6,$S383:$W383,0)),IF(6=MAX($S383:$W383)+1,"取消",""))</f>
        <v/>
      </c>
      <c r="AF383" s="0" t="n">
        <f aca="false">IF(OR($A$1=公区维修!$F383,$BN$1=1),0,1-SUMPRODUCT(--(($A$1=公区维修!$F383)+$BN$1&gt;0)))</f>
        <v>0</v>
      </c>
      <c r="AG383" s="0" t="n">
        <f aca="false">IF(OR($A$2=公区维修!$F383,$BN$2=1),0,2-SUMPRODUCT(--(($A$1:$A$2=公区维修!$F383)+$BN$1:$BN$2&gt;0)))</f>
        <v>1</v>
      </c>
      <c r="AH383" s="0" t="n">
        <f aca="false">IF(OR($A$3=公区维修!$F383,$BN$3=1),0,3-SUMPRODUCT(--(($A$1:$A$3=公区维修!$F383)+$BN$1:$BN$3&gt;0)))</f>
        <v>2</v>
      </c>
      <c r="AI383" s="0" t="n">
        <f aca="false">IF(OR($A$4=公区维修!$F383,$BN$4=1),0,4-SUMPRODUCT(--(($A$1:$A$4=公区维修!$F383)+$BN$1:$BN$4&gt;0)))</f>
        <v>3</v>
      </c>
      <c r="AJ383" s="0" t="n">
        <f aca="false">IF(OR($A$5=公区维修!$F383,$BN$5=1),0,5-SUMPRODUCT(--(($A$1:$A$5=公区维修!$F383)+$BN$1:$BN$5&gt;0)))</f>
        <v>4</v>
      </c>
      <c r="AL383" s="0" t="str">
        <f aca="false">IFERROR(INDEX($A$1:$A$5,MATCH(1,$AF383:$AJ383,0)),IF(1=MAX($AF383:$AJ383)+1,"取消",""))</f>
        <v>李师傅</v>
      </c>
      <c r="AM383" s="0" t="str">
        <f aca="false">IFERROR(INDEX($A$1:$A$5,MATCH(2,$AF383:$AJ383,0)),IF(2=MAX($AF383:$AJ383)+1,"取消",""))</f>
        <v>王师傅</v>
      </c>
      <c r="AN383" s="0" t="str">
        <f aca="false">IFERROR(INDEX($A$1:$A$5,MATCH(3,$AF383:$AJ383,0)),IF(3=MAX($AF383:$AJ383)+1,"取消",""))</f>
        <v>陈师傅</v>
      </c>
      <c r="AO383" s="0" t="str">
        <f aca="false">IFERROR(INDEX($A$1:$A$5,MATCH(4,$AF383:$AJ383,0)),IF(4=MAX($AF383:$AJ383)+1,"取消",""))</f>
        <v>刘师傅</v>
      </c>
      <c r="AP383" s="0" t="str">
        <f aca="false">IFERROR(INDEX($A$1:$A$5,MATCH(5,$AF383:$AJ383,0)),IF(5=MAX($AF383:$AJ383)+1,"取消",""))</f>
        <v>取消</v>
      </c>
      <c r="AQ383" s="0" t="str">
        <f aca="false">IFERROR(INDEX($A$1:$A$5,MATCH(6,$AF383:$AJ383,0)),IF(6=MAX($AF383:$AJ383)+1,"取消",""))</f>
        <v/>
      </c>
      <c r="AS383" s="0" t="n">
        <f aca="false">IF(OR($A$1=公区维修!$F383,$A$1=公区维修!$G383,$BN$1=1),0,1-SUMPRODUCT(--(($A$1=公区维修!$F383)+($A$1=公区维修!$G383)+$BN$1&gt;0)))</f>
        <v>0</v>
      </c>
      <c r="AT383" s="0" t="n">
        <f aca="false">IF(OR($A$2=公区维修!$F383,$A$2=公区维修!$G383,$BN$2=1),0,2-SUMPRODUCT(--(($A$1:$A$2=公区维修!$F383)+($A$1:$A$2=公区维修!$G383)+$BN$1:$BN$2&gt;0)))</f>
        <v>1</v>
      </c>
      <c r="AU383" s="0" t="n">
        <f aca="false">IF(OR($A$3=公区维修!$F383,$A$3=公区维修!$G383,$BN$3=1),0,3-SUMPRODUCT(--(($A$1:$A$3=公区维修!$F383)+($A$1:$A$3=公区维修!$G383)+$BN$1:$BN$3&gt;0)))</f>
        <v>2</v>
      </c>
      <c r="AV383" s="0" t="n">
        <f aca="false">IF(OR($A$4=公区维修!$F383,$A$4=公区维修!$G383,$BN$4=1),0,4-SUMPRODUCT(--(($A$1:$A$4=公区维修!$F383)+($A$1:$A$4=公区维修!$G383)+$BN$1:$BN$4&gt;0)))</f>
        <v>3</v>
      </c>
      <c r="AW383" s="0" t="n">
        <f aca="false">IF(OR($A$5=公区维修!$F383,$A$5=公区维修!$G383,$BN$5=1),0,5-SUMPRODUCT(--(($A$1:$A$5=公区维修!$F383)+($A$1:$A$5=公区维修!$G383)+$BN$1:$BN$5&gt;0)))</f>
        <v>4</v>
      </c>
      <c r="AY383" s="0" t="str">
        <f aca="false">IFERROR(INDEX($A$1:$A$5,MATCH(1,$AS383:$AW383,0)),IF(1=MAX($AS383:$AW383)+1,"取消",""))</f>
        <v>李师傅</v>
      </c>
      <c r="AZ383" s="0" t="str">
        <f aca="false">IFERROR(INDEX($A$1:$A$5,MATCH(2,$AS383:$AW383,0)),IF(2=MAX($AS383:$AW383)+1,"取消",""))</f>
        <v>王师傅</v>
      </c>
      <c r="BA383" s="0" t="str">
        <f aca="false">IFERROR(INDEX($A$1:$A$5,MATCH(3,$AS383:$AW383,0)),IF(3=MAX($AS383:$AW383)+1,"取消",""))</f>
        <v>陈师傅</v>
      </c>
      <c r="BB383" s="0" t="str">
        <f aca="false">IFERROR(INDEX($A$1:$A$5,MATCH(4,$AS383:$AW383,0)),IF(4=MAX($AS383:$AW383)+1,"取消",""))</f>
        <v>刘师傅</v>
      </c>
      <c r="BC383" s="0" t="str">
        <f aca="false">IFERROR(INDEX($A$1:$A$5,MATCH(5,$AS383:$AW383,0)),IF(5=MAX($AS383:$AW383)+1,"取消",""))</f>
        <v>取消</v>
      </c>
      <c r="BD383" s="0" t="str">
        <f aca="false">IFERROR(INDEX($A$1:$A$5,MATCH(6,$AS383:$AW383,0)),IF(6=MAX($AS383:$AW383)+1,"取消",""))</f>
        <v/>
      </c>
      <c r="FW383" s="0" t="str">
        <f aca="false">IF(AND(单元查询!$D$3&lt;&gt;"",IF(单元查询!$B$3="公区维修",公区维修!$E383&lt;&gt;"",入户维修!$E383&lt;&gt;""),IF(单元查询!$B$3="公区维修",公区维修!$C383,入户维修!$C383)=单元查询!$D$3,OR(单元查询!$F$3="",IF(单元查询!$B$3="公区维修",公区维修!$D383,入户维修!$D383)&amp;""=(单元查询!$F$3)&amp;"")),MAX($FW$4:$FW382)+1,"")</f>
        <v/>
      </c>
    </row>
    <row r="384" customFormat="false" ht="15" hidden="false" customHeight="true" outlineLevel="0" collapsed="false">
      <c r="F384" s="0" t="n">
        <f aca="false">IF(OR($A$1=入户维修!$F384,$BN$1=1),0,1-SUMPRODUCT(--(($A$1=入户维修!$F384)+$BN$1&gt;0)))</f>
        <v>0</v>
      </c>
      <c r="G384" s="0" t="n">
        <f aca="false">IF(OR($A$2=入户维修!$F384,$BN$2=1),0,2-SUMPRODUCT(--(($A$1:$A$2=入户维修!$F384)+$BN$1:$BN$2&gt;0)))</f>
        <v>1</v>
      </c>
      <c r="H384" s="0" t="n">
        <f aca="false">IF(OR($A$3=入户维修!$F384,$BN$3=1),0,3-SUMPRODUCT(--(($A$1:$A$3=入户维修!$F384)+$BN$1:$BN$3&gt;0)))</f>
        <v>2</v>
      </c>
      <c r="I384" s="0" t="n">
        <f aca="false">IF(OR($A$4=入户维修!$F384,$BN$4=1),0,4-SUMPRODUCT(--(($A$1:$A$4=入户维修!$F384)+$BN$1:$BN$4&gt;0)))</f>
        <v>3</v>
      </c>
      <c r="J384" s="0" t="n">
        <f aca="false">IF(OR($A$5=入户维修!$F384,$BN$5=1),0,5-SUMPRODUCT(--(($A$1:$A$5=入户维修!$F384)+$BN$1:$BN$5&gt;0)))</f>
        <v>4</v>
      </c>
      <c r="L384" s="0" t="str">
        <f aca="false">IFERROR(INDEX($A$1:$A$5,MATCH(1,$F384:$J384,0)),IF(1=MAX($F384:$J384)+1,"取消",""))</f>
        <v>李师傅</v>
      </c>
      <c r="M384" s="0" t="str">
        <f aca="false">IFERROR(INDEX($A$1:$A$5,MATCH(2,$F384:$J384,0)),IF(2=MAX($F384:$J384)+1,"取消",""))</f>
        <v>王师傅</v>
      </c>
      <c r="N384" s="0" t="str">
        <f aca="false">IFERROR(INDEX($A$1:$A$5,MATCH(3,$F384:$J384,0)),IF(3=MAX($F384:$J384)+1,"取消",""))</f>
        <v>陈师傅</v>
      </c>
      <c r="O384" s="0" t="str">
        <f aca="false">IFERROR(INDEX($A$1:$A$5,MATCH(4,$F384:$J384,0)),IF(4=MAX($F384:$J384)+1,"取消",""))</f>
        <v>刘师傅</v>
      </c>
      <c r="P384" s="0" t="str">
        <f aca="false">IFERROR(INDEX($A$1:$A$5,MATCH(5,$F384:$J384,0)),IF(5=MAX($F384:$J384)+1,"取消",""))</f>
        <v>取消</v>
      </c>
      <c r="Q384" s="0" t="str">
        <f aca="false">IFERROR(INDEX($A$1:$A$5,MATCH(6,$F384:$J384,0)),IF(6=MAX($F384:$J384)+1,"取消",""))</f>
        <v/>
      </c>
      <c r="S384" s="0" t="n">
        <f aca="false">IF(OR($A$1=入户维修!$F384,$A$1=入户维修!$G384,$BN$1=1),0,1-SUMPRODUCT(--(($A$1=入户维修!$F384)+($A$1=入户维修!$G384)+$BN$1&gt;0)))</f>
        <v>0</v>
      </c>
      <c r="T384" s="0" t="n">
        <f aca="false">IF(OR($A$2=入户维修!$F384,$A$2=入户维修!$G384,$BN$2=1),0,2-SUMPRODUCT(--(($A$1:$A$2=入户维修!$F384)+($A$1:$A$2=入户维修!$G384)+$BN$1:$BN$2&gt;0)))</f>
        <v>1</v>
      </c>
      <c r="U384" s="0" t="n">
        <f aca="false">IF(OR($A$3=入户维修!$F384,$A$3=入户维修!$G384,$BN$3=1),0,3-SUMPRODUCT(--(($A$1:$A$3=入户维修!$F384)+($A$1:$A$3=入户维修!$G384)+$BN$1:$BN$3&gt;0)))</f>
        <v>2</v>
      </c>
      <c r="V384" s="0" t="n">
        <f aca="false">IF(OR($A$4=入户维修!$F384,$A$4=入户维修!$G384,$BN$4=1),0,4-SUMPRODUCT(--(($A$1:$A$4=入户维修!$F384)+($A$1:$A$4=入户维修!$G384)+$BN$1:$BN$4&gt;0)))</f>
        <v>3</v>
      </c>
      <c r="W384" s="0" t="n">
        <f aca="false">IF(OR($A$5=入户维修!$F384,$A$5=入户维修!$G384,$BN$5=1),0,5-SUMPRODUCT(--(($A$1:$A$5=入户维修!$F384)+($A$1:$A$5=入户维修!$G384)+$BN$1:$BN$5&gt;0)))</f>
        <v>4</v>
      </c>
      <c r="Y384" s="0" t="str">
        <f aca="false">IFERROR(INDEX($A$1:$A$5,MATCH(1,$S384:$W384,0)),IF(1=MAX($S384:$W384)+1,"取消",""))</f>
        <v>李师傅</v>
      </c>
      <c r="Z384" s="0" t="str">
        <f aca="false">IFERROR(INDEX($A$1:$A$5,MATCH(2,$S384:$W384,0)),IF(2=MAX($S384:$W384)+1,"取消",""))</f>
        <v>王师傅</v>
      </c>
      <c r="AA384" s="0" t="str">
        <f aca="false">IFERROR(INDEX($A$1:$A$5,MATCH(3,$S384:$W384,0)),IF(3=MAX($S384:$W384)+1,"取消",""))</f>
        <v>陈师傅</v>
      </c>
      <c r="AB384" s="0" t="str">
        <f aca="false">IFERROR(INDEX($A$1:$A$5,MATCH(4,$S384:$W384,0)),IF(4=MAX($S384:$W384)+1,"取消",""))</f>
        <v>刘师傅</v>
      </c>
      <c r="AC384" s="0" t="str">
        <f aca="false">IFERROR(INDEX($A$1:$A$5,MATCH(5,$S384:$W384,0)),IF(5=MAX($S384:$W384)+1,"取消",""))</f>
        <v>取消</v>
      </c>
      <c r="AD384" s="0" t="str">
        <f aca="false">IFERROR(INDEX($A$1:$A$5,MATCH(6,$S384:$W384,0)),IF(6=MAX($S384:$W384)+1,"取消",""))</f>
        <v/>
      </c>
      <c r="AF384" s="0" t="n">
        <f aca="false">IF(OR($A$1=公区维修!$F384,$BN$1=1),0,1-SUMPRODUCT(--(($A$1=公区维修!$F384)+$BN$1&gt;0)))</f>
        <v>0</v>
      </c>
      <c r="AG384" s="0" t="n">
        <f aca="false">IF(OR($A$2=公区维修!$F384,$BN$2=1),0,2-SUMPRODUCT(--(($A$1:$A$2=公区维修!$F384)+$BN$1:$BN$2&gt;0)))</f>
        <v>1</v>
      </c>
      <c r="AH384" s="0" t="n">
        <f aca="false">IF(OR($A$3=公区维修!$F384,$BN$3=1),0,3-SUMPRODUCT(--(($A$1:$A$3=公区维修!$F384)+$BN$1:$BN$3&gt;0)))</f>
        <v>2</v>
      </c>
      <c r="AI384" s="0" t="n">
        <f aca="false">IF(OR($A$4=公区维修!$F384,$BN$4=1),0,4-SUMPRODUCT(--(($A$1:$A$4=公区维修!$F384)+$BN$1:$BN$4&gt;0)))</f>
        <v>3</v>
      </c>
      <c r="AJ384" s="0" t="n">
        <f aca="false">IF(OR($A$5=公区维修!$F384,$BN$5=1),0,5-SUMPRODUCT(--(($A$1:$A$5=公区维修!$F384)+$BN$1:$BN$5&gt;0)))</f>
        <v>4</v>
      </c>
      <c r="AL384" s="0" t="str">
        <f aca="false">IFERROR(INDEX($A$1:$A$5,MATCH(1,$AF384:$AJ384,0)),IF(1=MAX($AF384:$AJ384)+1,"取消",""))</f>
        <v>李师傅</v>
      </c>
      <c r="AM384" s="0" t="str">
        <f aca="false">IFERROR(INDEX($A$1:$A$5,MATCH(2,$AF384:$AJ384,0)),IF(2=MAX($AF384:$AJ384)+1,"取消",""))</f>
        <v>王师傅</v>
      </c>
      <c r="AN384" s="0" t="str">
        <f aca="false">IFERROR(INDEX($A$1:$A$5,MATCH(3,$AF384:$AJ384,0)),IF(3=MAX($AF384:$AJ384)+1,"取消",""))</f>
        <v>陈师傅</v>
      </c>
      <c r="AO384" s="0" t="str">
        <f aca="false">IFERROR(INDEX($A$1:$A$5,MATCH(4,$AF384:$AJ384,0)),IF(4=MAX($AF384:$AJ384)+1,"取消",""))</f>
        <v>刘师傅</v>
      </c>
      <c r="AP384" s="0" t="str">
        <f aca="false">IFERROR(INDEX($A$1:$A$5,MATCH(5,$AF384:$AJ384,0)),IF(5=MAX($AF384:$AJ384)+1,"取消",""))</f>
        <v>取消</v>
      </c>
      <c r="AQ384" s="0" t="str">
        <f aca="false">IFERROR(INDEX($A$1:$A$5,MATCH(6,$AF384:$AJ384,0)),IF(6=MAX($AF384:$AJ384)+1,"取消",""))</f>
        <v/>
      </c>
      <c r="AS384" s="0" t="n">
        <f aca="false">IF(OR($A$1=公区维修!$F384,$A$1=公区维修!$G384,$BN$1=1),0,1-SUMPRODUCT(--(($A$1=公区维修!$F384)+($A$1=公区维修!$G384)+$BN$1&gt;0)))</f>
        <v>0</v>
      </c>
      <c r="AT384" s="0" t="n">
        <f aca="false">IF(OR($A$2=公区维修!$F384,$A$2=公区维修!$G384,$BN$2=1),0,2-SUMPRODUCT(--(($A$1:$A$2=公区维修!$F384)+($A$1:$A$2=公区维修!$G384)+$BN$1:$BN$2&gt;0)))</f>
        <v>1</v>
      </c>
      <c r="AU384" s="0" t="n">
        <f aca="false">IF(OR($A$3=公区维修!$F384,$A$3=公区维修!$G384,$BN$3=1),0,3-SUMPRODUCT(--(($A$1:$A$3=公区维修!$F384)+($A$1:$A$3=公区维修!$G384)+$BN$1:$BN$3&gt;0)))</f>
        <v>2</v>
      </c>
      <c r="AV384" s="0" t="n">
        <f aca="false">IF(OR($A$4=公区维修!$F384,$A$4=公区维修!$G384,$BN$4=1),0,4-SUMPRODUCT(--(($A$1:$A$4=公区维修!$F384)+($A$1:$A$4=公区维修!$G384)+$BN$1:$BN$4&gt;0)))</f>
        <v>3</v>
      </c>
      <c r="AW384" s="0" t="n">
        <f aca="false">IF(OR($A$5=公区维修!$F384,$A$5=公区维修!$G384,$BN$5=1),0,5-SUMPRODUCT(--(($A$1:$A$5=公区维修!$F384)+($A$1:$A$5=公区维修!$G384)+$BN$1:$BN$5&gt;0)))</f>
        <v>4</v>
      </c>
      <c r="AY384" s="0" t="str">
        <f aca="false">IFERROR(INDEX($A$1:$A$5,MATCH(1,$AS384:$AW384,0)),IF(1=MAX($AS384:$AW384)+1,"取消",""))</f>
        <v>李师傅</v>
      </c>
      <c r="AZ384" s="0" t="str">
        <f aca="false">IFERROR(INDEX($A$1:$A$5,MATCH(2,$AS384:$AW384,0)),IF(2=MAX($AS384:$AW384)+1,"取消",""))</f>
        <v>王师傅</v>
      </c>
      <c r="BA384" s="0" t="str">
        <f aca="false">IFERROR(INDEX($A$1:$A$5,MATCH(3,$AS384:$AW384,0)),IF(3=MAX($AS384:$AW384)+1,"取消",""))</f>
        <v>陈师傅</v>
      </c>
      <c r="BB384" s="0" t="str">
        <f aca="false">IFERROR(INDEX($A$1:$A$5,MATCH(4,$AS384:$AW384,0)),IF(4=MAX($AS384:$AW384)+1,"取消",""))</f>
        <v>刘师傅</v>
      </c>
      <c r="BC384" s="0" t="str">
        <f aca="false">IFERROR(INDEX($A$1:$A$5,MATCH(5,$AS384:$AW384,0)),IF(5=MAX($AS384:$AW384)+1,"取消",""))</f>
        <v>取消</v>
      </c>
      <c r="BD384" s="0" t="str">
        <f aca="false">IFERROR(INDEX($A$1:$A$5,MATCH(6,$AS384:$AW384,0)),IF(6=MAX($AS384:$AW384)+1,"取消",""))</f>
        <v/>
      </c>
      <c r="FW384" s="0" t="str">
        <f aca="false">IF(AND(单元查询!$D$3&lt;&gt;"",IF(单元查询!$B$3="公区维修",公区维修!$E384&lt;&gt;"",入户维修!$E384&lt;&gt;""),IF(单元查询!$B$3="公区维修",公区维修!$C384,入户维修!$C384)=单元查询!$D$3,OR(单元查询!$F$3="",IF(单元查询!$B$3="公区维修",公区维修!$D384,入户维修!$D384)&amp;""=(单元查询!$F$3)&amp;"")),MAX($FW$4:$FW383)+1,"")</f>
        <v/>
      </c>
    </row>
    <row r="385" customFormat="false" ht="15" hidden="false" customHeight="true" outlineLevel="0" collapsed="false">
      <c r="F385" s="0" t="n">
        <f aca="false">IF(OR($A$1=入户维修!$F385,$BN$1=1),0,1-SUMPRODUCT(--(($A$1=入户维修!$F385)+$BN$1&gt;0)))</f>
        <v>0</v>
      </c>
      <c r="G385" s="0" t="n">
        <f aca="false">IF(OR($A$2=入户维修!$F385,$BN$2=1),0,2-SUMPRODUCT(--(($A$1:$A$2=入户维修!$F385)+$BN$1:$BN$2&gt;0)))</f>
        <v>1</v>
      </c>
      <c r="H385" s="0" t="n">
        <f aca="false">IF(OR($A$3=入户维修!$F385,$BN$3=1),0,3-SUMPRODUCT(--(($A$1:$A$3=入户维修!$F385)+$BN$1:$BN$3&gt;0)))</f>
        <v>2</v>
      </c>
      <c r="I385" s="0" t="n">
        <f aca="false">IF(OR($A$4=入户维修!$F385,$BN$4=1),0,4-SUMPRODUCT(--(($A$1:$A$4=入户维修!$F385)+$BN$1:$BN$4&gt;0)))</f>
        <v>3</v>
      </c>
      <c r="J385" s="0" t="n">
        <f aca="false">IF(OR($A$5=入户维修!$F385,$BN$5=1),0,5-SUMPRODUCT(--(($A$1:$A$5=入户维修!$F385)+$BN$1:$BN$5&gt;0)))</f>
        <v>4</v>
      </c>
      <c r="L385" s="0" t="str">
        <f aca="false">IFERROR(INDEX($A$1:$A$5,MATCH(1,$F385:$J385,0)),IF(1=MAX($F385:$J385)+1,"取消",""))</f>
        <v>李师傅</v>
      </c>
      <c r="M385" s="0" t="str">
        <f aca="false">IFERROR(INDEX($A$1:$A$5,MATCH(2,$F385:$J385,0)),IF(2=MAX($F385:$J385)+1,"取消",""))</f>
        <v>王师傅</v>
      </c>
      <c r="N385" s="0" t="str">
        <f aca="false">IFERROR(INDEX($A$1:$A$5,MATCH(3,$F385:$J385,0)),IF(3=MAX($F385:$J385)+1,"取消",""))</f>
        <v>陈师傅</v>
      </c>
      <c r="O385" s="0" t="str">
        <f aca="false">IFERROR(INDEX($A$1:$A$5,MATCH(4,$F385:$J385,0)),IF(4=MAX($F385:$J385)+1,"取消",""))</f>
        <v>刘师傅</v>
      </c>
      <c r="P385" s="0" t="str">
        <f aca="false">IFERROR(INDEX($A$1:$A$5,MATCH(5,$F385:$J385,0)),IF(5=MAX($F385:$J385)+1,"取消",""))</f>
        <v>取消</v>
      </c>
      <c r="Q385" s="0" t="str">
        <f aca="false">IFERROR(INDEX($A$1:$A$5,MATCH(6,$F385:$J385,0)),IF(6=MAX($F385:$J385)+1,"取消",""))</f>
        <v/>
      </c>
      <c r="S385" s="0" t="n">
        <f aca="false">IF(OR($A$1=入户维修!$F385,$A$1=入户维修!$G385,$BN$1=1),0,1-SUMPRODUCT(--(($A$1=入户维修!$F385)+($A$1=入户维修!$G385)+$BN$1&gt;0)))</f>
        <v>0</v>
      </c>
      <c r="T385" s="0" t="n">
        <f aca="false">IF(OR($A$2=入户维修!$F385,$A$2=入户维修!$G385,$BN$2=1),0,2-SUMPRODUCT(--(($A$1:$A$2=入户维修!$F385)+($A$1:$A$2=入户维修!$G385)+$BN$1:$BN$2&gt;0)))</f>
        <v>1</v>
      </c>
      <c r="U385" s="0" t="n">
        <f aca="false">IF(OR($A$3=入户维修!$F385,$A$3=入户维修!$G385,$BN$3=1),0,3-SUMPRODUCT(--(($A$1:$A$3=入户维修!$F385)+($A$1:$A$3=入户维修!$G385)+$BN$1:$BN$3&gt;0)))</f>
        <v>2</v>
      </c>
      <c r="V385" s="0" t="n">
        <f aca="false">IF(OR($A$4=入户维修!$F385,$A$4=入户维修!$G385,$BN$4=1),0,4-SUMPRODUCT(--(($A$1:$A$4=入户维修!$F385)+($A$1:$A$4=入户维修!$G385)+$BN$1:$BN$4&gt;0)))</f>
        <v>3</v>
      </c>
      <c r="W385" s="0" t="n">
        <f aca="false">IF(OR($A$5=入户维修!$F385,$A$5=入户维修!$G385,$BN$5=1),0,5-SUMPRODUCT(--(($A$1:$A$5=入户维修!$F385)+($A$1:$A$5=入户维修!$G385)+$BN$1:$BN$5&gt;0)))</f>
        <v>4</v>
      </c>
      <c r="Y385" s="0" t="str">
        <f aca="false">IFERROR(INDEX($A$1:$A$5,MATCH(1,$S385:$W385,0)),IF(1=MAX($S385:$W385)+1,"取消",""))</f>
        <v>李师傅</v>
      </c>
      <c r="Z385" s="0" t="str">
        <f aca="false">IFERROR(INDEX($A$1:$A$5,MATCH(2,$S385:$W385,0)),IF(2=MAX($S385:$W385)+1,"取消",""))</f>
        <v>王师傅</v>
      </c>
      <c r="AA385" s="0" t="str">
        <f aca="false">IFERROR(INDEX($A$1:$A$5,MATCH(3,$S385:$W385,0)),IF(3=MAX($S385:$W385)+1,"取消",""))</f>
        <v>陈师傅</v>
      </c>
      <c r="AB385" s="0" t="str">
        <f aca="false">IFERROR(INDEX($A$1:$A$5,MATCH(4,$S385:$W385,0)),IF(4=MAX($S385:$W385)+1,"取消",""))</f>
        <v>刘师傅</v>
      </c>
      <c r="AC385" s="0" t="str">
        <f aca="false">IFERROR(INDEX($A$1:$A$5,MATCH(5,$S385:$W385,0)),IF(5=MAX($S385:$W385)+1,"取消",""))</f>
        <v>取消</v>
      </c>
      <c r="AD385" s="0" t="str">
        <f aca="false">IFERROR(INDEX($A$1:$A$5,MATCH(6,$S385:$W385,0)),IF(6=MAX($S385:$W385)+1,"取消",""))</f>
        <v/>
      </c>
      <c r="AF385" s="0" t="n">
        <f aca="false">IF(OR($A$1=公区维修!$F385,$BN$1=1),0,1-SUMPRODUCT(--(($A$1=公区维修!$F385)+$BN$1&gt;0)))</f>
        <v>0</v>
      </c>
      <c r="AG385" s="0" t="n">
        <f aca="false">IF(OR($A$2=公区维修!$F385,$BN$2=1),0,2-SUMPRODUCT(--(($A$1:$A$2=公区维修!$F385)+$BN$1:$BN$2&gt;0)))</f>
        <v>1</v>
      </c>
      <c r="AH385" s="0" t="n">
        <f aca="false">IF(OR($A$3=公区维修!$F385,$BN$3=1),0,3-SUMPRODUCT(--(($A$1:$A$3=公区维修!$F385)+$BN$1:$BN$3&gt;0)))</f>
        <v>2</v>
      </c>
      <c r="AI385" s="0" t="n">
        <f aca="false">IF(OR($A$4=公区维修!$F385,$BN$4=1),0,4-SUMPRODUCT(--(($A$1:$A$4=公区维修!$F385)+$BN$1:$BN$4&gt;0)))</f>
        <v>3</v>
      </c>
      <c r="AJ385" s="0" t="n">
        <f aca="false">IF(OR($A$5=公区维修!$F385,$BN$5=1),0,5-SUMPRODUCT(--(($A$1:$A$5=公区维修!$F385)+$BN$1:$BN$5&gt;0)))</f>
        <v>4</v>
      </c>
      <c r="AL385" s="0" t="str">
        <f aca="false">IFERROR(INDEX($A$1:$A$5,MATCH(1,$AF385:$AJ385,0)),IF(1=MAX($AF385:$AJ385)+1,"取消",""))</f>
        <v>李师傅</v>
      </c>
      <c r="AM385" s="0" t="str">
        <f aca="false">IFERROR(INDEX($A$1:$A$5,MATCH(2,$AF385:$AJ385,0)),IF(2=MAX($AF385:$AJ385)+1,"取消",""))</f>
        <v>王师傅</v>
      </c>
      <c r="AN385" s="0" t="str">
        <f aca="false">IFERROR(INDEX($A$1:$A$5,MATCH(3,$AF385:$AJ385,0)),IF(3=MAX($AF385:$AJ385)+1,"取消",""))</f>
        <v>陈师傅</v>
      </c>
      <c r="AO385" s="0" t="str">
        <f aca="false">IFERROR(INDEX($A$1:$A$5,MATCH(4,$AF385:$AJ385,0)),IF(4=MAX($AF385:$AJ385)+1,"取消",""))</f>
        <v>刘师傅</v>
      </c>
      <c r="AP385" s="0" t="str">
        <f aca="false">IFERROR(INDEX($A$1:$A$5,MATCH(5,$AF385:$AJ385,0)),IF(5=MAX($AF385:$AJ385)+1,"取消",""))</f>
        <v>取消</v>
      </c>
      <c r="AQ385" s="0" t="str">
        <f aca="false">IFERROR(INDEX($A$1:$A$5,MATCH(6,$AF385:$AJ385,0)),IF(6=MAX($AF385:$AJ385)+1,"取消",""))</f>
        <v/>
      </c>
      <c r="AS385" s="0" t="n">
        <f aca="false">IF(OR($A$1=公区维修!$F385,$A$1=公区维修!$G385,$BN$1=1),0,1-SUMPRODUCT(--(($A$1=公区维修!$F385)+($A$1=公区维修!$G385)+$BN$1&gt;0)))</f>
        <v>0</v>
      </c>
      <c r="AT385" s="0" t="n">
        <f aca="false">IF(OR($A$2=公区维修!$F385,$A$2=公区维修!$G385,$BN$2=1),0,2-SUMPRODUCT(--(($A$1:$A$2=公区维修!$F385)+($A$1:$A$2=公区维修!$G385)+$BN$1:$BN$2&gt;0)))</f>
        <v>1</v>
      </c>
      <c r="AU385" s="0" t="n">
        <f aca="false">IF(OR($A$3=公区维修!$F385,$A$3=公区维修!$G385,$BN$3=1),0,3-SUMPRODUCT(--(($A$1:$A$3=公区维修!$F385)+($A$1:$A$3=公区维修!$G385)+$BN$1:$BN$3&gt;0)))</f>
        <v>2</v>
      </c>
      <c r="AV385" s="0" t="n">
        <f aca="false">IF(OR($A$4=公区维修!$F385,$A$4=公区维修!$G385,$BN$4=1),0,4-SUMPRODUCT(--(($A$1:$A$4=公区维修!$F385)+($A$1:$A$4=公区维修!$G385)+$BN$1:$BN$4&gt;0)))</f>
        <v>3</v>
      </c>
      <c r="AW385" s="0" t="n">
        <f aca="false">IF(OR($A$5=公区维修!$F385,$A$5=公区维修!$G385,$BN$5=1),0,5-SUMPRODUCT(--(($A$1:$A$5=公区维修!$F385)+($A$1:$A$5=公区维修!$G385)+$BN$1:$BN$5&gt;0)))</f>
        <v>4</v>
      </c>
      <c r="AY385" s="0" t="str">
        <f aca="false">IFERROR(INDEX($A$1:$A$5,MATCH(1,$AS385:$AW385,0)),IF(1=MAX($AS385:$AW385)+1,"取消",""))</f>
        <v>李师傅</v>
      </c>
      <c r="AZ385" s="0" t="str">
        <f aca="false">IFERROR(INDEX($A$1:$A$5,MATCH(2,$AS385:$AW385,0)),IF(2=MAX($AS385:$AW385)+1,"取消",""))</f>
        <v>王师傅</v>
      </c>
      <c r="BA385" s="0" t="str">
        <f aca="false">IFERROR(INDEX($A$1:$A$5,MATCH(3,$AS385:$AW385,0)),IF(3=MAX($AS385:$AW385)+1,"取消",""))</f>
        <v>陈师傅</v>
      </c>
      <c r="BB385" s="0" t="str">
        <f aca="false">IFERROR(INDEX($A$1:$A$5,MATCH(4,$AS385:$AW385,0)),IF(4=MAX($AS385:$AW385)+1,"取消",""))</f>
        <v>刘师傅</v>
      </c>
      <c r="BC385" s="0" t="str">
        <f aca="false">IFERROR(INDEX($A$1:$A$5,MATCH(5,$AS385:$AW385,0)),IF(5=MAX($AS385:$AW385)+1,"取消",""))</f>
        <v>取消</v>
      </c>
      <c r="BD385" s="0" t="str">
        <f aca="false">IFERROR(INDEX($A$1:$A$5,MATCH(6,$AS385:$AW385,0)),IF(6=MAX($AS385:$AW385)+1,"取消",""))</f>
        <v/>
      </c>
      <c r="FW385" s="0" t="str">
        <f aca="false">IF(AND(单元查询!$D$3&lt;&gt;"",IF(单元查询!$B$3="公区维修",公区维修!$E385&lt;&gt;"",入户维修!$E385&lt;&gt;""),IF(单元查询!$B$3="公区维修",公区维修!$C385,入户维修!$C385)=单元查询!$D$3,OR(单元查询!$F$3="",IF(单元查询!$B$3="公区维修",公区维修!$D385,入户维修!$D385)&amp;""=(单元查询!$F$3)&amp;"")),MAX($FW$4:$FW384)+1,"")</f>
        <v/>
      </c>
    </row>
    <row r="386" customFormat="false" ht="15" hidden="false" customHeight="true" outlineLevel="0" collapsed="false">
      <c r="F386" s="0" t="n">
        <f aca="false">IF(OR($A$1=入户维修!$F386,$BN$1=1),0,1-SUMPRODUCT(--(($A$1=入户维修!$F386)+$BN$1&gt;0)))</f>
        <v>0</v>
      </c>
      <c r="G386" s="0" t="n">
        <f aca="false">IF(OR($A$2=入户维修!$F386,$BN$2=1),0,2-SUMPRODUCT(--(($A$1:$A$2=入户维修!$F386)+$BN$1:$BN$2&gt;0)))</f>
        <v>1</v>
      </c>
      <c r="H386" s="0" t="n">
        <f aca="false">IF(OR($A$3=入户维修!$F386,$BN$3=1),0,3-SUMPRODUCT(--(($A$1:$A$3=入户维修!$F386)+$BN$1:$BN$3&gt;0)))</f>
        <v>2</v>
      </c>
      <c r="I386" s="0" t="n">
        <f aca="false">IF(OR($A$4=入户维修!$F386,$BN$4=1),0,4-SUMPRODUCT(--(($A$1:$A$4=入户维修!$F386)+$BN$1:$BN$4&gt;0)))</f>
        <v>3</v>
      </c>
      <c r="J386" s="0" t="n">
        <f aca="false">IF(OR($A$5=入户维修!$F386,$BN$5=1),0,5-SUMPRODUCT(--(($A$1:$A$5=入户维修!$F386)+$BN$1:$BN$5&gt;0)))</f>
        <v>4</v>
      </c>
      <c r="L386" s="0" t="str">
        <f aca="false">IFERROR(INDEX($A$1:$A$5,MATCH(1,$F386:$J386,0)),IF(1=MAX($F386:$J386)+1,"取消",""))</f>
        <v>李师傅</v>
      </c>
      <c r="M386" s="0" t="str">
        <f aca="false">IFERROR(INDEX($A$1:$A$5,MATCH(2,$F386:$J386,0)),IF(2=MAX($F386:$J386)+1,"取消",""))</f>
        <v>王师傅</v>
      </c>
      <c r="N386" s="0" t="str">
        <f aca="false">IFERROR(INDEX($A$1:$A$5,MATCH(3,$F386:$J386,0)),IF(3=MAX($F386:$J386)+1,"取消",""))</f>
        <v>陈师傅</v>
      </c>
      <c r="O386" s="0" t="str">
        <f aca="false">IFERROR(INDEX($A$1:$A$5,MATCH(4,$F386:$J386,0)),IF(4=MAX($F386:$J386)+1,"取消",""))</f>
        <v>刘师傅</v>
      </c>
      <c r="P386" s="0" t="str">
        <f aca="false">IFERROR(INDEX($A$1:$A$5,MATCH(5,$F386:$J386,0)),IF(5=MAX($F386:$J386)+1,"取消",""))</f>
        <v>取消</v>
      </c>
      <c r="Q386" s="0" t="str">
        <f aca="false">IFERROR(INDEX($A$1:$A$5,MATCH(6,$F386:$J386,0)),IF(6=MAX($F386:$J386)+1,"取消",""))</f>
        <v/>
      </c>
      <c r="S386" s="0" t="n">
        <f aca="false">IF(OR($A$1=入户维修!$F386,$A$1=入户维修!$G386,$BN$1=1),0,1-SUMPRODUCT(--(($A$1=入户维修!$F386)+($A$1=入户维修!$G386)+$BN$1&gt;0)))</f>
        <v>0</v>
      </c>
      <c r="T386" s="0" t="n">
        <f aca="false">IF(OR($A$2=入户维修!$F386,$A$2=入户维修!$G386,$BN$2=1),0,2-SUMPRODUCT(--(($A$1:$A$2=入户维修!$F386)+($A$1:$A$2=入户维修!$G386)+$BN$1:$BN$2&gt;0)))</f>
        <v>1</v>
      </c>
      <c r="U386" s="0" t="n">
        <f aca="false">IF(OR($A$3=入户维修!$F386,$A$3=入户维修!$G386,$BN$3=1),0,3-SUMPRODUCT(--(($A$1:$A$3=入户维修!$F386)+($A$1:$A$3=入户维修!$G386)+$BN$1:$BN$3&gt;0)))</f>
        <v>2</v>
      </c>
      <c r="V386" s="0" t="n">
        <f aca="false">IF(OR($A$4=入户维修!$F386,$A$4=入户维修!$G386,$BN$4=1),0,4-SUMPRODUCT(--(($A$1:$A$4=入户维修!$F386)+($A$1:$A$4=入户维修!$G386)+$BN$1:$BN$4&gt;0)))</f>
        <v>3</v>
      </c>
      <c r="W386" s="0" t="n">
        <f aca="false">IF(OR($A$5=入户维修!$F386,$A$5=入户维修!$G386,$BN$5=1),0,5-SUMPRODUCT(--(($A$1:$A$5=入户维修!$F386)+($A$1:$A$5=入户维修!$G386)+$BN$1:$BN$5&gt;0)))</f>
        <v>4</v>
      </c>
      <c r="Y386" s="0" t="str">
        <f aca="false">IFERROR(INDEX($A$1:$A$5,MATCH(1,$S386:$W386,0)),IF(1=MAX($S386:$W386)+1,"取消",""))</f>
        <v>李师傅</v>
      </c>
      <c r="Z386" s="0" t="str">
        <f aca="false">IFERROR(INDEX($A$1:$A$5,MATCH(2,$S386:$W386,0)),IF(2=MAX($S386:$W386)+1,"取消",""))</f>
        <v>王师傅</v>
      </c>
      <c r="AA386" s="0" t="str">
        <f aca="false">IFERROR(INDEX($A$1:$A$5,MATCH(3,$S386:$W386,0)),IF(3=MAX($S386:$W386)+1,"取消",""))</f>
        <v>陈师傅</v>
      </c>
      <c r="AB386" s="0" t="str">
        <f aca="false">IFERROR(INDEX($A$1:$A$5,MATCH(4,$S386:$W386,0)),IF(4=MAX($S386:$W386)+1,"取消",""))</f>
        <v>刘师傅</v>
      </c>
      <c r="AC386" s="0" t="str">
        <f aca="false">IFERROR(INDEX($A$1:$A$5,MATCH(5,$S386:$W386,0)),IF(5=MAX($S386:$W386)+1,"取消",""))</f>
        <v>取消</v>
      </c>
      <c r="AD386" s="0" t="str">
        <f aca="false">IFERROR(INDEX($A$1:$A$5,MATCH(6,$S386:$W386,0)),IF(6=MAX($S386:$W386)+1,"取消",""))</f>
        <v/>
      </c>
      <c r="AF386" s="0" t="n">
        <f aca="false">IF(OR($A$1=公区维修!$F386,$BN$1=1),0,1-SUMPRODUCT(--(($A$1=公区维修!$F386)+$BN$1&gt;0)))</f>
        <v>0</v>
      </c>
      <c r="AG386" s="0" t="n">
        <f aca="false">IF(OR($A$2=公区维修!$F386,$BN$2=1),0,2-SUMPRODUCT(--(($A$1:$A$2=公区维修!$F386)+$BN$1:$BN$2&gt;0)))</f>
        <v>1</v>
      </c>
      <c r="AH386" s="0" t="n">
        <f aca="false">IF(OR($A$3=公区维修!$F386,$BN$3=1),0,3-SUMPRODUCT(--(($A$1:$A$3=公区维修!$F386)+$BN$1:$BN$3&gt;0)))</f>
        <v>2</v>
      </c>
      <c r="AI386" s="0" t="n">
        <f aca="false">IF(OR($A$4=公区维修!$F386,$BN$4=1),0,4-SUMPRODUCT(--(($A$1:$A$4=公区维修!$F386)+$BN$1:$BN$4&gt;0)))</f>
        <v>3</v>
      </c>
      <c r="AJ386" s="0" t="n">
        <f aca="false">IF(OR($A$5=公区维修!$F386,$BN$5=1),0,5-SUMPRODUCT(--(($A$1:$A$5=公区维修!$F386)+$BN$1:$BN$5&gt;0)))</f>
        <v>4</v>
      </c>
      <c r="AL386" s="0" t="str">
        <f aca="false">IFERROR(INDEX($A$1:$A$5,MATCH(1,$AF386:$AJ386,0)),IF(1=MAX($AF386:$AJ386)+1,"取消",""))</f>
        <v>李师傅</v>
      </c>
      <c r="AM386" s="0" t="str">
        <f aca="false">IFERROR(INDEX($A$1:$A$5,MATCH(2,$AF386:$AJ386,0)),IF(2=MAX($AF386:$AJ386)+1,"取消",""))</f>
        <v>王师傅</v>
      </c>
      <c r="AN386" s="0" t="str">
        <f aca="false">IFERROR(INDEX($A$1:$A$5,MATCH(3,$AF386:$AJ386,0)),IF(3=MAX($AF386:$AJ386)+1,"取消",""))</f>
        <v>陈师傅</v>
      </c>
      <c r="AO386" s="0" t="str">
        <f aca="false">IFERROR(INDEX($A$1:$A$5,MATCH(4,$AF386:$AJ386,0)),IF(4=MAX($AF386:$AJ386)+1,"取消",""))</f>
        <v>刘师傅</v>
      </c>
      <c r="AP386" s="0" t="str">
        <f aca="false">IFERROR(INDEX($A$1:$A$5,MATCH(5,$AF386:$AJ386,0)),IF(5=MAX($AF386:$AJ386)+1,"取消",""))</f>
        <v>取消</v>
      </c>
      <c r="AQ386" s="0" t="str">
        <f aca="false">IFERROR(INDEX($A$1:$A$5,MATCH(6,$AF386:$AJ386,0)),IF(6=MAX($AF386:$AJ386)+1,"取消",""))</f>
        <v/>
      </c>
      <c r="AS386" s="0" t="n">
        <f aca="false">IF(OR($A$1=公区维修!$F386,$A$1=公区维修!$G386,$BN$1=1),0,1-SUMPRODUCT(--(($A$1=公区维修!$F386)+($A$1=公区维修!$G386)+$BN$1&gt;0)))</f>
        <v>0</v>
      </c>
      <c r="AT386" s="0" t="n">
        <f aca="false">IF(OR($A$2=公区维修!$F386,$A$2=公区维修!$G386,$BN$2=1),0,2-SUMPRODUCT(--(($A$1:$A$2=公区维修!$F386)+($A$1:$A$2=公区维修!$G386)+$BN$1:$BN$2&gt;0)))</f>
        <v>1</v>
      </c>
      <c r="AU386" s="0" t="n">
        <f aca="false">IF(OR($A$3=公区维修!$F386,$A$3=公区维修!$G386,$BN$3=1),0,3-SUMPRODUCT(--(($A$1:$A$3=公区维修!$F386)+($A$1:$A$3=公区维修!$G386)+$BN$1:$BN$3&gt;0)))</f>
        <v>2</v>
      </c>
      <c r="AV386" s="0" t="n">
        <f aca="false">IF(OR($A$4=公区维修!$F386,$A$4=公区维修!$G386,$BN$4=1),0,4-SUMPRODUCT(--(($A$1:$A$4=公区维修!$F386)+($A$1:$A$4=公区维修!$G386)+$BN$1:$BN$4&gt;0)))</f>
        <v>3</v>
      </c>
      <c r="AW386" s="0" t="n">
        <f aca="false">IF(OR($A$5=公区维修!$F386,$A$5=公区维修!$G386,$BN$5=1),0,5-SUMPRODUCT(--(($A$1:$A$5=公区维修!$F386)+($A$1:$A$5=公区维修!$G386)+$BN$1:$BN$5&gt;0)))</f>
        <v>4</v>
      </c>
      <c r="AY386" s="0" t="str">
        <f aca="false">IFERROR(INDEX($A$1:$A$5,MATCH(1,$AS386:$AW386,0)),IF(1=MAX($AS386:$AW386)+1,"取消",""))</f>
        <v>李师傅</v>
      </c>
      <c r="AZ386" s="0" t="str">
        <f aca="false">IFERROR(INDEX($A$1:$A$5,MATCH(2,$AS386:$AW386,0)),IF(2=MAX($AS386:$AW386)+1,"取消",""))</f>
        <v>王师傅</v>
      </c>
      <c r="BA386" s="0" t="str">
        <f aca="false">IFERROR(INDEX($A$1:$A$5,MATCH(3,$AS386:$AW386,0)),IF(3=MAX($AS386:$AW386)+1,"取消",""))</f>
        <v>陈师傅</v>
      </c>
      <c r="BB386" s="0" t="str">
        <f aca="false">IFERROR(INDEX($A$1:$A$5,MATCH(4,$AS386:$AW386,0)),IF(4=MAX($AS386:$AW386)+1,"取消",""))</f>
        <v>刘师傅</v>
      </c>
      <c r="BC386" s="0" t="str">
        <f aca="false">IFERROR(INDEX($A$1:$A$5,MATCH(5,$AS386:$AW386,0)),IF(5=MAX($AS386:$AW386)+1,"取消",""))</f>
        <v>取消</v>
      </c>
      <c r="BD386" s="0" t="str">
        <f aca="false">IFERROR(INDEX($A$1:$A$5,MATCH(6,$AS386:$AW386,0)),IF(6=MAX($AS386:$AW386)+1,"取消",""))</f>
        <v/>
      </c>
      <c r="FW386" s="0" t="str">
        <f aca="false">IF(AND(单元查询!$D$3&lt;&gt;"",IF(单元查询!$B$3="公区维修",公区维修!$E386&lt;&gt;"",入户维修!$E386&lt;&gt;""),IF(单元查询!$B$3="公区维修",公区维修!$C386,入户维修!$C386)=单元查询!$D$3,OR(单元查询!$F$3="",IF(单元查询!$B$3="公区维修",公区维修!$D386,入户维修!$D386)&amp;""=(单元查询!$F$3)&amp;"")),MAX($FW$4:$FW385)+1,"")</f>
        <v/>
      </c>
    </row>
    <row r="387" customFormat="false" ht="15" hidden="false" customHeight="true" outlineLevel="0" collapsed="false">
      <c r="F387" s="0" t="n">
        <f aca="false">IF(OR($A$1=入户维修!$F387,$BN$1=1),0,1-SUMPRODUCT(--(($A$1=入户维修!$F387)+$BN$1&gt;0)))</f>
        <v>0</v>
      </c>
      <c r="G387" s="0" t="n">
        <f aca="false">IF(OR($A$2=入户维修!$F387,$BN$2=1),0,2-SUMPRODUCT(--(($A$1:$A$2=入户维修!$F387)+$BN$1:$BN$2&gt;0)))</f>
        <v>1</v>
      </c>
      <c r="H387" s="0" t="n">
        <f aca="false">IF(OR($A$3=入户维修!$F387,$BN$3=1),0,3-SUMPRODUCT(--(($A$1:$A$3=入户维修!$F387)+$BN$1:$BN$3&gt;0)))</f>
        <v>2</v>
      </c>
      <c r="I387" s="0" t="n">
        <f aca="false">IF(OR($A$4=入户维修!$F387,$BN$4=1),0,4-SUMPRODUCT(--(($A$1:$A$4=入户维修!$F387)+$BN$1:$BN$4&gt;0)))</f>
        <v>3</v>
      </c>
      <c r="J387" s="0" t="n">
        <f aca="false">IF(OR($A$5=入户维修!$F387,$BN$5=1),0,5-SUMPRODUCT(--(($A$1:$A$5=入户维修!$F387)+$BN$1:$BN$5&gt;0)))</f>
        <v>4</v>
      </c>
      <c r="L387" s="0" t="str">
        <f aca="false">IFERROR(INDEX($A$1:$A$5,MATCH(1,$F387:$J387,0)),IF(1=MAX($F387:$J387)+1,"取消",""))</f>
        <v>李师傅</v>
      </c>
      <c r="M387" s="0" t="str">
        <f aca="false">IFERROR(INDEX($A$1:$A$5,MATCH(2,$F387:$J387,0)),IF(2=MAX($F387:$J387)+1,"取消",""))</f>
        <v>王师傅</v>
      </c>
      <c r="N387" s="0" t="str">
        <f aca="false">IFERROR(INDEX($A$1:$A$5,MATCH(3,$F387:$J387,0)),IF(3=MAX($F387:$J387)+1,"取消",""))</f>
        <v>陈师傅</v>
      </c>
      <c r="O387" s="0" t="str">
        <f aca="false">IFERROR(INDEX($A$1:$A$5,MATCH(4,$F387:$J387,0)),IF(4=MAX($F387:$J387)+1,"取消",""))</f>
        <v>刘师傅</v>
      </c>
      <c r="P387" s="0" t="str">
        <f aca="false">IFERROR(INDEX($A$1:$A$5,MATCH(5,$F387:$J387,0)),IF(5=MAX($F387:$J387)+1,"取消",""))</f>
        <v>取消</v>
      </c>
      <c r="Q387" s="0" t="str">
        <f aca="false">IFERROR(INDEX($A$1:$A$5,MATCH(6,$F387:$J387,0)),IF(6=MAX($F387:$J387)+1,"取消",""))</f>
        <v/>
      </c>
      <c r="S387" s="0" t="n">
        <f aca="false">IF(OR($A$1=入户维修!$F387,$A$1=入户维修!$G387,$BN$1=1),0,1-SUMPRODUCT(--(($A$1=入户维修!$F387)+($A$1=入户维修!$G387)+$BN$1&gt;0)))</f>
        <v>0</v>
      </c>
      <c r="T387" s="0" t="n">
        <f aca="false">IF(OR($A$2=入户维修!$F387,$A$2=入户维修!$G387,$BN$2=1),0,2-SUMPRODUCT(--(($A$1:$A$2=入户维修!$F387)+($A$1:$A$2=入户维修!$G387)+$BN$1:$BN$2&gt;0)))</f>
        <v>1</v>
      </c>
      <c r="U387" s="0" t="n">
        <f aca="false">IF(OR($A$3=入户维修!$F387,$A$3=入户维修!$G387,$BN$3=1),0,3-SUMPRODUCT(--(($A$1:$A$3=入户维修!$F387)+($A$1:$A$3=入户维修!$G387)+$BN$1:$BN$3&gt;0)))</f>
        <v>2</v>
      </c>
      <c r="V387" s="0" t="n">
        <f aca="false">IF(OR($A$4=入户维修!$F387,$A$4=入户维修!$G387,$BN$4=1),0,4-SUMPRODUCT(--(($A$1:$A$4=入户维修!$F387)+($A$1:$A$4=入户维修!$G387)+$BN$1:$BN$4&gt;0)))</f>
        <v>3</v>
      </c>
      <c r="W387" s="0" t="n">
        <f aca="false">IF(OR($A$5=入户维修!$F387,$A$5=入户维修!$G387,$BN$5=1),0,5-SUMPRODUCT(--(($A$1:$A$5=入户维修!$F387)+($A$1:$A$5=入户维修!$G387)+$BN$1:$BN$5&gt;0)))</f>
        <v>4</v>
      </c>
      <c r="Y387" s="0" t="str">
        <f aca="false">IFERROR(INDEX($A$1:$A$5,MATCH(1,$S387:$W387,0)),IF(1=MAX($S387:$W387)+1,"取消",""))</f>
        <v>李师傅</v>
      </c>
      <c r="Z387" s="0" t="str">
        <f aca="false">IFERROR(INDEX($A$1:$A$5,MATCH(2,$S387:$W387,0)),IF(2=MAX($S387:$W387)+1,"取消",""))</f>
        <v>王师傅</v>
      </c>
      <c r="AA387" s="0" t="str">
        <f aca="false">IFERROR(INDEX($A$1:$A$5,MATCH(3,$S387:$W387,0)),IF(3=MAX($S387:$W387)+1,"取消",""))</f>
        <v>陈师傅</v>
      </c>
      <c r="AB387" s="0" t="str">
        <f aca="false">IFERROR(INDEX($A$1:$A$5,MATCH(4,$S387:$W387,0)),IF(4=MAX($S387:$W387)+1,"取消",""))</f>
        <v>刘师傅</v>
      </c>
      <c r="AC387" s="0" t="str">
        <f aca="false">IFERROR(INDEX($A$1:$A$5,MATCH(5,$S387:$W387,0)),IF(5=MAX($S387:$W387)+1,"取消",""))</f>
        <v>取消</v>
      </c>
      <c r="AD387" s="0" t="str">
        <f aca="false">IFERROR(INDEX($A$1:$A$5,MATCH(6,$S387:$W387,0)),IF(6=MAX($S387:$W387)+1,"取消",""))</f>
        <v/>
      </c>
      <c r="AF387" s="0" t="n">
        <f aca="false">IF(OR($A$1=公区维修!$F387,$BN$1=1),0,1-SUMPRODUCT(--(($A$1=公区维修!$F387)+$BN$1&gt;0)))</f>
        <v>0</v>
      </c>
      <c r="AG387" s="0" t="n">
        <f aca="false">IF(OR($A$2=公区维修!$F387,$BN$2=1),0,2-SUMPRODUCT(--(($A$1:$A$2=公区维修!$F387)+$BN$1:$BN$2&gt;0)))</f>
        <v>1</v>
      </c>
      <c r="AH387" s="0" t="n">
        <f aca="false">IF(OR($A$3=公区维修!$F387,$BN$3=1),0,3-SUMPRODUCT(--(($A$1:$A$3=公区维修!$F387)+$BN$1:$BN$3&gt;0)))</f>
        <v>2</v>
      </c>
      <c r="AI387" s="0" t="n">
        <f aca="false">IF(OR($A$4=公区维修!$F387,$BN$4=1),0,4-SUMPRODUCT(--(($A$1:$A$4=公区维修!$F387)+$BN$1:$BN$4&gt;0)))</f>
        <v>3</v>
      </c>
      <c r="AJ387" s="0" t="n">
        <f aca="false">IF(OR($A$5=公区维修!$F387,$BN$5=1),0,5-SUMPRODUCT(--(($A$1:$A$5=公区维修!$F387)+$BN$1:$BN$5&gt;0)))</f>
        <v>4</v>
      </c>
      <c r="AL387" s="0" t="str">
        <f aca="false">IFERROR(INDEX($A$1:$A$5,MATCH(1,$AF387:$AJ387,0)),IF(1=MAX($AF387:$AJ387)+1,"取消",""))</f>
        <v>李师傅</v>
      </c>
      <c r="AM387" s="0" t="str">
        <f aca="false">IFERROR(INDEX($A$1:$A$5,MATCH(2,$AF387:$AJ387,0)),IF(2=MAX($AF387:$AJ387)+1,"取消",""))</f>
        <v>王师傅</v>
      </c>
      <c r="AN387" s="0" t="str">
        <f aca="false">IFERROR(INDEX($A$1:$A$5,MATCH(3,$AF387:$AJ387,0)),IF(3=MAX($AF387:$AJ387)+1,"取消",""))</f>
        <v>陈师傅</v>
      </c>
      <c r="AO387" s="0" t="str">
        <f aca="false">IFERROR(INDEX($A$1:$A$5,MATCH(4,$AF387:$AJ387,0)),IF(4=MAX($AF387:$AJ387)+1,"取消",""))</f>
        <v>刘师傅</v>
      </c>
      <c r="AP387" s="0" t="str">
        <f aca="false">IFERROR(INDEX($A$1:$A$5,MATCH(5,$AF387:$AJ387,0)),IF(5=MAX($AF387:$AJ387)+1,"取消",""))</f>
        <v>取消</v>
      </c>
      <c r="AQ387" s="0" t="str">
        <f aca="false">IFERROR(INDEX($A$1:$A$5,MATCH(6,$AF387:$AJ387,0)),IF(6=MAX($AF387:$AJ387)+1,"取消",""))</f>
        <v/>
      </c>
      <c r="AS387" s="0" t="n">
        <f aca="false">IF(OR($A$1=公区维修!$F387,$A$1=公区维修!$G387,$BN$1=1),0,1-SUMPRODUCT(--(($A$1=公区维修!$F387)+($A$1=公区维修!$G387)+$BN$1&gt;0)))</f>
        <v>0</v>
      </c>
      <c r="AT387" s="0" t="n">
        <f aca="false">IF(OR($A$2=公区维修!$F387,$A$2=公区维修!$G387,$BN$2=1),0,2-SUMPRODUCT(--(($A$1:$A$2=公区维修!$F387)+($A$1:$A$2=公区维修!$G387)+$BN$1:$BN$2&gt;0)))</f>
        <v>1</v>
      </c>
      <c r="AU387" s="0" t="n">
        <f aca="false">IF(OR($A$3=公区维修!$F387,$A$3=公区维修!$G387,$BN$3=1),0,3-SUMPRODUCT(--(($A$1:$A$3=公区维修!$F387)+($A$1:$A$3=公区维修!$G387)+$BN$1:$BN$3&gt;0)))</f>
        <v>2</v>
      </c>
      <c r="AV387" s="0" t="n">
        <f aca="false">IF(OR($A$4=公区维修!$F387,$A$4=公区维修!$G387,$BN$4=1),0,4-SUMPRODUCT(--(($A$1:$A$4=公区维修!$F387)+($A$1:$A$4=公区维修!$G387)+$BN$1:$BN$4&gt;0)))</f>
        <v>3</v>
      </c>
      <c r="AW387" s="0" t="n">
        <f aca="false">IF(OR($A$5=公区维修!$F387,$A$5=公区维修!$G387,$BN$5=1),0,5-SUMPRODUCT(--(($A$1:$A$5=公区维修!$F387)+($A$1:$A$5=公区维修!$G387)+$BN$1:$BN$5&gt;0)))</f>
        <v>4</v>
      </c>
      <c r="AY387" s="0" t="str">
        <f aca="false">IFERROR(INDEX($A$1:$A$5,MATCH(1,$AS387:$AW387,0)),IF(1=MAX($AS387:$AW387)+1,"取消",""))</f>
        <v>李师傅</v>
      </c>
      <c r="AZ387" s="0" t="str">
        <f aca="false">IFERROR(INDEX($A$1:$A$5,MATCH(2,$AS387:$AW387,0)),IF(2=MAX($AS387:$AW387)+1,"取消",""))</f>
        <v>王师傅</v>
      </c>
      <c r="BA387" s="0" t="str">
        <f aca="false">IFERROR(INDEX($A$1:$A$5,MATCH(3,$AS387:$AW387,0)),IF(3=MAX($AS387:$AW387)+1,"取消",""))</f>
        <v>陈师傅</v>
      </c>
      <c r="BB387" s="0" t="str">
        <f aca="false">IFERROR(INDEX($A$1:$A$5,MATCH(4,$AS387:$AW387,0)),IF(4=MAX($AS387:$AW387)+1,"取消",""))</f>
        <v>刘师傅</v>
      </c>
      <c r="BC387" s="0" t="str">
        <f aca="false">IFERROR(INDEX($A$1:$A$5,MATCH(5,$AS387:$AW387,0)),IF(5=MAX($AS387:$AW387)+1,"取消",""))</f>
        <v>取消</v>
      </c>
      <c r="BD387" s="0" t="str">
        <f aca="false">IFERROR(INDEX($A$1:$A$5,MATCH(6,$AS387:$AW387,0)),IF(6=MAX($AS387:$AW387)+1,"取消",""))</f>
        <v/>
      </c>
      <c r="FW387" s="0" t="str">
        <f aca="false">IF(AND(单元查询!$D$3&lt;&gt;"",IF(单元查询!$B$3="公区维修",公区维修!$E387&lt;&gt;"",入户维修!$E387&lt;&gt;""),IF(单元查询!$B$3="公区维修",公区维修!$C387,入户维修!$C387)=单元查询!$D$3,OR(单元查询!$F$3="",IF(单元查询!$B$3="公区维修",公区维修!$D387,入户维修!$D387)&amp;""=(单元查询!$F$3)&amp;"")),MAX($FW$4:$FW386)+1,"")</f>
        <v/>
      </c>
    </row>
    <row r="388" customFormat="false" ht="15" hidden="false" customHeight="true" outlineLevel="0" collapsed="false">
      <c r="F388" s="0" t="n">
        <f aca="false">IF(OR($A$1=入户维修!$F388,$BN$1=1),0,1-SUMPRODUCT(--(($A$1=入户维修!$F388)+$BN$1&gt;0)))</f>
        <v>0</v>
      </c>
      <c r="G388" s="0" t="n">
        <f aca="false">IF(OR($A$2=入户维修!$F388,$BN$2=1),0,2-SUMPRODUCT(--(($A$1:$A$2=入户维修!$F388)+$BN$1:$BN$2&gt;0)))</f>
        <v>1</v>
      </c>
      <c r="H388" s="0" t="n">
        <f aca="false">IF(OR($A$3=入户维修!$F388,$BN$3=1),0,3-SUMPRODUCT(--(($A$1:$A$3=入户维修!$F388)+$BN$1:$BN$3&gt;0)))</f>
        <v>2</v>
      </c>
      <c r="I388" s="0" t="n">
        <f aca="false">IF(OR($A$4=入户维修!$F388,$BN$4=1),0,4-SUMPRODUCT(--(($A$1:$A$4=入户维修!$F388)+$BN$1:$BN$4&gt;0)))</f>
        <v>3</v>
      </c>
      <c r="J388" s="0" t="n">
        <f aca="false">IF(OR($A$5=入户维修!$F388,$BN$5=1),0,5-SUMPRODUCT(--(($A$1:$A$5=入户维修!$F388)+$BN$1:$BN$5&gt;0)))</f>
        <v>4</v>
      </c>
      <c r="L388" s="0" t="str">
        <f aca="false">IFERROR(INDEX($A$1:$A$5,MATCH(1,$F388:$J388,0)),IF(1=MAX($F388:$J388)+1,"取消",""))</f>
        <v>李师傅</v>
      </c>
      <c r="M388" s="0" t="str">
        <f aca="false">IFERROR(INDEX($A$1:$A$5,MATCH(2,$F388:$J388,0)),IF(2=MAX($F388:$J388)+1,"取消",""))</f>
        <v>王师傅</v>
      </c>
      <c r="N388" s="0" t="str">
        <f aca="false">IFERROR(INDEX($A$1:$A$5,MATCH(3,$F388:$J388,0)),IF(3=MAX($F388:$J388)+1,"取消",""))</f>
        <v>陈师傅</v>
      </c>
      <c r="O388" s="0" t="str">
        <f aca="false">IFERROR(INDEX($A$1:$A$5,MATCH(4,$F388:$J388,0)),IF(4=MAX($F388:$J388)+1,"取消",""))</f>
        <v>刘师傅</v>
      </c>
      <c r="P388" s="0" t="str">
        <f aca="false">IFERROR(INDEX($A$1:$A$5,MATCH(5,$F388:$J388,0)),IF(5=MAX($F388:$J388)+1,"取消",""))</f>
        <v>取消</v>
      </c>
      <c r="Q388" s="0" t="str">
        <f aca="false">IFERROR(INDEX($A$1:$A$5,MATCH(6,$F388:$J388,0)),IF(6=MAX($F388:$J388)+1,"取消",""))</f>
        <v/>
      </c>
      <c r="S388" s="0" t="n">
        <f aca="false">IF(OR($A$1=入户维修!$F388,$A$1=入户维修!$G388,$BN$1=1),0,1-SUMPRODUCT(--(($A$1=入户维修!$F388)+($A$1=入户维修!$G388)+$BN$1&gt;0)))</f>
        <v>0</v>
      </c>
      <c r="T388" s="0" t="n">
        <f aca="false">IF(OR($A$2=入户维修!$F388,$A$2=入户维修!$G388,$BN$2=1),0,2-SUMPRODUCT(--(($A$1:$A$2=入户维修!$F388)+($A$1:$A$2=入户维修!$G388)+$BN$1:$BN$2&gt;0)))</f>
        <v>1</v>
      </c>
      <c r="U388" s="0" t="n">
        <f aca="false">IF(OR($A$3=入户维修!$F388,$A$3=入户维修!$G388,$BN$3=1),0,3-SUMPRODUCT(--(($A$1:$A$3=入户维修!$F388)+($A$1:$A$3=入户维修!$G388)+$BN$1:$BN$3&gt;0)))</f>
        <v>2</v>
      </c>
      <c r="V388" s="0" t="n">
        <f aca="false">IF(OR($A$4=入户维修!$F388,$A$4=入户维修!$G388,$BN$4=1),0,4-SUMPRODUCT(--(($A$1:$A$4=入户维修!$F388)+($A$1:$A$4=入户维修!$G388)+$BN$1:$BN$4&gt;0)))</f>
        <v>3</v>
      </c>
      <c r="W388" s="0" t="n">
        <f aca="false">IF(OR($A$5=入户维修!$F388,$A$5=入户维修!$G388,$BN$5=1),0,5-SUMPRODUCT(--(($A$1:$A$5=入户维修!$F388)+($A$1:$A$5=入户维修!$G388)+$BN$1:$BN$5&gt;0)))</f>
        <v>4</v>
      </c>
      <c r="Y388" s="0" t="str">
        <f aca="false">IFERROR(INDEX($A$1:$A$5,MATCH(1,$S388:$W388,0)),IF(1=MAX($S388:$W388)+1,"取消",""))</f>
        <v>李师傅</v>
      </c>
      <c r="Z388" s="0" t="str">
        <f aca="false">IFERROR(INDEX($A$1:$A$5,MATCH(2,$S388:$W388,0)),IF(2=MAX($S388:$W388)+1,"取消",""))</f>
        <v>王师傅</v>
      </c>
      <c r="AA388" s="0" t="str">
        <f aca="false">IFERROR(INDEX($A$1:$A$5,MATCH(3,$S388:$W388,0)),IF(3=MAX($S388:$W388)+1,"取消",""))</f>
        <v>陈师傅</v>
      </c>
      <c r="AB388" s="0" t="str">
        <f aca="false">IFERROR(INDEX($A$1:$A$5,MATCH(4,$S388:$W388,0)),IF(4=MAX($S388:$W388)+1,"取消",""))</f>
        <v>刘师傅</v>
      </c>
      <c r="AC388" s="0" t="str">
        <f aca="false">IFERROR(INDEX($A$1:$A$5,MATCH(5,$S388:$W388,0)),IF(5=MAX($S388:$W388)+1,"取消",""))</f>
        <v>取消</v>
      </c>
      <c r="AD388" s="0" t="str">
        <f aca="false">IFERROR(INDEX($A$1:$A$5,MATCH(6,$S388:$W388,0)),IF(6=MAX($S388:$W388)+1,"取消",""))</f>
        <v/>
      </c>
      <c r="AF388" s="0" t="n">
        <f aca="false">IF(OR($A$1=公区维修!$F388,$BN$1=1),0,1-SUMPRODUCT(--(($A$1=公区维修!$F388)+$BN$1&gt;0)))</f>
        <v>0</v>
      </c>
      <c r="AG388" s="0" t="n">
        <f aca="false">IF(OR($A$2=公区维修!$F388,$BN$2=1),0,2-SUMPRODUCT(--(($A$1:$A$2=公区维修!$F388)+$BN$1:$BN$2&gt;0)))</f>
        <v>1</v>
      </c>
      <c r="AH388" s="0" t="n">
        <f aca="false">IF(OR($A$3=公区维修!$F388,$BN$3=1),0,3-SUMPRODUCT(--(($A$1:$A$3=公区维修!$F388)+$BN$1:$BN$3&gt;0)))</f>
        <v>2</v>
      </c>
      <c r="AI388" s="0" t="n">
        <f aca="false">IF(OR($A$4=公区维修!$F388,$BN$4=1),0,4-SUMPRODUCT(--(($A$1:$A$4=公区维修!$F388)+$BN$1:$BN$4&gt;0)))</f>
        <v>3</v>
      </c>
      <c r="AJ388" s="0" t="n">
        <f aca="false">IF(OR($A$5=公区维修!$F388,$BN$5=1),0,5-SUMPRODUCT(--(($A$1:$A$5=公区维修!$F388)+$BN$1:$BN$5&gt;0)))</f>
        <v>4</v>
      </c>
      <c r="AL388" s="0" t="str">
        <f aca="false">IFERROR(INDEX($A$1:$A$5,MATCH(1,$AF388:$AJ388,0)),IF(1=MAX($AF388:$AJ388)+1,"取消",""))</f>
        <v>李师傅</v>
      </c>
      <c r="AM388" s="0" t="str">
        <f aca="false">IFERROR(INDEX($A$1:$A$5,MATCH(2,$AF388:$AJ388,0)),IF(2=MAX($AF388:$AJ388)+1,"取消",""))</f>
        <v>王师傅</v>
      </c>
      <c r="AN388" s="0" t="str">
        <f aca="false">IFERROR(INDEX($A$1:$A$5,MATCH(3,$AF388:$AJ388,0)),IF(3=MAX($AF388:$AJ388)+1,"取消",""))</f>
        <v>陈师傅</v>
      </c>
      <c r="AO388" s="0" t="str">
        <f aca="false">IFERROR(INDEX($A$1:$A$5,MATCH(4,$AF388:$AJ388,0)),IF(4=MAX($AF388:$AJ388)+1,"取消",""))</f>
        <v>刘师傅</v>
      </c>
      <c r="AP388" s="0" t="str">
        <f aca="false">IFERROR(INDEX($A$1:$A$5,MATCH(5,$AF388:$AJ388,0)),IF(5=MAX($AF388:$AJ388)+1,"取消",""))</f>
        <v>取消</v>
      </c>
      <c r="AQ388" s="0" t="str">
        <f aca="false">IFERROR(INDEX($A$1:$A$5,MATCH(6,$AF388:$AJ388,0)),IF(6=MAX($AF388:$AJ388)+1,"取消",""))</f>
        <v/>
      </c>
      <c r="AS388" s="0" t="n">
        <f aca="false">IF(OR($A$1=公区维修!$F388,$A$1=公区维修!$G388,$BN$1=1),0,1-SUMPRODUCT(--(($A$1=公区维修!$F388)+($A$1=公区维修!$G388)+$BN$1&gt;0)))</f>
        <v>0</v>
      </c>
      <c r="AT388" s="0" t="n">
        <f aca="false">IF(OR($A$2=公区维修!$F388,$A$2=公区维修!$G388,$BN$2=1),0,2-SUMPRODUCT(--(($A$1:$A$2=公区维修!$F388)+($A$1:$A$2=公区维修!$G388)+$BN$1:$BN$2&gt;0)))</f>
        <v>1</v>
      </c>
      <c r="AU388" s="0" t="n">
        <f aca="false">IF(OR($A$3=公区维修!$F388,$A$3=公区维修!$G388,$BN$3=1),0,3-SUMPRODUCT(--(($A$1:$A$3=公区维修!$F388)+($A$1:$A$3=公区维修!$G388)+$BN$1:$BN$3&gt;0)))</f>
        <v>2</v>
      </c>
      <c r="AV388" s="0" t="n">
        <f aca="false">IF(OR($A$4=公区维修!$F388,$A$4=公区维修!$G388,$BN$4=1),0,4-SUMPRODUCT(--(($A$1:$A$4=公区维修!$F388)+($A$1:$A$4=公区维修!$G388)+$BN$1:$BN$4&gt;0)))</f>
        <v>3</v>
      </c>
      <c r="AW388" s="0" t="n">
        <f aca="false">IF(OR($A$5=公区维修!$F388,$A$5=公区维修!$G388,$BN$5=1),0,5-SUMPRODUCT(--(($A$1:$A$5=公区维修!$F388)+($A$1:$A$5=公区维修!$G388)+$BN$1:$BN$5&gt;0)))</f>
        <v>4</v>
      </c>
      <c r="AY388" s="0" t="str">
        <f aca="false">IFERROR(INDEX($A$1:$A$5,MATCH(1,$AS388:$AW388,0)),IF(1=MAX($AS388:$AW388)+1,"取消",""))</f>
        <v>李师傅</v>
      </c>
      <c r="AZ388" s="0" t="str">
        <f aca="false">IFERROR(INDEX($A$1:$A$5,MATCH(2,$AS388:$AW388,0)),IF(2=MAX($AS388:$AW388)+1,"取消",""))</f>
        <v>王师傅</v>
      </c>
      <c r="BA388" s="0" t="str">
        <f aca="false">IFERROR(INDEX($A$1:$A$5,MATCH(3,$AS388:$AW388,0)),IF(3=MAX($AS388:$AW388)+1,"取消",""))</f>
        <v>陈师傅</v>
      </c>
      <c r="BB388" s="0" t="str">
        <f aca="false">IFERROR(INDEX($A$1:$A$5,MATCH(4,$AS388:$AW388,0)),IF(4=MAX($AS388:$AW388)+1,"取消",""))</f>
        <v>刘师傅</v>
      </c>
      <c r="BC388" s="0" t="str">
        <f aca="false">IFERROR(INDEX($A$1:$A$5,MATCH(5,$AS388:$AW388,0)),IF(5=MAX($AS388:$AW388)+1,"取消",""))</f>
        <v>取消</v>
      </c>
      <c r="BD388" s="0" t="str">
        <f aca="false">IFERROR(INDEX($A$1:$A$5,MATCH(6,$AS388:$AW388,0)),IF(6=MAX($AS388:$AW388)+1,"取消",""))</f>
        <v/>
      </c>
      <c r="FW388" s="0" t="str">
        <f aca="false">IF(AND(单元查询!$D$3&lt;&gt;"",IF(单元查询!$B$3="公区维修",公区维修!$E388&lt;&gt;"",入户维修!$E388&lt;&gt;""),IF(单元查询!$B$3="公区维修",公区维修!$C388,入户维修!$C388)=单元查询!$D$3,OR(单元查询!$F$3="",IF(单元查询!$B$3="公区维修",公区维修!$D388,入户维修!$D388)&amp;""=(单元查询!$F$3)&amp;"")),MAX($FW$4:$FW387)+1,"")</f>
        <v/>
      </c>
    </row>
    <row r="389" customFormat="false" ht="15" hidden="false" customHeight="true" outlineLevel="0" collapsed="false">
      <c r="F389" s="0" t="n">
        <f aca="false">IF(OR($A$1=入户维修!$F389,$BN$1=1),0,1-SUMPRODUCT(--(($A$1=入户维修!$F389)+$BN$1&gt;0)))</f>
        <v>0</v>
      </c>
      <c r="G389" s="0" t="n">
        <f aca="false">IF(OR($A$2=入户维修!$F389,$BN$2=1),0,2-SUMPRODUCT(--(($A$1:$A$2=入户维修!$F389)+$BN$1:$BN$2&gt;0)))</f>
        <v>1</v>
      </c>
      <c r="H389" s="0" t="n">
        <f aca="false">IF(OR($A$3=入户维修!$F389,$BN$3=1),0,3-SUMPRODUCT(--(($A$1:$A$3=入户维修!$F389)+$BN$1:$BN$3&gt;0)))</f>
        <v>2</v>
      </c>
      <c r="I389" s="0" t="n">
        <f aca="false">IF(OR($A$4=入户维修!$F389,$BN$4=1),0,4-SUMPRODUCT(--(($A$1:$A$4=入户维修!$F389)+$BN$1:$BN$4&gt;0)))</f>
        <v>3</v>
      </c>
      <c r="J389" s="0" t="n">
        <f aca="false">IF(OR($A$5=入户维修!$F389,$BN$5=1),0,5-SUMPRODUCT(--(($A$1:$A$5=入户维修!$F389)+$BN$1:$BN$5&gt;0)))</f>
        <v>4</v>
      </c>
      <c r="L389" s="0" t="str">
        <f aca="false">IFERROR(INDEX($A$1:$A$5,MATCH(1,$F389:$J389,0)),IF(1=MAX($F389:$J389)+1,"取消",""))</f>
        <v>李师傅</v>
      </c>
      <c r="M389" s="0" t="str">
        <f aca="false">IFERROR(INDEX($A$1:$A$5,MATCH(2,$F389:$J389,0)),IF(2=MAX($F389:$J389)+1,"取消",""))</f>
        <v>王师傅</v>
      </c>
      <c r="N389" s="0" t="str">
        <f aca="false">IFERROR(INDEX($A$1:$A$5,MATCH(3,$F389:$J389,0)),IF(3=MAX($F389:$J389)+1,"取消",""))</f>
        <v>陈师傅</v>
      </c>
      <c r="O389" s="0" t="str">
        <f aca="false">IFERROR(INDEX($A$1:$A$5,MATCH(4,$F389:$J389,0)),IF(4=MAX($F389:$J389)+1,"取消",""))</f>
        <v>刘师傅</v>
      </c>
      <c r="P389" s="0" t="str">
        <f aca="false">IFERROR(INDEX($A$1:$A$5,MATCH(5,$F389:$J389,0)),IF(5=MAX($F389:$J389)+1,"取消",""))</f>
        <v>取消</v>
      </c>
      <c r="Q389" s="0" t="str">
        <f aca="false">IFERROR(INDEX($A$1:$A$5,MATCH(6,$F389:$J389,0)),IF(6=MAX($F389:$J389)+1,"取消",""))</f>
        <v/>
      </c>
      <c r="S389" s="0" t="n">
        <f aca="false">IF(OR($A$1=入户维修!$F389,$A$1=入户维修!$G389,$BN$1=1),0,1-SUMPRODUCT(--(($A$1=入户维修!$F389)+($A$1=入户维修!$G389)+$BN$1&gt;0)))</f>
        <v>0</v>
      </c>
      <c r="T389" s="0" t="n">
        <f aca="false">IF(OR($A$2=入户维修!$F389,$A$2=入户维修!$G389,$BN$2=1),0,2-SUMPRODUCT(--(($A$1:$A$2=入户维修!$F389)+($A$1:$A$2=入户维修!$G389)+$BN$1:$BN$2&gt;0)))</f>
        <v>1</v>
      </c>
      <c r="U389" s="0" t="n">
        <f aca="false">IF(OR($A$3=入户维修!$F389,$A$3=入户维修!$G389,$BN$3=1),0,3-SUMPRODUCT(--(($A$1:$A$3=入户维修!$F389)+($A$1:$A$3=入户维修!$G389)+$BN$1:$BN$3&gt;0)))</f>
        <v>2</v>
      </c>
      <c r="V389" s="0" t="n">
        <f aca="false">IF(OR($A$4=入户维修!$F389,$A$4=入户维修!$G389,$BN$4=1),0,4-SUMPRODUCT(--(($A$1:$A$4=入户维修!$F389)+($A$1:$A$4=入户维修!$G389)+$BN$1:$BN$4&gt;0)))</f>
        <v>3</v>
      </c>
      <c r="W389" s="0" t="n">
        <f aca="false">IF(OR($A$5=入户维修!$F389,$A$5=入户维修!$G389,$BN$5=1),0,5-SUMPRODUCT(--(($A$1:$A$5=入户维修!$F389)+($A$1:$A$5=入户维修!$G389)+$BN$1:$BN$5&gt;0)))</f>
        <v>4</v>
      </c>
      <c r="Y389" s="0" t="str">
        <f aca="false">IFERROR(INDEX($A$1:$A$5,MATCH(1,$S389:$W389,0)),IF(1=MAX($S389:$W389)+1,"取消",""))</f>
        <v>李师傅</v>
      </c>
      <c r="Z389" s="0" t="str">
        <f aca="false">IFERROR(INDEX($A$1:$A$5,MATCH(2,$S389:$W389,0)),IF(2=MAX($S389:$W389)+1,"取消",""))</f>
        <v>王师傅</v>
      </c>
      <c r="AA389" s="0" t="str">
        <f aca="false">IFERROR(INDEX($A$1:$A$5,MATCH(3,$S389:$W389,0)),IF(3=MAX($S389:$W389)+1,"取消",""))</f>
        <v>陈师傅</v>
      </c>
      <c r="AB389" s="0" t="str">
        <f aca="false">IFERROR(INDEX($A$1:$A$5,MATCH(4,$S389:$W389,0)),IF(4=MAX($S389:$W389)+1,"取消",""))</f>
        <v>刘师傅</v>
      </c>
      <c r="AC389" s="0" t="str">
        <f aca="false">IFERROR(INDEX($A$1:$A$5,MATCH(5,$S389:$W389,0)),IF(5=MAX($S389:$W389)+1,"取消",""))</f>
        <v>取消</v>
      </c>
      <c r="AD389" s="0" t="str">
        <f aca="false">IFERROR(INDEX($A$1:$A$5,MATCH(6,$S389:$W389,0)),IF(6=MAX($S389:$W389)+1,"取消",""))</f>
        <v/>
      </c>
      <c r="AF389" s="0" t="n">
        <f aca="false">IF(OR($A$1=公区维修!$F389,$BN$1=1),0,1-SUMPRODUCT(--(($A$1=公区维修!$F389)+$BN$1&gt;0)))</f>
        <v>0</v>
      </c>
      <c r="AG389" s="0" t="n">
        <f aca="false">IF(OR($A$2=公区维修!$F389,$BN$2=1),0,2-SUMPRODUCT(--(($A$1:$A$2=公区维修!$F389)+$BN$1:$BN$2&gt;0)))</f>
        <v>1</v>
      </c>
      <c r="AH389" s="0" t="n">
        <f aca="false">IF(OR($A$3=公区维修!$F389,$BN$3=1),0,3-SUMPRODUCT(--(($A$1:$A$3=公区维修!$F389)+$BN$1:$BN$3&gt;0)))</f>
        <v>2</v>
      </c>
      <c r="AI389" s="0" t="n">
        <f aca="false">IF(OR($A$4=公区维修!$F389,$BN$4=1),0,4-SUMPRODUCT(--(($A$1:$A$4=公区维修!$F389)+$BN$1:$BN$4&gt;0)))</f>
        <v>3</v>
      </c>
      <c r="AJ389" s="0" t="n">
        <f aca="false">IF(OR($A$5=公区维修!$F389,$BN$5=1),0,5-SUMPRODUCT(--(($A$1:$A$5=公区维修!$F389)+$BN$1:$BN$5&gt;0)))</f>
        <v>4</v>
      </c>
      <c r="AL389" s="0" t="str">
        <f aca="false">IFERROR(INDEX($A$1:$A$5,MATCH(1,$AF389:$AJ389,0)),IF(1=MAX($AF389:$AJ389)+1,"取消",""))</f>
        <v>李师傅</v>
      </c>
      <c r="AM389" s="0" t="str">
        <f aca="false">IFERROR(INDEX($A$1:$A$5,MATCH(2,$AF389:$AJ389,0)),IF(2=MAX($AF389:$AJ389)+1,"取消",""))</f>
        <v>王师傅</v>
      </c>
      <c r="AN389" s="0" t="str">
        <f aca="false">IFERROR(INDEX($A$1:$A$5,MATCH(3,$AF389:$AJ389,0)),IF(3=MAX($AF389:$AJ389)+1,"取消",""))</f>
        <v>陈师傅</v>
      </c>
      <c r="AO389" s="0" t="str">
        <f aca="false">IFERROR(INDEX($A$1:$A$5,MATCH(4,$AF389:$AJ389,0)),IF(4=MAX($AF389:$AJ389)+1,"取消",""))</f>
        <v>刘师傅</v>
      </c>
      <c r="AP389" s="0" t="str">
        <f aca="false">IFERROR(INDEX($A$1:$A$5,MATCH(5,$AF389:$AJ389,0)),IF(5=MAX($AF389:$AJ389)+1,"取消",""))</f>
        <v>取消</v>
      </c>
      <c r="AQ389" s="0" t="str">
        <f aca="false">IFERROR(INDEX($A$1:$A$5,MATCH(6,$AF389:$AJ389,0)),IF(6=MAX($AF389:$AJ389)+1,"取消",""))</f>
        <v/>
      </c>
      <c r="AS389" s="0" t="n">
        <f aca="false">IF(OR($A$1=公区维修!$F389,$A$1=公区维修!$G389,$BN$1=1),0,1-SUMPRODUCT(--(($A$1=公区维修!$F389)+($A$1=公区维修!$G389)+$BN$1&gt;0)))</f>
        <v>0</v>
      </c>
      <c r="AT389" s="0" t="n">
        <f aca="false">IF(OR($A$2=公区维修!$F389,$A$2=公区维修!$G389,$BN$2=1),0,2-SUMPRODUCT(--(($A$1:$A$2=公区维修!$F389)+($A$1:$A$2=公区维修!$G389)+$BN$1:$BN$2&gt;0)))</f>
        <v>1</v>
      </c>
      <c r="AU389" s="0" t="n">
        <f aca="false">IF(OR($A$3=公区维修!$F389,$A$3=公区维修!$G389,$BN$3=1),0,3-SUMPRODUCT(--(($A$1:$A$3=公区维修!$F389)+($A$1:$A$3=公区维修!$G389)+$BN$1:$BN$3&gt;0)))</f>
        <v>2</v>
      </c>
      <c r="AV389" s="0" t="n">
        <f aca="false">IF(OR($A$4=公区维修!$F389,$A$4=公区维修!$G389,$BN$4=1),0,4-SUMPRODUCT(--(($A$1:$A$4=公区维修!$F389)+($A$1:$A$4=公区维修!$G389)+$BN$1:$BN$4&gt;0)))</f>
        <v>3</v>
      </c>
      <c r="AW389" s="0" t="n">
        <f aca="false">IF(OR($A$5=公区维修!$F389,$A$5=公区维修!$G389,$BN$5=1),0,5-SUMPRODUCT(--(($A$1:$A$5=公区维修!$F389)+($A$1:$A$5=公区维修!$G389)+$BN$1:$BN$5&gt;0)))</f>
        <v>4</v>
      </c>
      <c r="AY389" s="0" t="str">
        <f aca="false">IFERROR(INDEX($A$1:$A$5,MATCH(1,$AS389:$AW389,0)),IF(1=MAX($AS389:$AW389)+1,"取消",""))</f>
        <v>李师傅</v>
      </c>
      <c r="AZ389" s="0" t="str">
        <f aca="false">IFERROR(INDEX($A$1:$A$5,MATCH(2,$AS389:$AW389,0)),IF(2=MAX($AS389:$AW389)+1,"取消",""))</f>
        <v>王师傅</v>
      </c>
      <c r="BA389" s="0" t="str">
        <f aca="false">IFERROR(INDEX($A$1:$A$5,MATCH(3,$AS389:$AW389,0)),IF(3=MAX($AS389:$AW389)+1,"取消",""))</f>
        <v>陈师傅</v>
      </c>
      <c r="BB389" s="0" t="str">
        <f aca="false">IFERROR(INDEX($A$1:$A$5,MATCH(4,$AS389:$AW389,0)),IF(4=MAX($AS389:$AW389)+1,"取消",""))</f>
        <v>刘师傅</v>
      </c>
      <c r="BC389" s="0" t="str">
        <f aca="false">IFERROR(INDEX($A$1:$A$5,MATCH(5,$AS389:$AW389,0)),IF(5=MAX($AS389:$AW389)+1,"取消",""))</f>
        <v>取消</v>
      </c>
      <c r="BD389" s="0" t="str">
        <f aca="false">IFERROR(INDEX($A$1:$A$5,MATCH(6,$AS389:$AW389,0)),IF(6=MAX($AS389:$AW389)+1,"取消",""))</f>
        <v/>
      </c>
      <c r="FW389" s="0" t="str">
        <f aca="false">IF(AND(单元查询!$D$3&lt;&gt;"",IF(单元查询!$B$3="公区维修",公区维修!$E389&lt;&gt;"",入户维修!$E389&lt;&gt;""),IF(单元查询!$B$3="公区维修",公区维修!$C389,入户维修!$C389)=单元查询!$D$3,OR(单元查询!$F$3="",IF(单元查询!$B$3="公区维修",公区维修!$D389,入户维修!$D389)&amp;""=(单元查询!$F$3)&amp;"")),MAX($FW$4:$FW388)+1,"")</f>
        <v/>
      </c>
    </row>
    <row r="390" customFormat="false" ht="15" hidden="false" customHeight="true" outlineLevel="0" collapsed="false">
      <c r="F390" s="0" t="n">
        <f aca="false">IF(OR($A$1=入户维修!$F390,$BN$1=1),0,1-SUMPRODUCT(--(($A$1=入户维修!$F390)+$BN$1&gt;0)))</f>
        <v>0</v>
      </c>
      <c r="G390" s="0" t="n">
        <f aca="false">IF(OR($A$2=入户维修!$F390,$BN$2=1),0,2-SUMPRODUCT(--(($A$1:$A$2=入户维修!$F390)+$BN$1:$BN$2&gt;0)))</f>
        <v>1</v>
      </c>
      <c r="H390" s="0" t="n">
        <f aca="false">IF(OR($A$3=入户维修!$F390,$BN$3=1),0,3-SUMPRODUCT(--(($A$1:$A$3=入户维修!$F390)+$BN$1:$BN$3&gt;0)))</f>
        <v>2</v>
      </c>
      <c r="I390" s="0" t="n">
        <f aca="false">IF(OR($A$4=入户维修!$F390,$BN$4=1),0,4-SUMPRODUCT(--(($A$1:$A$4=入户维修!$F390)+$BN$1:$BN$4&gt;0)))</f>
        <v>3</v>
      </c>
      <c r="J390" s="0" t="n">
        <f aca="false">IF(OR($A$5=入户维修!$F390,$BN$5=1),0,5-SUMPRODUCT(--(($A$1:$A$5=入户维修!$F390)+$BN$1:$BN$5&gt;0)))</f>
        <v>4</v>
      </c>
      <c r="L390" s="0" t="str">
        <f aca="false">IFERROR(INDEX($A$1:$A$5,MATCH(1,$F390:$J390,0)),IF(1=MAX($F390:$J390)+1,"取消",""))</f>
        <v>李师傅</v>
      </c>
      <c r="M390" s="0" t="str">
        <f aca="false">IFERROR(INDEX($A$1:$A$5,MATCH(2,$F390:$J390,0)),IF(2=MAX($F390:$J390)+1,"取消",""))</f>
        <v>王师傅</v>
      </c>
      <c r="N390" s="0" t="str">
        <f aca="false">IFERROR(INDEX($A$1:$A$5,MATCH(3,$F390:$J390,0)),IF(3=MAX($F390:$J390)+1,"取消",""))</f>
        <v>陈师傅</v>
      </c>
      <c r="O390" s="0" t="str">
        <f aca="false">IFERROR(INDEX($A$1:$A$5,MATCH(4,$F390:$J390,0)),IF(4=MAX($F390:$J390)+1,"取消",""))</f>
        <v>刘师傅</v>
      </c>
      <c r="P390" s="0" t="str">
        <f aca="false">IFERROR(INDEX($A$1:$A$5,MATCH(5,$F390:$J390,0)),IF(5=MAX($F390:$J390)+1,"取消",""))</f>
        <v>取消</v>
      </c>
      <c r="Q390" s="0" t="str">
        <f aca="false">IFERROR(INDEX($A$1:$A$5,MATCH(6,$F390:$J390,0)),IF(6=MAX($F390:$J390)+1,"取消",""))</f>
        <v/>
      </c>
      <c r="S390" s="0" t="n">
        <f aca="false">IF(OR($A$1=入户维修!$F390,$A$1=入户维修!$G390,$BN$1=1),0,1-SUMPRODUCT(--(($A$1=入户维修!$F390)+($A$1=入户维修!$G390)+$BN$1&gt;0)))</f>
        <v>0</v>
      </c>
      <c r="T390" s="0" t="n">
        <f aca="false">IF(OR($A$2=入户维修!$F390,$A$2=入户维修!$G390,$BN$2=1),0,2-SUMPRODUCT(--(($A$1:$A$2=入户维修!$F390)+($A$1:$A$2=入户维修!$G390)+$BN$1:$BN$2&gt;0)))</f>
        <v>1</v>
      </c>
      <c r="U390" s="0" t="n">
        <f aca="false">IF(OR($A$3=入户维修!$F390,$A$3=入户维修!$G390,$BN$3=1),0,3-SUMPRODUCT(--(($A$1:$A$3=入户维修!$F390)+($A$1:$A$3=入户维修!$G390)+$BN$1:$BN$3&gt;0)))</f>
        <v>2</v>
      </c>
      <c r="V390" s="0" t="n">
        <f aca="false">IF(OR($A$4=入户维修!$F390,$A$4=入户维修!$G390,$BN$4=1),0,4-SUMPRODUCT(--(($A$1:$A$4=入户维修!$F390)+($A$1:$A$4=入户维修!$G390)+$BN$1:$BN$4&gt;0)))</f>
        <v>3</v>
      </c>
      <c r="W390" s="0" t="n">
        <f aca="false">IF(OR($A$5=入户维修!$F390,$A$5=入户维修!$G390,$BN$5=1),0,5-SUMPRODUCT(--(($A$1:$A$5=入户维修!$F390)+($A$1:$A$5=入户维修!$G390)+$BN$1:$BN$5&gt;0)))</f>
        <v>4</v>
      </c>
      <c r="Y390" s="0" t="str">
        <f aca="false">IFERROR(INDEX($A$1:$A$5,MATCH(1,$S390:$W390,0)),IF(1=MAX($S390:$W390)+1,"取消",""))</f>
        <v>李师傅</v>
      </c>
      <c r="Z390" s="0" t="str">
        <f aca="false">IFERROR(INDEX($A$1:$A$5,MATCH(2,$S390:$W390,0)),IF(2=MAX($S390:$W390)+1,"取消",""))</f>
        <v>王师傅</v>
      </c>
      <c r="AA390" s="0" t="str">
        <f aca="false">IFERROR(INDEX($A$1:$A$5,MATCH(3,$S390:$W390,0)),IF(3=MAX($S390:$W390)+1,"取消",""))</f>
        <v>陈师傅</v>
      </c>
      <c r="AB390" s="0" t="str">
        <f aca="false">IFERROR(INDEX($A$1:$A$5,MATCH(4,$S390:$W390,0)),IF(4=MAX($S390:$W390)+1,"取消",""))</f>
        <v>刘师傅</v>
      </c>
      <c r="AC390" s="0" t="str">
        <f aca="false">IFERROR(INDEX($A$1:$A$5,MATCH(5,$S390:$W390,0)),IF(5=MAX($S390:$W390)+1,"取消",""))</f>
        <v>取消</v>
      </c>
      <c r="AD390" s="0" t="str">
        <f aca="false">IFERROR(INDEX($A$1:$A$5,MATCH(6,$S390:$W390,0)),IF(6=MAX($S390:$W390)+1,"取消",""))</f>
        <v/>
      </c>
      <c r="AF390" s="0" t="n">
        <f aca="false">IF(OR($A$1=公区维修!$F390,$BN$1=1),0,1-SUMPRODUCT(--(($A$1=公区维修!$F390)+$BN$1&gt;0)))</f>
        <v>0</v>
      </c>
      <c r="AG390" s="0" t="n">
        <f aca="false">IF(OR($A$2=公区维修!$F390,$BN$2=1),0,2-SUMPRODUCT(--(($A$1:$A$2=公区维修!$F390)+$BN$1:$BN$2&gt;0)))</f>
        <v>1</v>
      </c>
      <c r="AH390" s="0" t="n">
        <f aca="false">IF(OR($A$3=公区维修!$F390,$BN$3=1),0,3-SUMPRODUCT(--(($A$1:$A$3=公区维修!$F390)+$BN$1:$BN$3&gt;0)))</f>
        <v>2</v>
      </c>
      <c r="AI390" s="0" t="n">
        <f aca="false">IF(OR($A$4=公区维修!$F390,$BN$4=1),0,4-SUMPRODUCT(--(($A$1:$A$4=公区维修!$F390)+$BN$1:$BN$4&gt;0)))</f>
        <v>3</v>
      </c>
      <c r="AJ390" s="0" t="n">
        <f aca="false">IF(OR($A$5=公区维修!$F390,$BN$5=1),0,5-SUMPRODUCT(--(($A$1:$A$5=公区维修!$F390)+$BN$1:$BN$5&gt;0)))</f>
        <v>4</v>
      </c>
      <c r="AL390" s="0" t="str">
        <f aca="false">IFERROR(INDEX($A$1:$A$5,MATCH(1,$AF390:$AJ390,0)),IF(1=MAX($AF390:$AJ390)+1,"取消",""))</f>
        <v>李师傅</v>
      </c>
      <c r="AM390" s="0" t="str">
        <f aca="false">IFERROR(INDEX($A$1:$A$5,MATCH(2,$AF390:$AJ390,0)),IF(2=MAX($AF390:$AJ390)+1,"取消",""))</f>
        <v>王师傅</v>
      </c>
      <c r="AN390" s="0" t="str">
        <f aca="false">IFERROR(INDEX($A$1:$A$5,MATCH(3,$AF390:$AJ390,0)),IF(3=MAX($AF390:$AJ390)+1,"取消",""))</f>
        <v>陈师傅</v>
      </c>
      <c r="AO390" s="0" t="str">
        <f aca="false">IFERROR(INDEX($A$1:$A$5,MATCH(4,$AF390:$AJ390,0)),IF(4=MAX($AF390:$AJ390)+1,"取消",""))</f>
        <v>刘师傅</v>
      </c>
      <c r="AP390" s="0" t="str">
        <f aca="false">IFERROR(INDEX($A$1:$A$5,MATCH(5,$AF390:$AJ390,0)),IF(5=MAX($AF390:$AJ390)+1,"取消",""))</f>
        <v>取消</v>
      </c>
      <c r="AQ390" s="0" t="str">
        <f aca="false">IFERROR(INDEX($A$1:$A$5,MATCH(6,$AF390:$AJ390,0)),IF(6=MAX($AF390:$AJ390)+1,"取消",""))</f>
        <v/>
      </c>
      <c r="AS390" s="0" t="n">
        <f aca="false">IF(OR($A$1=公区维修!$F390,$A$1=公区维修!$G390,$BN$1=1),0,1-SUMPRODUCT(--(($A$1=公区维修!$F390)+($A$1=公区维修!$G390)+$BN$1&gt;0)))</f>
        <v>0</v>
      </c>
      <c r="AT390" s="0" t="n">
        <f aca="false">IF(OR($A$2=公区维修!$F390,$A$2=公区维修!$G390,$BN$2=1),0,2-SUMPRODUCT(--(($A$1:$A$2=公区维修!$F390)+($A$1:$A$2=公区维修!$G390)+$BN$1:$BN$2&gt;0)))</f>
        <v>1</v>
      </c>
      <c r="AU390" s="0" t="n">
        <f aca="false">IF(OR($A$3=公区维修!$F390,$A$3=公区维修!$G390,$BN$3=1),0,3-SUMPRODUCT(--(($A$1:$A$3=公区维修!$F390)+($A$1:$A$3=公区维修!$G390)+$BN$1:$BN$3&gt;0)))</f>
        <v>2</v>
      </c>
      <c r="AV390" s="0" t="n">
        <f aca="false">IF(OR($A$4=公区维修!$F390,$A$4=公区维修!$G390,$BN$4=1),0,4-SUMPRODUCT(--(($A$1:$A$4=公区维修!$F390)+($A$1:$A$4=公区维修!$G390)+$BN$1:$BN$4&gt;0)))</f>
        <v>3</v>
      </c>
      <c r="AW390" s="0" t="n">
        <f aca="false">IF(OR($A$5=公区维修!$F390,$A$5=公区维修!$G390,$BN$5=1),0,5-SUMPRODUCT(--(($A$1:$A$5=公区维修!$F390)+($A$1:$A$5=公区维修!$G390)+$BN$1:$BN$5&gt;0)))</f>
        <v>4</v>
      </c>
      <c r="AY390" s="0" t="str">
        <f aca="false">IFERROR(INDEX($A$1:$A$5,MATCH(1,$AS390:$AW390,0)),IF(1=MAX($AS390:$AW390)+1,"取消",""))</f>
        <v>李师傅</v>
      </c>
      <c r="AZ390" s="0" t="str">
        <f aca="false">IFERROR(INDEX($A$1:$A$5,MATCH(2,$AS390:$AW390,0)),IF(2=MAX($AS390:$AW390)+1,"取消",""))</f>
        <v>王师傅</v>
      </c>
      <c r="BA390" s="0" t="str">
        <f aca="false">IFERROR(INDEX($A$1:$A$5,MATCH(3,$AS390:$AW390,0)),IF(3=MAX($AS390:$AW390)+1,"取消",""))</f>
        <v>陈师傅</v>
      </c>
      <c r="BB390" s="0" t="str">
        <f aca="false">IFERROR(INDEX($A$1:$A$5,MATCH(4,$AS390:$AW390,0)),IF(4=MAX($AS390:$AW390)+1,"取消",""))</f>
        <v>刘师傅</v>
      </c>
      <c r="BC390" s="0" t="str">
        <f aca="false">IFERROR(INDEX($A$1:$A$5,MATCH(5,$AS390:$AW390,0)),IF(5=MAX($AS390:$AW390)+1,"取消",""))</f>
        <v>取消</v>
      </c>
      <c r="BD390" s="0" t="str">
        <f aca="false">IFERROR(INDEX($A$1:$A$5,MATCH(6,$AS390:$AW390,0)),IF(6=MAX($AS390:$AW390)+1,"取消",""))</f>
        <v/>
      </c>
      <c r="FW390" s="0" t="str">
        <f aca="false">IF(AND(单元查询!$D$3&lt;&gt;"",IF(单元查询!$B$3="公区维修",公区维修!$E390&lt;&gt;"",入户维修!$E390&lt;&gt;""),IF(单元查询!$B$3="公区维修",公区维修!$C390,入户维修!$C390)=单元查询!$D$3,OR(单元查询!$F$3="",IF(单元查询!$B$3="公区维修",公区维修!$D390,入户维修!$D390)&amp;""=(单元查询!$F$3)&amp;"")),MAX($FW$4:$FW389)+1,"")</f>
        <v/>
      </c>
    </row>
    <row r="391" customFormat="false" ht="15" hidden="false" customHeight="true" outlineLevel="0" collapsed="false">
      <c r="F391" s="0" t="n">
        <f aca="false">IF(OR($A$1=入户维修!$F391,$BN$1=1),0,1-SUMPRODUCT(--(($A$1=入户维修!$F391)+$BN$1&gt;0)))</f>
        <v>0</v>
      </c>
      <c r="G391" s="0" t="n">
        <f aca="false">IF(OR($A$2=入户维修!$F391,$BN$2=1),0,2-SUMPRODUCT(--(($A$1:$A$2=入户维修!$F391)+$BN$1:$BN$2&gt;0)))</f>
        <v>1</v>
      </c>
      <c r="H391" s="0" t="n">
        <f aca="false">IF(OR($A$3=入户维修!$F391,$BN$3=1),0,3-SUMPRODUCT(--(($A$1:$A$3=入户维修!$F391)+$BN$1:$BN$3&gt;0)))</f>
        <v>2</v>
      </c>
      <c r="I391" s="0" t="n">
        <f aca="false">IF(OR($A$4=入户维修!$F391,$BN$4=1),0,4-SUMPRODUCT(--(($A$1:$A$4=入户维修!$F391)+$BN$1:$BN$4&gt;0)))</f>
        <v>3</v>
      </c>
      <c r="J391" s="0" t="n">
        <f aca="false">IF(OR($A$5=入户维修!$F391,$BN$5=1),0,5-SUMPRODUCT(--(($A$1:$A$5=入户维修!$F391)+$BN$1:$BN$5&gt;0)))</f>
        <v>4</v>
      </c>
      <c r="L391" s="0" t="str">
        <f aca="false">IFERROR(INDEX($A$1:$A$5,MATCH(1,$F391:$J391,0)),IF(1=MAX($F391:$J391)+1,"取消",""))</f>
        <v>李师傅</v>
      </c>
      <c r="M391" s="0" t="str">
        <f aca="false">IFERROR(INDEX($A$1:$A$5,MATCH(2,$F391:$J391,0)),IF(2=MAX($F391:$J391)+1,"取消",""))</f>
        <v>王师傅</v>
      </c>
      <c r="N391" s="0" t="str">
        <f aca="false">IFERROR(INDEX($A$1:$A$5,MATCH(3,$F391:$J391,0)),IF(3=MAX($F391:$J391)+1,"取消",""))</f>
        <v>陈师傅</v>
      </c>
      <c r="O391" s="0" t="str">
        <f aca="false">IFERROR(INDEX($A$1:$A$5,MATCH(4,$F391:$J391,0)),IF(4=MAX($F391:$J391)+1,"取消",""))</f>
        <v>刘师傅</v>
      </c>
      <c r="P391" s="0" t="str">
        <f aca="false">IFERROR(INDEX($A$1:$A$5,MATCH(5,$F391:$J391,0)),IF(5=MAX($F391:$J391)+1,"取消",""))</f>
        <v>取消</v>
      </c>
      <c r="Q391" s="0" t="str">
        <f aca="false">IFERROR(INDEX($A$1:$A$5,MATCH(6,$F391:$J391,0)),IF(6=MAX($F391:$J391)+1,"取消",""))</f>
        <v/>
      </c>
      <c r="S391" s="0" t="n">
        <f aca="false">IF(OR($A$1=入户维修!$F391,$A$1=入户维修!$G391,$BN$1=1),0,1-SUMPRODUCT(--(($A$1=入户维修!$F391)+($A$1=入户维修!$G391)+$BN$1&gt;0)))</f>
        <v>0</v>
      </c>
      <c r="T391" s="0" t="n">
        <f aca="false">IF(OR($A$2=入户维修!$F391,$A$2=入户维修!$G391,$BN$2=1),0,2-SUMPRODUCT(--(($A$1:$A$2=入户维修!$F391)+($A$1:$A$2=入户维修!$G391)+$BN$1:$BN$2&gt;0)))</f>
        <v>1</v>
      </c>
      <c r="U391" s="0" t="n">
        <f aca="false">IF(OR($A$3=入户维修!$F391,$A$3=入户维修!$G391,$BN$3=1),0,3-SUMPRODUCT(--(($A$1:$A$3=入户维修!$F391)+($A$1:$A$3=入户维修!$G391)+$BN$1:$BN$3&gt;0)))</f>
        <v>2</v>
      </c>
      <c r="V391" s="0" t="n">
        <f aca="false">IF(OR($A$4=入户维修!$F391,$A$4=入户维修!$G391,$BN$4=1),0,4-SUMPRODUCT(--(($A$1:$A$4=入户维修!$F391)+($A$1:$A$4=入户维修!$G391)+$BN$1:$BN$4&gt;0)))</f>
        <v>3</v>
      </c>
      <c r="W391" s="0" t="n">
        <f aca="false">IF(OR($A$5=入户维修!$F391,$A$5=入户维修!$G391,$BN$5=1),0,5-SUMPRODUCT(--(($A$1:$A$5=入户维修!$F391)+($A$1:$A$5=入户维修!$G391)+$BN$1:$BN$5&gt;0)))</f>
        <v>4</v>
      </c>
      <c r="Y391" s="0" t="str">
        <f aca="false">IFERROR(INDEX($A$1:$A$5,MATCH(1,$S391:$W391,0)),IF(1=MAX($S391:$W391)+1,"取消",""))</f>
        <v>李师傅</v>
      </c>
      <c r="Z391" s="0" t="str">
        <f aca="false">IFERROR(INDEX($A$1:$A$5,MATCH(2,$S391:$W391,0)),IF(2=MAX($S391:$W391)+1,"取消",""))</f>
        <v>王师傅</v>
      </c>
      <c r="AA391" s="0" t="str">
        <f aca="false">IFERROR(INDEX($A$1:$A$5,MATCH(3,$S391:$W391,0)),IF(3=MAX($S391:$W391)+1,"取消",""))</f>
        <v>陈师傅</v>
      </c>
      <c r="AB391" s="0" t="str">
        <f aca="false">IFERROR(INDEX($A$1:$A$5,MATCH(4,$S391:$W391,0)),IF(4=MAX($S391:$W391)+1,"取消",""))</f>
        <v>刘师傅</v>
      </c>
      <c r="AC391" s="0" t="str">
        <f aca="false">IFERROR(INDEX($A$1:$A$5,MATCH(5,$S391:$W391,0)),IF(5=MAX($S391:$W391)+1,"取消",""))</f>
        <v>取消</v>
      </c>
      <c r="AD391" s="0" t="str">
        <f aca="false">IFERROR(INDEX($A$1:$A$5,MATCH(6,$S391:$W391,0)),IF(6=MAX($S391:$W391)+1,"取消",""))</f>
        <v/>
      </c>
      <c r="AF391" s="0" t="n">
        <f aca="false">IF(OR($A$1=公区维修!$F391,$BN$1=1),0,1-SUMPRODUCT(--(($A$1=公区维修!$F391)+$BN$1&gt;0)))</f>
        <v>0</v>
      </c>
      <c r="AG391" s="0" t="n">
        <f aca="false">IF(OR($A$2=公区维修!$F391,$BN$2=1),0,2-SUMPRODUCT(--(($A$1:$A$2=公区维修!$F391)+$BN$1:$BN$2&gt;0)))</f>
        <v>1</v>
      </c>
      <c r="AH391" s="0" t="n">
        <f aca="false">IF(OR($A$3=公区维修!$F391,$BN$3=1),0,3-SUMPRODUCT(--(($A$1:$A$3=公区维修!$F391)+$BN$1:$BN$3&gt;0)))</f>
        <v>2</v>
      </c>
      <c r="AI391" s="0" t="n">
        <f aca="false">IF(OR($A$4=公区维修!$F391,$BN$4=1),0,4-SUMPRODUCT(--(($A$1:$A$4=公区维修!$F391)+$BN$1:$BN$4&gt;0)))</f>
        <v>3</v>
      </c>
      <c r="AJ391" s="0" t="n">
        <f aca="false">IF(OR($A$5=公区维修!$F391,$BN$5=1),0,5-SUMPRODUCT(--(($A$1:$A$5=公区维修!$F391)+$BN$1:$BN$5&gt;0)))</f>
        <v>4</v>
      </c>
      <c r="AL391" s="0" t="str">
        <f aca="false">IFERROR(INDEX($A$1:$A$5,MATCH(1,$AF391:$AJ391,0)),IF(1=MAX($AF391:$AJ391)+1,"取消",""))</f>
        <v>李师傅</v>
      </c>
      <c r="AM391" s="0" t="str">
        <f aca="false">IFERROR(INDEX($A$1:$A$5,MATCH(2,$AF391:$AJ391,0)),IF(2=MAX($AF391:$AJ391)+1,"取消",""))</f>
        <v>王师傅</v>
      </c>
      <c r="AN391" s="0" t="str">
        <f aca="false">IFERROR(INDEX($A$1:$A$5,MATCH(3,$AF391:$AJ391,0)),IF(3=MAX($AF391:$AJ391)+1,"取消",""))</f>
        <v>陈师傅</v>
      </c>
      <c r="AO391" s="0" t="str">
        <f aca="false">IFERROR(INDEX($A$1:$A$5,MATCH(4,$AF391:$AJ391,0)),IF(4=MAX($AF391:$AJ391)+1,"取消",""))</f>
        <v>刘师傅</v>
      </c>
      <c r="AP391" s="0" t="str">
        <f aca="false">IFERROR(INDEX($A$1:$A$5,MATCH(5,$AF391:$AJ391,0)),IF(5=MAX($AF391:$AJ391)+1,"取消",""))</f>
        <v>取消</v>
      </c>
      <c r="AQ391" s="0" t="str">
        <f aca="false">IFERROR(INDEX($A$1:$A$5,MATCH(6,$AF391:$AJ391,0)),IF(6=MAX($AF391:$AJ391)+1,"取消",""))</f>
        <v/>
      </c>
      <c r="AS391" s="0" t="n">
        <f aca="false">IF(OR($A$1=公区维修!$F391,$A$1=公区维修!$G391,$BN$1=1),0,1-SUMPRODUCT(--(($A$1=公区维修!$F391)+($A$1=公区维修!$G391)+$BN$1&gt;0)))</f>
        <v>0</v>
      </c>
      <c r="AT391" s="0" t="n">
        <f aca="false">IF(OR($A$2=公区维修!$F391,$A$2=公区维修!$G391,$BN$2=1),0,2-SUMPRODUCT(--(($A$1:$A$2=公区维修!$F391)+($A$1:$A$2=公区维修!$G391)+$BN$1:$BN$2&gt;0)))</f>
        <v>1</v>
      </c>
      <c r="AU391" s="0" t="n">
        <f aca="false">IF(OR($A$3=公区维修!$F391,$A$3=公区维修!$G391,$BN$3=1),0,3-SUMPRODUCT(--(($A$1:$A$3=公区维修!$F391)+($A$1:$A$3=公区维修!$G391)+$BN$1:$BN$3&gt;0)))</f>
        <v>2</v>
      </c>
      <c r="AV391" s="0" t="n">
        <f aca="false">IF(OR($A$4=公区维修!$F391,$A$4=公区维修!$G391,$BN$4=1),0,4-SUMPRODUCT(--(($A$1:$A$4=公区维修!$F391)+($A$1:$A$4=公区维修!$G391)+$BN$1:$BN$4&gt;0)))</f>
        <v>3</v>
      </c>
      <c r="AW391" s="0" t="n">
        <f aca="false">IF(OR($A$5=公区维修!$F391,$A$5=公区维修!$G391,$BN$5=1),0,5-SUMPRODUCT(--(($A$1:$A$5=公区维修!$F391)+($A$1:$A$5=公区维修!$G391)+$BN$1:$BN$5&gt;0)))</f>
        <v>4</v>
      </c>
      <c r="AY391" s="0" t="str">
        <f aca="false">IFERROR(INDEX($A$1:$A$5,MATCH(1,$AS391:$AW391,0)),IF(1=MAX($AS391:$AW391)+1,"取消",""))</f>
        <v>李师傅</v>
      </c>
      <c r="AZ391" s="0" t="str">
        <f aca="false">IFERROR(INDEX($A$1:$A$5,MATCH(2,$AS391:$AW391,0)),IF(2=MAX($AS391:$AW391)+1,"取消",""))</f>
        <v>王师傅</v>
      </c>
      <c r="BA391" s="0" t="str">
        <f aca="false">IFERROR(INDEX($A$1:$A$5,MATCH(3,$AS391:$AW391,0)),IF(3=MAX($AS391:$AW391)+1,"取消",""))</f>
        <v>陈师傅</v>
      </c>
      <c r="BB391" s="0" t="str">
        <f aca="false">IFERROR(INDEX($A$1:$A$5,MATCH(4,$AS391:$AW391,0)),IF(4=MAX($AS391:$AW391)+1,"取消",""))</f>
        <v>刘师傅</v>
      </c>
      <c r="BC391" s="0" t="str">
        <f aca="false">IFERROR(INDEX($A$1:$A$5,MATCH(5,$AS391:$AW391,0)),IF(5=MAX($AS391:$AW391)+1,"取消",""))</f>
        <v>取消</v>
      </c>
      <c r="BD391" s="0" t="str">
        <f aca="false">IFERROR(INDEX($A$1:$A$5,MATCH(6,$AS391:$AW391,0)),IF(6=MAX($AS391:$AW391)+1,"取消",""))</f>
        <v/>
      </c>
      <c r="FW391" s="0" t="str">
        <f aca="false">IF(AND(单元查询!$D$3&lt;&gt;"",IF(单元查询!$B$3="公区维修",公区维修!$E391&lt;&gt;"",入户维修!$E391&lt;&gt;""),IF(单元查询!$B$3="公区维修",公区维修!$C391,入户维修!$C391)=单元查询!$D$3,OR(单元查询!$F$3="",IF(单元查询!$B$3="公区维修",公区维修!$D391,入户维修!$D391)&amp;""=(单元查询!$F$3)&amp;"")),MAX($FW$4:$FW390)+1,"")</f>
        <v/>
      </c>
    </row>
    <row r="392" customFormat="false" ht="15" hidden="false" customHeight="true" outlineLevel="0" collapsed="false">
      <c r="F392" s="0" t="n">
        <f aca="false">IF(OR($A$1=入户维修!$F392,$BN$1=1),0,1-SUMPRODUCT(--(($A$1=入户维修!$F392)+$BN$1&gt;0)))</f>
        <v>0</v>
      </c>
      <c r="G392" s="0" t="n">
        <f aca="false">IF(OR($A$2=入户维修!$F392,$BN$2=1),0,2-SUMPRODUCT(--(($A$1:$A$2=入户维修!$F392)+$BN$1:$BN$2&gt;0)))</f>
        <v>1</v>
      </c>
      <c r="H392" s="0" t="n">
        <f aca="false">IF(OR($A$3=入户维修!$F392,$BN$3=1),0,3-SUMPRODUCT(--(($A$1:$A$3=入户维修!$F392)+$BN$1:$BN$3&gt;0)))</f>
        <v>2</v>
      </c>
      <c r="I392" s="0" t="n">
        <f aca="false">IF(OR($A$4=入户维修!$F392,$BN$4=1),0,4-SUMPRODUCT(--(($A$1:$A$4=入户维修!$F392)+$BN$1:$BN$4&gt;0)))</f>
        <v>3</v>
      </c>
      <c r="J392" s="0" t="n">
        <f aca="false">IF(OR($A$5=入户维修!$F392,$BN$5=1),0,5-SUMPRODUCT(--(($A$1:$A$5=入户维修!$F392)+$BN$1:$BN$5&gt;0)))</f>
        <v>4</v>
      </c>
      <c r="L392" s="0" t="str">
        <f aca="false">IFERROR(INDEX($A$1:$A$5,MATCH(1,$F392:$J392,0)),IF(1=MAX($F392:$J392)+1,"取消",""))</f>
        <v>李师傅</v>
      </c>
      <c r="M392" s="0" t="str">
        <f aca="false">IFERROR(INDEX($A$1:$A$5,MATCH(2,$F392:$J392,0)),IF(2=MAX($F392:$J392)+1,"取消",""))</f>
        <v>王师傅</v>
      </c>
      <c r="N392" s="0" t="str">
        <f aca="false">IFERROR(INDEX($A$1:$A$5,MATCH(3,$F392:$J392,0)),IF(3=MAX($F392:$J392)+1,"取消",""))</f>
        <v>陈师傅</v>
      </c>
      <c r="O392" s="0" t="str">
        <f aca="false">IFERROR(INDEX($A$1:$A$5,MATCH(4,$F392:$J392,0)),IF(4=MAX($F392:$J392)+1,"取消",""))</f>
        <v>刘师傅</v>
      </c>
      <c r="P392" s="0" t="str">
        <f aca="false">IFERROR(INDEX($A$1:$A$5,MATCH(5,$F392:$J392,0)),IF(5=MAX($F392:$J392)+1,"取消",""))</f>
        <v>取消</v>
      </c>
      <c r="Q392" s="0" t="str">
        <f aca="false">IFERROR(INDEX($A$1:$A$5,MATCH(6,$F392:$J392,0)),IF(6=MAX($F392:$J392)+1,"取消",""))</f>
        <v/>
      </c>
      <c r="S392" s="0" t="n">
        <f aca="false">IF(OR($A$1=入户维修!$F392,$A$1=入户维修!$G392,$BN$1=1),0,1-SUMPRODUCT(--(($A$1=入户维修!$F392)+($A$1=入户维修!$G392)+$BN$1&gt;0)))</f>
        <v>0</v>
      </c>
      <c r="T392" s="0" t="n">
        <f aca="false">IF(OR($A$2=入户维修!$F392,$A$2=入户维修!$G392,$BN$2=1),0,2-SUMPRODUCT(--(($A$1:$A$2=入户维修!$F392)+($A$1:$A$2=入户维修!$G392)+$BN$1:$BN$2&gt;0)))</f>
        <v>1</v>
      </c>
      <c r="U392" s="0" t="n">
        <f aca="false">IF(OR($A$3=入户维修!$F392,$A$3=入户维修!$G392,$BN$3=1),0,3-SUMPRODUCT(--(($A$1:$A$3=入户维修!$F392)+($A$1:$A$3=入户维修!$G392)+$BN$1:$BN$3&gt;0)))</f>
        <v>2</v>
      </c>
      <c r="V392" s="0" t="n">
        <f aca="false">IF(OR($A$4=入户维修!$F392,$A$4=入户维修!$G392,$BN$4=1),0,4-SUMPRODUCT(--(($A$1:$A$4=入户维修!$F392)+($A$1:$A$4=入户维修!$G392)+$BN$1:$BN$4&gt;0)))</f>
        <v>3</v>
      </c>
      <c r="W392" s="0" t="n">
        <f aca="false">IF(OR($A$5=入户维修!$F392,$A$5=入户维修!$G392,$BN$5=1),0,5-SUMPRODUCT(--(($A$1:$A$5=入户维修!$F392)+($A$1:$A$5=入户维修!$G392)+$BN$1:$BN$5&gt;0)))</f>
        <v>4</v>
      </c>
      <c r="Y392" s="0" t="str">
        <f aca="false">IFERROR(INDEX($A$1:$A$5,MATCH(1,$S392:$W392,0)),IF(1=MAX($S392:$W392)+1,"取消",""))</f>
        <v>李师傅</v>
      </c>
      <c r="Z392" s="0" t="str">
        <f aca="false">IFERROR(INDEX($A$1:$A$5,MATCH(2,$S392:$W392,0)),IF(2=MAX($S392:$W392)+1,"取消",""))</f>
        <v>王师傅</v>
      </c>
      <c r="AA392" s="0" t="str">
        <f aca="false">IFERROR(INDEX($A$1:$A$5,MATCH(3,$S392:$W392,0)),IF(3=MAX($S392:$W392)+1,"取消",""))</f>
        <v>陈师傅</v>
      </c>
      <c r="AB392" s="0" t="str">
        <f aca="false">IFERROR(INDEX($A$1:$A$5,MATCH(4,$S392:$W392,0)),IF(4=MAX($S392:$W392)+1,"取消",""))</f>
        <v>刘师傅</v>
      </c>
      <c r="AC392" s="0" t="str">
        <f aca="false">IFERROR(INDEX($A$1:$A$5,MATCH(5,$S392:$W392,0)),IF(5=MAX($S392:$W392)+1,"取消",""))</f>
        <v>取消</v>
      </c>
      <c r="AD392" s="0" t="str">
        <f aca="false">IFERROR(INDEX($A$1:$A$5,MATCH(6,$S392:$W392,0)),IF(6=MAX($S392:$W392)+1,"取消",""))</f>
        <v/>
      </c>
      <c r="AF392" s="0" t="n">
        <f aca="false">IF(OR($A$1=公区维修!$F392,$BN$1=1),0,1-SUMPRODUCT(--(($A$1=公区维修!$F392)+$BN$1&gt;0)))</f>
        <v>0</v>
      </c>
      <c r="AG392" s="0" t="n">
        <f aca="false">IF(OR($A$2=公区维修!$F392,$BN$2=1),0,2-SUMPRODUCT(--(($A$1:$A$2=公区维修!$F392)+$BN$1:$BN$2&gt;0)))</f>
        <v>1</v>
      </c>
      <c r="AH392" s="0" t="n">
        <f aca="false">IF(OR($A$3=公区维修!$F392,$BN$3=1),0,3-SUMPRODUCT(--(($A$1:$A$3=公区维修!$F392)+$BN$1:$BN$3&gt;0)))</f>
        <v>2</v>
      </c>
      <c r="AI392" s="0" t="n">
        <f aca="false">IF(OR($A$4=公区维修!$F392,$BN$4=1),0,4-SUMPRODUCT(--(($A$1:$A$4=公区维修!$F392)+$BN$1:$BN$4&gt;0)))</f>
        <v>3</v>
      </c>
      <c r="AJ392" s="0" t="n">
        <f aca="false">IF(OR($A$5=公区维修!$F392,$BN$5=1),0,5-SUMPRODUCT(--(($A$1:$A$5=公区维修!$F392)+$BN$1:$BN$5&gt;0)))</f>
        <v>4</v>
      </c>
      <c r="AL392" s="0" t="str">
        <f aca="false">IFERROR(INDEX($A$1:$A$5,MATCH(1,$AF392:$AJ392,0)),IF(1=MAX($AF392:$AJ392)+1,"取消",""))</f>
        <v>李师傅</v>
      </c>
      <c r="AM392" s="0" t="str">
        <f aca="false">IFERROR(INDEX($A$1:$A$5,MATCH(2,$AF392:$AJ392,0)),IF(2=MAX($AF392:$AJ392)+1,"取消",""))</f>
        <v>王师傅</v>
      </c>
      <c r="AN392" s="0" t="str">
        <f aca="false">IFERROR(INDEX($A$1:$A$5,MATCH(3,$AF392:$AJ392,0)),IF(3=MAX($AF392:$AJ392)+1,"取消",""))</f>
        <v>陈师傅</v>
      </c>
      <c r="AO392" s="0" t="str">
        <f aca="false">IFERROR(INDEX($A$1:$A$5,MATCH(4,$AF392:$AJ392,0)),IF(4=MAX($AF392:$AJ392)+1,"取消",""))</f>
        <v>刘师傅</v>
      </c>
      <c r="AP392" s="0" t="str">
        <f aca="false">IFERROR(INDEX($A$1:$A$5,MATCH(5,$AF392:$AJ392,0)),IF(5=MAX($AF392:$AJ392)+1,"取消",""))</f>
        <v>取消</v>
      </c>
      <c r="AQ392" s="0" t="str">
        <f aca="false">IFERROR(INDEX($A$1:$A$5,MATCH(6,$AF392:$AJ392,0)),IF(6=MAX($AF392:$AJ392)+1,"取消",""))</f>
        <v/>
      </c>
      <c r="AS392" s="0" t="n">
        <f aca="false">IF(OR($A$1=公区维修!$F392,$A$1=公区维修!$G392,$BN$1=1),0,1-SUMPRODUCT(--(($A$1=公区维修!$F392)+($A$1=公区维修!$G392)+$BN$1&gt;0)))</f>
        <v>0</v>
      </c>
      <c r="AT392" s="0" t="n">
        <f aca="false">IF(OR($A$2=公区维修!$F392,$A$2=公区维修!$G392,$BN$2=1),0,2-SUMPRODUCT(--(($A$1:$A$2=公区维修!$F392)+($A$1:$A$2=公区维修!$G392)+$BN$1:$BN$2&gt;0)))</f>
        <v>1</v>
      </c>
      <c r="AU392" s="0" t="n">
        <f aca="false">IF(OR($A$3=公区维修!$F392,$A$3=公区维修!$G392,$BN$3=1),0,3-SUMPRODUCT(--(($A$1:$A$3=公区维修!$F392)+($A$1:$A$3=公区维修!$G392)+$BN$1:$BN$3&gt;0)))</f>
        <v>2</v>
      </c>
      <c r="AV392" s="0" t="n">
        <f aca="false">IF(OR($A$4=公区维修!$F392,$A$4=公区维修!$G392,$BN$4=1),0,4-SUMPRODUCT(--(($A$1:$A$4=公区维修!$F392)+($A$1:$A$4=公区维修!$G392)+$BN$1:$BN$4&gt;0)))</f>
        <v>3</v>
      </c>
      <c r="AW392" s="0" t="n">
        <f aca="false">IF(OR($A$5=公区维修!$F392,$A$5=公区维修!$G392,$BN$5=1),0,5-SUMPRODUCT(--(($A$1:$A$5=公区维修!$F392)+($A$1:$A$5=公区维修!$G392)+$BN$1:$BN$5&gt;0)))</f>
        <v>4</v>
      </c>
      <c r="AY392" s="0" t="str">
        <f aca="false">IFERROR(INDEX($A$1:$A$5,MATCH(1,$AS392:$AW392,0)),IF(1=MAX($AS392:$AW392)+1,"取消",""))</f>
        <v>李师傅</v>
      </c>
      <c r="AZ392" s="0" t="str">
        <f aca="false">IFERROR(INDEX($A$1:$A$5,MATCH(2,$AS392:$AW392,0)),IF(2=MAX($AS392:$AW392)+1,"取消",""))</f>
        <v>王师傅</v>
      </c>
      <c r="BA392" s="0" t="str">
        <f aca="false">IFERROR(INDEX($A$1:$A$5,MATCH(3,$AS392:$AW392,0)),IF(3=MAX($AS392:$AW392)+1,"取消",""))</f>
        <v>陈师傅</v>
      </c>
      <c r="BB392" s="0" t="str">
        <f aca="false">IFERROR(INDEX($A$1:$A$5,MATCH(4,$AS392:$AW392,0)),IF(4=MAX($AS392:$AW392)+1,"取消",""))</f>
        <v>刘师傅</v>
      </c>
      <c r="BC392" s="0" t="str">
        <f aca="false">IFERROR(INDEX($A$1:$A$5,MATCH(5,$AS392:$AW392,0)),IF(5=MAX($AS392:$AW392)+1,"取消",""))</f>
        <v>取消</v>
      </c>
      <c r="BD392" s="0" t="str">
        <f aca="false">IFERROR(INDEX($A$1:$A$5,MATCH(6,$AS392:$AW392,0)),IF(6=MAX($AS392:$AW392)+1,"取消",""))</f>
        <v/>
      </c>
      <c r="FW392" s="0" t="str">
        <f aca="false">IF(AND(单元查询!$D$3&lt;&gt;"",IF(单元查询!$B$3="公区维修",公区维修!$E392&lt;&gt;"",入户维修!$E392&lt;&gt;""),IF(单元查询!$B$3="公区维修",公区维修!$C392,入户维修!$C392)=单元查询!$D$3,OR(单元查询!$F$3="",IF(单元查询!$B$3="公区维修",公区维修!$D392,入户维修!$D392)&amp;""=(单元查询!$F$3)&amp;"")),MAX($FW$4:$FW391)+1,"")</f>
        <v/>
      </c>
    </row>
    <row r="393" customFormat="false" ht="15" hidden="false" customHeight="true" outlineLevel="0" collapsed="false">
      <c r="F393" s="0" t="n">
        <f aca="false">IF(OR($A$1=入户维修!$F393,$BN$1=1),0,1-SUMPRODUCT(--(($A$1=入户维修!$F393)+$BN$1&gt;0)))</f>
        <v>0</v>
      </c>
      <c r="G393" s="0" t="n">
        <f aca="false">IF(OR($A$2=入户维修!$F393,$BN$2=1),0,2-SUMPRODUCT(--(($A$1:$A$2=入户维修!$F393)+$BN$1:$BN$2&gt;0)))</f>
        <v>1</v>
      </c>
      <c r="H393" s="0" t="n">
        <f aca="false">IF(OR($A$3=入户维修!$F393,$BN$3=1),0,3-SUMPRODUCT(--(($A$1:$A$3=入户维修!$F393)+$BN$1:$BN$3&gt;0)))</f>
        <v>2</v>
      </c>
      <c r="I393" s="0" t="n">
        <f aca="false">IF(OR($A$4=入户维修!$F393,$BN$4=1),0,4-SUMPRODUCT(--(($A$1:$A$4=入户维修!$F393)+$BN$1:$BN$4&gt;0)))</f>
        <v>3</v>
      </c>
      <c r="J393" s="0" t="n">
        <f aca="false">IF(OR($A$5=入户维修!$F393,$BN$5=1),0,5-SUMPRODUCT(--(($A$1:$A$5=入户维修!$F393)+$BN$1:$BN$5&gt;0)))</f>
        <v>4</v>
      </c>
      <c r="L393" s="0" t="str">
        <f aca="false">IFERROR(INDEX($A$1:$A$5,MATCH(1,$F393:$J393,0)),IF(1=MAX($F393:$J393)+1,"取消",""))</f>
        <v>李师傅</v>
      </c>
      <c r="M393" s="0" t="str">
        <f aca="false">IFERROR(INDEX($A$1:$A$5,MATCH(2,$F393:$J393,0)),IF(2=MAX($F393:$J393)+1,"取消",""))</f>
        <v>王师傅</v>
      </c>
      <c r="N393" s="0" t="str">
        <f aca="false">IFERROR(INDEX($A$1:$A$5,MATCH(3,$F393:$J393,0)),IF(3=MAX($F393:$J393)+1,"取消",""))</f>
        <v>陈师傅</v>
      </c>
      <c r="O393" s="0" t="str">
        <f aca="false">IFERROR(INDEX($A$1:$A$5,MATCH(4,$F393:$J393,0)),IF(4=MAX($F393:$J393)+1,"取消",""))</f>
        <v>刘师傅</v>
      </c>
      <c r="P393" s="0" t="str">
        <f aca="false">IFERROR(INDEX($A$1:$A$5,MATCH(5,$F393:$J393,0)),IF(5=MAX($F393:$J393)+1,"取消",""))</f>
        <v>取消</v>
      </c>
      <c r="Q393" s="0" t="str">
        <f aca="false">IFERROR(INDEX($A$1:$A$5,MATCH(6,$F393:$J393,0)),IF(6=MAX($F393:$J393)+1,"取消",""))</f>
        <v/>
      </c>
      <c r="S393" s="0" t="n">
        <f aca="false">IF(OR($A$1=入户维修!$F393,$A$1=入户维修!$G393,$BN$1=1),0,1-SUMPRODUCT(--(($A$1=入户维修!$F393)+($A$1=入户维修!$G393)+$BN$1&gt;0)))</f>
        <v>0</v>
      </c>
      <c r="T393" s="0" t="n">
        <f aca="false">IF(OR($A$2=入户维修!$F393,$A$2=入户维修!$G393,$BN$2=1),0,2-SUMPRODUCT(--(($A$1:$A$2=入户维修!$F393)+($A$1:$A$2=入户维修!$G393)+$BN$1:$BN$2&gt;0)))</f>
        <v>1</v>
      </c>
      <c r="U393" s="0" t="n">
        <f aca="false">IF(OR($A$3=入户维修!$F393,$A$3=入户维修!$G393,$BN$3=1),0,3-SUMPRODUCT(--(($A$1:$A$3=入户维修!$F393)+($A$1:$A$3=入户维修!$G393)+$BN$1:$BN$3&gt;0)))</f>
        <v>2</v>
      </c>
      <c r="V393" s="0" t="n">
        <f aca="false">IF(OR($A$4=入户维修!$F393,$A$4=入户维修!$G393,$BN$4=1),0,4-SUMPRODUCT(--(($A$1:$A$4=入户维修!$F393)+($A$1:$A$4=入户维修!$G393)+$BN$1:$BN$4&gt;0)))</f>
        <v>3</v>
      </c>
      <c r="W393" s="0" t="n">
        <f aca="false">IF(OR($A$5=入户维修!$F393,$A$5=入户维修!$G393,$BN$5=1),0,5-SUMPRODUCT(--(($A$1:$A$5=入户维修!$F393)+($A$1:$A$5=入户维修!$G393)+$BN$1:$BN$5&gt;0)))</f>
        <v>4</v>
      </c>
      <c r="Y393" s="0" t="str">
        <f aca="false">IFERROR(INDEX($A$1:$A$5,MATCH(1,$S393:$W393,0)),IF(1=MAX($S393:$W393)+1,"取消",""))</f>
        <v>李师傅</v>
      </c>
      <c r="Z393" s="0" t="str">
        <f aca="false">IFERROR(INDEX($A$1:$A$5,MATCH(2,$S393:$W393,0)),IF(2=MAX($S393:$W393)+1,"取消",""))</f>
        <v>王师傅</v>
      </c>
      <c r="AA393" s="0" t="str">
        <f aca="false">IFERROR(INDEX($A$1:$A$5,MATCH(3,$S393:$W393,0)),IF(3=MAX($S393:$W393)+1,"取消",""))</f>
        <v>陈师傅</v>
      </c>
      <c r="AB393" s="0" t="str">
        <f aca="false">IFERROR(INDEX($A$1:$A$5,MATCH(4,$S393:$W393,0)),IF(4=MAX($S393:$W393)+1,"取消",""))</f>
        <v>刘师傅</v>
      </c>
      <c r="AC393" s="0" t="str">
        <f aca="false">IFERROR(INDEX($A$1:$A$5,MATCH(5,$S393:$W393,0)),IF(5=MAX($S393:$W393)+1,"取消",""))</f>
        <v>取消</v>
      </c>
      <c r="AD393" s="0" t="str">
        <f aca="false">IFERROR(INDEX($A$1:$A$5,MATCH(6,$S393:$W393,0)),IF(6=MAX($S393:$W393)+1,"取消",""))</f>
        <v/>
      </c>
      <c r="AF393" s="0" t="n">
        <f aca="false">IF(OR($A$1=公区维修!$F393,$BN$1=1),0,1-SUMPRODUCT(--(($A$1=公区维修!$F393)+$BN$1&gt;0)))</f>
        <v>0</v>
      </c>
      <c r="AG393" s="0" t="n">
        <f aca="false">IF(OR($A$2=公区维修!$F393,$BN$2=1),0,2-SUMPRODUCT(--(($A$1:$A$2=公区维修!$F393)+$BN$1:$BN$2&gt;0)))</f>
        <v>1</v>
      </c>
      <c r="AH393" s="0" t="n">
        <f aca="false">IF(OR($A$3=公区维修!$F393,$BN$3=1),0,3-SUMPRODUCT(--(($A$1:$A$3=公区维修!$F393)+$BN$1:$BN$3&gt;0)))</f>
        <v>2</v>
      </c>
      <c r="AI393" s="0" t="n">
        <f aca="false">IF(OR($A$4=公区维修!$F393,$BN$4=1),0,4-SUMPRODUCT(--(($A$1:$A$4=公区维修!$F393)+$BN$1:$BN$4&gt;0)))</f>
        <v>3</v>
      </c>
      <c r="AJ393" s="0" t="n">
        <f aca="false">IF(OR($A$5=公区维修!$F393,$BN$5=1),0,5-SUMPRODUCT(--(($A$1:$A$5=公区维修!$F393)+$BN$1:$BN$5&gt;0)))</f>
        <v>4</v>
      </c>
      <c r="AL393" s="0" t="str">
        <f aca="false">IFERROR(INDEX($A$1:$A$5,MATCH(1,$AF393:$AJ393,0)),IF(1=MAX($AF393:$AJ393)+1,"取消",""))</f>
        <v>李师傅</v>
      </c>
      <c r="AM393" s="0" t="str">
        <f aca="false">IFERROR(INDEX($A$1:$A$5,MATCH(2,$AF393:$AJ393,0)),IF(2=MAX($AF393:$AJ393)+1,"取消",""))</f>
        <v>王师傅</v>
      </c>
      <c r="AN393" s="0" t="str">
        <f aca="false">IFERROR(INDEX($A$1:$A$5,MATCH(3,$AF393:$AJ393,0)),IF(3=MAX($AF393:$AJ393)+1,"取消",""))</f>
        <v>陈师傅</v>
      </c>
      <c r="AO393" s="0" t="str">
        <f aca="false">IFERROR(INDEX($A$1:$A$5,MATCH(4,$AF393:$AJ393,0)),IF(4=MAX($AF393:$AJ393)+1,"取消",""))</f>
        <v>刘师傅</v>
      </c>
      <c r="AP393" s="0" t="str">
        <f aca="false">IFERROR(INDEX($A$1:$A$5,MATCH(5,$AF393:$AJ393,0)),IF(5=MAX($AF393:$AJ393)+1,"取消",""))</f>
        <v>取消</v>
      </c>
      <c r="AQ393" s="0" t="str">
        <f aca="false">IFERROR(INDEX($A$1:$A$5,MATCH(6,$AF393:$AJ393,0)),IF(6=MAX($AF393:$AJ393)+1,"取消",""))</f>
        <v/>
      </c>
      <c r="AS393" s="0" t="n">
        <f aca="false">IF(OR($A$1=公区维修!$F393,$A$1=公区维修!$G393,$BN$1=1),0,1-SUMPRODUCT(--(($A$1=公区维修!$F393)+($A$1=公区维修!$G393)+$BN$1&gt;0)))</f>
        <v>0</v>
      </c>
      <c r="AT393" s="0" t="n">
        <f aca="false">IF(OR($A$2=公区维修!$F393,$A$2=公区维修!$G393,$BN$2=1),0,2-SUMPRODUCT(--(($A$1:$A$2=公区维修!$F393)+($A$1:$A$2=公区维修!$G393)+$BN$1:$BN$2&gt;0)))</f>
        <v>1</v>
      </c>
      <c r="AU393" s="0" t="n">
        <f aca="false">IF(OR($A$3=公区维修!$F393,$A$3=公区维修!$G393,$BN$3=1),0,3-SUMPRODUCT(--(($A$1:$A$3=公区维修!$F393)+($A$1:$A$3=公区维修!$G393)+$BN$1:$BN$3&gt;0)))</f>
        <v>2</v>
      </c>
      <c r="AV393" s="0" t="n">
        <f aca="false">IF(OR($A$4=公区维修!$F393,$A$4=公区维修!$G393,$BN$4=1),0,4-SUMPRODUCT(--(($A$1:$A$4=公区维修!$F393)+($A$1:$A$4=公区维修!$G393)+$BN$1:$BN$4&gt;0)))</f>
        <v>3</v>
      </c>
      <c r="AW393" s="0" t="n">
        <f aca="false">IF(OR($A$5=公区维修!$F393,$A$5=公区维修!$G393,$BN$5=1),0,5-SUMPRODUCT(--(($A$1:$A$5=公区维修!$F393)+($A$1:$A$5=公区维修!$G393)+$BN$1:$BN$5&gt;0)))</f>
        <v>4</v>
      </c>
      <c r="AY393" s="0" t="str">
        <f aca="false">IFERROR(INDEX($A$1:$A$5,MATCH(1,$AS393:$AW393,0)),IF(1=MAX($AS393:$AW393)+1,"取消",""))</f>
        <v>李师傅</v>
      </c>
      <c r="AZ393" s="0" t="str">
        <f aca="false">IFERROR(INDEX($A$1:$A$5,MATCH(2,$AS393:$AW393,0)),IF(2=MAX($AS393:$AW393)+1,"取消",""))</f>
        <v>王师傅</v>
      </c>
      <c r="BA393" s="0" t="str">
        <f aca="false">IFERROR(INDEX($A$1:$A$5,MATCH(3,$AS393:$AW393,0)),IF(3=MAX($AS393:$AW393)+1,"取消",""))</f>
        <v>陈师傅</v>
      </c>
      <c r="BB393" s="0" t="str">
        <f aca="false">IFERROR(INDEX($A$1:$A$5,MATCH(4,$AS393:$AW393,0)),IF(4=MAX($AS393:$AW393)+1,"取消",""))</f>
        <v>刘师傅</v>
      </c>
      <c r="BC393" s="0" t="str">
        <f aca="false">IFERROR(INDEX($A$1:$A$5,MATCH(5,$AS393:$AW393,0)),IF(5=MAX($AS393:$AW393)+1,"取消",""))</f>
        <v>取消</v>
      </c>
      <c r="BD393" s="0" t="str">
        <f aca="false">IFERROR(INDEX($A$1:$A$5,MATCH(6,$AS393:$AW393,0)),IF(6=MAX($AS393:$AW393)+1,"取消",""))</f>
        <v/>
      </c>
      <c r="FW393" s="0" t="str">
        <f aca="false">IF(AND(单元查询!$D$3&lt;&gt;"",IF(单元查询!$B$3="公区维修",公区维修!$E393&lt;&gt;"",入户维修!$E393&lt;&gt;""),IF(单元查询!$B$3="公区维修",公区维修!$C393,入户维修!$C393)=单元查询!$D$3,OR(单元查询!$F$3="",IF(单元查询!$B$3="公区维修",公区维修!$D393,入户维修!$D393)&amp;""=(单元查询!$F$3)&amp;"")),MAX($FW$4:$FW392)+1,"")</f>
        <v/>
      </c>
    </row>
    <row r="394" customFormat="false" ht="15" hidden="false" customHeight="true" outlineLevel="0" collapsed="false">
      <c r="F394" s="0" t="n">
        <f aca="false">IF(OR($A$1=入户维修!$F394,$BN$1=1),0,1-SUMPRODUCT(--(($A$1=入户维修!$F394)+$BN$1&gt;0)))</f>
        <v>0</v>
      </c>
      <c r="G394" s="0" t="n">
        <f aca="false">IF(OR($A$2=入户维修!$F394,$BN$2=1),0,2-SUMPRODUCT(--(($A$1:$A$2=入户维修!$F394)+$BN$1:$BN$2&gt;0)))</f>
        <v>1</v>
      </c>
      <c r="H394" s="0" t="n">
        <f aca="false">IF(OR($A$3=入户维修!$F394,$BN$3=1),0,3-SUMPRODUCT(--(($A$1:$A$3=入户维修!$F394)+$BN$1:$BN$3&gt;0)))</f>
        <v>2</v>
      </c>
      <c r="I394" s="0" t="n">
        <f aca="false">IF(OR($A$4=入户维修!$F394,$BN$4=1),0,4-SUMPRODUCT(--(($A$1:$A$4=入户维修!$F394)+$BN$1:$BN$4&gt;0)))</f>
        <v>3</v>
      </c>
      <c r="J394" s="0" t="n">
        <f aca="false">IF(OR($A$5=入户维修!$F394,$BN$5=1),0,5-SUMPRODUCT(--(($A$1:$A$5=入户维修!$F394)+$BN$1:$BN$5&gt;0)))</f>
        <v>4</v>
      </c>
      <c r="L394" s="0" t="str">
        <f aca="false">IFERROR(INDEX($A$1:$A$5,MATCH(1,$F394:$J394,0)),IF(1=MAX($F394:$J394)+1,"取消",""))</f>
        <v>李师傅</v>
      </c>
      <c r="M394" s="0" t="str">
        <f aca="false">IFERROR(INDEX($A$1:$A$5,MATCH(2,$F394:$J394,0)),IF(2=MAX($F394:$J394)+1,"取消",""))</f>
        <v>王师傅</v>
      </c>
      <c r="N394" s="0" t="str">
        <f aca="false">IFERROR(INDEX($A$1:$A$5,MATCH(3,$F394:$J394,0)),IF(3=MAX($F394:$J394)+1,"取消",""))</f>
        <v>陈师傅</v>
      </c>
      <c r="O394" s="0" t="str">
        <f aca="false">IFERROR(INDEX($A$1:$A$5,MATCH(4,$F394:$J394,0)),IF(4=MAX($F394:$J394)+1,"取消",""))</f>
        <v>刘师傅</v>
      </c>
      <c r="P394" s="0" t="str">
        <f aca="false">IFERROR(INDEX($A$1:$A$5,MATCH(5,$F394:$J394,0)),IF(5=MAX($F394:$J394)+1,"取消",""))</f>
        <v>取消</v>
      </c>
      <c r="Q394" s="0" t="str">
        <f aca="false">IFERROR(INDEX($A$1:$A$5,MATCH(6,$F394:$J394,0)),IF(6=MAX($F394:$J394)+1,"取消",""))</f>
        <v/>
      </c>
      <c r="S394" s="0" t="n">
        <f aca="false">IF(OR($A$1=入户维修!$F394,$A$1=入户维修!$G394,$BN$1=1),0,1-SUMPRODUCT(--(($A$1=入户维修!$F394)+($A$1=入户维修!$G394)+$BN$1&gt;0)))</f>
        <v>0</v>
      </c>
      <c r="T394" s="0" t="n">
        <f aca="false">IF(OR($A$2=入户维修!$F394,$A$2=入户维修!$G394,$BN$2=1),0,2-SUMPRODUCT(--(($A$1:$A$2=入户维修!$F394)+($A$1:$A$2=入户维修!$G394)+$BN$1:$BN$2&gt;0)))</f>
        <v>1</v>
      </c>
      <c r="U394" s="0" t="n">
        <f aca="false">IF(OR($A$3=入户维修!$F394,$A$3=入户维修!$G394,$BN$3=1),0,3-SUMPRODUCT(--(($A$1:$A$3=入户维修!$F394)+($A$1:$A$3=入户维修!$G394)+$BN$1:$BN$3&gt;0)))</f>
        <v>2</v>
      </c>
      <c r="V394" s="0" t="n">
        <f aca="false">IF(OR($A$4=入户维修!$F394,$A$4=入户维修!$G394,$BN$4=1),0,4-SUMPRODUCT(--(($A$1:$A$4=入户维修!$F394)+($A$1:$A$4=入户维修!$G394)+$BN$1:$BN$4&gt;0)))</f>
        <v>3</v>
      </c>
      <c r="W394" s="0" t="n">
        <f aca="false">IF(OR($A$5=入户维修!$F394,$A$5=入户维修!$G394,$BN$5=1),0,5-SUMPRODUCT(--(($A$1:$A$5=入户维修!$F394)+($A$1:$A$5=入户维修!$G394)+$BN$1:$BN$5&gt;0)))</f>
        <v>4</v>
      </c>
      <c r="Y394" s="0" t="str">
        <f aca="false">IFERROR(INDEX($A$1:$A$5,MATCH(1,$S394:$W394,0)),IF(1=MAX($S394:$W394)+1,"取消",""))</f>
        <v>李师傅</v>
      </c>
      <c r="Z394" s="0" t="str">
        <f aca="false">IFERROR(INDEX($A$1:$A$5,MATCH(2,$S394:$W394,0)),IF(2=MAX($S394:$W394)+1,"取消",""))</f>
        <v>王师傅</v>
      </c>
      <c r="AA394" s="0" t="str">
        <f aca="false">IFERROR(INDEX($A$1:$A$5,MATCH(3,$S394:$W394,0)),IF(3=MAX($S394:$W394)+1,"取消",""))</f>
        <v>陈师傅</v>
      </c>
      <c r="AB394" s="0" t="str">
        <f aca="false">IFERROR(INDEX($A$1:$A$5,MATCH(4,$S394:$W394,0)),IF(4=MAX($S394:$W394)+1,"取消",""))</f>
        <v>刘师傅</v>
      </c>
      <c r="AC394" s="0" t="str">
        <f aca="false">IFERROR(INDEX($A$1:$A$5,MATCH(5,$S394:$W394,0)),IF(5=MAX($S394:$W394)+1,"取消",""))</f>
        <v>取消</v>
      </c>
      <c r="AD394" s="0" t="str">
        <f aca="false">IFERROR(INDEX($A$1:$A$5,MATCH(6,$S394:$W394,0)),IF(6=MAX($S394:$W394)+1,"取消",""))</f>
        <v/>
      </c>
      <c r="AF394" s="0" t="n">
        <f aca="false">IF(OR($A$1=公区维修!$F394,$BN$1=1),0,1-SUMPRODUCT(--(($A$1=公区维修!$F394)+$BN$1&gt;0)))</f>
        <v>0</v>
      </c>
      <c r="AG394" s="0" t="n">
        <f aca="false">IF(OR($A$2=公区维修!$F394,$BN$2=1),0,2-SUMPRODUCT(--(($A$1:$A$2=公区维修!$F394)+$BN$1:$BN$2&gt;0)))</f>
        <v>1</v>
      </c>
      <c r="AH394" s="0" t="n">
        <f aca="false">IF(OR($A$3=公区维修!$F394,$BN$3=1),0,3-SUMPRODUCT(--(($A$1:$A$3=公区维修!$F394)+$BN$1:$BN$3&gt;0)))</f>
        <v>2</v>
      </c>
      <c r="AI394" s="0" t="n">
        <f aca="false">IF(OR($A$4=公区维修!$F394,$BN$4=1),0,4-SUMPRODUCT(--(($A$1:$A$4=公区维修!$F394)+$BN$1:$BN$4&gt;0)))</f>
        <v>3</v>
      </c>
      <c r="AJ394" s="0" t="n">
        <f aca="false">IF(OR($A$5=公区维修!$F394,$BN$5=1),0,5-SUMPRODUCT(--(($A$1:$A$5=公区维修!$F394)+$BN$1:$BN$5&gt;0)))</f>
        <v>4</v>
      </c>
      <c r="AL394" s="0" t="str">
        <f aca="false">IFERROR(INDEX($A$1:$A$5,MATCH(1,$AF394:$AJ394,0)),IF(1=MAX($AF394:$AJ394)+1,"取消",""))</f>
        <v>李师傅</v>
      </c>
      <c r="AM394" s="0" t="str">
        <f aca="false">IFERROR(INDEX($A$1:$A$5,MATCH(2,$AF394:$AJ394,0)),IF(2=MAX($AF394:$AJ394)+1,"取消",""))</f>
        <v>王师傅</v>
      </c>
      <c r="AN394" s="0" t="str">
        <f aca="false">IFERROR(INDEX($A$1:$A$5,MATCH(3,$AF394:$AJ394,0)),IF(3=MAX($AF394:$AJ394)+1,"取消",""))</f>
        <v>陈师傅</v>
      </c>
      <c r="AO394" s="0" t="str">
        <f aca="false">IFERROR(INDEX($A$1:$A$5,MATCH(4,$AF394:$AJ394,0)),IF(4=MAX($AF394:$AJ394)+1,"取消",""))</f>
        <v>刘师傅</v>
      </c>
      <c r="AP394" s="0" t="str">
        <f aca="false">IFERROR(INDEX($A$1:$A$5,MATCH(5,$AF394:$AJ394,0)),IF(5=MAX($AF394:$AJ394)+1,"取消",""))</f>
        <v>取消</v>
      </c>
      <c r="AQ394" s="0" t="str">
        <f aca="false">IFERROR(INDEX($A$1:$A$5,MATCH(6,$AF394:$AJ394,0)),IF(6=MAX($AF394:$AJ394)+1,"取消",""))</f>
        <v/>
      </c>
      <c r="AS394" s="0" t="n">
        <f aca="false">IF(OR($A$1=公区维修!$F394,$A$1=公区维修!$G394,$BN$1=1),0,1-SUMPRODUCT(--(($A$1=公区维修!$F394)+($A$1=公区维修!$G394)+$BN$1&gt;0)))</f>
        <v>0</v>
      </c>
      <c r="AT394" s="0" t="n">
        <f aca="false">IF(OR($A$2=公区维修!$F394,$A$2=公区维修!$G394,$BN$2=1),0,2-SUMPRODUCT(--(($A$1:$A$2=公区维修!$F394)+($A$1:$A$2=公区维修!$G394)+$BN$1:$BN$2&gt;0)))</f>
        <v>1</v>
      </c>
      <c r="AU394" s="0" t="n">
        <f aca="false">IF(OR($A$3=公区维修!$F394,$A$3=公区维修!$G394,$BN$3=1),0,3-SUMPRODUCT(--(($A$1:$A$3=公区维修!$F394)+($A$1:$A$3=公区维修!$G394)+$BN$1:$BN$3&gt;0)))</f>
        <v>2</v>
      </c>
      <c r="AV394" s="0" t="n">
        <f aca="false">IF(OR($A$4=公区维修!$F394,$A$4=公区维修!$G394,$BN$4=1),0,4-SUMPRODUCT(--(($A$1:$A$4=公区维修!$F394)+($A$1:$A$4=公区维修!$G394)+$BN$1:$BN$4&gt;0)))</f>
        <v>3</v>
      </c>
      <c r="AW394" s="0" t="n">
        <f aca="false">IF(OR($A$5=公区维修!$F394,$A$5=公区维修!$G394,$BN$5=1),0,5-SUMPRODUCT(--(($A$1:$A$5=公区维修!$F394)+($A$1:$A$5=公区维修!$G394)+$BN$1:$BN$5&gt;0)))</f>
        <v>4</v>
      </c>
      <c r="AY394" s="0" t="str">
        <f aca="false">IFERROR(INDEX($A$1:$A$5,MATCH(1,$AS394:$AW394,0)),IF(1=MAX($AS394:$AW394)+1,"取消",""))</f>
        <v>李师傅</v>
      </c>
      <c r="AZ394" s="0" t="str">
        <f aca="false">IFERROR(INDEX($A$1:$A$5,MATCH(2,$AS394:$AW394,0)),IF(2=MAX($AS394:$AW394)+1,"取消",""))</f>
        <v>王师傅</v>
      </c>
      <c r="BA394" s="0" t="str">
        <f aca="false">IFERROR(INDEX($A$1:$A$5,MATCH(3,$AS394:$AW394,0)),IF(3=MAX($AS394:$AW394)+1,"取消",""))</f>
        <v>陈师傅</v>
      </c>
      <c r="BB394" s="0" t="str">
        <f aca="false">IFERROR(INDEX($A$1:$A$5,MATCH(4,$AS394:$AW394,0)),IF(4=MAX($AS394:$AW394)+1,"取消",""))</f>
        <v>刘师傅</v>
      </c>
      <c r="BC394" s="0" t="str">
        <f aca="false">IFERROR(INDEX($A$1:$A$5,MATCH(5,$AS394:$AW394,0)),IF(5=MAX($AS394:$AW394)+1,"取消",""))</f>
        <v>取消</v>
      </c>
      <c r="BD394" s="0" t="str">
        <f aca="false">IFERROR(INDEX($A$1:$A$5,MATCH(6,$AS394:$AW394,0)),IF(6=MAX($AS394:$AW394)+1,"取消",""))</f>
        <v/>
      </c>
      <c r="FW394" s="0" t="str">
        <f aca="false">IF(AND(单元查询!$D$3&lt;&gt;"",IF(单元查询!$B$3="公区维修",公区维修!$E394&lt;&gt;"",入户维修!$E394&lt;&gt;""),IF(单元查询!$B$3="公区维修",公区维修!$C394,入户维修!$C394)=单元查询!$D$3,OR(单元查询!$F$3="",IF(单元查询!$B$3="公区维修",公区维修!$D394,入户维修!$D394)&amp;""=(单元查询!$F$3)&amp;"")),MAX($FW$4:$FW393)+1,"")</f>
        <v/>
      </c>
    </row>
    <row r="395" customFormat="false" ht="15" hidden="false" customHeight="true" outlineLevel="0" collapsed="false">
      <c r="F395" s="0" t="n">
        <f aca="false">IF(OR($A$1=入户维修!$F395,$BN$1=1),0,1-SUMPRODUCT(--(($A$1=入户维修!$F395)+$BN$1&gt;0)))</f>
        <v>0</v>
      </c>
      <c r="G395" s="0" t="n">
        <f aca="false">IF(OR($A$2=入户维修!$F395,$BN$2=1),0,2-SUMPRODUCT(--(($A$1:$A$2=入户维修!$F395)+$BN$1:$BN$2&gt;0)))</f>
        <v>1</v>
      </c>
      <c r="H395" s="0" t="n">
        <f aca="false">IF(OR($A$3=入户维修!$F395,$BN$3=1),0,3-SUMPRODUCT(--(($A$1:$A$3=入户维修!$F395)+$BN$1:$BN$3&gt;0)))</f>
        <v>2</v>
      </c>
      <c r="I395" s="0" t="n">
        <f aca="false">IF(OR($A$4=入户维修!$F395,$BN$4=1),0,4-SUMPRODUCT(--(($A$1:$A$4=入户维修!$F395)+$BN$1:$BN$4&gt;0)))</f>
        <v>3</v>
      </c>
      <c r="J395" s="0" t="n">
        <f aca="false">IF(OR($A$5=入户维修!$F395,$BN$5=1),0,5-SUMPRODUCT(--(($A$1:$A$5=入户维修!$F395)+$BN$1:$BN$5&gt;0)))</f>
        <v>4</v>
      </c>
      <c r="L395" s="0" t="str">
        <f aca="false">IFERROR(INDEX($A$1:$A$5,MATCH(1,$F395:$J395,0)),IF(1=MAX($F395:$J395)+1,"取消",""))</f>
        <v>李师傅</v>
      </c>
      <c r="M395" s="0" t="str">
        <f aca="false">IFERROR(INDEX($A$1:$A$5,MATCH(2,$F395:$J395,0)),IF(2=MAX($F395:$J395)+1,"取消",""))</f>
        <v>王师傅</v>
      </c>
      <c r="N395" s="0" t="str">
        <f aca="false">IFERROR(INDEX($A$1:$A$5,MATCH(3,$F395:$J395,0)),IF(3=MAX($F395:$J395)+1,"取消",""))</f>
        <v>陈师傅</v>
      </c>
      <c r="O395" s="0" t="str">
        <f aca="false">IFERROR(INDEX($A$1:$A$5,MATCH(4,$F395:$J395,0)),IF(4=MAX($F395:$J395)+1,"取消",""))</f>
        <v>刘师傅</v>
      </c>
      <c r="P395" s="0" t="str">
        <f aca="false">IFERROR(INDEX($A$1:$A$5,MATCH(5,$F395:$J395,0)),IF(5=MAX($F395:$J395)+1,"取消",""))</f>
        <v>取消</v>
      </c>
      <c r="Q395" s="0" t="str">
        <f aca="false">IFERROR(INDEX($A$1:$A$5,MATCH(6,$F395:$J395,0)),IF(6=MAX($F395:$J395)+1,"取消",""))</f>
        <v/>
      </c>
      <c r="S395" s="0" t="n">
        <f aca="false">IF(OR($A$1=入户维修!$F395,$A$1=入户维修!$G395,$BN$1=1),0,1-SUMPRODUCT(--(($A$1=入户维修!$F395)+($A$1=入户维修!$G395)+$BN$1&gt;0)))</f>
        <v>0</v>
      </c>
      <c r="T395" s="0" t="n">
        <f aca="false">IF(OR($A$2=入户维修!$F395,$A$2=入户维修!$G395,$BN$2=1),0,2-SUMPRODUCT(--(($A$1:$A$2=入户维修!$F395)+($A$1:$A$2=入户维修!$G395)+$BN$1:$BN$2&gt;0)))</f>
        <v>1</v>
      </c>
      <c r="U395" s="0" t="n">
        <f aca="false">IF(OR($A$3=入户维修!$F395,$A$3=入户维修!$G395,$BN$3=1),0,3-SUMPRODUCT(--(($A$1:$A$3=入户维修!$F395)+($A$1:$A$3=入户维修!$G395)+$BN$1:$BN$3&gt;0)))</f>
        <v>2</v>
      </c>
      <c r="V395" s="0" t="n">
        <f aca="false">IF(OR($A$4=入户维修!$F395,$A$4=入户维修!$G395,$BN$4=1),0,4-SUMPRODUCT(--(($A$1:$A$4=入户维修!$F395)+($A$1:$A$4=入户维修!$G395)+$BN$1:$BN$4&gt;0)))</f>
        <v>3</v>
      </c>
      <c r="W395" s="0" t="n">
        <f aca="false">IF(OR($A$5=入户维修!$F395,$A$5=入户维修!$G395,$BN$5=1),0,5-SUMPRODUCT(--(($A$1:$A$5=入户维修!$F395)+($A$1:$A$5=入户维修!$G395)+$BN$1:$BN$5&gt;0)))</f>
        <v>4</v>
      </c>
      <c r="Y395" s="0" t="str">
        <f aca="false">IFERROR(INDEX($A$1:$A$5,MATCH(1,$S395:$W395,0)),IF(1=MAX($S395:$W395)+1,"取消",""))</f>
        <v>李师傅</v>
      </c>
      <c r="Z395" s="0" t="str">
        <f aca="false">IFERROR(INDEX($A$1:$A$5,MATCH(2,$S395:$W395,0)),IF(2=MAX($S395:$W395)+1,"取消",""))</f>
        <v>王师傅</v>
      </c>
      <c r="AA395" s="0" t="str">
        <f aca="false">IFERROR(INDEX($A$1:$A$5,MATCH(3,$S395:$W395,0)),IF(3=MAX($S395:$W395)+1,"取消",""))</f>
        <v>陈师傅</v>
      </c>
      <c r="AB395" s="0" t="str">
        <f aca="false">IFERROR(INDEX($A$1:$A$5,MATCH(4,$S395:$W395,0)),IF(4=MAX($S395:$W395)+1,"取消",""))</f>
        <v>刘师傅</v>
      </c>
      <c r="AC395" s="0" t="str">
        <f aca="false">IFERROR(INDEX($A$1:$A$5,MATCH(5,$S395:$W395,0)),IF(5=MAX($S395:$W395)+1,"取消",""))</f>
        <v>取消</v>
      </c>
      <c r="AD395" s="0" t="str">
        <f aca="false">IFERROR(INDEX($A$1:$A$5,MATCH(6,$S395:$W395,0)),IF(6=MAX($S395:$W395)+1,"取消",""))</f>
        <v/>
      </c>
      <c r="AF395" s="0" t="n">
        <f aca="false">IF(OR($A$1=公区维修!$F395,$BN$1=1),0,1-SUMPRODUCT(--(($A$1=公区维修!$F395)+$BN$1&gt;0)))</f>
        <v>0</v>
      </c>
      <c r="AG395" s="0" t="n">
        <f aca="false">IF(OR($A$2=公区维修!$F395,$BN$2=1),0,2-SUMPRODUCT(--(($A$1:$A$2=公区维修!$F395)+$BN$1:$BN$2&gt;0)))</f>
        <v>1</v>
      </c>
      <c r="AH395" s="0" t="n">
        <f aca="false">IF(OR($A$3=公区维修!$F395,$BN$3=1),0,3-SUMPRODUCT(--(($A$1:$A$3=公区维修!$F395)+$BN$1:$BN$3&gt;0)))</f>
        <v>2</v>
      </c>
      <c r="AI395" s="0" t="n">
        <f aca="false">IF(OR($A$4=公区维修!$F395,$BN$4=1),0,4-SUMPRODUCT(--(($A$1:$A$4=公区维修!$F395)+$BN$1:$BN$4&gt;0)))</f>
        <v>3</v>
      </c>
      <c r="AJ395" s="0" t="n">
        <f aca="false">IF(OR($A$5=公区维修!$F395,$BN$5=1),0,5-SUMPRODUCT(--(($A$1:$A$5=公区维修!$F395)+$BN$1:$BN$5&gt;0)))</f>
        <v>4</v>
      </c>
      <c r="AL395" s="0" t="str">
        <f aca="false">IFERROR(INDEX($A$1:$A$5,MATCH(1,$AF395:$AJ395,0)),IF(1=MAX($AF395:$AJ395)+1,"取消",""))</f>
        <v>李师傅</v>
      </c>
      <c r="AM395" s="0" t="str">
        <f aca="false">IFERROR(INDEX($A$1:$A$5,MATCH(2,$AF395:$AJ395,0)),IF(2=MAX($AF395:$AJ395)+1,"取消",""))</f>
        <v>王师傅</v>
      </c>
      <c r="AN395" s="0" t="str">
        <f aca="false">IFERROR(INDEX($A$1:$A$5,MATCH(3,$AF395:$AJ395,0)),IF(3=MAX($AF395:$AJ395)+1,"取消",""))</f>
        <v>陈师傅</v>
      </c>
      <c r="AO395" s="0" t="str">
        <f aca="false">IFERROR(INDEX($A$1:$A$5,MATCH(4,$AF395:$AJ395,0)),IF(4=MAX($AF395:$AJ395)+1,"取消",""))</f>
        <v>刘师傅</v>
      </c>
      <c r="AP395" s="0" t="str">
        <f aca="false">IFERROR(INDEX($A$1:$A$5,MATCH(5,$AF395:$AJ395,0)),IF(5=MAX($AF395:$AJ395)+1,"取消",""))</f>
        <v>取消</v>
      </c>
      <c r="AQ395" s="0" t="str">
        <f aca="false">IFERROR(INDEX($A$1:$A$5,MATCH(6,$AF395:$AJ395,0)),IF(6=MAX($AF395:$AJ395)+1,"取消",""))</f>
        <v/>
      </c>
      <c r="AS395" s="0" t="n">
        <f aca="false">IF(OR($A$1=公区维修!$F395,$A$1=公区维修!$G395,$BN$1=1),0,1-SUMPRODUCT(--(($A$1=公区维修!$F395)+($A$1=公区维修!$G395)+$BN$1&gt;0)))</f>
        <v>0</v>
      </c>
      <c r="AT395" s="0" t="n">
        <f aca="false">IF(OR($A$2=公区维修!$F395,$A$2=公区维修!$G395,$BN$2=1),0,2-SUMPRODUCT(--(($A$1:$A$2=公区维修!$F395)+($A$1:$A$2=公区维修!$G395)+$BN$1:$BN$2&gt;0)))</f>
        <v>1</v>
      </c>
      <c r="AU395" s="0" t="n">
        <f aca="false">IF(OR($A$3=公区维修!$F395,$A$3=公区维修!$G395,$BN$3=1),0,3-SUMPRODUCT(--(($A$1:$A$3=公区维修!$F395)+($A$1:$A$3=公区维修!$G395)+$BN$1:$BN$3&gt;0)))</f>
        <v>2</v>
      </c>
      <c r="AV395" s="0" t="n">
        <f aca="false">IF(OR($A$4=公区维修!$F395,$A$4=公区维修!$G395,$BN$4=1),0,4-SUMPRODUCT(--(($A$1:$A$4=公区维修!$F395)+($A$1:$A$4=公区维修!$G395)+$BN$1:$BN$4&gt;0)))</f>
        <v>3</v>
      </c>
      <c r="AW395" s="0" t="n">
        <f aca="false">IF(OR($A$5=公区维修!$F395,$A$5=公区维修!$G395,$BN$5=1),0,5-SUMPRODUCT(--(($A$1:$A$5=公区维修!$F395)+($A$1:$A$5=公区维修!$G395)+$BN$1:$BN$5&gt;0)))</f>
        <v>4</v>
      </c>
      <c r="AY395" s="0" t="str">
        <f aca="false">IFERROR(INDEX($A$1:$A$5,MATCH(1,$AS395:$AW395,0)),IF(1=MAX($AS395:$AW395)+1,"取消",""))</f>
        <v>李师傅</v>
      </c>
      <c r="AZ395" s="0" t="str">
        <f aca="false">IFERROR(INDEX($A$1:$A$5,MATCH(2,$AS395:$AW395,0)),IF(2=MAX($AS395:$AW395)+1,"取消",""))</f>
        <v>王师傅</v>
      </c>
      <c r="BA395" s="0" t="str">
        <f aca="false">IFERROR(INDEX($A$1:$A$5,MATCH(3,$AS395:$AW395,0)),IF(3=MAX($AS395:$AW395)+1,"取消",""))</f>
        <v>陈师傅</v>
      </c>
      <c r="BB395" s="0" t="str">
        <f aca="false">IFERROR(INDEX($A$1:$A$5,MATCH(4,$AS395:$AW395,0)),IF(4=MAX($AS395:$AW395)+1,"取消",""))</f>
        <v>刘师傅</v>
      </c>
      <c r="BC395" s="0" t="str">
        <f aca="false">IFERROR(INDEX($A$1:$A$5,MATCH(5,$AS395:$AW395,0)),IF(5=MAX($AS395:$AW395)+1,"取消",""))</f>
        <v>取消</v>
      </c>
      <c r="BD395" s="0" t="str">
        <f aca="false">IFERROR(INDEX($A$1:$A$5,MATCH(6,$AS395:$AW395,0)),IF(6=MAX($AS395:$AW395)+1,"取消",""))</f>
        <v/>
      </c>
      <c r="FW395" s="0" t="str">
        <f aca="false">IF(AND(单元查询!$D$3&lt;&gt;"",IF(单元查询!$B$3="公区维修",公区维修!$E395&lt;&gt;"",入户维修!$E395&lt;&gt;""),IF(单元查询!$B$3="公区维修",公区维修!$C395,入户维修!$C395)=单元查询!$D$3,OR(单元查询!$F$3="",IF(单元查询!$B$3="公区维修",公区维修!$D395,入户维修!$D395)&amp;""=(单元查询!$F$3)&amp;"")),MAX($FW$4:$FW394)+1,"")</f>
        <v/>
      </c>
    </row>
    <row r="396" customFormat="false" ht="15" hidden="false" customHeight="true" outlineLevel="0" collapsed="false">
      <c r="F396" s="0" t="n">
        <f aca="false">IF(OR($A$1=入户维修!$F396,$BN$1=1),0,1-SUMPRODUCT(--(($A$1=入户维修!$F396)+$BN$1&gt;0)))</f>
        <v>0</v>
      </c>
      <c r="G396" s="0" t="n">
        <f aca="false">IF(OR($A$2=入户维修!$F396,$BN$2=1),0,2-SUMPRODUCT(--(($A$1:$A$2=入户维修!$F396)+$BN$1:$BN$2&gt;0)))</f>
        <v>1</v>
      </c>
      <c r="H396" s="0" t="n">
        <f aca="false">IF(OR($A$3=入户维修!$F396,$BN$3=1),0,3-SUMPRODUCT(--(($A$1:$A$3=入户维修!$F396)+$BN$1:$BN$3&gt;0)))</f>
        <v>2</v>
      </c>
      <c r="I396" s="0" t="n">
        <f aca="false">IF(OR($A$4=入户维修!$F396,$BN$4=1),0,4-SUMPRODUCT(--(($A$1:$A$4=入户维修!$F396)+$BN$1:$BN$4&gt;0)))</f>
        <v>3</v>
      </c>
      <c r="J396" s="0" t="n">
        <f aca="false">IF(OR($A$5=入户维修!$F396,$BN$5=1),0,5-SUMPRODUCT(--(($A$1:$A$5=入户维修!$F396)+$BN$1:$BN$5&gt;0)))</f>
        <v>4</v>
      </c>
      <c r="L396" s="0" t="str">
        <f aca="false">IFERROR(INDEX($A$1:$A$5,MATCH(1,$F396:$J396,0)),IF(1=MAX($F396:$J396)+1,"取消",""))</f>
        <v>李师傅</v>
      </c>
      <c r="M396" s="0" t="str">
        <f aca="false">IFERROR(INDEX($A$1:$A$5,MATCH(2,$F396:$J396,0)),IF(2=MAX($F396:$J396)+1,"取消",""))</f>
        <v>王师傅</v>
      </c>
      <c r="N396" s="0" t="str">
        <f aca="false">IFERROR(INDEX($A$1:$A$5,MATCH(3,$F396:$J396,0)),IF(3=MAX($F396:$J396)+1,"取消",""))</f>
        <v>陈师傅</v>
      </c>
      <c r="O396" s="0" t="str">
        <f aca="false">IFERROR(INDEX($A$1:$A$5,MATCH(4,$F396:$J396,0)),IF(4=MAX($F396:$J396)+1,"取消",""))</f>
        <v>刘师傅</v>
      </c>
      <c r="P396" s="0" t="str">
        <f aca="false">IFERROR(INDEX($A$1:$A$5,MATCH(5,$F396:$J396,0)),IF(5=MAX($F396:$J396)+1,"取消",""))</f>
        <v>取消</v>
      </c>
      <c r="Q396" s="0" t="str">
        <f aca="false">IFERROR(INDEX($A$1:$A$5,MATCH(6,$F396:$J396,0)),IF(6=MAX($F396:$J396)+1,"取消",""))</f>
        <v/>
      </c>
      <c r="S396" s="0" t="n">
        <f aca="false">IF(OR($A$1=入户维修!$F396,$A$1=入户维修!$G396,$BN$1=1),0,1-SUMPRODUCT(--(($A$1=入户维修!$F396)+($A$1=入户维修!$G396)+$BN$1&gt;0)))</f>
        <v>0</v>
      </c>
      <c r="T396" s="0" t="n">
        <f aca="false">IF(OR($A$2=入户维修!$F396,$A$2=入户维修!$G396,$BN$2=1),0,2-SUMPRODUCT(--(($A$1:$A$2=入户维修!$F396)+($A$1:$A$2=入户维修!$G396)+$BN$1:$BN$2&gt;0)))</f>
        <v>1</v>
      </c>
      <c r="U396" s="0" t="n">
        <f aca="false">IF(OR($A$3=入户维修!$F396,$A$3=入户维修!$G396,$BN$3=1),0,3-SUMPRODUCT(--(($A$1:$A$3=入户维修!$F396)+($A$1:$A$3=入户维修!$G396)+$BN$1:$BN$3&gt;0)))</f>
        <v>2</v>
      </c>
      <c r="V396" s="0" t="n">
        <f aca="false">IF(OR($A$4=入户维修!$F396,$A$4=入户维修!$G396,$BN$4=1),0,4-SUMPRODUCT(--(($A$1:$A$4=入户维修!$F396)+($A$1:$A$4=入户维修!$G396)+$BN$1:$BN$4&gt;0)))</f>
        <v>3</v>
      </c>
      <c r="W396" s="0" t="n">
        <f aca="false">IF(OR($A$5=入户维修!$F396,$A$5=入户维修!$G396,$BN$5=1),0,5-SUMPRODUCT(--(($A$1:$A$5=入户维修!$F396)+($A$1:$A$5=入户维修!$G396)+$BN$1:$BN$5&gt;0)))</f>
        <v>4</v>
      </c>
      <c r="Y396" s="0" t="str">
        <f aca="false">IFERROR(INDEX($A$1:$A$5,MATCH(1,$S396:$W396,0)),IF(1=MAX($S396:$W396)+1,"取消",""))</f>
        <v>李师傅</v>
      </c>
      <c r="Z396" s="0" t="str">
        <f aca="false">IFERROR(INDEX($A$1:$A$5,MATCH(2,$S396:$W396,0)),IF(2=MAX($S396:$W396)+1,"取消",""))</f>
        <v>王师傅</v>
      </c>
      <c r="AA396" s="0" t="str">
        <f aca="false">IFERROR(INDEX($A$1:$A$5,MATCH(3,$S396:$W396,0)),IF(3=MAX($S396:$W396)+1,"取消",""))</f>
        <v>陈师傅</v>
      </c>
      <c r="AB396" s="0" t="str">
        <f aca="false">IFERROR(INDEX($A$1:$A$5,MATCH(4,$S396:$W396,0)),IF(4=MAX($S396:$W396)+1,"取消",""))</f>
        <v>刘师傅</v>
      </c>
      <c r="AC396" s="0" t="str">
        <f aca="false">IFERROR(INDEX($A$1:$A$5,MATCH(5,$S396:$W396,0)),IF(5=MAX($S396:$W396)+1,"取消",""))</f>
        <v>取消</v>
      </c>
      <c r="AD396" s="0" t="str">
        <f aca="false">IFERROR(INDEX($A$1:$A$5,MATCH(6,$S396:$W396,0)),IF(6=MAX($S396:$W396)+1,"取消",""))</f>
        <v/>
      </c>
      <c r="AF396" s="0" t="n">
        <f aca="false">IF(OR($A$1=公区维修!$F396,$BN$1=1),0,1-SUMPRODUCT(--(($A$1=公区维修!$F396)+$BN$1&gt;0)))</f>
        <v>0</v>
      </c>
      <c r="AG396" s="0" t="n">
        <f aca="false">IF(OR($A$2=公区维修!$F396,$BN$2=1),0,2-SUMPRODUCT(--(($A$1:$A$2=公区维修!$F396)+$BN$1:$BN$2&gt;0)))</f>
        <v>1</v>
      </c>
      <c r="AH396" s="0" t="n">
        <f aca="false">IF(OR($A$3=公区维修!$F396,$BN$3=1),0,3-SUMPRODUCT(--(($A$1:$A$3=公区维修!$F396)+$BN$1:$BN$3&gt;0)))</f>
        <v>2</v>
      </c>
      <c r="AI396" s="0" t="n">
        <f aca="false">IF(OR($A$4=公区维修!$F396,$BN$4=1),0,4-SUMPRODUCT(--(($A$1:$A$4=公区维修!$F396)+$BN$1:$BN$4&gt;0)))</f>
        <v>3</v>
      </c>
      <c r="AJ396" s="0" t="n">
        <f aca="false">IF(OR($A$5=公区维修!$F396,$BN$5=1),0,5-SUMPRODUCT(--(($A$1:$A$5=公区维修!$F396)+$BN$1:$BN$5&gt;0)))</f>
        <v>4</v>
      </c>
      <c r="AL396" s="0" t="str">
        <f aca="false">IFERROR(INDEX($A$1:$A$5,MATCH(1,$AF396:$AJ396,0)),IF(1=MAX($AF396:$AJ396)+1,"取消",""))</f>
        <v>李师傅</v>
      </c>
      <c r="AM396" s="0" t="str">
        <f aca="false">IFERROR(INDEX($A$1:$A$5,MATCH(2,$AF396:$AJ396,0)),IF(2=MAX($AF396:$AJ396)+1,"取消",""))</f>
        <v>王师傅</v>
      </c>
      <c r="AN396" s="0" t="str">
        <f aca="false">IFERROR(INDEX($A$1:$A$5,MATCH(3,$AF396:$AJ396,0)),IF(3=MAX($AF396:$AJ396)+1,"取消",""))</f>
        <v>陈师傅</v>
      </c>
      <c r="AO396" s="0" t="str">
        <f aca="false">IFERROR(INDEX($A$1:$A$5,MATCH(4,$AF396:$AJ396,0)),IF(4=MAX($AF396:$AJ396)+1,"取消",""))</f>
        <v>刘师傅</v>
      </c>
      <c r="AP396" s="0" t="str">
        <f aca="false">IFERROR(INDEX($A$1:$A$5,MATCH(5,$AF396:$AJ396,0)),IF(5=MAX($AF396:$AJ396)+1,"取消",""))</f>
        <v>取消</v>
      </c>
      <c r="AQ396" s="0" t="str">
        <f aca="false">IFERROR(INDEX($A$1:$A$5,MATCH(6,$AF396:$AJ396,0)),IF(6=MAX($AF396:$AJ396)+1,"取消",""))</f>
        <v/>
      </c>
      <c r="AS396" s="0" t="n">
        <f aca="false">IF(OR($A$1=公区维修!$F396,$A$1=公区维修!$G396,$BN$1=1),0,1-SUMPRODUCT(--(($A$1=公区维修!$F396)+($A$1=公区维修!$G396)+$BN$1&gt;0)))</f>
        <v>0</v>
      </c>
      <c r="AT396" s="0" t="n">
        <f aca="false">IF(OR($A$2=公区维修!$F396,$A$2=公区维修!$G396,$BN$2=1),0,2-SUMPRODUCT(--(($A$1:$A$2=公区维修!$F396)+($A$1:$A$2=公区维修!$G396)+$BN$1:$BN$2&gt;0)))</f>
        <v>1</v>
      </c>
      <c r="AU396" s="0" t="n">
        <f aca="false">IF(OR($A$3=公区维修!$F396,$A$3=公区维修!$G396,$BN$3=1),0,3-SUMPRODUCT(--(($A$1:$A$3=公区维修!$F396)+($A$1:$A$3=公区维修!$G396)+$BN$1:$BN$3&gt;0)))</f>
        <v>2</v>
      </c>
      <c r="AV396" s="0" t="n">
        <f aca="false">IF(OR($A$4=公区维修!$F396,$A$4=公区维修!$G396,$BN$4=1),0,4-SUMPRODUCT(--(($A$1:$A$4=公区维修!$F396)+($A$1:$A$4=公区维修!$G396)+$BN$1:$BN$4&gt;0)))</f>
        <v>3</v>
      </c>
      <c r="AW396" s="0" t="n">
        <f aca="false">IF(OR($A$5=公区维修!$F396,$A$5=公区维修!$G396,$BN$5=1),0,5-SUMPRODUCT(--(($A$1:$A$5=公区维修!$F396)+($A$1:$A$5=公区维修!$G396)+$BN$1:$BN$5&gt;0)))</f>
        <v>4</v>
      </c>
      <c r="AY396" s="0" t="str">
        <f aca="false">IFERROR(INDEX($A$1:$A$5,MATCH(1,$AS396:$AW396,0)),IF(1=MAX($AS396:$AW396)+1,"取消",""))</f>
        <v>李师傅</v>
      </c>
      <c r="AZ396" s="0" t="str">
        <f aca="false">IFERROR(INDEX($A$1:$A$5,MATCH(2,$AS396:$AW396,0)),IF(2=MAX($AS396:$AW396)+1,"取消",""))</f>
        <v>王师傅</v>
      </c>
      <c r="BA396" s="0" t="str">
        <f aca="false">IFERROR(INDEX($A$1:$A$5,MATCH(3,$AS396:$AW396,0)),IF(3=MAX($AS396:$AW396)+1,"取消",""))</f>
        <v>陈师傅</v>
      </c>
      <c r="BB396" s="0" t="str">
        <f aca="false">IFERROR(INDEX($A$1:$A$5,MATCH(4,$AS396:$AW396,0)),IF(4=MAX($AS396:$AW396)+1,"取消",""))</f>
        <v>刘师傅</v>
      </c>
      <c r="BC396" s="0" t="str">
        <f aca="false">IFERROR(INDEX($A$1:$A$5,MATCH(5,$AS396:$AW396,0)),IF(5=MAX($AS396:$AW396)+1,"取消",""))</f>
        <v>取消</v>
      </c>
      <c r="BD396" s="0" t="str">
        <f aca="false">IFERROR(INDEX($A$1:$A$5,MATCH(6,$AS396:$AW396,0)),IF(6=MAX($AS396:$AW396)+1,"取消",""))</f>
        <v/>
      </c>
      <c r="FW396" s="0" t="str">
        <f aca="false">IF(AND(单元查询!$D$3&lt;&gt;"",IF(单元查询!$B$3="公区维修",公区维修!$E396&lt;&gt;"",入户维修!$E396&lt;&gt;""),IF(单元查询!$B$3="公区维修",公区维修!$C396,入户维修!$C396)=单元查询!$D$3,OR(单元查询!$F$3="",IF(单元查询!$B$3="公区维修",公区维修!$D396,入户维修!$D396)&amp;""=(单元查询!$F$3)&amp;"")),MAX($FW$4:$FW395)+1,"")</f>
        <v/>
      </c>
    </row>
    <row r="397" customFormat="false" ht="15" hidden="false" customHeight="true" outlineLevel="0" collapsed="false">
      <c r="F397" s="0" t="n">
        <f aca="false">IF(OR($A$1=入户维修!$F397,$BN$1=1),0,1-SUMPRODUCT(--(($A$1=入户维修!$F397)+$BN$1&gt;0)))</f>
        <v>0</v>
      </c>
      <c r="G397" s="0" t="n">
        <f aca="false">IF(OR($A$2=入户维修!$F397,$BN$2=1),0,2-SUMPRODUCT(--(($A$1:$A$2=入户维修!$F397)+$BN$1:$BN$2&gt;0)))</f>
        <v>1</v>
      </c>
      <c r="H397" s="0" t="n">
        <f aca="false">IF(OR($A$3=入户维修!$F397,$BN$3=1),0,3-SUMPRODUCT(--(($A$1:$A$3=入户维修!$F397)+$BN$1:$BN$3&gt;0)))</f>
        <v>2</v>
      </c>
      <c r="I397" s="0" t="n">
        <f aca="false">IF(OR($A$4=入户维修!$F397,$BN$4=1),0,4-SUMPRODUCT(--(($A$1:$A$4=入户维修!$F397)+$BN$1:$BN$4&gt;0)))</f>
        <v>3</v>
      </c>
      <c r="J397" s="0" t="n">
        <f aca="false">IF(OR($A$5=入户维修!$F397,$BN$5=1),0,5-SUMPRODUCT(--(($A$1:$A$5=入户维修!$F397)+$BN$1:$BN$5&gt;0)))</f>
        <v>4</v>
      </c>
      <c r="L397" s="0" t="str">
        <f aca="false">IFERROR(INDEX($A$1:$A$5,MATCH(1,$F397:$J397,0)),IF(1=MAX($F397:$J397)+1,"取消",""))</f>
        <v>李师傅</v>
      </c>
      <c r="M397" s="0" t="str">
        <f aca="false">IFERROR(INDEX($A$1:$A$5,MATCH(2,$F397:$J397,0)),IF(2=MAX($F397:$J397)+1,"取消",""))</f>
        <v>王师傅</v>
      </c>
      <c r="N397" s="0" t="str">
        <f aca="false">IFERROR(INDEX($A$1:$A$5,MATCH(3,$F397:$J397,0)),IF(3=MAX($F397:$J397)+1,"取消",""))</f>
        <v>陈师傅</v>
      </c>
      <c r="O397" s="0" t="str">
        <f aca="false">IFERROR(INDEX($A$1:$A$5,MATCH(4,$F397:$J397,0)),IF(4=MAX($F397:$J397)+1,"取消",""))</f>
        <v>刘师傅</v>
      </c>
      <c r="P397" s="0" t="str">
        <f aca="false">IFERROR(INDEX($A$1:$A$5,MATCH(5,$F397:$J397,0)),IF(5=MAX($F397:$J397)+1,"取消",""))</f>
        <v>取消</v>
      </c>
      <c r="Q397" s="0" t="str">
        <f aca="false">IFERROR(INDEX($A$1:$A$5,MATCH(6,$F397:$J397,0)),IF(6=MAX($F397:$J397)+1,"取消",""))</f>
        <v/>
      </c>
      <c r="S397" s="0" t="n">
        <f aca="false">IF(OR($A$1=入户维修!$F397,$A$1=入户维修!$G397,$BN$1=1),0,1-SUMPRODUCT(--(($A$1=入户维修!$F397)+($A$1=入户维修!$G397)+$BN$1&gt;0)))</f>
        <v>0</v>
      </c>
      <c r="T397" s="0" t="n">
        <f aca="false">IF(OR($A$2=入户维修!$F397,$A$2=入户维修!$G397,$BN$2=1),0,2-SUMPRODUCT(--(($A$1:$A$2=入户维修!$F397)+($A$1:$A$2=入户维修!$G397)+$BN$1:$BN$2&gt;0)))</f>
        <v>1</v>
      </c>
      <c r="U397" s="0" t="n">
        <f aca="false">IF(OR($A$3=入户维修!$F397,$A$3=入户维修!$G397,$BN$3=1),0,3-SUMPRODUCT(--(($A$1:$A$3=入户维修!$F397)+($A$1:$A$3=入户维修!$G397)+$BN$1:$BN$3&gt;0)))</f>
        <v>2</v>
      </c>
      <c r="V397" s="0" t="n">
        <f aca="false">IF(OR($A$4=入户维修!$F397,$A$4=入户维修!$G397,$BN$4=1),0,4-SUMPRODUCT(--(($A$1:$A$4=入户维修!$F397)+($A$1:$A$4=入户维修!$G397)+$BN$1:$BN$4&gt;0)))</f>
        <v>3</v>
      </c>
      <c r="W397" s="0" t="n">
        <f aca="false">IF(OR($A$5=入户维修!$F397,$A$5=入户维修!$G397,$BN$5=1),0,5-SUMPRODUCT(--(($A$1:$A$5=入户维修!$F397)+($A$1:$A$5=入户维修!$G397)+$BN$1:$BN$5&gt;0)))</f>
        <v>4</v>
      </c>
      <c r="Y397" s="0" t="str">
        <f aca="false">IFERROR(INDEX($A$1:$A$5,MATCH(1,$S397:$W397,0)),IF(1=MAX($S397:$W397)+1,"取消",""))</f>
        <v>李师傅</v>
      </c>
      <c r="Z397" s="0" t="str">
        <f aca="false">IFERROR(INDEX($A$1:$A$5,MATCH(2,$S397:$W397,0)),IF(2=MAX($S397:$W397)+1,"取消",""))</f>
        <v>王师傅</v>
      </c>
      <c r="AA397" s="0" t="str">
        <f aca="false">IFERROR(INDEX($A$1:$A$5,MATCH(3,$S397:$W397,0)),IF(3=MAX($S397:$W397)+1,"取消",""))</f>
        <v>陈师傅</v>
      </c>
      <c r="AB397" s="0" t="str">
        <f aca="false">IFERROR(INDEX($A$1:$A$5,MATCH(4,$S397:$W397,0)),IF(4=MAX($S397:$W397)+1,"取消",""))</f>
        <v>刘师傅</v>
      </c>
      <c r="AC397" s="0" t="str">
        <f aca="false">IFERROR(INDEX($A$1:$A$5,MATCH(5,$S397:$W397,0)),IF(5=MAX($S397:$W397)+1,"取消",""))</f>
        <v>取消</v>
      </c>
      <c r="AD397" s="0" t="str">
        <f aca="false">IFERROR(INDEX($A$1:$A$5,MATCH(6,$S397:$W397,0)),IF(6=MAX($S397:$W397)+1,"取消",""))</f>
        <v/>
      </c>
      <c r="AF397" s="0" t="n">
        <f aca="false">IF(OR($A$1=公区维修!$F397,$BN$1=1),0,1-SUMPRODUCT(--(($A$1=公区维修!$F397)+$BN$1&gt;0)))</f>
        <v>0</v>
      </c>
      <c r="AG397" s="0" t="n">
        <f aca="false">IF(OR($A$2=公区维修!$F397,$BN$2=1),0,2-SUMPRODUCT(--(($A$1:$A$2=公区维修!$F397)+$BN$1:$BN$2&gt;0)))</f>
        <v>1</v>
      </c>
      <c r="AH397" s="0" t="n">
        <f aca="false">IF(OR($A$3=公区维修!$F397,$BN$3=1),0,3-SUMPRODUCT(--(($A$1:$A$3=公区维修!$F397)+$BN$1:$BN$3&gt;0)))</f>
        <v>2</v>
      </c>
      <c r="AI397" s="0" t="n">
        <f aca="false">IF(OR($A$4=公区维修!$F397,$BN$4=1),0,4-SUMPRODUCT(--(($A$1:$A$4=公区维修!$F397)+$BN$1:$BN$4&gt;0)))</f>
        <v>3</v>
      </c>
      <c r="AJ397" s="0" t="n">
        <f aca="false">IF(OR($A$5=公区维修!$F397,$BN$5=1),0,5-SUMPRODUCT(--(($A$1:$A$5=公区维修!$F397)+$BN$1:$BN$5&gt;0)))</f>
        <v>4</v>
      </c>
      <c r="AL397" s="0" t="str">
        <f aca="false">IFERROR(INDEX($A$1:$A$5,MATCH(1,$AF397:$AJ397,0)),IF(1=MAX($AF397:$AJ397)+1,"取消",""))</f>
        <v>李师傅</v>
      </c>
      <c r="AM397" s="0" t="str">
        <f aca="false">IFERROR(INDEX($A$1:$A$5,MATCH(2,$AF397:$AJ397,0)),IF(2=MAX($AF397:$AJ397)+1,"取消",""))</f>
        <v>王师傅</v>
      </c>
      <c r="AN397" s="0" t="str">
        <f aca="false">IFERROR(INDEX($A$1:$A$5,MATCH(3,$AF397:$AJ397,0)),IF(3=MAX($AF397:$AJ397)+1,"取消",""))</f>
        <v>陈师傅</v>
      </c>
      <c r="AO397" s="0" t="str">
        <f aca="false">IFERROR(INDEX($A$1:$A$5,MATCH(4,$AF397:$AJ397,0)),IF(4=MAX($AF397:$AJ397)+1,"取消",""))</f>
        <v>刘师傅</v>
      </c>
      <c r="AP397" s="0" t="str">
        <f aca="false">IFERROR(INDEX($A$1:$A$5,MATCH(5,$AF397:$AJ397,0)),IF(5=MAX($AF397:$AJ397)+1,"取消",""))</f>
        <v>取消</v>
      </c>
      <c r="AQ397" s="0" t="str">
        <f aca="false">IFERROR(INDEX($A$1:$A$5,MATCH(6,$AF397:$AJ397,0)),IF(6=MAX($AF397:$AJ397)+1,"取消",""))</f>
        <v/>
      </c>
      <c r="AS397" s="0" t="n">
        <f aca="false">IF(OR($A$1=公区维修!$F397,$A$1=公区维修!$G397,$BN$1=1),0,1-SUMPRODUCT(--(($A$1=公区维修!$F397)+($A$1=公区维修!$G397)+$BN$1&gt;0)))</f>
        <v>0</v>
      </c>
      <c r="AT397" s="0" t="n">
        <f aca="false">IF(OR($A$2=公区维修!$F397,$A$2=公区维修!$G397,$BN$2=1),0,2-SUMPRODUCT(--(($A$1:$A$2=公区维修!$F397)+($A$1:$A$2=公区维修!$G397)+$BN$1:$BN$2&gt;0)))</f>
        <v>1</v>
      </c>
      <c r="AU397" s="0" t="n">
        <f aca="false">IF(OR($A$3=公区维修!$F397,$A$3=公区维修!$G397,$BN$3=1),0,3-SUMPRODUCT(--(($A$1:$A$3=公区维修!$F397)+($A$1:$A$3=公区维修!$G397)+$BN$1:$BN$3&gt;0)))</f>
        <v>2</v>
      </c>
      <c r="AV397" s="0" t="n">
        <f aca="false">IF(OR($A$4=公区维修!$F397,$A$4=公区维修!$G397,$BN$4=1),0,4-SUMPRODUCT(--(($A$1:$A$4=公区维修!$F397)+($A$1:$A$4=公区维修!$G397)+$BN$1:$BN$4&gt;0)))</f>
        <v>3</v>
      </c>
      <c r="AW397" s="0" t="n">
        <f aca="false">IF(OR($A$5=公区维修!$F397,$A$5=公区维修!$G397,$BN$5=1),0,5-SUMPRODUCT(--(($A$1:$A$5=公区维修!$F397)+($A$1:$A$5=公区维修!$G397)+$BN$1:$BN$5&gt;0)))</f>
        <v>4</v>
      </c>
      <c r="AY397" s="0" t="str">
        <f aca="false">IFERROR(INDEX($A$1:$A$5,MATCH(1,$AS397:$AW397,0)),IF(1=MAX($AS397:$AW397)+1,"取消",""))</f>
        <v>李师傅</v>
      </c>
      <c r="AZ397" s="0" t="str">
        <f aca="false">IFERROR(INDEX($A$1:$A$5,MATCH(2,$AS397:$AW397,0)),IF(2=MAX($AS397:$AW397)+1,"取消",""))</f>
        <v>王师傅</v>
      </c>
      <c r="BA397" s="0" t="str">
        <f aca="false">IFERROR(INDEX($A$1:$A$5,MATCH(3,$AS397:$AW397,0)),IF(3=MAX($AS397:$AW397)+1,"取消",""))</f>
        <v>陈师傅</v>
      </c>
      <c r="BB397" s="0" t="str">
        <f aca="false">IFERROR(INDEX($A$1:$A$5,MATCH(4,$AS397:$AW397,0)),IF(4=MAX($AS397:$AW397)+1,"取消",""))</f>
        <v>刘师傅</v>
      </c>
      <c r="BC397" s="0" t="str">
        <f aca="false">IFERROR(INDEX($A$1:$A$5,MATCH(5,$AS397:$AW397,0)),IF(5=MAX($AS397:$AW397)+1,"取消",""))</f>
        <v>取消</v>
      </c>
      <c r="BD397" s="0" t="str">
        <f aca="false">IFERROR(INDEX($A$1:$A$5,MATCH(6,$AS397:$AW397,0)),IF(6=MAX($AS397:$AW397)+1,"取消",""))</f>
        <v/>
      </c>
      <c r="FW397" s="0" t="str">
        <f aca="false">IF(AND(单元查询!$D$3&lt;&gt;"",IF(单元查询!$B$3="公区维修",公区维修!$E397&lt;&gt;"",入户维修!$E397&lt;&gt;""),IF(单元查询!$B$3="公区维修",公区维修!$C397,入户维修!$C397)=单元查询!$D$3,OR(单元查询!$F$3="",IF(单元查询!$B$3="公区维修",公区维修!$D397,入户维修!$D397)&amp;""=(单元查询!$F$3)&amp;"")),MAX($FW$4:$FW396)+1,"")</f>
        <v/>
      </c>
    </row>
    <row r="398" customFormat="false" ht="15" hidden="false" customHeight="true" outlineLevel="0" collapsed="false">
      <c r="F398" s="0" t="n">
        <f aca="false">IF(OR($A$1=入户维修!$F398,$BN$1=1),0,1-SUMPRODUCT(--(($A$1=入户维修!$F398)+$BN$1&gt;0)))</f>
        <v>0</v>
      </c>
      <c r="G398" s="0" t="n">
        <f aca="false">IF(OR($A$2=入户维修!$F398,$BN$2=1),0,2-SUMPRODUCT(--(($A$1:$A$2=入户维修!$F398)+$BN$1:$BN$2&gt;0)))</f>
        <v>1</v>
      </c>
      <c r="H398" s="0" t="n">
        <f aca="false">IF(OR($A$3=入户维修!$F398,$BN$3=1),0,3-SUMPRODUCT(--(($A$1:$A$3=入户维修!$F398)+$BN$1:$BN$3&gt;0)))</f>
        <v>2</v>
      </c>
      <c r="I398" s="0" t="n">
        <f aca="false">IF(OR($A$4=入户维修!$F398,$BN$4=1),0,4-SUMPRODUCT(--(($A$1:$A$4=入户维修!$F398)+$BN$1:$BN$4&gt;0)))</f>
        <v>3</v>
      </c>
      <c r="J398" s="0" t="n">
        <f aca="false">IF(OR($A$5=入户维修!$F398,$BN$5=1),0,5-SUMPRODUCT(--(($A$1:$A$5=入户维修!$F398)+$BN$1:$BN$5&gt;0)))</f>
        <v>4</v>
      </c>
      <c r="L398" s="0" t="str">
        <f aca="false">IFERROR(INDEX($A$1:$A$5,MATCH(1,$F398:$J398,0)),IF(1=MAX($F398:$J398)+1,"取消",""))</f>
        <v>李师傅</v>
      </c>
      <c r="M398" s="0" t="str">
        <f aca="false">IFERROR(INDEX($A$1:$A$5,MATCH(2,$F398:$J398,0)),IF(2=MAX($F398:$J398)+1,"取消",""))</f>
        <v>王师傅</v>
      </c>
      <c r="N398" s="0" t="str">
        <f aca="false">IFERROR(INDEX($A$1:$A$5,MATCH(3,$F398:$J398,0)),IF(3=MAX($F398:$J398)+1,"取消",""))</f>
        <v>陈师傅</v>
      </c>
      <c r="O398" s="0" t="str">
        <f aca="false">IFERROR(INDEX($A$1:$A$5,MATCH(4,$F398:$J398,0)),IF(4=MAX($F398:$J398)+1,"取消",""))</f>
        <v>刘师傅</v>
      </c>
      <c r="P398" s="0" t="str">
        <f aca="false">IFERROR(INDEX($A$1:$A$5,MATCH(5,$F398:$J398,0)),IF(5=MAX($F398:$J398)+1,"取消",""))</f>
        <v>取消</v>
      </c>
      <c r="Q398" s="0" t="str">
        <f aca="false">IFERROR(INDEX($A$1:$A$5,MATCH(6,$F398:$J398,0)),IF(6=MAX($F398:$J398)+1,"取消",""))</f>
        <v/>
      </c>
      <c r="S398" s="0" t="n">
        <f aca="false">IF(OR($A$1=入户维修!$F398,$A$1=入户维修!$G398,$BN$1=1),0,1-SUMPRODUCT(--(($A$1=入户维修!$F398)+($A$1=入户维修!$G398)+$BN$1&gt;0)))</f>
        <v>0</v>
      </c>
      <c r="T398" s="0" t="n">
        <f aca="false">IF(OR($A$2=入户维修!$F398,$A$2=入户维修!$G398,$BN$2=1),0,2-SUMPRODUCT(--(($A$1:$A$2=入户维修!$F398)+($A$1:$A$2=入户维修!$G398)+$BN$1:$BN$2&gt;0)))</f>
        <v>1</v>
      </c>
      <c r="U398" s="0" t="n">
        <f aca="false">IF(OR($A$3=入户维修!$F398,$A$3=入户维修!$G398,$BN$3=1),0,3-SUMPRODUCT(--(($A$1:$A$3=入户维修!$F398)+($A$1:$A$3=入户维修!$G398)+$BN$1:$BN$3&gt;0)))</f>
        <v>2</v>
      </c>
      <c r="V398" s="0" t="n">
        <f aca="false">IF(OR($A$4=入户维修!$F398,$A$4=入户维修!$G398,$BN$4=1),0,4-SUMPRODUCT(--(($A$1:$A$4=入户维修!$F398)+($A$1:$A$4=入户维修!$G398)+$BN$1:$BN$4&gt;0)))</f>
        <v>3</v>
      </c>
      <c r="W398" s="0" t="n">
        <f aca="false">IF(OR($A$5=入户维修!$F398,$A$5=入户维修!$G398,$BN$5=1),0,5-SUMPRODUCT(--(($A$1:$A$5=入户维修!$F398)+($A$1:$A$5=入户维修!$G398)+$BN$1:$BN$5&gt;0)))</f>
        <v>4</v>
      </c>
      <c r="Y398" s="0" t="str">
        <f aca="false">IFERROR(INDEX($A$1:$A$5,MATCH(1,$S398:$W398,0)),IF(1=MAX($S398:$W398)+1,"取消",""))</f>
        <v>李师傅</v>
      </c>
      <c r="Z398" s="0" t="str">
        <f aca="false">IFERROR(INDEX($A$1:$A$5,MATCH(2,$S398:$W398,0)),IF(2=MAX($S398:$W398)+1,"取消",""))</f>
        <v>王师傅</v>
      </c>
      <c r="AA398" s="0" t="str">
        <f aca="false">IFERROR(INDEX($A$1:$A$5,MATCH(3,$S398:$W398,0)),IF(3=MAX($S398:$W398)+1,"取消",""))</f>
        <v>陈师傅</v>
      </c>
      <c r="AB398" s="0" t="str">
        <f aca="false">IFERROR(INDEX($A$1:$A$5,MATCH(4,$S398:$W398,0)),IF(4=MAX($S398:$W398)+1,"取消",""))</f>
        <v>刘师傅</v>
      </c>
      <c r="AC398" s="0" t="str">
        <f aca="false">IFERROR(INDEX($A$1:$A$5,MATCH(5,$S398:$W398,0)),IF(5=MAX($S398:$W398)+1,"取消",""))</f>
        <v>取消</v>
      </c>
      <c r="AD398" s="0" t="str">
        <f aca="false">IFERROR(INDEX($A$1:$A$5,MATCH(6,$S398:$W398,0)),IF(6=MAX($S398:$W398)+1,"取消",""))</f>
        <v/>
      </c>
      <c r="AF398" s="0" t="n">
        <f aca="false">IF(OR($A$1=公区维修!$F398,$BN$1=1),0,1-SUMPRODUCT(--(($A$1=公区维修!$F398)+$BN$1&gt;0)))</f>
        <v>0</v>
      </c>
      <c r="AG398" s="0" t="n">
        <f aca="false">IF(OR($A$2=公区维修!$F398,$BN$2=1),0,2-SUMPRODUCT(--(($A$1:$A$2=公区维修!$F398)+$BN$1:$BN$2&gt;0)))</f>
        <v>1</v>
      </c>
      <c r="AH398" s="0" t="n">
        <f aca="false">IF(OR($A$3=公区维修!$F398,$BN$3=1),0,3-SUMPRODUCT(--(($A$1:$A$3=公区维修!$F398)+$BN$1:$BN$3&gt;0)))</f>
        <v>2</v>
      </c>
      <c r="AI398" s="0" t="n">
        <f aca="false">IF(OR($A$4=公区维修!$F398,$BN$4=1),0,4-SUMPRODUCT(--(($A$1:$A$4=公区维修!$F398)+$BN$1:$BN$4&gt;0)))</f>
        <v>3</v>
      </c>
      <c r="AJ398" s="0" t="n">
        <f aca="false">IF(OR($A$5=公区维修!$F398,$BN$5=1),0,5-SUMPRODUCT(--(($A$1:$A$5=公区维修!$F398)+$BN$1:$BN$5&gt;0)))</f>
        <v>4</v>
      </c>
      <c r="AL398" s="0" t="str">
        <f aca="false">IFERROR(INDEX($A$1:$A$5,MATCH(1,$AF398:$AJ398,0)),IF(1=MAX($AF398:$AJ398)+1,"取消",""))</f>
        <v>李师傅</v>
      </c>
      <c r="AM398" s="0" t="str">
        <f aca="false">IFERROR(INDEX($A$1:$A$5,MATCH(2,$AF398:$AJ398,0)),IF(2=MAX($AF398:$AJ398)+1,"取消",""))</f>
        <v>王师傅</v>
      </c>
      <c r="AN398" s="0" t="str">
        <f aca="false">IFERROR(INDEX($A$1:$A$5,MATCH(3,$AF398:$AJ398,0)),IF(3=MAX($AF398:$AJ398)+1,"取消",""))</f>
        <v>陈师傅</v>
      </c>
      <c r="AO398" s="0" t="str">
        <f aca="false">IFERROR(INDEX($A$1:$A$5,MATCH(4,$AF398:$AJ398,0)),IF(4=MAX($AF398:$AJ398)+1,"取消",""))</f>
        <v>刘师傅</v>
      </c>
      <c r="AP398" s="0" t="str">
        <f aca="false">IFERROR(INDEX($A$1:$A$5,MATCH(5,$AF398:$AJ398,0)),IF(5=MAX($AF398:$AJ398)+1,"取消",""))</f>
        <v>取消</v>
      </c>
      <c r="AQ398" s="0" t="str">
        <f aca="false">IFERROR(INDEX($A$1:$A$5,MATCH(6,$AF398:$AJ398,0)),IF(6=MAX($AF398:$AJ398)+1,"取消",""))</f>
        <v/>
      </c>
      <c r="AS398" s="0" t="n">
        <f aca="false">IF(OR($A$1=公区维修!$F398,$A$1=公区维修!$G398,$BN$1=1),0,1-SUMPRODUCT(--(($A$1=公区维修!$F398)+($A$1=公区维修!$G398)+$BN$1&gt;0)))</f>
        <v>0</v>
      </c>
      <c r="AT398" s="0" t="n">
        <f aca="false">IF(OR($A$2=公区维修!$F398,$A$2=公区维修!$G398,$BN$2=1),0,2-SUMPRODUCT(--(($A$1:$A$2=公区维修!$F398)+($A$1:$A$2=公区维修!$G398)+$BN$1:$BN$2&gt;0)))</f>
        <v>1</v>
      </c>
      <c r="AU398" s="0" t="n">
        <f aca="false">IF(OR($A$3=公区维修!$F398,$A$3=公区维修!$G398,$BN$3=1),0,3-SUMPRODUCT(--(($A$1:$A$3=公区维修!$F398)+($A$1:$A$3=公区维修!$G398)+$BN$1:$BN$3&gt;0)))</f>
        <v>2</v>
      </c>
      <c r="AV398" s="0" t="n">
        <f aca="false">IF(OR($A$4=公区维修!$F398,$A$4=公区维修!$G398,$BN$4=1),0,4-SUMPRODUCT(--(($A$1:$A$4=公区维修!$F398)+($A$1:$A$4=公区维修!$G398)+$BN$1:$BN$4&gt;0)))</f>
        <v>3</v>
      </c>
      <c r="AW398" s="0" t="n">
        <f aca="false">IF(OR($A$5=公区维修!$F398,$A$5=公区维修!$G398,$BN$5=1),0,5-SUMPRODUCT(--(($A$1:$A$5=公区维修!$F398)+($A$1:$A$5=公区维修!$G398)+$BN$1:$BN$5&gt;0)))</f>
        <v>4</v>
      </c>
      <c r="AY398" s="0" t="str">
        <f aca="false">IFERROR(INDEX($A$1:$A$5,MATCH(1,$AS398:$AW398,0)),IF(1=MAX($AS398:$AW398)+1,"取消",""))</f>
        <v>李师傅</v>
      </c>
      <c r="AZ398" s="0" t="str">
        <f aca="false">IFERROR(INDEX($A$1:$A$5,MATCH(2,$AS398:$AW398,0)),IF(2=MAX($AS398:$AW398)+1,"取消",""))</f>
        <v>王师傅</v>
      </c>
      <c r="BA398" s="0" t="str">
        <f aca="false">IFERROR(INDEX($A$1:$A$5,MATCH(3,$AS398:$AW398,0)),IF(3=MAX($AS398:$AW398)+1,"取消",""))</f>
        <v>陈师傅</v>
      </c>
      <c r="BB398" s="0" t="str">
        <f aca="false">IFERROR(INDEX($A$1:$A$5,MATCH(4,$AS398:$AW398,0)),IF(4=MAX($AS398:$AW398)+1,"取消",""))</f>
        <v>刘师傅</v>
      </c>
      <c r="BC398" s="0" t="str">
        <f aca="false">IFERROR(INDEX($A$1:$A$5,MATCH(5,$AS398:$AW398,0)),IF(5=MAX($AS398:$AW398)+1,"取消",""))</f>
        <v>取消</v>
      </c>
      <c r="BD398" s="0" t="str">
        <f aca="false">IFERROR(INDEX($A$1:$A$5,MATCH(6,$AS398:$AW398,0)),IF(6=MAX($AS398:$AW398)+1,"取消",""))</f>
        <v/>
      </c>
      <c r="FW398" s="0" t="str">
        <f aca="false">IF(AND(单元查询!$D$3&lt;&gt;"",IF(单元查询!$B$3="公区维修",公区维修!$E398&lt;&gt;"",入户维修!$E398&lt;&gt;""),IF(单元查询!$B$3="公区维修",公区维修!$C398,入户维修!$C398)=单元查询!$D$3,OR(单元查询!$F$3="",IF(单元查询!$B$3="公区维修",公区维修!$D398,入户维修!$D398)&amp;""=(单元查询!$F$3)&amp;"")),MAX($FW$4:$FW397)+1,"")</f>
        <v/>
      </c>
    </row>
    <row r="399" customFormat="false" ht="15" hidden="false" customHeight="true" outlineLevel="0" collapsed="false">
      <c r="F399" s="0" t="n">
        <f aca="false">IF(OR($A$1=入户维修!$F399,$BN$1=1),0,1-SUMPRODUCT(--(($A$1=入户维修!$F399)+$BN$1&gt;0)))</f>
        <v>0</v>
      </c>
      <c r="G399" s="0" t="n">
        <f aca="false">IF(OR($A$2=入户维修!$F399,$BN$2=1),0,2-SUMPRODUCT(--(($A$1:$A$2=入户维修!$F399)+$BN$1:$BN$2&gt;0)))</f>
        <v>1</v>
      </c>
      <c r="H399" s="0" t="n">
        <f aca="false">IF(OR($A$3=入户维修!$F399,$BN$3=1),0,3-SUMPRODUCT(--(($A$1:$A$3=入户维修!$F399)+$BN$1:$BN$3&gt;0)))</f>
        <v>2</v>
      </c>
      <c r="I399" s="0" t="n">
        <f aca="false">IF(OR($A$4=入户维修!$F399,$BN$4=1),0,4-SUMPRODUCT(--(($A$1:$A$4=入户维修!$F399)+$BN$1:$BN$4&gt;0)))</f>
        <v>3</v>
      </c>
      <c r="J399" s="0" t="n">
        <f aca="false">IF(OR($A$5=入户维修!$F399,$BN$5=1),0,5-SUMPRODUCT(--(($A$1:$A$5=入户维修!$F399)+$BN$1:$BN$5&gt;0)))</f>
        <v>4</v>
      </c>
      <c r="L399" s="0" t="str">
        <f aca="false">IFERROR(INDEX($A$1:$A$5,MATCH(1,$F399:$J399,0)),IF(1=MAX($F399:$J399)+1,"取消",""))</f>
        <v>李师傅</v>
      </c>
      <c r="M399" s="0" t="str">
        <f aca="false">IFERROR(INDEX($A$1:$A$5,MATCH(2,$F399:$J399,0)),IF(2=MAX($F399:$J399)+1,"取消",""))</f>
        <v>王师傅</v>
      </c>
      <c r="N399" s="0" t="str">
        <f aca="false">IFERROR(INDEX($A$1:$A$5,MATCH(3,$F399:$J399,0)),IF(3=MAX($F399:$J399)+1,"取消",""))</f>
        <v>陈师傅</v>
      </c>
      <c r="O399" s="0" t="str">
        <f aca="false">IFERROR(INDEX($A$1:$A$5,MATCH(4,$F399:$J399,0)),IF(4=MAX($F399:$J399)+1,"取消",""))</f>
        <v>刘师傅</v>
      </c>
      <c r="P399" s="0" t="str">
        <f aca="false">IFERROR(INDEX($A$1:$A$5,MATCH(5,$F399:$J399,0)),IF(5=MAX($F399:$J399)+1,"取消",""))</f>
        <v>取消</v>
      </c>
      <c r="Q399" s="0" t="str">
        <f aca="false">IFERROR(INDEX($A$1:$A$5,MATCH(6,$F399:$J399,0)),IF(6=MAX($F399:$J399)+1,"取消",""))</f>
        <v/>
      </c>
      <c r="S399" s="0" t="n">
        <f aca="false">IF(OR($A$1=入户维修!$F399,$A$1=入户维修!$G399,$BN$1=1),0,1-SUMPRODUCT(--(($A$1=入户维修!$F399)+($A$1=入户维修!$G399)+$BN$1&gt;0)))</f>
        <v>0</v>
      </c>
      <c r="T399" s="0" t="n">
        <f aca="false">IF(OR($A$2=入户维修!$F399,$A$2=入户维修!$G399,$BN$2=1),0,2-SUMPRODUCT(--(($A$1:$A$2=入户维修!$F399)+($A$1:$A$2=入户维修!$G399)+$BN$1:$BN$2&gt;0)))</f>
        <v>1</v>
      </c>
      <c r="U399" s="0" t="n">
        <f aca="false">IF(OR($A$3=入户维修!$F399,$A$3=入户维修!$G399,$BN$3=1),0,3-SUMPRODUCT(--(($A$1:$A$3=入户维修!$F399)+($A$1:$A$3=入户维修!$G399)+$BN$1:$BN$3&gt;0)))</f>
        <v>2</v>
      </c>
      <c r="V399" s="0" t="n">
        <f aca="false">IF(OR($A$4=入户维修!$F399,$A$4=入户维修!$G399,$BN$4=1),0,4-SUMPRODUCT(--(($A$1:$A$4=入户维修!$F399)+($A$1:$A$4=入户维修!$G399)+$BN$1:$BN$4&gt;0)))</f>
        <v>3</v>
      </c>
      <c r="W399" s="0" t="n">
        <f aca="false">IF(OR($A$5=入户维修!$F399,$A$5=入户维修!$G399,$BN$5=1),0,5-SUMPRODUCT(--(($A$1:$A$5=入户维修!$F399)+($A$1:$A$5=入户维修!$G399)+$BN$1:$BN$5&gt;0)))</f>
        <v>4</v>
      </c>
      <c r="Y399" s="0" t="str">
        <f aca="false">IFERROR(INDEX($A$1:$A$5,MATCH(1,$S399:$W399,0)),IF(1=MAX($S399:$W399)+1,"取消",""))</f>
        <v>李师傅</v>
      </c>
      <c r="Z399" s="0" t="str">
        <f aca="false">IFERROR(INDEX($A$1:$A$5,MATCH(2,$S399:$W399,0)),IF(2=MAX($S399:$W399)+1,"取消",""))</f>
        <v>王师傅</v>
      </c>
      <c r="AA399" s="0" t="str">
        <f aca="false">IFERROR(INDEX($A$1:$A$5,MATCH(3,$S399:$W399,0)),IF(3=MAX($S399:$W399)+1,"取消",""))</f>
        <v>陈师傅</v>
      </c>
      <c r="AB399" s="0" t="str">
        <f aca="false">IFERROR(INDEX($A$1:$A$5,MATCH(4,$S399:$W399,0)),IF(4=MAX($S399:$W399)+1,"取消",""))</f>
        <v>刘师傅</v>
      </c>
      <c r="AC399" s="0" t="str">
        <f aca="false">IFERROR(INDEX($A$1:$A$5,MATCH(5,$S399:$W399,0)),IF(5=MAX($S399:$W399)+1,"取消",""))</f>
        <v>取消</v>
      </c>
      <c r="AD399" s="0" t="str">
        <f aca="false">IFERROR(INDEX($A$1:$A$5,MATCH(6,$S399:$W399,0)),IF(6=MAX($S399:$W399)+1,"取消",""))</f>
        <v/>
      </c>
      <c r="AF399" s="0" t="n">
        <f aca="false">IF(OR($A$1=公区维修!$F399,$BN$1=1),0,1-SUMPRODUCT(--(($A$1=公区维修!$F399)+$BN$1&gt;0)))</f>
        <v>0</v>
      </c>
      <c r="AG399" s="0" t="n">
        <f aca="false">IF(OR($A$2=公区维修!$F399,$BN$2=1),0,2-SUMPRODUCT(--(($A$1:$A$2=公区维修!$F399)+$BN$1:$BN$2&gt;0)))</f>
        <v>1</v>
      </c>
      <c r="AH399" s="0" t="n">
        <f aca="false">IF(OR($A$3=公区维修!$F399,$BN$3=1),0,3-SUMPRODUCT(--(($A$1:$A$3=公区维修!$F399)+$BN$1:$BN$3&gt;0)))</f>
        <v>2</v>
      </c>
      <c r="AI399" s="0" t="n">
        <f aca="false">IF(OR($A$4=公区维修!$F399,$BN$4=1),0,4-SUMPRODUCT(--(($A$1:$A$4=公区维修!$F399)+$BN$1:$BN$4&gt;0)))</f>
        <v>3</v>
      </c>
      <c r="AJ399" s="0" t="n">
        <f aca="false">IF(OR($A$5=公区维修!$F399,$BN$5=1),0,5-SUMPRODUCT(--(($A$1:$A$5=公区维修!$F399)+$BN$1:$BN$5&gt;0)))</f>
        <v>4</v>
      </c>
      <c r="AL399" s="0" t="str">
        <f aca="false">IFERROR(INDEX($A$1:$A$5,MATCH(1,$AF399:$AJ399,0)),IF(1=MAX($AF399:$AJ399)+1,"取消",""))</f>
        <v>李师傅</v>
      </c>
      <c r="AM399" s="0" t="str">
        <f aca="false">IFERROR(INDEX($A$1:$A$5,MATCH(2,$AF399:$AJ399,0)),IF(2=MAX($AF399:$AJ399)+1,"取消",""))</f>
        <v>王师傅</v>
      </c>
      <c r="AN399" s="0" t="str">
        <f aca="false">IFERROR(INDEX($A$1:$A$5,MATCH(3,$AF399:$AJ399,0)),IF(3=MAX($AF399:$AJ399)+1,"取消",""))</f>
        <v>陈师傅</v>
      </c>
      <c r="AO399" s="0" t="str">
        <f aca="false">IFERROR(INDEX($A$1:$A$5,MATCH(4,$AF399:$AJ399,0)),IF(4=MAX($AF399:$AJ399)+1,"取消",""))</f>
        <v>刘师傅</v>
      </c>
      <c r="AP399" s="0" t="str">
        <f aca="false">IFERROR(INDEX($A$1:$A$5,MATCH(5,$AF399:$AJ399,0)),IF(5=MAX($AF399:$AJ399)+1,"取消",""))</f>
        <v>取消</v>
      </c>
      <c r="AQ399" s="0" t="str">
        <f aca="false">IFERROR(INDEX($A$1:$A$5,MATCH(6,$AF399:$AJ399,0)),IF(6=MAX($AF399:$AJ399)+1,"取消",""))</f>
        <v/>
      </c>
      <c r="AS399" s="0" t="n">
        <f aca="false">IF(OR($A$1=公区维修!$F399,$A$1=公区维修!$G399,$BN$1=1),0,1-SUMPRODUCT(--(($A$1=公区维修!$F399)+($A$1=公区维修!$G399)+$BN$1&gt;0)))</f>
        <v>0</v>
      </c>
      <c r="AT399" s="0" t="n">
        <f aca="false">IF(OR($A$2=公区维修!$F399,$A$2=公区维修!$G399,$BN$2=1),0,2-SUMPRODUCT(--(($A$1:$A$2=公区维修!$F399)+($A$1:$A$2=公区维修!$G399)+$BN$1:$BN$2&gt;0)))</f>
        <v>1</v>
      </c>
      <c r="AU399" s="0" t="n">
        <f aca="false">IF(OR($A$3=公区维修!$F399,$A$3=公区维修!$G399,$BN$3=1),0,3-SUMPRODUCT(--(($A$1:$A$3=公区维修!$F399)+($A$1:$A$3=公区维修!$G399)+$BN$1:$BN$3&gt;0)))</f>
        <v>2</v>
      </c>
      <c r="AV399" s="0" t="n">
        <f aca="false">IF(OR($A$4=公区维修!$F399,$A$4=公区维修!$G399,$BN$4=1),0,4-SUMPRODUCT(--(($A$1:$A$4=公区维修!$F399)+($A$1:$A$4=公区维修!$G399)+$BN$1:$BN$4&gt;0)))</f>
        <v>3</v>
      </c>
      <c r="AW399" s="0" t="n">
        <f aca="false">IF(OR($A$5=公区维修!$F399,$A$5=公区维修!$G399,$BN$5=1),0,5-SUMPRODUCT(--(($A$1:$A$5=公区维修!$F399)+($A$1:$A$5=公区维修!$G399)+$BN$1:$BN$5&gt;0)))</f>
        <v>4</v>
      </c>
      <c r="AY399" s="0" t="str">
        <f aca="false">IFERROR(INDEX($A$1:$A$5,MATCH(1,$AS399:$AW399,0)),IF(1=MAX($AS399:$AW399)+1,"取消",""))</f>
        <v>李师傅</v>
      </c>
      <c r="AZ399" s="0" t="str">
        <f aca="false">IFERROR(INDEX($A$1:$A$5,MATCH(2,$AS399:$AW399,0)),IF(2=MAX($AS399:$AW399)+1,"取消",""))</f>
        <v>王师傅</v>
      </c>
      <c r="BA399" s="0" t="str">
        <f aca="false">IFERROR(INDEX($A$1:$A$5,MATCH(3,$AS399:$AW399,0)),IF(3=MAX($AS399:$AW399)+1,"取消",""))</f>
        <v>陈师傅</v>
      </c>
      <c r="BB399" s="0" t="str">
        <f aca="false">IFERROR(INDEX($A$1:$A$5,MATCH(4,$AS399:$AW399,0)),IF(4=MAX($AS399:$AW399)+1,"取消",""))</f>
        <v>刘师傅</v>
      </c>
      <c r="BC399" s="0" t="str">
        <f aca="false">IFERROR(INDEX($A$1:$A$5,MATCH(5,$AS399:$AW399,0)),IF(5=MAX($AS399:$AW399)+1,"取消",""))</f>
        <v>取消</v>
      </c>
      <c r="BD399" s="0" t="str">
        <f aca="false">IFERROR(INDEX($A$1:$A$5,MATCH(6,$AS399:$AW399,0)),IF(6=MAX($AS399:$AW399)+1,"取消",""))</f>
        <v/>
      </c>
      <c r="FW399" s="0" t="str">
        <f aca="false">IF(AND(单元查询!$D$3&lt;&gt;"",IF(单元查询!$B$3="公区维修",公区维修!$E399&lt;&gt;"",入户维修!$E399&lt;&gt;""),IF(单元查询!$B$3="公区维修",公区维修!$C399,入户维修!$C399)=单元查询!$D$3,OR(单元查询!$F$3="",IF(单元查询!$B$3="公区维修",公区维修!$D399,入户维修!$D399)&amp;""=(单元查询!$F$3)&amp;"")),MAX($FW$4:$FW398)+1,"")</f>
        <v/>
      </c>
    </row>
    <row r="400" customFormat="false" ht="15" hidden="false" customHeight="true" outlineLevel="0" collapsed="false">
      <c r="F400" s="0" t="n">
        <f aca="false">IF(OR($A$1=入户维修!$F400,$BN$1=1),0,1-SUMPRODUCT(--(($A$1=入户维修!$F400)+$BN$1&gt;0)))</f>
        <v>0</v>
      </c>
      <c r="G400" s="0" t="n">
        <f aca="false">IF(OR($A$2=入户维修!$F400,$BN$2=1),0,2-SUMPRODUCT(--(($A$1:$A$2=入户维修!$F400)+$BN$1:$BN$2&gt;0)))</f>
        <v>1</v>
      </c>
      <c r="H400" s="0" t="n">
        <f aca="false">IF(OR($A$3=入户维修!$F400,$BN$3=1),0,3-SUMPRODUCT(--(($A$1:$A$3=入户维修!$F400)+$BN$1:$BN$3&gt;0)))</f>
        <v>2</v>
      </c>
      <c r="I400" s="0" t="n">
        <f aca="false">IF(OR($A$4=入户维修!$F400,$BN$4=1),0,4-SUMPRODUCT(--(($A$1:$A$4=入户维修!$F400)+$BN$1:$BN$4&gt;0)))</f>
        <v>3</v>
      </c>
      <c r="J400" s="0" t="n">
        <f aca="false">IF(OR($A$5=入户维修!$F400,$BN$5=1),0,5-SUMPRODUCT(--(($A$1:$A$5=入户维修!$F400)+$BN$1:$BN$5&gt;0)))</f>
        <v>4</v>
      </c>
      <c r="L400" s="0" t="str">
        <f aca="false">IFERROR(INDEX($A$1:$A$5,MATCH(1,$F400:$J400,0)),IF(1=MAX($F400:$J400)+1,"取消",""))</f>
        <v>李师傅</v>
      </c>
      <c r="M400" s="0" t="str">
        <f aca="false">IFERROR(INDEX($A$1:$A$5,MATCH(2,$F400:$J400,0)),IF(2=MAX($F400:$J400)+1,"取消",""))</f>
        <v>王师傅</v>
      </c>
      <c r="N400" s="0" t="str">
        <f aca="false">IFERROR(INDEX($A$1:$A$5,MATCH(3,$F400:$J400,0)),IF(3=MAX($F400:$J400)+1,"取消",""))</f>
        <v>陈师傅</v>
      </c>
      <c r="O400" s="0" t="str">
        <f aca="false">IFERROR(INDEX($A$1:$A$5,MATCH(4,$F400:$J400,0)),IF(4=MAX($F400:$J400)+1,"取消",""))</f>
        <v>刘师傅</v>
      </c>
      <c r="P400" s="0" t="str">
        <f aca="false">IFERROR(INDEX($A$1:$A$5,MATCH(5,$F400:$J400,0)),IF(5=MAX($F400:$J400)+1,"取消",""))</f>
        <v>取消</v>
      </c>
      <c r="Q400" s="0" t="str">
        <f aca="false">IFERROR(INDEX($A$1:$A$5,MATCH(6,$F400:$J400,0)),IF(6=MAX($F400:$J400)+1,"取消",""))</f>
        <v/>
      </c>
      <c r="S400" s="0" t="n">
        <f aca="false">IF(OR($A$1=入户维修!$F400,$A$1=入户维修!$G400,$BN$1=1),0,1-SUMPRODUCT(--(($A$1=入户维修!$F400)+($A$1=入户维修!$G400)+$BN$1&gt;0)))</f>
        <v>0</v>
      </c>
      <c r="T400" s="0" t="n">
        <f aca="false">IF(OR($A$2=入户维修!$F400,$A$2=入户维修!$G400,$BN$2=1),0,2-SUMPRODUCT(--(($A$1:$A$2=入户维修!$F400)+($A$1:$A$2=入户维修!$G400)+$BN$1:$BN$2&gt;0)))</f>
        <v>1</v>
      </c>
      <c r="U400" s="0" t="n">
        <f aca="false">IF(OR($A$3=入户维修!$F400,$A$3=入户维修!$G400,$BN$3=1),0,3-SUMPRODUCT(--(($A$1:$A$3=入户维修!$F400)+($A$1:$A$3=入户维修!$G400)+$BN$1:$BN$3&gt;0)))</f>
        <v>2</v>
      </c>
      <c r="V400" s="0" t="n">
        <f aca="false">IF(OR($A$4=入户维修!$F400,$A$4=入户维修!$G400,$BN$4=1),0,4-SUMPRODUCT(--(($A$1:$A$4=入户维修!$F400)+($A$1:$A$4=入户维修!$G400)+$BN$1:$BN$4&gt;0)))</f>
        <v>3</v>
      </c>
      <c r="W400" s="0" t="n">
        <f aca="false">IF(OR($A$5=入户维修!$F400,$A$5=入户维修!$G400,$BN$5=1),0,5-SUMPRODUCT(--(($A$1:$A$5=入户维修!$F400)+($A$1:$A$5=入户维修!$G400)+$BN$1:$BN$5&gt;0)))</f>
        <v>4</v>
      </c>
      <c r="Y400" s="0" t="str">
        <f aca="false">IFERROR(INDEX($A$1:$A$5,MATCH(1,$S400:$W400,0)),IF(1=MAX($S400:$W400)+1,"取消",""))</f>
        <v>李师傅</v>
      </c>
      <c r="Z400" s="0" t="str">
        <f aca="false">IFERROR(INDEX($A$1:$A$5,MATCH(2,$S400:$W400,0)),IF(2=MAX($S400:$W400)+1,"取消",""))</f>
        <v>王师傅</v>
      </c>
      <c r="AA400" s="0" t="str">
        <f aca="false">IFERROR(INDEX($A$1:$A$5,MATCH(3,$S400:$W400,0)),IF(3=MAX($S400:$W400)+1,"取消",""))</f>
        <v>陈师傅</v>
      </c>
      <c r="AB400" s="0" t="str">
        <f aca="false">IFERROR(INDEX($A$1:$A$5,MATCH(4,$S400:$W400,0)),IF(4=MAX($S400:$W400)+1,"取消",""))</f>
        <v>刘师傅</v>
      </c>
      <c r="AC400" s="0" t="str">
        <f aca="false">IFERROR(INDEX($A$1:$A$5,MATCH(5,$S400:$W400,0)),IF(5=MAX($S400:$W400)+1,"取消",""))</f>
        <v>取消</v>
      </c>
      <c r="AD400" s="0" t="str">
        <f aca="false">IFERROR(INDEX($A$1:$A$5,MATCH(6,$S400:$W400,0)),IF(6=MAX($S400:$W400)+1,"取消",""))</f>
        <v/>
      </c>
      <c r="AF400" s="0" t="n">
        <f aca="false">IF(OR($A$1=公区维修!$F400,$BN$1=1),0,1-SUMPRODUCT(--(($A$1=公区维修!$F400)+$BN$1&gt;0)))</f>
        <v>0</v>
      </c>
      <c r="AG400" s="0" t="n">
        <f aca="false">IF(OR($A$2=公区维修!$F400,$BN$2=1),0,2-SUMPRODUCT(--(($A$1:$A$2=公区维修!$F400)+$BN$1:$BN$2&gt;0)))</f>
        <v>1</v>
      </c>
      <c r="AH400" s="0" t="n">
        <f aca="false">IF(OR($A$3=公区维修!$F400,$BN$3=1),0,3-SUMPRODUCT(--(($A$1:$A$3=公区维修!$F400)+$BN$1:$BN$3&gt;0)))</f>
        <v>2</v>
      </c>
      <c r="AI400" s="0" t="n">
        <f aca="false">IF(OR($A$4=公区维修!$F400,$BN$4=1),0,4-SUMPRODUCT(--(($A$1:$A$4=公区维修!$F400)+$BN$1:$BN$4&gt;0)))</f>
        <v>3</v>
      </c>
      <c r="AJ400" s="0" t="n">
        <f aca="false">IF(OR($A$5=公区维修!$F400,$BN$5=1),0,5-SUMPRODUCT(--(($A$1:$A$5=公区维修!$F400)+$BN$1:$BN$5&gt;0)))</f>
        <v>4</v>
      </c>
      <c r="AL400" s="0" t="str">
        <f aca="false">IFERROR(INDEX($A$1:$A$5,MATCH(1,$AF400:$AJ400,0)),IF(1=MAX($AF400:$AJ400)+1,"取消",""))</f>
        <v>李师傅</v>
      </c>
      <c r="AM400" s="0" t="str">
        <f aca="false">IFERROR(INDEX($A$1:$A$5,MATCH(2,$AF400:$AJ400,0)),IF(2=MAX($AF400:$AJ400)+1,"取消",""))</f>
        <v>王师傅</v>
      </c>
      <c r="AN400" s="0" t="str">
        <f aca="false">IFERROR(INDEX($A$1:$A$5,MATCH(3,$AF400:$AJ400,0)),IF(3=MAX($AF400:$AJ400)+1,"取消",""))</f>
        <v>陈师傅</v>
      </c>
      <c r="AO400" s="0" t="str">
        <f aca="false">IFERROR(INDEX($A$1:$A$5,MATCH(4,$AF400:$AJ400,0)),IF(4=MAX($AF400:$AJ400)+1,"取消",""))</f>
        <v>刘师傅</v>
      </c>
      <c r="AP400" s="0" t="str">
        <f aca="false">IFERROR(INDEX($A$1:$A$5,MATCH(5,$AF400:$AJ400,0)),IF(5=MAX($AF400:$AJ400)+1,"取消",""))</f>
        <v>取消</v>
      </c>
      <c r="AQ400" s="0" t="str">
        <f aca="false">IFERROR(INDEX($A$1:$A$5,MATCH(6,$AF400:$AJ400,0)),IF(6=MAX($AF400:$AJ400)+1,"取消",""))</f>
        <v/>
      </c>
      <c r="AS400" s="0" t="n">
        <f aca="false">IF(OR($A$1=公区维修!$F400,$A$1=公区维修!$G400,$BN$1=1),0,1-SUMPRODUCT(--(($A$1=公区维修!$F400)+($A$1=公区维修!$G400)+$BN$1&gt;0)))</f>
        <v>0</v>
      </c>
      <c r="AT400" s="0" t="n">
        <f aca="false">IF(OR($A$2=公区维修!$F400,$A$2=公区维修!$G400,$BN$2=1),0,2-SUMPRODUCT(--(($A$1:$A$2=公区维修!$F400)+($A$1:$A$2=公区维修!$G400)+$BN$1:$BN$2&gt;0)))</f>
        <v>1</v>
      </c>
      <c r="AU400" s="0" t="n">
        <f aca="false">IF(OR($A$3=公区维修!$F400,$A$3=公区维修!$G400,$BN$3=1),0,3-SUMPRODUCT(--(($A$1:$A$3=公区维修!$F400)+($A$1:$A$3=公区维修!$G400)+$BN$1:$BN$3&gt;0)))</f>
        <v>2</v>
      </c>
      <c r="AV400" s="0" t="n">
        <f aca="false">IF(OR($A$4=公区维修!$F400,$A$4=公区维修!$G400,$BN$4=1),0,4-SUMPRODUCT(--(($A$1:$A$4=公区维修!$F400)+($A$1:$A$4=公区维修!$G400)+$BN$1:$BN$4&gt;0)))</f>
        <v>3</v>
      </c>
      <c r="AW400" s="0" t="n">
        <f aca="false">IF(OR($A$5=公区维修!$F400,$A$5=公区维修!$G400,$BN$5=1),0,5-SUMPRODUCT(--(($A$1:$A$5=公区维修!$F400)+($A$1:$A$5=公区维修!$G400)+$BN$1:$BN$5&gt;0)))</f>
        <v>4</v>
      </c>
      <c r="AY400" s="0" t="str">
        <f aca="false">IFERROR(INDEX($A$1:$A$5,MATCH(1,$AS400:$AW400,0)),IF(1=MAX($AS400:$AW400)+1,"取消",""))</f>
        <v>李师傅</v>
      </c>
      <c r="AZ400" s="0" t="str">
        <f aca="false">IFERROR(INDEX($A$1:$A$5,MATCH(2,$AS400:$AW400,0)),IF(2=MAX($AS400:$AW400)+1,"取消",""))</f>
        <v>王师傅</v>
      </c>
      <c r="BA400" s="0" t="str">
        <f aca="false">IFERROR(INDEX($A$1:$A$5,MATCH(3,$AS400:$AW400,0)),IF(3=MAX($AS400:$AW400)+1,"取消",""))</f>
        <v>陈师傅</v>
      </c>
      <c r="BB400" s="0" t="str">
        <f aca="false">IFERROR(INDEX($A$1:$A$5,MATCH(4,$AS400:$AW400,0)),IF(4=MAX($AS400:$AW400)+1,"取消",""))</f>
        <v>刘师傅</v>
      </c>
      <c r="BC400" s="0" t="str">
        <f aca="false">IFERROR(INDEX($A$1:$A$5,MATCH(5,$AS400:$AW400,0)),IF(5=MAX($AS400:$AW400)+1,"取消",""))</f>
        <v>取消</v>
      </c>
      <c r="BD400" s="0" t="str">
        <f aca="false">IFERROR(INDEX($A$1:$A$5,MATCH(6,$AS400:$AW400,0)),IF(6=MAX($AS400:$AW400)+1,"取消",""))</f>
        <v/>
      </c>
      <c r="FW400" s="0" t="str">
        <f aca="false">IF(AND(单元查询!$D$3&lt;&gt;"",IF(单元查询!$B$3="公区维修",公区维修!$E400&lt;&gt;"",入户维修!$E400&lt;&gt;""),IF(单元查询!$B$3="公区维修",公区维修!$C400,入户维修!$C400)=单元查询!$D$3,OR(单元查询!$F$3="",IF(单元查询!$B$3="公区维修",公区维修!$D400,入户维修!$D400)&amp;""=(单元查询!$F$3)&amp;"")),MAX($FW$4:$FW399)+1,"")</f>
        <v/>
      </c>
    </row>
    <row r="401" customFormat="false" ht="15" hidden="false" customHeight="true" outlineLevel="0" collapsed="false">
      <c r="F401" s="0" t="n">
        <f aca="false">IF(OR($A$1=入户维修!$F401,$BN$1=1),0,1-SUMPRODUCT(--(($A$1=入户维修!$F401)+$BN$1&gt;0)))</f>
        <v>0</v>
      </c>
      <c r="G401" s="0" t="n">
        <f aca="false">IF(OR($A$2=入户维修!$F401,$BN$2=1),0,2-SUMPRODUCT(--(($A$1:$A$2=入户维修!$F401)+$BN$1:$BN$2&gt;0)))</f>
        <v>1</v>
      </c>
      <c r="H401" s="0" t="n">
        <f aca="false">IF(OR($A$3=入户维修!$F401,$BN$3=1),0,3-SUMPRODUCT(--(($A$1:$A$3=入户维修!$F401)+$BN$1:$BN$3&gt;0)))</f>
        <v>2</v>
      </c>
      <c r="I401" s="0" t="n">
        <f aca="false">IF(OR($A$4=入户维修!$F401,$BN$4=1),0,4-SUMPRODUCT(--(($A$1:$A$4=入户维修!$F401)+$BN$1:$BN$4&gt;0)))</f>
        <v>3</v>
      </c>
      <c r="J401" s="0" t="n">
        <f aca="false">IF(OR($A$5=入户维修!$F401,$BN$5=1),0,5-SUMPRODUCT(--(($A$1:$A$5=入户维修!$F401)+$BN$1:$BN$5&gt;0)))</f>
        <v>4</v>
      </c>
      <c r="L401" s="0" t="str">
        <f aca="false">IFERROR(INDEX($A$1:$A$5,MATCH(1,$F401:$J401,0)),IF(1=MAX($F401:$J401)+1,"取消",""))</f>
        <v>李师傅</v>
      </c>
      <c r="M401" s="0" t="str">
        <f aca="false">IFERROR(INDEX($A$1:$A$5,MATCH(2,$F401:$J401,0)),IF(2=MAX($F401:$J401)+1,"取消",""))</f>
        <v>王师傅</v>
      </c>
      <c r="N401" s="0" t="str">
        <f aca="false">IFERROR(INDEX($A$1:$A$5,MATCH(3,$F401:$J401,0)),IF(3=MAX($F401:$J401)+1,"取消",""))</f>
        <v>陈师傅</v>
      </c>
      <c r="O401" s="0" t="str">
        <f aca="false">IFERROR(INDEX($A$1:$A$5,MATCH(4,$F401:$J401,0)),IF(4=MAX($F401:$J401)+1,"取消",""))</f>
        <v>刘师傅</v>
      </c>
      <c r="P401" s="0" t="str">
        <f aca="false">IFERROR(INDEX($A$1:$A$5,MATCH(5,$F401:$J401,0)),IF(5=MAX($F401:$J401)+1,"取消",""))</f>
        <v>取消</v>
      </c>
      <c r="Q401" s="0" t="str">
        <f aca="false">IFERROR(INDEX($A$1:$A$5,MATCH(6,$F401:$J401,0)),IF(6=MAX($F401:$J401)+1,"取消",""))</f>
        <v/>
      </c>
      <c r="S401" s="0" t="n">
        <f aca="false">IF(OR($A$1=入户维修!$F401,$A$1=入户维修!$G401,$BN$1=1),0,1-SUMPRODUCT(--(($A$1=入户维修!$F401)+($A$1=入户维修!$G401)+$BN$1&gt;0)))</f>
        <v>0</v>
      </c>
      <c r="T401" s="0" t="n">
        <f aca="false">IF(OR($A$2=入户维修!$F401,$A$2=入户维修!$G401,$BN$2=1),0,2-SUMPRODUCT(--(($A$1:$A$2=入户维修!$F401)+($A$1:$A$2=入户维修!$G401)+$BN$1:$BN$2&gt;0)))</f>
        <v>1</v>
      </c>
      <c r="U401" s="0" t="n">
        <f aca="false">IF(OR($A$3=入户维修!$F401,$A$3=入户维修!$G401,$BN$3=1),0,3-SUMPRODUCT(--(($A$1:$A$3=入户维修!$F401)+($A$1:$A$3=入户维修!$G401)+$BN$1:$BN$3&gt;0)))</f>
        <v>2</v>
      </c>
      <c r="V401" s="0" t="n">
        <f aca="false">IF(OR($A$4=入户维修!$F401,$A$4=入户维修!$G401,$BN$4=1),0,4-SUMPRODUCT(--(($A$1:$A$4=入户维修!$F401)+($A$1:$A$4=入户维修!$G401)+$BN$1:$BN$4&gt;0)))</f>
        <v>3</v>
      </c>
      <c r="W401" s="0" t="n">
        <f aca="false">IF(OR($A$5=入户维修!$F401,$A$5=入户维修!$G401,$BN$5=1),0,5-SUMPRODUCT(--(($A$1:$A$5=入户维修!$F401)+($A$1:$A$5=入户维修!$G401)+$BN$1:$BN$5&gt;0)))</f>
        <v>4</v>
      </c>
      <c r="Y401" s="0" t="str">
        <f aca="false">IFERROR(INDEX($A$1:$A$5,MATCH(1,$S401:$W401,0)),IF(1=MAX($S401:$W401)+1,"取消",""))</f>
        <v>李师傅</v>
      </c>
      <c r="Z401" s="0" t="str">
        <f aca="false">IFERROR(INDEX($A$1:$A$5,MATCH(2,$S401:$W401,0)),IF(2=MAX($S401:$W401)+1,"取消",""))</f>
        <v>王师傅</v>
      </c>
      <c r="AA401" s="0" t="str">
        <f aca="false">IFERROR(INDEX($A$1:$A$5,MATCH(3,$S401:$W401,0)),IF(3=MAX($S401:$W401)+1,"取消",""))</f>
        <v>陈师傅</v>
      </c>
      <c r="AB401" s="0" t="str">
        <f aca="false">IFERROR(INDEX($A$1:$A$5,MATCH(4,$S401:$W401,0)),IF(4=MAX($S401:$W401)+1,"取消",""))</f>
        <v>刘师傅</v>
      </c>
      <c r="AC401" s="0" t="str">
        <f aca="false">IFERROR(INDEX($A$1:$A$5,MATCH(5,$S401:$W401,0)),IF(5=MAX($S401:$W401)+1,"取消",""))</f>
        <v>取消</v>
      </c>
      <c r="AD401" s="0" t="str">
        <f aca="false">IFERROR(INDEX($A$1:$A$5,MATCH(6,$S401:$W401,0)),IF(6=MAX($S401:$W401)+1,"取消",""))</f>
        <v/>
      </c>
      <c r="AF401" s="0" t="n">
        <f aca="false">IF(OR($A$1=公区维修!$F401,$BN$1=1),0,1-SUMPRODUCT(--(($A$1=公区维修!$F401)+$BN$1&gt;0)))</f>
        <v>0</v>
      </c>
      <c r="AG401" s="0" t="n">
        <f aca="false">IF(OR($A$2=公区维修!$F401,$BN$2=1),0,2-SUMPRODUCT(--(($A$1:$A$2=公区维修!$F401)+$BN$1:$BN$2&gt;0)))</f>
        <v>1</v>
      </c>
      <c r="AH401" s="0" t="n">
        <f aca="false">IF(OR($A$3=公区维修!$F401,$BN$3=1),0,3-SUMPRODUCT(--(($A$1:$A$3=公区维修!$F401)+$BN$1:$BN$3&gt;0)))</f>
        <v>2</v>
      </c>
      <c r="AI401" s="0" t="n">
        <f aca="false">IF(OR($A$4=公区维修!$F401,$BN$4=1),0,4-SUMPRODUCT(--(($A$1:$A$4=公区维修!$F401)+$BN$1:$BN$4&gt;0)))</f>
        <v>3</v>
      </c>
      <c r="AJ401" s="0" t="n">
        <f aca="false">IF(OR($A$5=公区维修!$F401,$BN$5=1),0,5-SUMPRODUCT(--(($A$1:$A$5=公区维修!$F401)+$BN$1:$BN$5&gt;0)))</f>
        <v>4</v>
      </c>
      <c r="AL401" s="0" t="str">
        <f aca="false">IFERROR(INDEX($A$1:$A$5,MATCH(1,$AF401:$AJ401,0)),IF(1=MAX($AF401:$AJ401)+1,"取消",""))</f>
        <v>李师傅</v>
      </c>
      <c r="AM401" s="0" t="str">
        <f aca="false">IFERROR(INDEX($A$1:$A$5,MATCH(2,$AF401:$AJ401,0)),IF(2=MAX($AF401:$AJ401)+1,"取消",""))</f>
        <v>王师傅</v>
      </c>
      <c r="AN401" s="0" t="str">
        <f aca="false">IFERROR(INDEX($A$1:$A$5,MATCH(3,$AF401:$AJ401,0)),IF(3=MAX($AF401:$AJ401)+1,"取消",""))</f>
        <v>陈师傅</v>
      </c>
      <c r="AO401" s="0" t="str">
        <f aca="false">IFERROR(INDEX($A$1:$A$5,MATCH(4,$AF401:$AJ401,0)),IF(4=MAX($AF401:$AJ401)+1,"取消",""))</f>
        <v>刘师傅</v>
      </c>
      <c r="AP401" s="0" t="str">
        <f aca="false">IFERROR(INDEX($A$1:$A$5,MATCH(5,$AF401:$AJ401,0)),IF(5=MAX($AF401:$AJ401)+1,"取消",""))</f>
        <v>取消</v>
      </c>
      <c r="AQ401" s="0" t="str">
        <f aca="false">IFERROR(INDEX($A$1:$A$5,MATCH(6,$AF401:$AJ401,0)),IF(6=MAX($AF401:$AJ401)+1,"取消",""))</f>
        <v/>
      </c>
      <c r="AS401" s="0" t="n">
        <f aca="false">IF(OR($A$1=公区维修!$F401,$A$1=公区维修!$G401,$BN$1=1),0,1-SUMPRODUCT(--(($A$1=公区维修!$F401)+($A$1=公区维修!$G401)+$BN$1&gt;0)))</f>
        <v>0</v>
      </c>
      <c r="AT401" s="0" t="n">
        <f aca="false">IF(OR($A$2=公区维修!$F401,$A$2=公区维修!$G401,$BN$2=1),0,2-SUMPRODUCT(--(($A$1:$A$2=公区维修!$F401)+($A$1:$A$2=公区维修!$G401)+$BN$1:$BN$2&gt;0)))</f>
        <v>1</v>
      </c>
      <c r="AU401" s="0" t="n">
        <f aca="false">IF(OR($A$3=公区维修!$F401,$A$3=公区维修!$G401,$BN$3=1),0,3-SUMPRODUCT(--(($A$1:$A$3=公区维修!$F401)+($A$1:$A$3=公区维修!$G401)+$BN$1:$BN$3&gt;0)))</f>
        <v>2</v>
      </c>
      <c r="AV401" s="0" t="n">
        <f aca="false">IF(OR($A$4=公区维修!$F401,$A$4=公区维修!$G401,$BN$4=1),0,4-SUMPRODUCT(--(($A$1:$A$4=公区维修!$F401)+($A$1:$A$4=公区维修!$G401)+$BN$1:$BN$4&gt;0)))</f>
        <v>3</v>
      </c>
      <c r="AW401" s="0" t="n">
        <f aca="false">IF(OR($A$5=公区维修!$F401,$A$5=公区维修!$G401,$BN$5=1),0,5-SUMPRODUCT(--(($A$1:$A$5=公区维修!$F401)+($A$1:$A$5=公区维修!$G401)+$BN$1:$BN$5&gt;0)))</f>
        <v>4</v>
      </c>
      <c r="AY401" s="0" t="str">
        <f aca="false">IFERROR(INDEX($A$1:$A$5,MATCH(1,$AS401:$AW401,0)),IF(1=MAX($AS401:$AW401)+1,"取消",""))</f>
        <v>李师傅</v>
      </c>
      <c r="AZ401" s="0" t="str">
        <f aca="false">IFERROR(INDEX($A$1:$A$5,MATCH(2,$AS401:$AW401,0)),IF(2=MAX($AS401:$AW401)+1,"取消",""))</f>
        <v>王师傅</v>
      </c>
      <c r="BA401" s="0" t="str">
        <f aca="false">IFERROR(INDEX($A$1:$A$5,MATCH(3,$AS401:$AW401,0)),IF(3=MAX($AS401:$AW401)+1,"取消",""))</f>
        <v>陈师傅</v>
      </c>
      <c r="BB401" s="0" t="str">
        <f aca="false">IFERROR(INDEX($A$1:$A$5,MATCH(4,$AS401:$AW401,0)),IF(4=MAX($AS401:$AW401)+1,"取消",""))</f>
        <v>刘师傅</v>
      </c>
      <c r="BC401" s="0" t="str">
        <f aca="false">IFERROR(INDEX($A$1:$A$5,MATCH(5,$AS401:$AW401,0)),IF(5=MAX($AS401:$AW401)+1,"取消",""))</f>
        <v>取消</v>
      </c>
      <c r="BD401" s="0" t="str">
        <f aca="false">IFERROR(INDEX($A$1:$A$5,MATCH(6,$AS401:$AW401,0)),IF(6=MAX($AS401:$AW401)+1,"取消",""))</f>
        <v/>
      </c>
      <c r="FW401" s="0" t="str">
        <f aca="false">IF(AND(单元查询!$D$3&lt;&gt;"",IF(单元查询!$B$3="公区维修",公区维修!$E401&lt;&gt;"",入户维修!$E401&lt;&gt;""),IF(单元查询!$B$3="公区维修",公区维修!$C401,入户维修!$C401)=单元查询!$D$3,OR(单元查询!$F$3="",IF(单元查询!$B$3="公区维修",公区维修!$D401,入户维修!$D401)&amp;""=(单元查询!$F$3)&amp;"")),MAX($FW$4:$FW400)+1,"")</f>
        <v/>
      </c>
    </row>
    <row r="402" customFormat="false" ht="15" hidden="false" customHeight="true" outlineLevel="0" collapsed="false">
      <c r="F402" s="0" t="n">
        <f aca="false">IF(OR($A$1=入户维修!$F402,$BN$1=1),0,1-SUMPRODUCT(--(($A$1=入户维修!$F402)+$BN$1&gt;0)))</f>
        <v>0</v>
      </c>
      <c r="G402" s="0" t="n">
        <f aca="false">IF(OR($A$2=入户维修!$F402,$BN$2=1),0,2-SUMPRODUCT(--(($A$1:$A$2=入户维修!$F402)+$BN$1:$BN$2&gt;0)))</f>
        <v>1</v>
      </c>
      <c r="H402" s="0" t="n">
        <f aca="false">IF(OR($A$3=入户维修!$F402,$BN$3=1),0,3-SUMPRODUCT(--(($A$1:$A$3=入户维修!$F402)+$BN$1:$BN$3&gt;0)))</f>
        <v>2</v>
      </c>
      <c r="I402" s="0" t="n">
        <f aca="false">IF(OR($A$4=入户维修!$F402,$BN$4=1),0,4-SUMPRODUCT(--(($A$1:$A$4=入户维修!$F402)+$BN$1:$BN$4&gt;0)))</f>
        <v>3</v>
      </c>
      <c r="J402" s="0" t="n">
        <f aca="false">IF(OR($A$5=入户维修!$F402,$BN$5=1),0,5-SUMPRODUCT(--(($A$1:$A$5=入户维修!$F402)+$BN$1:$BN$5&gt;0)))</f>
        <v>4</v>
      </c>
      <c r="L402" s="0" t="str">
        <f aca="false">IFERROR(INDEX($A$1:$A$5,MATCH(1,$F402:$J402,0)),IF(1=MAX($F402:$J402)+1,"取消",""))</f>
        <v>李师傅</v>
      </c>
      <c r="M402" s="0" t="str">
        <f aca="false">IFERROR(INDEX($A$1:$A$5,MATCH(2,$F402:$J402,0)),IF(2=MAX($F402:$J402)+1,"取消",""))</f>
        <v>王师傅</v>
      </c>
      <c r="N402" s="0" t="str">
        <f aca="false">IFERROR(INDEX($A$1:$A$5,MATCH(3,$F402:$J402,0)),IF(3=MAX($F402:$J402)+1,"取消",""))</f>
        <v>陈师傅</v>
      </c>
      <c r="O402" s="0" t="str">
        <f aca="false">IFERROR(INDEX($A$1:$A$5,MATCH(4,$F402:$J402,0)),IF(4=MAX($F402:$J402)+1,"取消",""))</f>
        <v>刘师傅</v>
      </c>
      <c r="P402" s="0" t="str">
        <f aca="false">IFERROR(INDEX($A$1:$A$5,MATCH(5,$F402:$J402,0)),IF(5=MAX($F402:$J402)+1,"取消",""))</f>
        <v>取消</v>
      </c>
      <c r="Q402" s="0" t="str">
        <f aca="false">IFERROR(INDEX($A$1:$A$5,MATCH(6,$F402:$J402,0)),IF(6=MAX($F402:$J402)+1,"取消",""))</f>
        <v/>
      </c>
      <c r="S402" s="0" t="n">
        <f aca="false">IF(OR($A$1=入户维修!$F402,$A$1=入户维修!$G402,$BN$1=1),0,1-SUMPRODUCT(--(($A$1=入户维修!$F402)+($A$1=入户维修!$G402)+$BN$1&gt;0)))</f>
        <v>0</v>
      </c>
      <c r="T402" s="0" t="n">
        <f aca="false">IF(OR($A$2=入户维修!$F402,$A$2=入户维修!$G402,$BN$2=1),0,2-SUMPRODUCT(--(($A$1:$A$2=入户维修!$F402)+($A$1:$A$2=入户维修!$G402)+$BN$1:$BN$2&gt;0)))</f>
        <v>1</v>
      </c>
      <c r="U402" s="0" t="n">
        <f aca="false">IF(OR($A$3=入户维修!$F402,$A$3=入户维修!$G402,$BN$3=1),0,3-SUMPRODUCT(--(($A$1:$A$3=入户维修!$F402)+($A$1:$A$3=入户维修!$G402)+$BN$1:$BN$3&gt;0)))</f>
        <v>2</v>
      </c>
      <c r="V402" s="0" t="n">
        <f aca="false">IF(OR($A$4=入户维修!$F402,$A$4=入户维修!$G402,$BN$4=1),0,4-SUMPRODUCT(--(($A$1:$A$4=入户维修!$F402)+($A$1:$A$4=入户维修!$G402)+$BN$1:$BN$4&gt;0)))</f>
        <v>3</v>
      </c>
      <c r="W402" s="0" t="n">
        <f aca="false">IF(OR($A$5=入户维修!$F402,$A$5=入户维修!$G402,$BN$5=1),0,5-SUMPRODUCT(--(($A$1:$A$5=入户维修!$F402)+($A$1:$A$5=入户维修!$G402)+$BN$1:$BN$5&gt;0)))</f>
        <v>4</v>
      </c>
      <c r="Y402" s="0" t="str">
        <f aca="false">IFERROR(INDEX($A$1:$A$5,MATCH(1,$S402:$W402,0)),IF(1=MAX($S402:$W402)+1,"取消",""))</f>
        <v>李师傅</v>
      </c>
      <c r="Z402" s="0" t="str">
        <f aca="false">IFERROR(INDEX($A$1:$A$5,MATCH(2,$S402:$W402,0)),IF(2=MAX($S402:$W402)+1,"取消",""))</f>
        <v>王师傅</v>
      </c>
      <c r="AA402" s="0" t="str">
        <f aca="false">IFERROR(INDEX($A$1:$A$5,MATCH(3,$S402:$W402,0)),IF(3=MAX($S402:$W402)+1,"取消",""))</f>
        <v>陈师傅</v>
      </c>
      <c r="AB402" s="0" t="str">
        <f aca="false">IFERROR(INDEX($A$1:$A$5,MATCH(4,$S402:$W402,0)),IF(4=MAX($S402:$W402)+1,"取消",""))</f>
        <v>刘师傅</v>
      </c>
      <c r="AC402" s="0" t="str">
        <f aca="false">IFERROR(INDEX($A$1:$A$5,MATCH(5,$S402:$W402,0)),IF(5=MAX($S402:$W402)+1,"取消",""))</f>
        <v>取消</v>
      </c>
      <c r="AD402" s="0" t="str">
        <f aca="false">IFERROR(INDEX($A$1:$A$5,MATCH(6,$S402:$W402,0)),IF(6=MAX($S402:$W402)+1,"取消",""))</f>
        <v/>
      </c>
      <c r="AF402" s="0" t="n">
        <f aca="false">IF(OR($A$1=公区维修!$F402,$BN$1=1),0,1-SUMPRODUCT(--(($A$1=公区维修!$F402)+$BN$1&gt;0)))</f>
        <v>0</v>
      </c>
      <c r="AG402" s="0" t="n">
        <f aca="false">IF(OR($A$2=公区维修!$F402,$BN$2=1),0,2-SUMPRODUCT(--(($A$1:$A$2=公区维修!$F402)+$BN$1:$BN$2&gt;0)))</f>
        <v>1</v>
      </c>
      <c r="AH402" s="0" t="n">
        <f aca="false">IF(OR($A$3=公区维修!$F402,$BN$3=1),0,3-SUMPRODUCT(--(($A$1:$A$3=公区维修!$F402)+$BN$1:$BN$3&gt;0)))</f>
        <v>2</v>
      </c>
      <c r="AI402" s="0" t="n">
        <f aca="false">IF(OR($A$4=公区维修!$F402,$BN$4=1),0,4-SUMPRODUCT(--(($A$1:$A$4=公区维修!$F402)+$BN$1:$BN$4&gt;0)))</f>
        <v>3</v>
      </c>
      <c r="AJ402" s="0" t="n">
        <f aca="false">IF(OR($A$5=公区维修!$F402,$BN$5=1),0,5-SUMPRODUCT(--(($A$1:$A$5=公区维修!$F402)+$BN$1:$BN$5&gt;0)))</f>
        <v>4</v>
      </c>
      <c r="AL402" s="0" t="str">
        <f aca="false">IFERROR(INDEX($A$1:$A$5,MATCH(1,$AF402:$AJ402,0)),IF(1=MAX($AF402:$AJ402)+1,"取消",""))</f>
        <v>李师傅</v>
      </c>
      <c r="AM402" s="0" t="str">
        <f aca="false">IFERROR(INDEX($A$1:$A$5,MATCH(2,$AF402:$AJ402,0)),IF(2=MAX($AF402:$AJ402)+1,"取消",""))</f>
        <v>王师傅</v>
      </c>
      <c r="AN402" s="0" t="str">
        <f aca="false">IFERROR(INDEX($A$1:$A$5,MATCH(3,$AF402:$AJ402,0)),IF(3=MAX($AF402:$AJ402)+1,"取消",""))</f>
        <v>陈师傅</v>
      </c>
      <c r="AO402" s="0" t="str">
        <f aca="false">IFERROR(INDEX($A$1:$A$5,MATCH(4,$AF402:$AJ402,0)),IF(4=MAX($AF402:$AJ402)+1,"取消",""))</f>
        <v>刘师傅</v>
      </c>
      <c r="AP402" s="0" t="str">
        <f aca="false">IFERROR(INDEX($A$1:$A$5,MATCH(5,$AF402:$AJ402,0)),IF(5=MAX($AF402:$AJ402)+1,"取消",""))</f>
        <v>取消</v>
      </c>
      <c r="AQ402" s="0" t="str">
        <f aca="false">IFERROR(INDEX($A$1:$A$5,MATCH(6,$AF402:$AJ402,0)),IF(6=MAX($AF402:$AJ402)+1,"取消",""))</f>
        <v/>
      </c>
      <c r="AS402" s="0" t="n">
        <f aca="false">IF(OR($A$1=公区维修!$F402,$A$1=公区维修!$G402,$BN$1=1),0,1-SUMPRODUCT(--(($A$1=公区维修!$F402)+($A$1=公区维修!$G402)+$BN$1&gt;0)))</f>
        <v>0</v>
      </c>
      <c r="AT402" s="0" t="n">
        <f aca="false">IF(OR($A$2=公区维修!$F402,$A$2=公区维修!$G402,$BN$2=1),0,2-SUMPRODUCT(--(($A$1:$A$2=公区维修!$F402)+($A$1:$A$2=公区维修!$G402)+$BN$1:$BN$2&gt;0)))</f>
        <v>1</v>
      </c>
      <c r="AU402" s="0" t="n">
        <f aca="false">IF(OR($A$3=公区维修!$F402,$A$3=公区维修!$G402,$BN$3=1),0,3-SUMPRODUCT(--(($A$1:$A$3=公区维修!$F402)+($A$1:$A$3=公区维修!$G402)+$BN$1:$BN$3&gt;0)))</f>
        <v>2</v>
      </c>
      <c r="AV402" s="0" t="n">
        <f aca="false">IF(OR($A$4=公区维修!$F402,$A$4=公区维修!$G402,$BN$4=1),0,4-SUMPRODUCT(--(($A$1:$A$4=公区维修!$F402)+($A$1:$A$4=公区维修!$G402)+$BN$1:$BN$4&gt;0)))</f>
        <v>3</v>
      </c>
      <c r="AW402" s="0" t="n">
        <f aca="false">IF(OR($A$5=公区维修!$F402,$A$5=公区维修!$G402,$BN$5=1),0,5-SUMPRODUCT(--(($A$1:$A$5=公区维修!$F402)+($A$1:$A$5=公区维修!$G402)+$BN$1:$BN$5&gt;0)))</f>
        <v>4</v>
      </c>
      <c r="AY402" s="0" t="str">
        <f aca="false">IFERROR(INDEX($A$1:$A$5,MATCH(1,$AS402:$AW402,0)),IF(1=MAX($AS402:$AW402)+1,"取消",""))</f>
        <v>李师傅</v>
      </c>
      <c r="AZ402" s="0" t="str">
        <f aca="false">IFERROR(INDEX($A$1:$A$5,MATCH(2,$AS402:$AW402,0)),IF(2=MAX($AS402:$AW402)+1,"取消",""))</f>
        <v>王师傅</v>
      </c>
      <c r="BA402" s="0" t="str">
        <f aca="false">IFERROR(INDEX($A$1:$A$5,MATCH(3,$AS402:$AW402,0)),IF(3=MAX($AS402:$AW402)+1,"取消",""))</f>
        <v>陈师傅</v>
      </c>
      <c r="BB402" s="0" t="str">
        <f aca="false">IFERROR(INDEX($A$1:$A$5,MATCH(4,$AS402:$AW402,0)),IF(4=MAX($AS402:$AW402)+1,"取消",""))</f>
        <v>刘师傅</v>
      </c>
      <c r="BC402" s="0" t="str">
        <f aca="false">IFERROR(INDEX($A$1:$A$5,MATCH(5,$AS402:$AW402,0)),IF(5=MAX($AS402:$AW402)+1,"取消",""))</f>
        <v>取消</v>
      </c>
      <c r="BD402" s="0" t="str">
        <f aca="false">IFERROR(INDEX($A$1:$A$5,MATCH(6,$AS402:$AW402,0)),IF(6=MAX($AS402:$AW402)+1,"取消",""))</f>
        <v/>
      </c>
      <c r="FW402" s="0" t="str">
        <f aca="false">IF(AND(单元查询!$D$3&lt;&gt;"",IF(单元查询!$B$3="公区维修",公区维修!$E402&lt;&gt;"",入户维修!$E402&lt;&gt;""),IF(单元查询!$B$3="公区维修",公区维修!$C402,入户维修!$C402)=单元查询!$D$3,OR(单元查询!$F$3="",IF(单元查询!$B$3="公区维修",公区维修!$D402,入户维修!$D402)&amp;""=(单元查询!$F$3)&amp;"")),MAX($FW$4:$FW401)+1,"")</f>
        <v/>
      </c>
    </row>
    <row r="403" customFormat="false" ht="15" hidden="false" customHeight="true" outlineLevel="0" collapsed="false">
      <c r="F403" s="0" t="n">
        <f aca="false">IF(OR($A$1=入户维修!$F403,$BN$1=1),0,1-SUMPRODUCT(--(($A$1=入户维修!$F403)+$BN$1&gt;0)))</f>
        <v>0</v>
      </c>
      <c r="G403" s="0" t="n">
        <f aca="false">IF(OR($A$2=入户维修!$F403,$BN$2=1),0,2-SUMPRODUCT(--(($A$1:$A$2=入户维修!$F403)+$BN$1:$BN$2&gt;0)))</f>
        <v>1</v>
      </c>
      <c r="H403" s="0" t="n">
        <f aca="false">IF(OR($A$3=入户维修!$F403,$BN$3=1),0,3-SUMPRODUCT(--(($A$1:$A$3=入户维修!$F403)+$BN$1:$BN$3&gt;0)))</f>
        <v>2</v>
      </c>
      <c r="I403" s="0" t="n">
        <f aca="false">IF(OR($A$4=入户维修!$F403,$BN$4=1),0,4-SUMPRODUCT(--(($A$1:$A$4=入户维修!$F403)+$BN$1:$BN$4&gt;0)))</f>
        <v>3</v>
      </c>
      <c r="J403" s="0" t="n">
        <f aca="false">IF(OR($A$5=入户维修!$F403,$BN$5=1),0,5-SUMPRODUCT(--(($A$1:$A$5=入户维修!$F403)+$BN$1:$BN$5&gt;0)))</f>
        <v>4</v>
      </c>
      <c r="L403" s="0" t="str">
        <f aca="false">IFERROR(INDEX($A$1:$A$5,MATCH(1,$F403:$J403,0)),IF(1=MAX($F403:$J403)+1,"取消",""))</f>
        <v>李师傅</v>
      </c>
      <c r="M403" s="0" t="str">
        <f aca="false">IFERROR(INDEX($A$1:$A$5,MATCH(2,$F403:$J403,0)),IF(2=MAX($F403:$J403)+1,"取消",""))</f>
        <v>王师傅</v>
      </c>
      <c r="N403" s="0" t="str">
        <f aca="false">IFERROR(INDEX($A$1:$A$5,MATCH(3,$F403:$J403,0)),IF(3=MAX($F403:$J403)+1,"取消",""))</f>
        <v>陈师傅</v>
      </c>
      <c r="O403" s="0" t="str">
        <f aca="false">IFERROR(INDEX($A$1:$A$5,MATCH(4,$F403:$J403,0)),IF(4=MAX($F403:$J403)+1,"取消",""))</f>
        <v>刘师傅</v>
      </c>
      <c r="P403" s="0" t="str">
        <f aca="false">IFERROR(INDEX($A$1:$A$5,MATCH(5,$F403:$J403,0)),IF(5=MAX($F403:$J403)+1,"取消",""))</f>
        <v>取消</v>
      </c>
      <c r="Q403" s="0" t="str">
        <f aca="false">IFERROR(INDEX($A$1:$A$5,MATCH(6,$F403:$J403,0)),IF(6=MAX($F403:$J403)+1,"取消",""))</f>
        <v/>
      </c>
      <c r="S403" s="0" t="n">
        <f aca="false">IF(OR($A$1=入户维修!$F403,$A$1=入户维修!$G403,$BN$1=1),0,1-SUMPRODUCT(--(($A$1=入户维修!$F403)+($A$1=入户维修!$G403)+$BN$1&gt;0)))</f>
        <v>0</v>
      </c>
      <c r="T403" s="0" t="n">
        <f aca="false">IF(OR($A$2=入户维修!$F403,$A$2=入户维修!$G403,$BN$2=1),0,2-SUMPRODUCT(--(($A$1:$A$2=入户维修!$F403)+($A$1:$A$2=入户维修!$G403)+$BN$1:$BN$2&gt;0)))</f>
        <v>1</v>
      </c>
      <c r="U403" s="0" t="n">
        <f aca="false">IF(OR($A$3=入户维修!$F403,$A$3=入户维修!$G403,$BN$3=1),0,3-SUMPRODUCT(--(($A$1:$A$3=入户维修!$F403)+($A$1:$A$3=入户维修!$G403)+$BN$1:$BN$3&gt;0)))</f>
        <v>2</v>
      </c>
      <c r="V403" s="0" t="n">
        <f aca="false">IF(OR($A$4=入户维修!$F403,$A$4=入户维修!$G403,$BN$4=1),0,4-SUMPRODUCT(--(($A$1:$A$4=入户维修!$F403)+($A$1:$A$4=入户维修!$G403)+$BN$1:$BN$4&gt;0)))</f>
        <v>3</v>
      </c>
      <c r="W403" s="0" t="n">
        <f aca="false">IF(OR($A$5=入户维修!$F403,$A$5=入户维修!$G403,$BN$5=1),0,5-SUMPRODUCT(--(($A$1:$A$5=入户维修!$F403)+($A$1:$A$5=入户维修!$G403)+$BN$1:$BN$5&gt;0)))</f>
        <v>4</v>
      </c>
      <c r="Y403" s="0" t="str">
        <f aca="false">IFERROR(INDEX($A$1:$A$5,MATCH(1,$S403:$W403,0)),IF(1=MAX($S403:$W403)+1,"取消",""))</f>
        <v>李师傅</v>
      </c>
      <c r="Z403" s="0" t="str">
        <f aca="false">IFERROR(INDEX($A$1:$A$5,MATCH(2,$S403:$W403,0)),IF(2=MAX($S403:$W403)+1,"取消",""))</f>
        <v>王师傅</v>
      </c>
      <c r="AA403" s="0" t="str">
        <f aca="false">IFERROR(INDEX($A$1:$A$5,MATCH(3,$S403:$W403,0)),IF(3=MAX($S403:$W403)+1,"取消",""))</f>
        <v>陈师傅</v>
      </c>
      <c r="AB403" s="0" t="str">
        <f aca="false">IFERROR(INDEX($A$1:$A$5,MATCH(4,$S403:$W403,0)),IF(4=MAX($S403:$W403)+1,"取消",""))</f>
        <v>刘师傅</v>
      </c>
      <c r="AC403" s="0" t="str">
        <f aca="false">IFERROR(INDEX($A$1:$A$5,MATCH(5,$S403:$W403,0)),IF(5=MAX($S403:$W403)+1,"取消",""))</f>
        <v>取消</v>
      </c>
      <c r="AD403" s="0" t="str">
        <f aca="false">IFERROR(INDEX($A$1:$A$5,MATCH(6,$S403:$W403,0)),IF(6=MAX($S403:$W403)+1,"取消",""))</f>
        <v/>
      </c>
      <c r="AF403" s="0" t="n">
        <f aca="false">IF(OR($A$1=公区维修!$F403,$BN$1=1),0,1-SUMPRODUCT(--(($A$1=公区维修!$F403)+$BN$1&gt;0)))</f>
        <v>0</v>
      </c>
      <c r="AG403" s="0" t="n">
        <f aca="false">IF(OR($A$2=公区维修!$F403,$BN$2=1),0,2-SUMPRODUCT(--(($A$1:$A$2=公区维修!$F403)+$BN$1:$BN$2&gt;0)))</f>
        <v>1</v>
      </c>
      <c r="AH403" s="0" t="n">
        <f aca="false">IF(OR($A$3=公区维修!$F403,$BN$3=1),0,3-SUMPRODUCT(--(($A$1:$A$3=公区维修!$F403)+$BN$1:$BN$3&gt;0)))</f>
        <v>2</v>
      </c>
      <c r="AI403" s="0" t="n">
        <f aca="false">IF(OR($A$4=公区维修!$F403,$BN$4=1),0,4-SUMPRODUCT(--(($A$1:$A$4=公区维修!$F403)+$BN$1:$BN$4&gt;0)))</f>
        <v>3</v>
      </c>
      <c r="AJ403" s="0" t="n">
        <f aca="false">IF(OR($A$5=公区维修!$F403,$BN$5=1),0,5-SUMPRODUCT(--(($A$1:$A$5=公区维修!$F403)+$BN$1:$BN$5&gt;0)))</f>
        <v>4</v>
      </c>
      <c r="AL403" s="0" t="str">
        <f aca="false">IFERROR(INDEX($A$1:$A$5,MATCH(1,$AF403:$AJ403,0)),IF(1=MAX($AF403:$AJ403)+1,"取消",""))</f>
        <v>李师傅</v>
      </c>
      <c r="AM403" s="0" t="str">
        <f aca="false">IFERROR(INDEX($A$1:$A$5,MATCH(2,$AF403:$AJ403,0)),IF(2=MAX($AF403:$AJ403)+1,"取消",""))</f>
        <v>王师傅</v>
      </c>
      <c r="AN403" s="0" t="str">
        <f aca="false">IFERROR(INDEX($A$1:$A$5,MATCH(3,$AF403:$AJ403,0)),IF(3=MAX($AF403:$AJ403)+1,"取消",""))</f>
        <v>陈师傅</v>
      </c>
      <c r="AO403" s="0" t="str">
        <f aca="false">IFERROR(INDEX($A$1:$A$5,MATCH(4,$AF403:$AJ403,0)),IF(4=MAX($AF403:$AJ403)+1,"取消",""))</f>
        <v>刘师傅</v>
      </c>
      <c r="AP403" s="0" t="str">
        <f aca="false">IFERROR(INDEX($A$1:$A$5,MATCH(5,$AF403:$AJ403,0)),IF(5=MAX($AF403:$AJ403)+1,"取消",""))</f>
        <v>取消</v>
      </c>
      <c r="AQ403" s="0" t="str">
        <f aca="false">IFERROR(INDEX($A$1:$A$5,MATCH(6,$AF403:$AJ403,0)),IF(6=MAX($AF403:$AJ403)+1,"取消",""))</f>
        <v/>
      </c>
      <c r="AS403" s="0" t="n">
        <f aca="false">IF(OR($A$1=公区维修!$F403,$A$1=公区维修!$G403,$BN$1=1),0,1-SUMPRODUCT(--(($A$1=公区维修!$F403)+($A$1=公区维修!$G403)+$BN$1&gt;0)))</f>
        <v>0</v>
      </c>
      <c r="AT403" s="0" t="n">
        <f aca="false">IF(OR($A$2=公区维修!$F403,$A$2=公区维修!$G403,$BN$2=1),0,2-SUMPRODUCT(--(($A$1:$A$2=公区维修!$F403)+($A$1:$A$2=公区维修!$G403)+$BN$1:$BN$2&gt;0)))</f>
        <v>1</v>
      </c>
      <c r="AU403" s="0" t="n">
        <f aca="false">IF(OR($A$3=公区维修!$F403,$A$3=公区维修!$G403,$BN$3=1),0,3-SUMPRODUCT(--(($A$1:$A$3=公区维修!$F403)+($A$1:$A$3=公区维修!$G403)+$BN$1:$BN$3&gt;0)))</f>
        <v>2</v>
      </c>
      <c r="AV403" s="0" t="n">
        <f aca="false">IF(OR($A$4=公区维修!$F403,$A$4=公区维修!$G403,$BN$4=1),0,4-SUMPRODUCT(--(($A$1:$A$4=公区维修!$F403)+($A$1:$A$4=公区维修!$G403)+$BN$1:$BN$4&gt;0)))</f>
        <v>3</v>
      </c>
      <c r="AW403" s="0" t="n">
        <f aca="false">IF(OR($A$5=公区维修!$F403,$A$5=公区维修!$G403,$BN$5=1),0,5-SUMPRODUCT(--(($A$1:$A$5=公区维修!$F403)+($A$1:$A$5=公区维修!$G403)+$BN$1:$BN$5&gt;0)))</f>
        <v>4</v>
      </c>
      <c r="AY403" s="0" t="str">
        <f aca="false">IFERROR(INDEX($A$1:$A$5,MATCH(1,$AS403:$AW403,0)),IF(1=MAX($AS403:$AW403)+1,"取消",""))</f>
        <v>李师傅</v>
      </c>
      <c r="AZ403" s="0" t="str">
        <f aca="false">IFERROR(INDEX($A$1:$A$5,MATCH(2,$AS403:$AW403,0)),IF(2=MAX($AS403:$AW403)+1,"取消",""))</f>
        <v>王师傅</v>
      </c>
      <c r="BA403" s="0" t="str">
        <f aca="false">IFERROR(INDEX($A$1:$A$5,MATCH(3,$AS403:$AW403,0)),IF(3=MAX($AS403:$AW403)+1,"取消",""))</f>
        <v>陈师傅</v>
      </c>
      <c r="BB403" s="0" t="str">
        <f aca="false">IFERROR(INDEX($A$1:$A$5,MATCH(4,$AS403:$AW403,0)),IF(4=MAX($AS403:$AW403)+1,"取消",""))</f>
        <v>刘师傅</v>
      </c>
      <c r="BC403" s="0" t="str">
        <f aca="false">IFERROR(INDEX($A$1:$A$5,MATCH(5,$AS403:$AW403,0)),IF(5=MAX($AS403:$AW403)+1,"取消",""))</f>
        <v>取消</v>
      </c>
      <c r="BD403" s="0" t="str">
        <f aca="false">IFERROR(INDEX($A$1:$A$5,MATCH(6,$AS403:$AW403,0)),IF(6=MAX($AS403:$AW403)+1,"取消",""))</f>
        <v/>
      </c>
      <c r="FW403" s="0" t="str">
        <f aca="false">IF(AND(单元查询!$D$3&lt;&gt;"",IF(单元查询!$B$3="公区维修",公区维修!$E403&lt;&gt;"",入户维修!$E403&lt;&gt;""),IF(单元查询!$B$3="公区维修",公区维修!$C403,入户维修!$C403)=单元查询!$D$3,OR(单元查询!$F$3="",IF(单元查询!$B$3="公区维修",公区维修!$D403,入户维修!$D403)&amp;""=(单元查询!$F$3)&amp;"")),MAX($FW$4:$FW402)+1,"")</f>
        <v/>
      </c>
    </row>
    <row r="404" customFormat="false" ht="15" hidden="false" customHeight="true" outlineLevel="0" collapsed="false">
      <c r="F404" s="0" t="n">
        <f aca="false">IF(OR($A$1=入户维修!$F404,$BN$1=1),0,1-SUMPRODUCT(--(($A$1=入户维修!$F404)+$BN$1&gt;0)))</f>
        <v>0</v>
      </c>
      <c r="G404" s="0" t="n">
        <f aca="false">IF(OR($A$2=入户维修!$F404,$BN$2=1),0,2-SUMPRODUCT(--(($A$1:$A$2=入户维修!$F404)+$BN$1:$BN$2&gt;0)))</f>
        <v>1</v>
      </c>
      <c r="H404" s="0" t="n">
        <f aca="false">IF(OR($A$3=入户维修!$F404,$BN$3=1),0,3-SUMPRODUCT(--(($A$1:$A$3=入户维修!$F404)+$BN$1:$BN$3&gt;0)))</f>
        <v>2</v>
      </c>
      <c r="I404" s="0" t="n">
        <f aca="false">IF(OR($A$4=入户维修!$F404,$BN$4=1),0,4-SUMPRODUCT(--(($A$1:$A$4=入户维修!$F404)+$BN$1:$BN$4&gt;0)))</f>
        <v>3</v>
      </c>
      <c r="J404" s="0" t="n">
        <f aca="false">IF(OR($A$5=入户维修!$F404,$BN$5=1),0,5-SUMPRODUCT(--(($A$1:$A$5=入户维修!$F404)+$BN$1:$BN$5&gt;0)))</f>
        <v>4</v>
      </c>
      <c r="L404" s="0" t="str">
        <f aca="false">IFERROR(INDEX($A$1:$A$5,MATCH(1,$F404:$J404,0)),IF(1=MAX($F404:$J404)+1,"取消",""))</f>
        <v>李师傅</v>
      </c>
      <c r="M404" s="0" t="str">
        <f aca="false">IFERROR(INDEX($A$1:$A$5,MATCH(2,$F404:$J404,0)),IF(2=MAX($F404:$J404)+1,"取消",""))</f>
        <v>王师傅</v>
      </c>
      <c r="N404" s="0" t="str">
        <f aca="false">IFERROR(INDEX($A$1:$A$5,MATCH(3,$F404:$J404,0)),IF(3=MAX($F404:$J404)+1,"取消",""))</f>
        <v>陈师傅</v>
      </c>
      <c r="O404" s="0" t="str">
        <f aca="false">IFERROR(INDEX($A$1:$A$5,MATCH(4,$F404:$J404,0)),IF(4=MAX($F404:$J404)+1,"取消",""))</f>
        <v>刘师傅</v>
      </c>
      <c r="P404" s="0" t="str">
        <f aca="false">IFERROR(INDEX($A$1:$A$5,MATCH(5,$F404:$J404,0)),IF(5=MAX($F404:$J404)+1,"取消",""))</f>
        <v>取消</v>
      </c>
      <c r="Q404" s="0" t="str">
        <f aca="false">IFERROR(INDEX($A$1:$A$5,MATCH(6,$F404:$J404,0)),IF(6=MAX($F404:$J404)+1,"取消",""))</f>
        <v/>
      </c>
      <c r="S404" s="0" t="n">
        <f aca="false">IF(OR($A$1=入户维修!$F404,$A$1=入户维修!$G404,$BN$1=1),0,1-SUMPRODUCT(--(($A$1=入户维修!$F404)+($A$1=入户维修!$G404)+$BN$1&gt;0)))</f>
        <v>0</v>
      </c>
      <c r="T404" s="0" t="n">
        <f aca="false">IF(OR($A$2=入户维修!$F404,$A$2=入户维修!$G404,$BN$2=1),0,2-SUMPRODUCT(--(($A$1:$A$2=入户维修!$F404)+($A$1:$A$2=入户维修!$G404)+$BN$1:$BN$2&gt;0)))</f>
        <v>1</v>
      </c>
      <c r="U404" s="0" t="n">
        <f aca="false">IF(OR($A$3=入户维修!$F404,$A$3=入户维修!$G404,$BN$3=1),0,3-SUMPRODUCT(--(($A$1:$A$3=入户维修!$F404)+($A$1:$A$3=入户维修!$G404)+$BN$1:$BN$3&gt;0)))</f>
        <v>2</v>
      </c>
      <c r="V404" s="0" t="n">
        <f aca="false">IF(OR($A$4=入户维修!$F404,$A$4=入户维修!$G404,$BN$4=1),0,4-SUMPRODUCT(--(($A$1:$A$4=入户维修!$F404)+($A$1:$A$4=入户维修!$G404)+$BN$1:$BN$4&gt;0)))</f>
        <v>3</v>
      </c>
      <c r="W404" s="0" t="n">
        <f aca="false">IF(OR($A$5=入户维修!$F404,$A$5=入户维修!$G404,$BN$5=1),0,5-SUMPRODUCT(--(($A$1:$A$5=入户维修!$F404)+($A$1:$A$5=入户维修!$G404)+$BN$1:$BN$5&gt;0)))</f>
        <v>4</v>
      </c>
      <c r="Y404" s="0" t="str">
        <f aca="false">IFERROR(INDEX($A$1:$A$5,MATCH(1,$S404:$W404,0)),IF(1=MAX($S404:$W404)+1,"取消",""))</f>
        <v>李师傅</v>
      </c>
      <c r="Z404" s="0" t="str">
        <f aca="false">IFERROR(INDEX($A$1:$A$5,MATCH(2,$S404:$W404,0)),IF(2=MAX($S404:$W404)+1,"取消",""))</f>
        <v>王师傅</v>
      </c>
      <c r="AA404" s="0" t="str">
        <f aca="false">IFERROR(INDEX($A$1:$A$5,MATCH(3,$S404:$W404,0)),IF(3=MAX($S404:$W404)+1,"取消",""))</f>
        <v>陈师傅</v>
      </c>
      <c r="AB404" s="0" t="str">
        <f aca="false">IFERROR(INDEX($A$1:$A$5,MATCH(4,$S404:$W404,0)),IF(4=MAX($S404:$W404)+1,"取消",""))</f>
        <v>刘师傅</v>
      </c>
      <c r="AC404" s="0" t="str">
        <f aca="false">IFERROR(INDEX($A$1:$A$5,MATCH(5,$S404:$W404,0)),IF(5=MAX($S404:$W404)+1,"取消",""))</f>
        <v>取消</v>
      </c>
      <c r="AD404" s="0" t="str">
        <f aca="false">IFERROR(INDEX($A$1:$A$5,MATCH(6,$S404:$W404,0)),IF(6=MAX($S404:$W404)+1,"取消",""))</f>
        <v/>
      </c>
      <c r="AF404" s="0" t="n">
        <f aca="false">IF(OR($A$1=公区维修!$F404,$BN$1=1),0,1-SUMPRODUCT(--(($A$1=公区维修!$F404)+$BN$1&gt;0)))</f>
        <v>0</v>
      </c>
      <c r="AG404" s="0" t="n">
        <f aca="false">IF(OR($A$2=公区维修!$F404,$BN$2=1),0,2-SUMPRODUCT(--(($A$1:$A$2=公区维修!$F404)+$BN$1:$BN$2&gt;0)))</f>
        <v>1</v>
      </c>
      <c r="AH404" s="0" t="n">
        <f aca="false">IF(OR($A$3=公区维修!$F404,$BN$3=1),0,3-SUMPRODUCT(--(($A$1:$A$3=公区维修!$F404)+$BN$1:$BN$3&gt;0)))</f>
        <v>2</v>
      </c>
      <c r="AI404" s="0" t="n">
        <f aca="false">IF(OR($A$4=公区维修!$F404,$BN$4=1),0,4-SUMPRODUCT(--(($A$1:$A$4=公区维修!$F404)+$BN$1:$BN$4&gt;0)))</f>
        <v>3</v>
      </c>
      <c r="AJ404" s="0" t="n">
        <f aca="false">IF(OR($A$5=公区维修!$F404,$BN$5=1),0,5-SUMPRODUCT(--(($A$1:$A$5=公区维修!$F404)+$BN$1:$BN$5&gt;0)))</f>
        <v>4</v>
      </c>
      <c r="AL404" s="0" t="str">
        <f aca="false">IFERROR(INDEX($A$1:$A$5,MATCH(1,$AF404:$AJ404,0)),IF(1=MAX($AF404:$AJ404)+1,"取消",""))</f>
        <v>李师傅</v>
      </c>
      <c r="AM404" s="0" t="str">
        <f aca="false">IFERROR(INDEX($A$1:$A$5,MATCH(2,$AF404:$AJ404,0)),IF(2=MAX($AF404:$AJ404)+1,"取消",""))</f>
        <v>王师傅</v>
      </c>
      <c r="AN404" s="0" t="str">
        <f aca="false">IFERROR(INDEX($A$1:$A$5,MATCH(3,$AF404:$AJ404,0)),IF(3=MAX($AF404:$AJ404)+1,"取消",""))</f>
        <v>陈师傅</v>
      </c>
      <c r="AO404" s="0" t="str">
        <f aca="false">IFERROR(INDEX($A$1:$A$5,MATCH(4,$AF404:$AJ404,0)),IF(4=MAX($AF404:$AJ404)+1,"取消",""))</f>
        <v>刘师傅</v>
      </c>
      <c r="AP404" s="0" t="str">
        <f aca="false">IFERROR(INDEX($A$1:$A$5,MATCH(5,$AF404:$AJ404,0)),IF(5=MAX($AF404:$AJ404)+1,"取消",""))</f>
        <v>取消</v>
      </c>
      <c r="AQ404" s="0" t="str">
        <f aca="false">IFERROR(INDEX($A$1:$A$5,MATCH(6,$AF404:$AJ404,0)),IF(6=MAX($AF404:$AJ404)+1,"取消",""))</f>
        <v/>
      </c>
      <c r="AS404" s="0" t="n">
        <f aca="false">IF(OR($A$1=公区维修!$F404,$A$1=公区维修!$G404,$BN$1=1),0,1-SUMPRODUCT(--(($A$1=公区维修!$F404)+($A$1=公区维修!$G404)+$BN$1&gt;0)))</f>
        <v>0</v>
      </c>
      <c r="AT404" s="0" t="n">
        <f aca="false">IF(OR($A$2=公区维修!$F404,$A$2=公区维修!$G404,$BN$2=1),0,2-SUMPRODUCT(--(($A$1:$A$2=公区维修!$F404)+($A$1:$A$2=公区维修!$G404)+$BN$1:$BN$2&gt;0)))</f>
        <v>1</v>
      </c>
      <c r="AU404" s="0" t="n">
        <f aca="false">IF(OR($A$3=公区维修!$F404,$A$3=公区维修!$G404,$BN$3=1),0,3-SUMPRODUCT(--(($A$1:$A$3=公区维修!$F404)+($A$1:$A$3=公区维修!$G404)+$BN$1:$BN$3&gt;0)))</f>
        <v>2</v>
      </c>
      <c r="AV404" s="0" t="n">
        <f aca="false">IF(OR($A$4=公区维修!$F404,$A$4=公区维修!$G404,$BN$4=1),0,4-SUMPRODUCT(--(($A$1:$A$4=公区维修!$F404)+($A$1:$A$4=公区维修!$G404)+$BN$1:$BN$4&gt;0)))</f>
        <v>3</v>
      </c>
      <c r="AW404" s="0" t="n">
        <f aca="false">IF(OR($A$5=公区维修!$F404,$A$5=公区维修!$G404,$BN$5=1),0,5-SUMPRODUCT(--(($A$1:$A$5=公区维修!$F404)+($A$1:$A$5=公区维修!$G404)+$BN$1:$BN$5&gt;0)))</f>
        <v>4</v>
      </c>
      <c r="AY404" s="0" t="str">
        <f aca="false">IFERROR(INDEX($A$1:$A$5,MATCH(1,$AS404:$AW404,0)),IF(1=MAX($AS404:$AW404)+1,"取消",""))</f>
        <v>李师傅</v>
      </c>
      <c r="AZ404" s="0" t="str">
        <f aca="false">IFERROR(INDEX($A$1:$A$5,MATCH(2,$AS404:$AW404,0)),IF(2=MAX($AS404:$AW404)+1,"取消",""))</f>
        <v>王师傅</v>
      </c>
      <c r="BA404" s="0" t="str">
        <f aca="false">IFERROR(INDEX($A$1:$A$5,MATCH(3,$AS404:$AW404,0)),IF(3=MAX($AS404:$AW404)+1,"取消",""))</f>
        <v>陈师傅</v>
      </c>
      <c r="BB404" s="0" t="str">
        <f aca="false">IFERROR(INDEX($A$1:$A$5,MATCH(4,$AS404:$AW404,0)),IF(4=MAX($AS404:$AW404)+1,"取消",""))</f>
        <v>刘师傅</v>
      </c>
      <c r="BC404" s="0" t="str">
        <f aca="false">IFERROR(INDEX($A$1:$A$5,MATCH(5,$AS404:$AW404,0)),IF(5=MAX($AS404:$AW404)+1,"取消",""))</f>
        <v>取消</v>
      </c>
      <c r="BD404" s="0" t="str">
        <f aca="false">IFERROR(INDEX($A$1:$A$5,MATCH(6,$AS404:$AW404,0)),IF(6=MAX($AS404:$AW404)+1,"取消",""))</f>
        <v/>
      </c>
      <c r="FW404" s="0" t="str">
        <f aca="false">IF(AND(单元查询!$D$3&lt;&gt;"",IF(单元查询!$B$3="公区维修",公区维修!$E404&lt;&gt;"",入户维修!$E404&lt;&gt;""),IF(单元查询!$B$3="公区维修",公区维修!$C404,入户维修!$C404)=单元查询!$D$3,OR(单元查询!$F$3="",IF(单元查询!$B$3="公区维修",公区维修!$D404,入户维修!$D404)&amp;""=(单元查询!$F$3)&amp;"")),MAX($FW$4:$FW403)+1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2026-08-07T17:07:10Z</dcterms:created>
  <dc:creator>程文辉</dc:creator>
  <dc:description/>
  <dc:language>en-US</dc:language>
  <cp:lastModifiedBy>程文辉</cp:lastModifiedBy>
  <dcterms:modified xsi:type="dcterms:W3CDTF">2026-10-07T07:12:10Z</dcterms:modified>
  <cp:revision>1</cp:revision>
  <dc:subject/>
  <dc:title>工程维修台账（示例，已脱敏）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