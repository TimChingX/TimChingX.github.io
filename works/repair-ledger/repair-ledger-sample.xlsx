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使用说明" sheetId="1" state="visible" r:id="rId3"/>
    <sheet name="工单台账" sheetId="2" state="visible" r:id="rId4"/>
    <sheet name="仪表盘" sheetId="3" state="visible" r:id="rId5"/>
    <sheet name="单元查询" sheetId="4" state="visible" r:id="rId6"/>
    <sheet name="设置" sheetId="6" state="visible" r:id="rId8"/>
  </sheets>
  <definedNames>
    <definedName function="false" hidden="false" localSheetId="2" name="_xlnm.Print_Area" vbProcedure="false">仪表盘!$A$1:$N$93</definedName>
    <definedName function="false" hidden="false" localSheetId="0" name="_xlnm.Print_Area" vbProcedure="false">使用说明!$A$1:$D$35</definedName>
    <definedName function="false" hidden="false" localSheetId="3" name="_xlnm.Print_Area" vbProcedure="false">单元查询!$A$1:$M$29</definedName>
    <definedName function="false" hidden="false" localSheetId="1" name="_xlnm.Print_Titles" vbProcedure="false">工单台账!$6:$6</definedName>
    <definedName function="false" hidden="false" name="可派单" vbProcedure="false">设置!$B$9:$B$14</definedName>
    <definedName function="false" hidden="false" name="基准日" vbProcedure="false">设置!$B$6</definedName>
    <definedName function="false" hidden="false" name="师傅" vbProcedure="false">设置!$A$9:$A$13</definedName>
    <definedName function="false" hidden="false" name="期初" vbProcedure="false">设置!$B$30</definedName>
    <definedName function="false" hidden="false" name="期末" vbProcedure="false">设置!$C$30</definedName>
    <definedName function="false" hidden="false" name="楼栋" vbProcedure="false">设置!$E$9:$E$21</definedName>
    <definedName function="false" hidden="false" name="类别" vbProcedure="false">设置!$F$9:$F$18</definedName>
    <definedName function="false" hidden="false" name="超期阈值" vbProcedure="false">设置!$B$5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<sst xmlns="http://schemas.openxmlformats.org/spreadsheetml/2006/main" count="1633" uniqueCount="571">
  <si>
    <t xml:space="preserve">工程维修台账 · 使用说明</t>
  </si>
  <si>
    <t xml:space="preserve">一本台账记录全部工单，仪表盘、单元查询自动汇总。日常只需要看第一、三部分。</t>
  </si>
  <si>
    <t xml:space="preserve">一、日常五步</t>
  </si>
  <si>
    <t xml:space="preserve">① 报修登记</t>
  </si>
  <si>
    <t xml:space="preserve">在【工单台账】最下面一行接着填：报修日期、类型（入户 / 公区）、楼栋、房号或位置、问题描述、维修类别。单据编号、处理天数、该户第几次会自动生成。</t>
  </si>
  <si>
    <t xml:space="preserve">② 派单</t>
  </si>
  <si>
    <t xml:space="preserve">每天早上在台账顶部给休息的师傅选「休息」。「跟进人1」下拉只列今天上班的师傅；两人协同时再填「跟进人2」。</t>
  </si>
  <si>
    <t xml:space="preserve">③ 上门跟进</t>
  </si>
  <si>
    <t xml:space="preserve">照常填预约时间、上门排序。没修完之前，「完成情况」保持「跟进中」或「需另约时间」。</t>
  </si>
  <si>
    <t xml:space="preserve">④ 完工</t>
  </si>
  <si>
    <t xml:space="preserve">「完成情况」改为「已完成」，同时填「完成日期」；有耗材收费的，填「耗材费(元)」。</t>
  </si>
  <si>
    <t xml:space="preserve">⑤ 评价与回访</t>
  </si>
  <si>
    <t xml:space="preserve">二、各表分工</t>
  </si>
  <si>
    <t xml:space="preserve">工单台账</t>
  </si>
  <si>
    <t xml:space="preserve">入户和公区的全部工单，用「类型」区分；要单看公区，在表头筛选「类型」即可。顶部是师傅调度看板。</t>
  </si>
  <si>
    <t xml:space="preserve">仪表盘</t>
  </si>
  <si>
    <t xml:space="preserve">一、现在要处理的事（未结、超期、重复报修）；二、这一期的表现（报修量、完成率、好评率、师傅排行）；三、问题集中在哪（类别、楼栋、师傅×楼栋）。二、三部分按「统计周期」切换当日 / 本周 / 本月 / 累计。</t>
  </si>
  <si>
    <t xml:space="preserve">单元查询</t>
  </si>
  <si>
    <t xml:space="preserve">选楼栋、填房号，列出这一户的全部维修记录。接业主电话时用。</t>
  </si>
  <si>
    <t xml:space="preserve">设置</t>
  </si>
  <si>
    <t xml:space="preserve">师傅名单、楼栋、维修类别、统计基准日、超期阈值都在这里改。</t>
  </si>
  <si>
    <t xml:space="preserve">三、哪些格子填，哪些别动</t>
  </si>
  <si>
    <t xml:space="preserve">手工填写</t>
  </si>
  <si>
    <t xml:space="preserve">台账里黑色表头的列，以及所有米黄色格子（师傅休息、统计周期、查询条件、【设置】里的名单和参数）。</t>
  </si>
  <si>
    <t xml:space="preserve">自动生成</t>
  </si>
  <si>
    <t xml:space="preserve">台账里灰色表头的三列：单据编号、处理天数、该户第几次；仪表盘、单元查询整张表；【设置】里的灰字计算区。</t>
  </si>
  <si>
    <t xml:space="preserve">新增工单</t>
  </si>
  <si>
    <t xml:space="preserve">在台账最后一行下面直接填，表格会自动变长，公式、下拉和颜色跟着带下去，不用复制公式。</t>
  </si>
  <si>
    <t xml:space="preserve">四、颜色说明</t>
  </si>
  <si>
    <t xml:space="preserve">陶土橘</t>
  </si>
  <si>
    <t xml:space="preserve">马上要处理：超期未结、优先 1、跟进人重复。全表最醒目的颜色只留给这几件事。</t>
  </si>
  <si>
    <t xml:space="preserve">浅陶土</t>
  </si>
  <si>
    <t xml:space="preserve">需要留意：该户第 3 次及以上、需另约时间、不满意、完成日期早于报修日期。</t>
  </si>
  <si>
    <t xml:space="preserve">米黄</t>
  </si>
  <si>
    <t xml:space="preserve">进行中或待填写：跟进中、未结未超期、该户第 2 次、缺日期 / 类别 / 状态，以及可以改的设置格。</t>
  </si>
  <si>
    <t xml:space="preserve">橄榄绿</t>
  </si>
  <si>
    <t xml:space="preserve">已完成、满意、非常满意、空闲可派单。</t>
  </si>
  <si>
    <t xml:space="preserve">灰字</t>
  </si>
  <si>
    <t xml:space="preserve">今天休息的师傅、作废的派单、公式计算区。</t>
  </si>
  <si>
    <t xml:space="preserve">五、配色与排版原则</t>
  </si>
  <si>
    <t xml:space="preserve">可读优先于好看</t>
  </si>
  <si>
    <t xml:space="preserve">纸色底、墨色字，不用纯白和纯黑；正文文字与底色的对比度都在 4.5:1 以上。</t>
  </si>
  <si>
    <t xml:space="preserve">提醒优先于装饰</t>
  </si>
  <si>
    <t xml:space="preserve">陶土橘只做底色、不写小字（白字压在陶土橘上看不清），并且只用于必须马上处理的事。</t>
  </si>
  <si>
    <t xml:space="preserve">自动优先于手填</t>
  </si>
  <si>
    <t xml:space="preserve">能用公式算的就不让人填，例如处理天数、单据编号、该户第几次，减少录入出错。</t>
  </si>
  <si>
    <t xml:space="preserve">宋体说话，等线指路</t>
  </si>
  <si>
    <t xml:space="preserve">标题和段落标题用宋体，表格、数字、按钮式标签用等线（黑体类），屏幕上小字更清楚。</t>
  </si>
  <si>
    <t xml:space="preserve">工单台账　｜　入户＋公区</t>
  </si>
  <si>
    <t xml:space="preserve">灰色表头的三列自动生成；在表格最下面一行接着填，公式、下拉和颜色会自动带下去。</t>
  </si>
  <si>
    <t xml:space="preserve">今日调度</t>
  </si>
  <si>
    <t xml:space="preserve">师傅</t>
  </si>
  <si>
    <t xml:space="preserve">← 名单来自【设置】</t>
  </si>
  <si>
    <t xml:space="preserve">今日休息</t>
  </si>
  <si>
    <t xml:space="preserve">休息</t>
  </si>
  <si>
    <t xml:space="preserve">上班</t>
  </si>
  <si>
    <t xml:space="preserve">← 米黄格每天设一次</t>
  </si>
  <si>
    <t xml:space="preserve">　每天早上给休息的师傅选「休息」；名单在【设置】里改。</t>
  </si>
  <si>
    <t xml:space="preserve">当前状态</t>
  </si>
  <si>
    <t xml:space="preserve">← 自动：有「跟进中」的单就算在岗</t>
  </si>
  <si>
    <t xml:space="preserve">单据编号</t>
  </si>
  <si>
    <t xml:space="preserve">报修日期</t>
  </si>
  <si>
    <t xml:space="preserve">类型</t>
  </si>
  <si>
    <t xml:space="preserve">楼栋</t>
  </si>
  <si>
    <t xml:space="preserve">房号/位置</t>
  </si>
  <si>
    <t xml:space="preserve">报修问题描述</t>
  </si>
  <si>
    <t xml:space="preserve">维修类别</t>
  </si>
  <si>
    <t xml:space="preserve">跟进人1</t>
  </si>
  <si>
    <t xml:space="preserve">跟进人2</t>
  </si>
  <si>
    <t xml:space="preserve">预约时间</t>
  </si>
  <si>
    <t xml:space="preserve">上门排序</t>
  </si>
  <si>
    <t xml:space="preserve">完成情况</t>
  </si>
  <si>
    <t xml:space="preserve">完成日期</t>
  </si>
  <si>
    <t xml:space="preserve">处理天数</t>
  </si>
  <si>
    <t xml:space="preserve">该户第几次</t>
  </si>
  <si>
    <t xml:space="preserve">维修备注</t>
  </si>
  <si>
    <t xml:space="preserve">耗材费(元)</t>
  </si>
  <si>
    <t xml:space="preserve">维修评价</t>
  </si>
  <si>
    <t xml:space="preserve">业主意见与建议</t>
  </si>
  <si>
    <t xml:space="preserve">入户</t>
  </si>
  <si>
    <t xml:space="preserve">8栋</t>
  </si>
  <si>
    <t xml:space="preserve">403</t>
  </si>
  <si>
    <t xml:space="preserve">空调暖通</t>
  </si>
  <si>
    <t xml:space="preserve">张师傅</t>
  </si>
  <si>
    <t xml:space="preserve">李师傅</t>
  </si>
  <si>
    <t xml:space="preserve">优先2</t>
  </si>
  <si>
    <t xml:space="preserve">已完成</t>
  </si>
  <si>
    <t xml:space="preserve">非常满意</t>
  </si>
  <si>
    <t xml:space="preserve">6栋</t>
  </si>
  <si>
    <t xml:space="preserve">2504</t>
  </si>
  <si>
    <t xml:space="preserve">刘师傅</t>
  </si>
  <si>
    <t xml:space="preserve">跟进中</t>
  </si>
  <si>
    <t xml:space="preserve">5栋</t>
  </si>
  <si>
    <t xml:space="preserve">503</t>
  </si>
  <si>
    <t xml:space="preserve">渗漏防水</t>
  </si>
  <si>
    <t xml:space="preserve">7栋</t>
  </si>
  <si>
    <t xml:space="preserve">2904</t>
  </si>
  <si>
    <t xml:space="preserve">门窗五金</t>
  </si>
  <si>
    <t xml:space="preserve">满意</t>
  </si>
  <si>
    <t xml:space="preserve">2004</t>
  </si>
  <si>
    <t xml:space="preserve">一般</t>
  </si>
  <si>
    <t xml:space="preserve">2501</t>
  </si>
  <si>
    <t xml:space="preserve">701</t>
  </si>
  <si>
    <t xml:space="preserve">墙地饰面</t>
  </si>
  <si>
    <t xml:space="preserve">优先1</t>
  </si>
  <si>
    <t xml:space="preserve">1602</t>
  </si>
  <si>
    <t xml:space="preserve">优先3</t>
  </si>
  <si>
    <t xml:space="preserve">504</t>
  </si>
  <si>
    <t xml:space="preserve">/</t>
  </si>
  <si>
    <t xml:space="preserve">304</t>
  </si>
  <si>
    <t xml:space="preserve">优先6</t>
  </si>
  <si>
    <t xml:space="preserve">10栋</t>
  </si>
  <si>
    <t xml:space="preserve">901</t>
  </si>
  <si>
    <t xml:space="preserve">9栋</t>
  </si>
  <si>
    <t xml:space="preserve">1204</t>
  </si>
  <si>
    <t xml:space="preserve">1栋</t>
  </si>
  <si>
    <t xml:space="preserve">1203</t>
  </si>
  <si>
    <t xml:space="preserve">3101</t>
  </si>
  <si>
    <t xml:space="preserve">电气照明</t>
  </si>
  <si>
    <t xml:space="preserve">1501</t>
  </si>
  <si>
    <t xml:space="preserve">11栋</t>
  </si>
  <si>
    <t xml:space="preserve">1402</t>
  </si>
  <si>
    <t xml:space="preserve">2803</t>
  </si>
  <si>
    <t xml:space="preserve">给排水</t>
  </si>
  <si>
    <t xml:space="preserve">1103</t>
  </si>
  <si>
    <t xml:space="preserve">3栋</t>
  </si>
  <si>
    <t xml:space="preserve">2901</t>
  </si>
  <si>
    <t xml:space="preserve">2栋</t>
  </si>
  <si>
    <t xml:space="preserve">2604</t>
  </si>
  <si>
    <t xml:space="preserve">4栋</t>
  </si>
  <si>
    <t xml:space="preserve">3104</t>
  </si>
  <si>
    <t xml:space="preserve">501</t>
  </si>
  <si>
    <t xml:space="preserve">802</t>
  </si>
  <si>
    <t xml:space="preserve">2701</t>
  </si>
  <si>
    <t xml:space="preserve">已更换开关面板</t>
  </si>
  <si>
    <t xml:space="preserve">公区</t>
  </si>
  <si>
    <t xml:space="preserve">乒乓球位置</t>
  </si>
  <si>
    <t xml:space="preserve">公共区域</t>
  </si>
  <si>
    <t xml:space="preserve">东大门</t>
  </si>
  <si>
    <t xml:space="preserve">公共设施</t>
  </si>
  <si>
    <t xml:space="preserve">陈师傅</t>
  </si>
  <si>
    <t xml:space="preserve">王师傅</t>
  </si>
  <si>
    <t xml:space="preserve">西门车库出口</t>
  </si>
  <si>
    <t xml:space="preserve">弱电门禁</t>
  </si>
  <si>
    <t xml:space="preserve">货梯</t>
  </si>
  <si>
    <t xml:space="preserve">肉菜市场</t>
  </si>
  <si>
    <t xml:space="preserve">待跟进</t>
  </si>
  <si>
    <t xml:space="preserve">1层</t>
  </si>
  <si>
    <t xml:space="preserve">健身房旁</t>
  </si>
  <si>
    <t xml:space="preserve">1楼</t>
  </si>
  <si>
    <t xml:space="preserve">大堂</t>
  </si>
  <si>
    <t xml:space="preserve">凉亭</t>
  </si>
  <si>
    <t xml:space="preserve">2301</t>
  </si>
  <si>
    <t xml:space="preserve">燃气厨电</t>
  </si>
  <si>
    <t xml:space="preserve">1201</t>
  </si>
  <si>
    <t xml:space="preserve">201</t>
  </si>
  <si>
    <t xml:space="preserve">2403</t>
  </si>
  <si>
    <t xml:space="preserve">其他</t>
  </si>
  <si>
    <t xml:space="preserve">3304</t>
  </si>
  <si>
    <t xml:space="preserve">2503</t>
  </si>
  <si>
    <t xml:space="preserve">1102</t>
  </si>
  <si>
    <t xml:space="preserve">502</t>
  </si>
  <si>
    <t xml:space="preserve">1004</t>
  </si>
  <si>
    <t xml:space="preserve">1901</t>
  </si>
  <si>
    <t xml:space="preserve">2101</t>
  </si>
  <si>
    <t xml:space="preserve">已加装存水弯</t>
  </si>
  <si>
    <t xml:space="preserve">3302</t>
  </si>
  <si>
    <t xml:space="preserve">2704</t>
  </si>
  <si>
    <t xml:space="preserve">已加贴保温棉</t>
  </si>
  <si>
    <t xml:space="preserve">702</t>
  </si>
  <si>
    <t xml:space="preserve">1301</t>
  </si>
  <si>
    <t xml:space="preserve">946车位</t>
  </si>
  <si>
    <t xml:space="preserve">负一</t>
  </si>
  <si>
    <t xml:space="preserve">已更换新风扇</t>
  </si>
  <si>
    <t xml:space="preserve">919车位</t>
  </si>
  <si>
    <t xml:space="preserve">602</t>
  </si>
  <si>
    <t xml:space="preserve">1904</t>
  </si>
  <si>
    <t xml:space="preserve">2402</t>
  </si>
  <si>
    <t xml:space="preserve">门把手松动</t>
  </si>
  <si>
    <t xml:space="preserve">2203</t>
  </si>
  <si>
    <t xml:space="preserve">2903</t>
  </si>
  <si>
    <t xml:space="preserve">漏保跳闸已复位</t>
  </si>
  <si>
    <t xml:space="preserve">处理及时，点赞</t>
  </si>
  <si>
    <t xml:space="preserve">204</t>
  </si>
  <si>
    <t xml:space="preserve">已重新打胶紧固</t>
  </si>
  <si>
    <t xml:space="preserve">大门</t>
  </si>
  <si>
    <t xml:space="preserve">1304</t>
  </si>
  <si>
    <t xml:space="preserve">3002</t>
  </si>
  <si>
    <t xml:space="preserve">1104</t>
  </si>
  <si>
    <t xml:space="preserve">2304</t>
  </si>
  <si>
    <t xml:space="preserve">1503</t>
  </si>
  <si>
    <t xml:space="preserve">3301</t>
  </si>
  <si>
    <t xml:space="preserve">3204</t>
  </si>
  <si>
    <t xml:space="preserve">303</t>
  </si>
  <si>
    <t xml:space="preserve">商铺</t>
  </si>
  <si>
    <t xml:space="preserve">124</t>
  </si>
  <si>
    <t xml:space="preserve">3303</t>
  </si>
  <si>
    <t xml:space="preserve">2102</t>
  </si>
  <si>
    <t xml:space="preserve">已更换灯珠</t>
  </si>
  <si>
    <t xml:space="preserve">1202</t>
  </si>
  <si>
    <t xml:space="preserve">已更换软管密封圈</t>
  </si>
  <si>
    <t xml:space="preserve">1003</t>
  </si>
  <si>
    <t xml:space="preserve">已清洗消毒</t>
  </si>
  <si>
    <t xml:space="preserve">2802</t>
  </si>
  <si>
    <t xml:space="preserve">已拍照留证，待联系防水单位复查</t>
  </si>
  <si>
    <t xml:space="preserve">254车位</t>
  </si>
  <si>
    <t xml:space="preserve">557车位</t>
  </si>
  <si>
    <t xml:space="preserve">1704</t>
  </si>
  <si>
    <t xml:space="preserve">402</t>
  </si>
  <si>
    <t xml:space="preserve">2002</t>
  </si>
  <si>
    <t xml:space="preserve">3102</t>
  </si>
  <si>
    <t xml:space="preserve">1101</t>
  </si>
  <si>
    <t xml:space="preserve">804</t>
  </si>
  <si>
    <t xml:space="preserve">取消</t>
  </si>
  <si>
    <t xml:space="preserve">202</t>
  </si>
  <si>
    <t xml:space="preserve">已清理点火针</t>
  </si>
  <si>
    <t xml:space="preserve">1502</t>
  </si>
  <si>
    <t xml:space="preserve">待业主确认施工时间后返修</t>
  </si>
  <si>
    <t xml:space="preserve">1603</t>
  </si>
  <si>
    <t xml:space="preserve">2601</t>
  </si>
  <si>
    <t xml:space="preserve">已重新打胶</t>
  </si>
  <si>
    <t xml:space="preserve">已重新接驳固定</t>
  </si>
  <si>
    <t xml:space="preserve">入户门猫眼松动</t>
  </si>
  <si>
    <t xml:space="preserve">203</t>
  </si>
  <si>
    <t xml:space="preserve">已调整钢丝绳</t>
  </si>
  <si>
    <t xml:space="preserve">已压平处理，持续观察</t>
  </si>
  <si>
    <t xml:space="preserve">803</t>
  </si>
  <si>
    <t xml:space="preserve">401</t>
  </si>
  <si>
    <t xml:space="preserve">3203</t>
  </si>
  <si>
    <t xml:space="preserve">2702</t>
  </si>
  <si>
    <t xml:space="preserve">已补充冷媒</t>
  </si>
  <si>
    <t xml:space="preserve">2404</t>
  </si>
  <si>
    <t xml:space="preserve">已更换防臭芯</t>
  </si>
  <si>
    <t xml:space="preserve">603</t>
  </si>
  <si>
    <t xml:space="preserve">1401</t>
  </si>
  <si>
    <t xml:space="preserve">1701</t>
  </si>
  <si>
    <t xml:space="preserve">已更换下水软管</t>
  </si>
  <si>
    <t xml:space="preserve">已重新粘接</t>
  </si>
  <si>
    <t xml:space="preserve">已联系空调厂家售后协同处理</t>
  </si>
  <si>
    <t xml:space="preserve">2804</t>
  </si>
  <si>
    <t xml:space="preserve">数据仪表盘　｜　入户＋公区</t>
  </si>
  <si>
    <t xml:space="preserve">数据来自【工单台账】，打开即刷新</t>
  </si>
  <si>
    <t xml:space="preserve">统计基准日</t>
  </si>
  <si>
    <t xml:space="preserve">统计周期</t>
  </si>
  <si>
    <t xml:space="preserve">本月</t>
  </si>
  <si>
    <t xml:space="preserve">一、现在要处理的事</t>
  </si>
  <si>
    <t xml:space="preserve">未结工单</t>
  </si>
  <si>
    <t xml:space="preserve">其中超期</t>
  </si>
  <si>
    <t xml:space="preserve">重复报修户</t>
  </si>
  <si>
    <t xml:space="preserve">空闲师傅</t>
  </si>
  <si>
    <t xml:space="preserve">跟进中 / 需另约 / 没填状态</t>
  </si>
  <si>
    <t xml:space="preserve">同一户 / 同一位置 ≥ 2 次</t>
  </si>
  <si>
    <t xml:space="preserve">上班且手上没有跟进中的单</t>
  </si>
  <si>
    <t xml:space="preserve">在【工单台账】顶部设置</t>
  </si>
  <si>
    <t xml:space="preserve">跟进人</t>
  </si>
  <si>
    <t xml:space="preserve">等待天数</t>
  </si>
  <si>
    <t xml:space="preserve">最新进展</t>
  </si>
  <si>
    <t xml:space="preserve">累计次数</t>
  </si>
  <si>
    <t xml:space="preserve">最近报修</t>
  </si>
  <si>
    <t xml:space="preserve">最近一次问题</t>
  </si>
  <si>
    <t xml:space="preserve">报修量</t>
  </si>
  <si>
    <t xml:space="preserve">完成率</t>
  </si>
  <si>
    <t xml:space="preserve">好评率</t>
  </si>
  <si>
    <t xml:space="preserve">平均处理天数</t>
  </si>
  <si>
    <t xml:space="preserve">耗材费用</t>
  </si>
  <si>
    <t xml:space="preserve">按报修日期落在本期</t>
  </si>
  <si>
    <t xml:space="preserve">已完成 ÷ 报修量</t>
  </si>
  <si>
    <t xml:space="preserve">满意以上 ÷ 已评价</t>
  </si>
  <si>
    <t xml:space="preserve">只算填了完成日期的单</t>
  </si>
  <si>
    <t xml:space="preserve">台账「耗材费」合计</t>
  </si>
  <si>
    <t xml:space="preserve">师傅排行（按已完成单数；一张单两位师傅跟进，各算 1 单）</t>
  </si>
  <si>
    <t xml:space="preserve">名次</t>
  </si>
  <si>
    <t xml:space="preserve">接单</t>
  </si>
  <si>
    <t xml:space="preserve">未结</t>
  </si>
  <si>
    <t xml:space="preserve">不满意</t>
  </si>
  <si>
    <t xml:space="preserve">满意度得分</t>
  </si>
  <si>
    <t xml:space="preserve">按维修类别</t>
  </si>
  <si>
    <t xml:space="preserve">占比</t>
  </si>
  <si>
    <t xml:space="preserve">耗材(元)</t>
  </si>
  <si>
    <t xml:space="preserve">未分类</t>
  </si>
  <si>
    <t xml:space="preserve">-</t>
  </si>
  <si>
    <t xml:space="preserve">合计</t>
  </si>
  <si>
    <t xml:space="preserve">按楼栋</t>
  </si>
  <si>
    <t xml:space="preserve">师傅 × 楼栋（本期接单数，看每位师傅熟悉哪些楼）</t>
  </si>
  <si>
    <t xml:space="preserve">单元查询　｜　选楼栋、填房号，调出这一户的全部维修记录</t>
  </si>
  <si>
    <t xml:space="preserve">房号</t>
  </si>
  <si>
    <t xml:space="preserve">← 米黄格可改；房号留空＝查整栋。按报修时间从近到远列出。</t>
  </si>
  <si>
    <t xml:space="preserve">共计</t>
  </si>
  <si>
    <t xml:space="preserve">首次报修</t>
  </si>
  <si>
    <t xml:space="preserve">第几单</t>
  </si>
  <si>
    <t xml:space="preserve">米黄色格可以改；灰字区域是公式，别动。改了名单，台账的下拉和仪表盘会一起变。</t>
  </si>
  <si>
    <t xml:space="preserve">统计基准日（留空＝今天）</t>
  </si>
  <si>
    <t xml:space="preserve">超期阈值（天）</t>
  </si>
  <si>
    <t xml:space="preserve">未完成且等待天数 ≥ 这个数，标陶土橘</t>
  </si>
  <si>
    <t xml:space="preserve">实际基准日</t>
  </si>
  <si>
    <t xml:space="preserve">师傅名单</t>
  </si>
  <si>
    <t xml:space="preserve">今日可派单</t>
  </si>
  <si>
    <t xml:space="preserve">（序）</t>
  </si>
  <si>
    <t xml:space="preserve">当日</t>
  </si>
  <si>
    <t xml:space="preserve">本周</t>
  </si>
  <si>
    <t xml:space="preserve">累计</t>
  </si>
  <si>
    <t xml:space="preserve">最多 5 位师傅。下拉末项「取消」＝派单作废。</t>
  </si>
  <si>
    <t xml:space="preserve">计算区（勿改）</t>
  </si>
  <si>
    <t xml:space="preserve">师傅本期统计（计算区）</t>
  </si>
  <si>
    <t xml:space="preserve">周期</t>
  </si>
  <si>
    <t xml:space="preserve">期初</t>
  </si>
  <si>
    <t xml:space="preserve">期末</t>
  </si>
  <si>
    <t xml:space="preserve">评价数</t>
  </si>
  <si>
    <t xml:space="preserve">排序键</t>
  </si>
  <si>
    <t xml:space="preserve">当前周期</t>
  </si>
  <si>
    <t xml:space="preserve">空调导风百叶断裂更换</t>
  </si>
  <si>
    <t xml:space="preserve">5月1日 16:00</t>
  </si>
  <si>
    <t xml:space="preserve">业主第3次更改上门时间</t>
  </si>
  <si>
    <t xml:space="preserve">空调开机后室内机滴水</t>
  </si>
  <si>
    <t xml:space="preserve">5月1日 10:00</t>
  </si>
  <si>
    <t xml:space="preserve">需重新包扎保温棉，待料处理</t>
  </si>
  <si>
    <t xml:space="preserve">阳台雨棚接缝漏水</t>
  </si>
  <si>
    <t xml:space="preserve">5月2日</t>
  </si>
  <si>
    <t xml:space="preserve">连日下雨，待天晴后另约时间</t>
  </si>
  <si>
    <t xml:space="preserve">卧室门把手螺丝滑丝</t>
  </si>
  <si>
    <t xml:space="preserve">5月1日 上午</t>
  </si>
  <si>
    <t xml:space="preserve">物业无同款配件，业主自行采购</t>
  </si>
  <si>
    <t xml:space="preserve">主卧空调出风口结露滴水</t>
  </si>
  <si>
    <t xml:space="preserve">5月1日 14:00后</t>
  </si>
  <si>
    <t xml:space="preserve">已调整出风角度并清洗滤网</t>
  </si>
  <si>
    <t xml:space="preserve">入户门把手松动下垂</t>
  </si>
  <si>
    <t xml:space="preserve">5月1日 12:00</t>
  </si>
  <si>
    <t xml:space="preserve">已紧固复位</t>
  </si>
  <si>
    <t xml:space="preserve">师傅来得很快</t>
  </si>
  <si>
    <t xml:space="preserve">次卧墙面受潮鼓包起皮</t>
  </si>
  <si>
    <t xml:space="preserve">已铲除鼓包批第一遍腻子，待干透后约第二次上门</t>
  </si>
  <si>
    <t xml:space="preserve">可以，辛苦了</t>
  </si>
  <si>
    <t xml:space="preserve">客厅空调管冷凝水滴落</t>
  </si>
  <si>
    <t xml:space="preserve">需先由第三方单位为楼上住户空调管加装保温棉</t>
  </si>
  <si>
    <t xml:space="preserve">卫生间门把手松动</t>
  </si>
  <si>
    <t xml:space="preserve">5月1日 17:00前</t>
  </si>
  <si>
    <t xml:space="preserve">阳台天花腻子开裂</t>
  </si>
  <si>
    <t xml:space="preserve">5月1日 17:00后</t>
  </si>
  <si>
    <t xml:space="preserve">挺好的，支持物业工作</t>
  </si>
  <si>
    <t xml:space="preserve">入户门锁芯转动卡涩</t>
  </si>
  <si>
    <t xml:space="preserve">空调出风口面板松脱</t>
  </si>
  <si>
    <t xml:space="preserve">师傅动作快，很满意</t>
  </si>
  <si>
    <t xml:space="preserve">智能门锁电量低打不开</t>
  </si>
  <si>
    <t xml:space="preserve">5月1日 16:51</t>
  </si>
  <si>
    <t xml:space="preserve">咨询车位充电桩怎么走线</t>
  </si>
  <si>
    <t xml:space="preserve">5月1日 20:30</t>
  </si>
  <si>
    <t xml:space="preserve">客厅地板有水珠，疑似空调滴水</t>
  </si>
  <si>
    <t xml:space="preserve">已更换空调出风口并加贴保温棉</t>
  </si>
  <si>
    <t xml:space="preserve">主卧门锁卡死、入户门关闭变紧</t>
  </si>
  <si>
    <t xml:space="preserve">5月1日 19:00</t>
  </si>
  <si>
    <t xml:space="preserve">另约5月2号上门</t>
  </si>
  <si>
    <t xml:space="preserve">厨房洗菜盆下水堵塞</t>
  </si>
  <si>
    <t xml:space="preserve">5月1日 21:30</t>
  </si>
  <si>
    <t xml:space="preserve">业主来电点赞表扬</t>
  </si>
  <si>
    <t xml:space="preserve">多个门把手松动、淋浴房门下沉</t>
  </si>
  <si>
    <t xml:space="preserve">5月1日 21:50</t>
  </si>
  <si>
    <t xml:space="preserve">主卧空调久未使用，开机有异味</t>
  </si>
  <si>
    <t xml:space="preserve">卫生间门吸脱落</t>
  </si>
  <si>
    <t xml:space="preserve">5月1日 15:00</t>
  </si>
  <si>
    <t xml:space="preserve">厨房水龙头出水忽大忽小</t>
  </si>
  <si>
    <t xml:space="preserve">5月1日 下午</t>
  </si>
  <si>
    <t xml:space="preserve">已拆洗起泡器滤网</t>
  </si>
  <si>
    <t xml:space="preserve">客厅踢脚线脱胶翘起</t>
  </si>
  <si>
    <t xml:space="preserve">5月1日 18:00</t>
  </si>
  <si>
    <t xml:space="preserve">师傅很细心，处理得很干净</t>
  </si>
  <si>
    <t xml:space="preserve">阳台推拉门推拉费劲</t>
  </si>
  <si>
    <t xml:space="preserve">5月1日 19:30</t>
  </si>
  <si>
    <t xml:space="preserve">次卧顶灯开关按了没反应</t>
  </si>
  <si>
    <t xml:space="preserve">5月1日 20:00</t>
  </si>
  <si>
    <t xml:space="preserve">五一活动临时送电</t>
  </si>
  <si>
    <t xml:space="preserve">门岗二楼遮阳帘松脱需加固</t>
  </si>
  <si>
    <t xml:space="preserve">出口道闸识别车牌后不抬杆</t>
  </si>
  <si>
    <t xml:space="preserve">货梯轿厢空调不制冷</t>
  </si>
  <si>
    <t xml:space="preserve">市场内墙雨后渗水</t>
  </si>
  <si>
    <t xml:space="preserve">单元大门下沉刮地</t>
  </si>
  <si>
    <t xml:space="preserve">配电箱附近有电流声</t>
  </si>
  <si>
    <t xml:space="preserve">5月1日 11:10</t>
  </si>
  <si>
    <t xml:space="preserve">现场检测未发现异常</t>
  </si>
  <si>
    <t xml:space="preserve">单元门禁读卡器升级更换</t>
  </si>
  <si>
    <t xml:space="preserve">5月1日 17:00</t>
  </si>
  <si>
    <t xml:space="preserve">门岗天花受潮破损修缮</t>
  </si>
  <si>
    <t xml:space="preserve">5月1日</t>
  </si>
  <si>
    <t xml:space="preserve">已补洞批腻子，待干燥后打磨刷乳胶漆</t>
  </si>
  <si>
    <t xml:space="preserve">8栋大堂吊灯部分不亮</t>
  </si>
  <si>
    <t xml:space="preserve">凉亭顶部雨后积水不退</t>
  </si>
  <si>
    <t xml:space="preserve">雨水管被落叶堵死，预计重新改管道</t>
  </si>
  <si>
    <t xml:space="preserve">次卧外墙窗边渗水</t>
  </si>
  <si>
    <t xml:space="preserve">5月2日 19:00</t>
  </si>
  <si>
    <t xml:space="preserve">已查看，业主要求先处理室内墙面，再排查渗水点并尽快修复</t>
  </si>
  <si>
    <t xml:space="preserve">燃气灶左边炉头点不着</t>
  </si>
  <si>
    <t xml:space="preserve">已由燃气公司人员处理</t>
  </si>
  <si>
    <t xml:space="preserve">厨房下水管接头滴水</t>
  </si>
  <si>
    <t xml:space="preserve">5月2日 9:00</t>
  </si>
  <si>
    <t xml:space="preserve">空调出风口发霉有黑点</t>
  </si>
  <si>
    <t xml:space="preserve">5月2日 16:00</t>
  </si>
  <si>
    <t xml:space="preserve">房门锁舌弹不回来</t>
  </si>
  <si>
    <t xml:space="preserve">出租前需要核对水电表读数</t>
  </si>
  <si>
    <t xml:space="preserve">5月2日 上午</t>
  </si>
  <si>
    <t xml:space="preserve">空调外机噪音大</t>
  </si>
  <si>
    <t xml:space="preserve">非物业维修范围，业主已联系空调售后</t>
  </si>
  <si>
    <t xml:space="preserve">客厅需要安装吸顶灯</t>
  </si>
  <si>
    <t xml:space="preserve">客厅灯带一半不亮</t>
  </si>
  <si>
    <t xml:space="preserve">5月2日 15:31</t>
  </si>
  <si>
    <t xml:space="preserve">很好，服务到位</t>
  </si>
  <si>
    <t xml:space="preserve">主卧外墙渗水，墙纸发霉</t>
  </si>
  <si>
    <t xml:space="preserve">5月2日 约17:00</t>
  </si>
  <si>
    <t xml:space="preserve">已现场拍照留证，待后续协商处理（业主意向使用公共维修资金）</t>
  </si>
  <si>
    <t xml:space="preserve">卫生间门框受潮变形，浴室柜板脱皮</t>
  </si>
  <si>
    <t xml:space="preserve">窗帘滑轨脱落、玄关灯带不亮、门把手松</t>
  </si>
  <si>
    <t xml:space="preserve">5月2日 17:00</t>
  </si>
  <si>
    <t xml:space="preserve">灯带变压器（12V/4A）需业主自购，到货后再约更换</t>
  </si>
  <si>
    <t xml:space="preserve">门把手松动；门口感应灯常亮，想加装开关</t>
  </si>
  <si>
    <t xml:space="preserve">5月2日 20:40</t>
  </si>
  <si>
    <t xml:space="preserve">经业主同意，先将门口感应灯电源断开</t>
  </si>
  <si>
    <t xml:space="preserve">厨房、卫生间门槛石松动</t>
  </si>
  <si>
    <t xml:space="preserve">5月2日 21:20</t>
  </si>
  <si>
    <t xml:space="preserve">洗手盆下水返臭</t>
  </si>
  <si>
    <t xml:space="preserve">入户门关不严，漏风</t>
  </si>
  <si>
    <t xml:space="preserve">5月2日 10:30</t>
  </si>
  <si>
    <t xml:space="preserve">淋浴房挡水胶条脱落</t>
  </si>
  <si>
    <t xml:space="preserve">5月2日 下午</t>
  </si>
  <si>
    <t xml:space="preserve">空调开机风口滴水</t>
  </si>
  <si>
    <t xml:space="preserve">5月2日 15:00</t>
  </si>
  <si>
    <t xml:space="preserve">橱柜门下垂关不上</t>
  </si>
  <si>
    <t xml:space="preserve">卧室墙面出现细小裂纹</t>
  </si>
  <si>
    <t xml:space="preserve">已现场查看，待腻子干透后打磨修补</t>
  </si>
  <si>
    <t xml:space="preserve">车位上方灯管闪烁</t>
  </si>
  <si>
    <t xml:space="preserve">负一层防火门关不上</t>
  </si>
  <si>
    <t xml:space="preserve">电梯厅排风扇不转</t>
  </si>
  <si>
    <t xml:space="preserve">大堂门禁主机反复重启</t>
  </si>
  <si>
    <t xml:space="preserve">车道灯管不亮</t>
  </si>
  <si>
    <t xml:space="preserve">淋浴房推拉门滑不动</t>
  </si>
  <si>
    <t xml:space="preserve">5月3日 上午</t>
  </si>
  <si>
    <t xml:space="preserve">卫生间门关不上</t>
  </si>
  <si>
    <t xml:space="preserve">5月3日</t>
  </si>
  <si>
    <t xml:space="preserve">业主致电表扬师傅</t>
  </si>
  <si>
    <t xml:space="preserve">卫生间排气扇有响声不转</t>
  </si>
  <si>
    <t xml:space="preserve">下雨后阳台地漏积水</t>
  </si>
  <si>
    <t xml:space="preserve">5月3日 11:00</t>
  </si>
  <si>
    <t xml:space="preserve">已疏通并清理落叶杂物</t>
  </si>
  <si>
    <t xml:space="preserve">客厅一排插座没电</t>
  </si>
  <si>
    <t xml:space="preserve">5月3日 下午</t>
  </si>
  <si>
    <t xml:space="preserve">次卧窗户密封条老化，下雨进水</t>
  </si>
  <si>
    <t xml:space="preserve">5月3日 15:30</t>
  </si>
  <si>
    <t xml:space="preserve">厨房水槽下方接口渗水</t>
  </si>
  <si>
    <t xml:space="preserve">5月3日 17:00</t>
  </si>
  <si>
    <t xml:space="preserve">主卧空调开机有咔咔声</t>
  </si>
  <si>
    <t xml:space="preserve">5月3日 19:00</t>
  </si>
  <si>
    <t xml:space="preserve">已紧固内机挂板</t>
  </si>
  <si>
    <t xml:space="preserve">单元大门闭门器失灵、刮地</t>
  </si>
  <si>
    <t xml:space="preserve">镜柜门脱落，阳台雨后渗水</t>
  </si>
  <si>
    <t xml:space="preserve">阳台渗水点已打胶，待胶干后补漆；镜柜铰链待配件到货后安装</t>
  </si>
  <si>
    <t xml:space="preserve">需要加装插座并固定门把手</t>
  </si>
  <si>
    <t xml:space="preserve">门把手已固定，插座待业主买好面板后再约时间</t>
  </si>
  <si>
    <t xml:space="preserve">橱柜层板托脱落</t>
  </si>
  <si>
    <t xml:space="preserve">次卧门把手松动</t>
  </si>
  <si>
    <t xml:space="preserve">很棒，谢谢师傅</t>
  </si>
  <si>
    <t xml:space="preserve">浴室柜玻璃门关不上</t>
  </si>
  <si>
    <t xml:space="preserve">厨房门口门槛石松了，踩上去会动</t>
  </si>
  <si>
    <t xml:space="preserve">玄关踢脚线脱落</t>
  </si>
  <si>
    <t xml:space="preserve">家里总闸频繁跳闸</t>
  </si>
  <si>
    <t xml:space="preserve">已排查线路，持续观察使用情况</t>
  </si>
  <si>
    <t xml:space="preserve">卫生间镜柜灯不亮</t>
  </si>
  <si>
    <t xml:space="preserve">业主在群里点赞表扬</t>
  </si>
  <si>
    <t xml:space="preserve">厨房一用电就跳闸</t>
  </si>
  <si>
    <t xml:space="preserve">店面招牌需协助打孔固定</t>
  </si>
  <si>
    <t xml:space="preserve">阳台推拉门卡住拉不动</t>
  </si>
  <si>
    <t xml:space="preserve">衣柜门铰链断了</t>
  </si>
  <si>
    <t xml:space="preserve">智能门锁需要更换电池</t>
  </si>
  <si>
    <t xml:space="preserve">镜前灯闪烁后不亮</t>
  </si>
  <si>
    <t xml:space="preserve">厨房吊柜门歪了关不严</t>
  </si>
  <si>
    <t xml:space="preserve">5月3日 14:00</t>
  </si>
  <si>
    <t xml:space="preserve">主卫花洒软管接头漏水</t>
  </si>
  <si>
    <t xml:space="preserve">客厅空调久未开启，出风有霉味</t>
  </si>
  <si>
    <t xml:space="preserve">已清洗滤网并消毒</t>
  </si>
  <si>
    <t xml:space="preserve">连续下雨后阳台墙面渗水</t>
  </si>
  <si>
    <t xml:space="preserve">5月3日 18:30</t>
  </si>
  <si>
    <t xml:space="preserve">车位顶板漏水</t>
  </si>
  <si>
    <t xml:space="preserve">充电桩充电时跳闸</t>
  </si>
  <si>
    <t xml:space="preserve">5栋负一防火门关不拢</t>
  </si>
  <si>
    <t xml:space="preserve">3栋大堂门禁从里面开不了</t>
  </si>
  <si>
    <t xml:space="preserve">房间两盏筒灯不亮，空调不制冷</t>
  </si>
  <si>
    <t xml:space="preserve">5月4日</t>
  </si>
  <si>
    <t xml:space="preserve">空调不制冷已解决，筒灯待业主买好后更换</t>
  </si>
  <si>
    <t xml:space="preserve">卫生间下水道返臭</t>
  </si>
  <si>
    <t xml:space="preserve">张师傅很有礼貌也很耐心，检查得很仔细，点赞！</t>
  </si>
  <si>
    <t xml:space="preserve">阳台洗衣机下水漏水</t>
  </si>
  <si>
    <t xml:space="preserve">空调导风百叶脱落需更换</t>
  </si>
  <si>
    <t xml:space="preserve">客厅灯关了还微微亮</t>
  </si>
  <si>
    <t xml:space="preserve">5月4日 约18:00</t>
  </si>
  <si>
    <t xml:space="preserve">镜柜铰链到货了，麻烦上门安装</t>
  </si>
  <si>
    <t xml:space="preserve">5月4日 约18:30</t>
  </si>
  <si>
    <t xml:space="preserve">厨房插座没电，卫生间灯不亮</t>
  </si>
  <si>
    <t xml:space="preserve">热水器出水小，门口墙面漆被碰掉</t>
  </si>
  <si>
    <t xml:space="preserve">5月4日 约19:00</t>
  </si>
  <si>
    <t xml:space="preserve">墙角瓷砖松动需要粘贴</t>
  </si>
  <si>
    <t xml:space="preserve">次日上门补粘门框，已处理</t>
  </si>
  <si>
    <t xml:space="preserve">阳台墙砖松动需要粘一下</t>
  </si>
  <si>
    <t xml:space="preserve">5月4日 约19:30</t>
  </si>
  <si>
    <t xml:space="preserve">燃气灶打火好几次才着</t>
  </si>
  <si>
    <t xml:space="preserve">5月4日 上午</t>
  </si>
  <si>
    <t xml:space="preserve">洗衣机排水溢出，地漏堵塞</t>
  </si>
  <si>
    <t xml:space="preserve">次卧门吸掉了</t>
  </si>
  <si>
    <t xml:space="preserve">5月4日 14:30</t>
  </si>
  <si>
    <t xml:space="preserve">卫生间墙砖空鼓开裂</t>
  </si>
  <si>
    <t xml:space="preserve">5月4日 16:00</t>
  </si>
  <si>
    <t xml:space="preserve">新买的餐厅吊灯需要安装</t>
  </si>
  <si>
    <t xml:space="preserve">5月4日 18:00</t>
  </si>
  <si>
    <t xml:space="preserve">安装很到位，感谢师傅</t>
  </si>
  <si>
    <t xml:space="preserve">主卧窗帘轨道一侧脱落</t>
  </si>
  <si>
    <t xml:space="preserve">5月4日 19:30</t>
  </si>
  <si>
    <t xml:space="preserve">5栋货梯空调不凉</t>
  </si>
  <si>
    <t xml:space="preserve">家里突然停电</t>
  </si>
  <si>
    <t xml:space="preserve">5月5日 上午</t>
  </si>
  <si>
    <t xml:space="preserve">厨房台面与墙面接缝开裂</t>
  </si>
  <si>
    <t xml:space="preserve">小孩把卫生间门反锁了打不开</t>
  </si>
  <si>
    <t xml:space="preserve">空调排水管脱落，外墙滴水</t>
  </si>
  <si>
    <t xml:space="preserve">5月5日 11:30</t>
  </si>
  <si>
    <t xml:space="preserve">5月5日 下午</t>
  </si>
  <si>
    <t xml:space="preserve">阳台晾衣架一边高一边低</t>
  </si>
  <si>
    <t xml:space="preserve">5月5日 15:00</t>
  </si>
  <si>
    <t xml:space="preserve">次卫洗手盆排水慢</t>
  </si>
  <si>
    <t xml:space="preserve">5月5日 17:30</t>
  </si>
  <si>
    <t xml:space="preserve">客厅木地板受潮起拱</t>
  </si>
  <si>
    <t xml:space="preserve">5月5日 19:00</t>
  </si>
  <si>
    <t xml:space="preserve">厨房下水道堵了，水下不去</t>
  </si>
  <si>
    <t xml:space="preserve">5月6日 上午</t>
  </si>
  <si>
    <t xml:space="preserve">厨房下水管老化需更换，客厅空调管要补贴保温棉</t>
  </si>
  <si>
    <t xml:space="preserve">5月6日 约17:00</t>
  </si>
  <si>
    <t xml:space="preserve">卫生间墙角瓷砖掉了一块需要粘回去</t>
  </si>
  <si>
    <t xml:space="preserve">5月6日 约14:00</t>
  </si>
  <si>
    <t xml:space="preserve">家里要换两个插座，顺便修一下门锁</t>
  </si>
  <si>
    <t xml:space="preserve">5月6日 约15:00</t>
  </si>
  <si>
    <t xml:space="preserve">下午三点半后来看下厨房移门，很重不好拉，厕所门也是</t>
  </si>
  <si>
    <t xml:space="preserve">5月6日 约15:30</t>
  </si>
  <si>
    <t xml:space="preserve">想把次卧门换成带锁的儿童房门，物业可以换吗</t>
  </si>
  <si>
    <t xml:space="preserve">5月6日 下午</t>
  </si>
  <si>
    <t xml:space="preserve">楼下业主反映楼上有异响，帮忙上去看看，业主在家</t>
  </si>
  <si>
    <t xml:space="preserve">卧室门框线条脱落</t>
  </si>
  <si>
    <t xml:space="preserve">主卧空调开了半小时还不凉</t>
  </si>
  <si>
    <t xml:space="preserve">油烟机排烟管接口漏烟</t>
  </si>
  <si>
    <t xml:space="preserve">主卫地漏有臭味</t>
  </si>
  <si>
    <t xml:space="preserve">5月6日 14:00</t>
  </si>
  <si>
    <t xml:space="preserve">入户门开关时吱吱响</t>
  </si>
  <si>
    <t xml:space="preserve">5月6日 15:30</t>
  </si>
  <si>
    <t xml:space="preserve">次卧插座面板松了，插头插不稳</t>
  </si>
  <si>
    <t xml:space="preserve">5月6日 17:00</t>
  </si>
  <si>
    <t xml:space="preserve">雨后客厅外墙边渗水</t>
  </si>
  <si>
    <t xml:space="preserve">5月6日 18:30</t>
  </si>
  <si>
    <t xml:space="preserve">已排查楼上管道，待雨后复测确认渗水点</t>
  </si>
  <si>
    <t xml:space="preserve">燃气灶点火打不着</t>
  </si>
  <si>
    <t xml:space="preserve">5月7日 上午</t>
  </si>
  <si>
    <t xml:space="preserve">早晚用水高峰水压小</t>
  </si>
  <si>
    <t xml:space="preserve">已上门查看，入户阀门已开到最大，应为用水高峰期水压偏低</t>
  </si>
  <si>
    <t xml:space="preserve">想挂电视需要打孔</t>
  </si>
  <si>
    <t xml:space="preserve">浴室移门脱轨</t>
  </si>
  <si>
    <t xml:space="preserve">5月7日 下午</t>
  </si>
  <si>
    <t xml:space="preserve">空调线控面板按键失灵</t>
  </si>
  <si>
    <t xml:space="preserve">厨房水槽下面漏水，柜子泡湿了</t>
  </si>
  <si>
    <t xml:space="preserve">阳台灯不亮</t>
  </si>
  <si>
    <t xml:space="preserve">淋浴房玻璃门滑轮坏了需更换</t>
  </si>
  <si>
    <t xml:space="preserve">5月7日 11:00</t>
  </si>
  <si>
    <t xml:space="preserve">业主当面表扬师傅</t>
  </si>
  <si>
    <t xml:space="preserve">入户门门槛石翘起</t>
  </si>
  <si>
    <t xml:space="preserve">空调面板显示故障代码</t>
  </si>
  <si>
    <t xml:space="preserve">5月7日 16:00</t>
  </si>
  <si>
    <t xml:space="preserve">卫生间浴霸换气扇不转</t>
  </si>
  <si>
    <t xml:space="preserve">5月7日 18:00</t>
  </si>
  <si>
    <t xml:space="preserve">已更换换气电机</t>
  </si>
  <si>
    <t xml:space="preserve">示例固定在 2025-05-07，日常使用请清空</t>
  </si>
  <si>
    <t xml:space="preserve">完工后请业主评价，录入「维修评价」「业主意见与建议」。仪表盘第一部分列出未结和重复报修的住户，用来排回访。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</si>
</sst>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yyyy\-mm\-dd"/>
    <numFmt numFmtId="166" formatCode="0\天"/>
    <numFmt numFmtId="167" formatCode="0\次"/>
    <numFmt numFmtId="168" formatCode="#,##0.00;\-#,##0.00;\-"/>
    <numFmt numFmtId="169" formatCode="0\单"/>
    <numFmt numFmtId="170" formatCode="0\户"/>
    <numFmt numFmtId="171" formatCode="0\人"/>
    <numFmt numFmtId="172" formatCode="General"/>
    <numFmt numFmtId="173" formatCode="0.0%"/>
    <numFmt numFmtId="174" formatCode="0.0\天"/>
    <numFmt numFmtId="175" formatCode="#,##0\元"/>
    <numFmt numFmtId="176" formatCode="0;\-0;\-"/>
    <numFmt numFmtId="177" formatCode="0.0%;;\-"/>
    <numFmt numFmtId="178" formatCode="0.0\分"/>
    <numFmt numFmtId="179" formatCode="#,##0;\-#,##0;\-"/>
    <numFmt numFmtId="180" formatCode="0;\-0;\·"/>
    <numFmt numFmtId="181" formatCode="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141413"/>
      <name val="宋体"/>
      <family val="0"/>
      <charset val="1"/>
    </font>
    <font>
      <sz val="10.5"/>
      <color rgb="FF5E5D59"/>
      <name val="等线"/>
      <family val="0"/>
      <charset val="1"/>
    </font>
    <font>
      <b val="true"/>
      <sz val="13"/>
      <color rgb="FF141413"/>
      <name val="宋体"/>
      <family val="0"/>
      <charset val="1"/>
    </font>
    <font>
      <b val="true"/>
      <sz val="10.5"/>
      <color rgb="FF141413"/>
      <name val="等线"/>
      <family val="0"/>
      <charset val="1"/>
    </font>
    <font>
      <sz val="10.5"/>
      <color rgb="FF141413"/>
      <name val="等线"/>
      <family val="0"/>
      <charset val="1"/>
    </font>
    <font>
      <b val="true"/>
      <sz val="10.5"/>
      <color rgb="FF8C3B22"/>
      <name val="等线"/>
      <family val="0"/>
      <charset val="1"/>
    </font>
    <font>
      <b val="true"/>
      <sz val="10.5"/>
      <color rgb="FF3D3D3A"/>
      <name val="等线"/>
      <family val="0"/>
      <charset val="1"/>
    </font>
    <font>
      <b val="true"/>
      <sz val="10.5"/>
      <color rgb="FF4D5B39"/>
      <name val="等线"/>
      <family val="0"/>
      <charset val="1"/>
    </font>
    <font>
      <b val="true"/>
      <sz val="10.5"/>
      <color rgb="FF87867F"/>
      <name val="等线"/>
      <family val="0"/>
      <charset val="1"/>
    </font>
    <font>
      <b val="true"/>
      <sz val="15"/>
      <color rgb="FFFAF9F5"/>
      <name val="宋体"/>
      <family val="0"/>
      <charset val="1"/>
    </font>
    <font>
      <sz val="9"/>
      <color rgb="FFFAF9F5"/>
      <name val="等线"/>
      <family val="0"/>
      <charset val="1"/>
    </font>
    <font>
      <b val="true"/>
      <sz val="12"/>
      <color rgb="FF141413"/>
      <name val="宋体"/>
      <family val="0"/>
      <charset val="1"/>
    </font>
    <font>
      <b val="true"/>
      <sz val="10"/>
      <color rgb="FF141413"/>
      <name val="等线"/>
      <family val="0"/>
      <charset val="1"/>
    </font>
    <font>
      <sz val="9"/>
      <color rgb="FF5E5D59"/>
      <name val="等线"/>
      <family val="0"/>
      <charset val="1"/>
    </font>
    <font>
      <sz val="10"/>
      <color rgb="FF141413"/>
      <name val="等线"/>
      <family val="0"/>
      <charset val="1"/>
    </font>
    <font>
      <b val="true"/>
      <sz val="10"/>
      <color rgb="FFFAF9F5"/>
      <name val="等线"/>
      <family val="0"/>
      <charset val="1"/>
    </font>
    <font>
      <sz val="10"/>
      <color rgb="FF5E5D59"/>
      <name val="等线"/>
      <family val="0"/>
      <charset val="1"/>
    </font>
    <font>
      <b val="true"/>
      <sz val="16"/>
      <color rgb="FFFAF9F5"/>
      <name val="宋体"/>
      <family val="0"/>
      <charset val="1"/>
    </font>
    <font>
      <b val="true"/>
      <sz val="13"/>
      <color rgb="FFFAF9F5"/>
      <name val="宋体"/>
      <family val="0"/>
      <charset val="1"/>
    </font>
    <font>
      <sz val="9.5"/>
      <color rgb="FF5E5D59"/>
      <name val="等线"/>
      <family val="0"/>
      <charset val="1"/>
    </font>
    <font>
      <sz val="20"/>
      <color rgb="FF141413"/>
      <name val="Georgia"/>
      <family val="0"/>
      <charset val="1"/>
    </font>
    <font>
      <sz val="8.5"/>
      <color rgb="FF87867F"/>
      <name val="等线"/>
      <family val="0"/>
      <charset val="1"/>
    </font>
    <font>
      <sz val="9.5"/>
      <color rgb="FF141413"/>
      <name val="等线"/>
      <family val="0"/>
      <charset val="1"/>
    </font>
    <font>
      <b val="true"/>
      <sz val="9"/>
      <color rgb="FFFAF9F5"/>
      <name val="等线"/>
      <family val="0"/>
      <charset val="1"/>
    </font>
    <font>
      <b val="true"/>
      <sz val="18"/>
      <color rgb="FF000000"/>
      <name val="等线"/>
      <family val="2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  <font>
      <b val="true"/>
      <sz val="9"/>
      <color rgb="FF5E5D59"/>
      <name val="等线"/>
      <family val="0"/>
      <charset val="1"/>
    </font>
    <font>
      <sz val="13"/>
      <color rgb="FF141413"/>
      <name val="Georgia"/>
      <family val="0"/>
      <charset val="1"/>
    </font>
    <font>
      <sz val="11"/>
      <color rgb="FF141413"/>
      <name val="等线"/>
      <family val="0"/>
      <charset val="1"/>
    </font>
    <font>
      <b val="true"/>
      <sz val="16"/>
      <color rgb="FF141413"/>
      <name val="宋体"/>
      <family val="0"/>
      <charset val="1"/>
    </font>
    <font>
      <b val="true"/>
      <sz val="11"/>
      <color rgb="FFFAF9F5"/>
      <name val="宋体"/>
      <family val="0"/>
      <charset val="1"/>
    </font>
    <font>
      <sz val="16"/>
      <color rgb="FF141413"/>
      <name val="宋体"/>
      <family val="0"/>
      <charset val="1"/>
    </font>
    <font>
      <sz val="10"/>
      <color rgb="FF87867F"/>
      <name val="等线"/>
      <family val="0"/>
      <charset val="1"/>
    </font>
    <font>
      <b val="true"/>
      <sz val="10"/>
      <color rgb="FF87867F"/>
      <name val="等线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D97757"/>
        <bgColor rgb="FFFF6600"/>
      </patternFill>
    </fill>
    <fill>
      <patternFill patternType="solid">
        <fgColor rgb="FFF5D8CC"/>
        <bgColor rgb="FFF5E3C7"/>
      </patternFill>
    </fill>
    <fill>
      <patternFill patternType="solid">
        <fgColor rgb="FFF5E3C7"/>
        <bgColor rgb="FFF5D8CC"/>
      </patternFill>
    </fill>
    <fill>
      <patternFill patternType="solid">
        <fgColor rgb="FFE4E9DA"/>
        <bgColor rgb="FFE8E6DC"/>
      </patternFill>
    </fill>
    <fill>
      <patternFill patternType="solid">
        <fgColor rgb="FFE8E6DC"/>
        <bgColor rgb="FFE4E9DA"/>
      </patternFill>
    </fill>
    <fill>
      <patternFill patternType="solid">
        <fgColor rgb="FF141413"/>
        <bgColor rgb="FF000000"/>
      </patternFill>
    </fill>
    <fill>
      <patternFill patternType="solid">
        <fgColor rgb="FF5E5D59"/>
        <bgColor rgb="FF4D5B39"/>
      </patternFill>
    </fill>
    <fill>
      <patternFill patternType="solid">
        <fgColor rgb="FFFAF9F5"/>
        <bgColor rgb="FFF0EEE6"/>
      </patternFill>
    </fill>
    <fill>
      <patternFill patternType="solid">
        <fgColor rgb="FFF0EEE6"/>
        <bgColor rgb="FFE8E6DC"/>
      </patternFill>
    </fill>
    <fill>
      <patternFill patternType="solid">
        <fgColor rgb="FF3D3D3A"/>
        <bgColor rgb="FF4D5B39"/>
      </patternFill>
    </fill>
    <fill>
      <patternFill patternType="solid">
        <fgColor rgb="FFFAF9F5"/>
        <bgColor indexed="64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41413"/>
      </bottom>
      <diagonal/>
    </border>
    <border diagonalUp="false" diagonalDown="false">
      <left/>
      <right/>
      <top/>
      <bottom style="thin">
        <color rgb="FFCCCBC8"/>
      </bottom>
      <diagonal/>
    </border>
    <border diagonalUp="false" diagonalDown="false">
      <left/>
      <right/>
      <top/>
      <bottom style="thin">
        <color rgb="FFE8E6DC"/>
      </bottom>
      <diagonal/>
    </border>
    <border diagonalUp="false" diagonalDown="false">
      <left style="thin">
        <color rgb="FFE8E6DC"/>
      </left>
      <right style="thin">
        <color rgb="FFE8E6DC"/>
      </right>
      <top style="thin">
        <color rgb="FFE8E6DC"/>
      </top>
      <bottom style="thin">
        <color rgb="FFE8E6DC"/>
      </bottom>
      <diagonal/>
    </border>
    <border diagonalUp="false" diagonalDown="false">
      <left style="thin">
        <color rgb="FFB0AEA5"/>
      </left>
      <right style="thin">
        <color rgb="FFB0AEA5"/>
      </right>
      <top style="thin">
        <color rgb="FFB0AEA5"/>
      </top>
      <bottom style="thin">
        <color rgb="FFB0AEA5"/>
      </bottom>
      <diagonal/>
    </border>
    <border diagonalUp="false" diagonalDown="false">
      <left style="thin">
        <color rgb="FF141413"/>
      </left>
      <right style="thin">
        <color rgb="FF141413"/>
      </right>
      <top style="thin">
        <color rgb="FF141413"/>
      </top>
      <bottom style="medium">
        <color rgb="FF141413"/>
      </bottom>
      <diagonal/>
    </border>
    <border diagonalUp="false" diagonalDown="false">
      <left/>
      <right/>
      <top style="medium">
        <color rgb="FF141413"/>
      </top>
      <bottom/>
      <diagonal/>
    </border>
    <border diagonalUp="false" diagonalDown="false">
      <left style="thin">
        <color rgb="FFCCCBC8"/>
      </left>
      <right/>
      <top style="medium">
        <color rgb="FF141413"/>
      </top>
      <bottom/>
      <diagonal/>
    </border>
    <border diagonalUp="false" diagonalDown="false">
      <left style="thin">
        <color rgb="FFCCCBC8"/>
      </left>
      <right/>
      <top/>
      <bottom/>
      <diagonal/>
    </border>
    <border diagonalUp="false" diagonalDown="false">
      <left style="thin">
        <color rgb="FFCCCBC8"/>
      </left>
      <right/>
      <top/>
      <bottom style="thin">
        <color rgb="FFCCCBC8"/>
      </bottom>
      <diagonal/>
    </border>
    <border diagonalUp="false" diagonalDown="false">
      <left style="thin">
        <color rgb="FF3D3D3A"/>
      </left>
      <right style="thin">
        <color rgb="FF3D3D3A"/>
      </right>
      <top style="thin">
        <color rgb="FF3D3D3A"/>
      </top>
      <bottom style="thin">
        <color rgb="FF3D3D3A"/>
      </bottom>
      <diagonal/>
    </border>
    <border diagonalUp="false" diagonalDown="false">
      <left/>
      <right/>
      <top style="thin">
        <color rgb="FF141413"/>
      </top>
      <bottom style="thin">
        <color rgb="FF141413"/>
      </bottom>
      <diagonal/>
    </border>
    <border diagonalUp="false" diagonalDown="false">
      <left style="thin">
        <color rgb="FFCCCBC8"/>
      </left>
      <right style="thin">
        <color rgb="FFCCCBC8"/>
      </right>
      <top style="thin">
        <color rgb="FFCCCBC8"/>
      </top>
      <bottom style="thin">
        <color rgb="FFCCCBC8"/>
      </bottom>
      <diagonal/>
    </border>
    <border diagonalUp="false" diagonalDown="false">
      <left/>
      <right/>
      <top/>
      <bottom style="thin">
        <color rgb="FFB0AEA5"/>
      </bottom>
      <diagonal/>
    </border>
    <border diagonalUp="false" diagonalDown="false">
      <left style="thin">
        <color rgb="FF5E5D59"/>
      </left>
      <right style="thin">
        <color rgb="FF5E5D59"/>
      </right>
      <top style="thin">
        <color rgb="FF5E5D59"/>
      </top>
      <bottom style="thin">
        <color rgb="FF5E5D5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1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6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6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9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9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9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9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24" fillId="9" borderId="9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24" fillId="9" borderId="9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24" fillId="9" borderId="9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9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6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6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4" fillId="9" borderId="9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24" fillId="9" borderId="9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5" fontId="24" fillId="9" borderId="9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8" fillId="9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1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8" fillId="1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1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6" fillId="6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16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6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6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0" fontId="1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0" fontId="1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2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2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7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7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ill>
        <patternFill patternType="solid">
          <fgColor rgb="FF5E5D59"/>
          <bgColor rgb="FF000000"/>
        </patternFill>
      </fill>
    </dxf>
    <dxf>
      <fill>
        <patternFill patternType="solid">
          <fgColor rgb="FFF0EE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AF9F5"/>
          <bgColor rgb="FF000000"/>
        </patternFill>
      </fill>
    </dxf>
    <dxf>
      <fill>
        <patternFill patternType="solid">
          <fgColor rgb="FF141413"/>
          <bgColor rgb="FF000000"/>
        </patternFill>
      </fill>
    </dxf>
    <dxf>
      <fill>
        <patternFill patternType="solid">
          <fgColor rgb="FF87867F"/>
          <bgColor rgb="FF000000"/>
        </patternFill>
      </fill>
    </dxf>
    <dxf>
      <fill>
        <patternFill patternType="solid">
          <fgColor rgb="FFD97757"/>
          <bgColor rgb="FF000000"/>
        </patternFill>
      </fill>
    </dxf>
    <dxf>
      <fill>
        <patternFill patternType="solid">
          <fgColor rgb="FFEFC0AE"/>
          <bgColor rgb="FF000000"/>
        </patternFill>
      </fill>
    </dxf>
    <dxf>
      <fill>
        <patternFill patternType="solid">
          <fgColor rgb="FFF5D8CC"/>
          <bgColor rgb="FF000000"/>
        </patternFill>
      </fill>
    </dxf>
    <dxf>
      <fill>
        <patternFill patternType="solid">
          <fgColor rgb="FF8C3B22"/>
          <bgColor rgb="FF000000"/>
        </patternFill>
      </fill>
    </dxf>
    <dxf>
      <fill>
        <patternFill patternType="solid">
          <fgColor rgb="FFE4E9DA"/>
          <bgColor rgb="FF000000"/>
        </patternFill>
      </fill>
    </dxf>
    <dxf>
      <fill>
        <patternFill patternType="solid">
          <fgColor rgb="FFF5E3C7"/>
          <bgColor rgb="FF000000"/>
        </patternFill>
      </fill>
    </dxf>
    <dxf>
      <fill>
        <patternFill patternType="solid">
          <fgColor rgb="FF3D3D3A"/>
          <bgColor rgb="FF000000"/>
        </patternFill>
      </fill>
    </dxf>
    <dxf>
      <fill>
        <patternFill patternType="solid">
          <fgColor rgb="FF4D5B39"/>
          <bgColor rgb="FF000000"/>
        </patternFill>
      </fill>
    </dxf>
    <dxf>
      <fill>
        <patternFill patternType="solid">
          <fgColor rgb="FFD5DEC7"/>
          <bgColor rgb="FF000000"/>
        </patternFill>
      </fill>
    </dxf>
    <dxf>
      <font>
        <color rgb="FF87867F"/>
      </font>
      <fill>
        <patternFill>
          <bgColor rgb="FFE8E6DC"/>
        </patternFill>
      </fill>
    </dxf>
    <dxf>
      <font>
        <b val="1"/>
        <color rgb="FF4D5B39"/>
      </font>
      <fill>
        <patternFill>
          <bgColor rgb="FFE4E9DA"/>
        </patternFill>
      </fill>
    </dxf>
    <dxf>
      <font>
        <color rgb="FF3D3D3A"/>
      </font>
      <fill>
        <patternFill>
          <bgColor rgb="FFF5E3C7"/>
        </patternFill>
      </fill>
    </dxf>
    <dxf>
      <font>
        <b val="1"/>
        <color rgb="FF141413"/>
      </font>
      <fill>
        <patternFill>
          <bgColor rgb="FFD97757"/>
        </patternFill>
      </fill>
    </dxf>
    <dxf>
      <font>
        <color rgb="FF87867F"/>
      </font>
    </dxf>
    <dxf>
      <font>
        <color rgb="FF141413"/>
      </font>
      <fill>
        <patternFill>
          <bgColor rgb="FFEFC0AE"/>
        </patternFill>
      </fill>
    </dxf>
    <dxf>
      <font>
        <color rgb="FF8C3B22"/>
      </font>
      <fill>
        <patternFill>
          <bgColor rgb="FFF5D8CC"/>
        </patternFill>
      </fill>
    </dxf>
    <dxf>
      <font>
        <color rgb="FF4D5B39"/>
      </font>
      <fill>
        <patternFill>
          <bgColor rgb="FFE4E9DA"/>
        </patternFill>
      </fill>
    </dxf>
    <dxf>
      <fill>
        <patternFill>
          <bgColor rgb="FFF5E3C7"/>
        </patternFill>
      </fill>
    </dxf>
    <dxf>
      <font>
        <b val="1"/>
        <color rgb="FF8C3B22"/>
      </font>
      <fill>
        <patternFill>
          <bgColor rgb="FFF5D8CC"/>
        </patternFill>
      </fill>
    </dxf>
    <dxf>
      <font>
        <b val="1"/>
        <color rgb="FF3D3D3A"/>
      </font>
      <fill>
        <patternFill>
          <bgColor rgb="FFF5E3C7"/>
        </patternFill>
      </fill>
    </dxf>
    <dxf>
      <font>
        <color rgb="FF4D5B39"/>
      </font>
      <fill>
        <patternFill>
          <bgColor rgb="FFD5DEC7"/>
        </patternFill>
      </fill>
    </dxf>
    <dxf>
      <fill>
        <patternFill>
          <bgColor rgb="FFF0EEE6"/>
        </patternFill>
      </fill>
    </dxf>
    <dxf>
      <font>
        <color rgb="FF141413"/>
      </font>
      <fill>
        <patternFill>
          <bgColor rgb="FFD97757"/>
        </patternFill>
      </fill>
    </dxf>
    <dxf>
      <font>
        <color rgb="FFB0AEA5"/>
      </font>
    </dxf>
    <dxf>
      <font>
        <b val="1"/>
        <color rgb="FF141413"/>
      </font>
      <fill>
        <patternFill>
          <bgColor rgb="FFE3DACC"/>
        </patternFill>
      </fill>
    </dxf>
  </dxfs>
  <colors>
    <indexedColors>
      <rgbColor rgb="FF000000"/>
      <rgbColor rgb="FFFAF9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88C5D"/>
      <rgbColor rgb="FF800080"/>
      <rgbColor rgb="FF008080"/>
      <rgbColor rgb="FFCCCBC8"/>
      <rgbColor rgb="FF87867F"/>
      <rgbColor rgb="FF6A9BCC"/>
      <rgbColor rgb="FF993366"/>
      <rgbColor rgb="FFF0EEE6"/>
      <rgbColor rgb="FFE8E6DC"/>
      <rgbColor rgb="FF660066"/>
      <rgbColor rgb="FFD97757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DEC7"/>
      <rgbColor rgb="FFE4E9DA"/>
      <rgbColor rgb="FFF5E3C7"/>
      <rgbColor rgb="FFE3DACC"/>
      <rgbColor rgb="FFF5D8CC"/>
      <rgbColor rgb="FFB0AEA5"/>
      <rgbColor rgb="FFEFC0AE"/>
      <rgbColor rgb="FF3366FF"/>
      <rgbColor rgb="FF33CCCC"/>
      <rgbColor rgb="FF99CC00"/>
      <rgbColor rgb="FFFFCC00"/>
      <rgbColor rgb="FFFF9900"/>
      <rgbColor rgb="FFFF6600"/>
      <rgbColor rgb="FF5E5D59"/>
      <rgbColor rgb="FF878787"/>
      <rgbColor rgb="FF003366"/>
      <rgbColor rgb="FF339966"/>
      <rgbColor rgb="FF141413"/>
      <rgbColor rgb="FF4D5B39"/>
      <rgbColor rgb="FF8C3B22"/>
      <rgbColor rgb="FF993366"/>
      <rgbColor rgb="FF333399"/>
      <rgbColor rgb="FF3D3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6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600" spc="-1" strike="noStrike">
                <a:solidFill>
                  <a:srgbClr val="000000"/>
                </a:solidFill>
                <a:latin typeface="Calibri"/>
              </a:rPr>
              <a:t>各类别工单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仪表盘!C56</c:f>
              <c:strCache>
                <c:ptCount val="1"/>
                <c:pt idx="0">
                  <c:v>已完成</c:v>
                </c:pt>
              </c:strCache>
            </c:strRef>
          </c:tx>
          <c:spPr>
            <a:solidFill>
              <a:srgbClr val="788c5d"/>
            </a:solidFill>
            <a:ln w="0">
              <a:solidFill>
                <a:srgbClr val="788c5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仪表盘!$A$57:$A$66</c:f>
              <c:strCache>
                <c:ptCount val="10"/>
                <c:pt idx="0">
                  <c:v>门窗五金</c:v>
                </c:pt>
                <c:pt idx="1">
                  <c:v>电气照明</c:v>
                </c:pt>
                <c:pt idx="2">
                  <c:v>给排水</c:v>
                </c:pt>
                <c:pt idx="3">
                  <c:v>空调暖通</c:v>
                </c:pt>
                <c:pt idx="4">
                  <c:v>渗漏防水</c:v>
                </c:pt>
                <c:pt idx="5">
                  <c:v>墙地饰面</c:v>
                </c:pt>
                <c:pt idx="6">
                  <c:v>燃气厨电</c:v>
                </c:pt>
                <c:pt idx="7">
                  <c:v>弱电门禁</c:v>
                </c:pt>
                <c:pt idx="8">
                  <c:v>公共设施</c:v>
                </c:pt>
                <c:pt idx="9">
                  <c:v>其他</c:v>
                </c:pt>
              </c:strCache>
            </c:strRef>
          </c:cat>
          <c:val>
            <c:numRef>
              <c:f>仪表盘!$C$57:$C$66</c:f>
              <c:numCache>
                <c:formatCode>0;\-0;\-</c:formatCode>
                <c:ptCount val="10"/>
                <c:pt idx="0">
                  <c:v>43</c:v>
                </c:pt>
                <c:pt idx="1">
                  <c:v>24</c:v>
                </c:pt>
                <c:pt idx="2">
                  <c:v>17</c:v>
                </c:pt>
                <c:pt idx="3">
                  <c:v>14</c:v>
                </c:pt>
                <c:pt idx="4">
                  <c:v>2</c:v>
                </c:pt>
                <c:pt idx="5">
                  <c:v>11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4</c:v>
                </c:pt>
              </c:numCache>
            </c:numRef>
          </c:val>
        </c:ser>
        <c:ser>
          <c:idx val="1"/>
          <c:order val="1"/>
          <c:tx>
            <c:strRef>
              <c:f>仪表盘!D56</c:f>
              <c:strCache>
                <c:ptCount val="1"/>
                <c:pt idx="0">
                  <c:v>未结</c:v>
                </c:pt>
              </c:strCache>
            </c:strRef>
          </c:tx>
          <c:spPr>
            <a:solidFill>
              <a:srgbClr val="d97757"/>
            </a:solidFill>
            <a:ln w="0">
              <a:solidFill>
                <a:srgbClr val="d9775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仪表盘!$A$57:$A$66</c:f>
              <c:strCache>
                <c:ptCount val="10"/>
                <c:pt idx="0">
                  <c:v>门窗五金</c:v>
                </c:pt>
                <c:pt idx="1">
                  <c:v>电气照明</c:v>
                </c:pt>
                <c:pt idx="2">
                  <c:v>给排水</c:v>
                </c:pt>
                <c:pt idx="3">
                  <c:v>空调暖通</c:v>
                </c:pt>
                <c:pt idx="4">
                  <c:v>渗漏防水</c:v>
                </c:pt>
                <c:pt idx="5">
                  <c:v>墙地饰面</c:v>
                </c:pt>
                <c:pt idx="6">
                  <c:v>燃气厨电</c:v>
                </c:pt>
                <c:pt idx="7">
                  <c:v>弱电门禁</c:v>
                </c:pt>
                <c:pt idx="8">
                  <c:v>公共设施</c:v>
                </c:pt>
                <c:pt idx="9">
                  <c:v>其他</c:v>
                </c:pt>
              </c:strCache>
            </c:strRef>
          </c:cat>
          <c:val>
            <c:numRef>
              <c:f>仪表盘!$D$57:$D$66</c:f>
              <c:numCache>
                <c:formatCode>0;\-0;\-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50"/>
        <c:overlap val="100"/>
        <c:axId val="39315557"/>
        <c:axId val="71068984"/>
      </c:barChart>
      <c:catAx>
        <c:axId val="393155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68984"/>
        <c:crosses val="autoZero"/>
        <c:auto val="1"/>
        <c:lblAlgn val="ctr"/>
        <c:lblOffset val="100"/>
        <c:noMultiLvlLbl val="0"/>
      </c:catAx>
      <c:valAx>
        <c:axId val="71068984"/>
        <c:scaling>
          <c:orientation val="minMax"/>
        </c:scaling>
        <c:delete val="0"/>
        <c:axPos val="l"/>
        <c:numFmt formatCode="0;\-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155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6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600" spc="-1" strike="noStrike">
                <a:solidFill>
                  <a:srgbClr val="000000"/>
                </a:solidFill>
                <a:latin typeface="Calibri"/>
              </a:rPr>
              <a:t>各楼栋工单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仪表盘!E71</c:f>
              <c:strCache>
                <c:ptCount val="1"/>
                <c:pt idx="0">
                  <c:v>已完成</c:v>
                </c:pt>
              </c:strCache>
            </c:strRef>
          </c:tx>
          <c:spPr>
            <a:solidFill>
              <a:srgbClr val="788c5d"/>
            </a:solidFill>
            <a:ln w="0">
              <a:solidFill>
                <a:srgbClr val="788c5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仪表盘!$A$72:$A$84</c:f>
              <c:strCache>
                <c:ptCount val="13"/>
                <c:pt idx="0">
                  <c:v>1栋</c:v>
                </c:pt>
                <c:pt idx="1">
                  <c:v>2栋</c:v>
                </c:pt>
                <c:pt idx="2">
                  <c:v>3栋</c:v>
                </c:pt>
                <c:pt idx="3">
                  <c:v>4栋</c:v>
                </c:pt>
                <c:pt idx="4">
                  <c:v>5栋</c:v>
                </c:pt>
                <c:pt idx="5">
                  <c:v>6栋</c:v>
                </c:pt>
                <c:pt idx="6">
                  <c:v>7栋</c:v>
                </c:pt>
                <c:pt idx="7">
                  <c:v>8栋</c:v>
                </c:pt>
                <c:pt idx="8">
                  <c:v>9栋</c:v>
                </c:pt>
                <c:pt idx="9">
                  <c:v>10栋</c:v>
                </c:pt>
                <c:pt idx="10">
                  <c:v>11栋</c:v>
                </c:pt>
                <c:pt idx="11">
                  <c:v>商铺</c:v>
                </c:pt>
                <c:pt idx="12">
                  <c:v>公共区域</c:v>
                </c:pt>
              </c:strCache>
            </c:strRef>
          </c:cat>
          <c:val>
            <c:numRef>
              <c:f>仪表盘!$E$72:$E$84</c:f>
              <c:numCache>
                <c:formatCode>0;\-0;\-</c:formatCode>
                <c:ptCount val="13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14</c:v>
                </c:pt>
                <c:pt idx="5">
                  <c:v>13</c:v>
                </c:pt>
                <c:pt idx="6">
                  <c:v>11</c:v>
                </c:pt>
                <c:pt idx="7">
                  <c:v>14</c:v>
                </c:pt>
                <c:pt idx="8">
                  <c:v>13</c:v>
                </c:pt>
                <c:pt idx="9">
                  <c:v>14</c:v>
                </c:pt>
                <c:pt idx="10">
                  <c:v>11</c:v>
                </c:pt>
                <c:pt idx="11">
                  <c:v>1</c:v>
                </c:pt>
                <c:pt idx="12">
                  <c:v>6</c:v>
                </c:pt>
              </c:numCache>
            </c:numRef>
          </c:val>
        </c:ser>
        <c:ser>
          <c:idx val="1"/>
          <c:order val="1"/>
          <c:tx>
            <c:strRef>
              <c:f>仪表盘!F71</c:f>
              <c:strCache>
                <c:ptCount val="1"/>
                <c:pt idx="0">
                  <c:v>未结</c:v>
                </c:pt>
              </c:strCache>
            </c:strRef>
          </c:tx>
          <c:spPr>
            <a:solidFill>
              <a:srgbClr val="d97757"/>
            </a:solidFill>
            <a:ln w="0">
              <a:solidFill>
                <a:srgbClr val="d9775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仪表盘!$A$72:$A$84</c:f>
              <c:strCache>
                <c:ptCount val="13"/>
                <c:pt idx="0">
                  <c:v>1栋</c:v>
                </c:pt>
                <c:pt idx="1">
                  <c:v>2栋</c:v>
                </c:pt>
                <c:pt idx="2">
                  <c:v>3栋</c:v>
                </c:pt>
                <c:pt idx="3">
                  <c:v>4栋</c:v>
                </c:pt>
                <c:pt idx="4">
                  <c:v>5栋</c:v>
                </c:pt>
                <c:pt idx="5">
                  <c:v>6栋</c:v>
                </c:pt>
                <c:pt idx="6">
                  <c:v>7栋</c:v>
                </c:pt>
                <c:pt idx="7">
                  <c:v>8栋</c:v>
                </c:pt>
                <c:pt idx="8">
                  <c:v>9栋</c:v>
                </c:pt>
                <c:pt idx="9">
                  <c:v>10栋</c:v>
                </c:pt>
                <c:pt idx="10">
                  <c:v>11栋</c:v>
                </c:pt>
                <c:pt idx="11">
                  <c:v>商铺</c:v>
                </c:pt>
                <c:pt idx="12">
                  <c:v>公共区域</c:v>
                </c:pt>
              </c:strCache>
            </c:strRef>
          </c:cat>
          <c:val>
            <c:numRef>
              <c:f>仪表盘!$F$72:$F$84</c:f>
              <c:numCache>
                <c:formatCode>0;\-0;\-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2</c:v>
                </c:pt>
              </c:numCache>
            </c:numRef>
          </c:val>
        </c:ser>
        <c:gapWidth val="50"/>
        <c:overlap val="100"/>
        <c:axId val="13926596"/>
        <c:axId val="10703457"/>
      </c:barChart>
      <c:catAx>
        <c:axId val="139265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03457"/>
        <c:crosses val="autoZero"/>
        <c:auto val="1"/>
        <c:lblAlgn val="ctr"/>
        <c:lblOffset val="100"/>
        <c:noMultiLvlLbl val="0"/>
      </c:catAx>
      <c:valAx>
        <c:axId val="10703457"/>
        <c:scaling>
          <c:orientation val="minMax"/>
        </c:scaling>
        <c:delete val="0"/>
        <c:axPos val="l"/>
        <c:numFmt formatCode="0;\-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265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55</xdr:row>
      <xdr:rowOff>0</xdr:rowOff>
    </xdr:from>
    <xdr:to>
      <xdr:col>14</xdr:col>
      <xdr:colOff>0</xdr:colOff>
      <xdr:row>66</xdr:row>
      <xdr:rowOff>218160</xdr:rowOff>
    </xdr:to>
    <xdr:graphicFrame>
      <xdr:nvGraphicFramePr>
        <xdr:cNvPr id="0" name="Chart 1"/>
        <xdr:cNvGraphicFramePr/>
      </xdr:nvGraphicFramePr>
      <xdr:xfrm>
        <a:off x="6625440" y="13230360"/>
        <a:ext cx="366552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69</xdr:row>
      <xdr:rowOff>0</xdr:rowOff>
    </xdr:from>
    <xdr:to>
      <xdr:col>14</xdr:col>
      <xdr:colOff>0</xdr:colOff>
      <xdr:row>81</xdr:row>
      <xdr:rowOff>27360</xdr:rowOff>
    </xdr:to>
    <xdr:graphicFrame>
      <xdr:nvGraphicFramePr>
        <xdr:cNvPr id="1" name="Chart 2"/>
        <xdr:cNvGraphicFramePr/>
      </xdr:nvGraphicFramePr>
      <xdr:xfrm>
        <a:off x="6625440" y="16583040"/>
        <a:ext cx="366552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工单" displayName="工单" ref="A6:S149" headerRowCount="1" totalsRowCount="0" totalsRowShown="0">
  <autoFilter ref="A6:S149"/>
  <tableColumns count="19">
    <tableColumn id="1" name="单据编号">
      <calculatedColumnFormula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calculatedColumnFormula>
    </tableColumn>
    <tableColumn id="2" name="报修日期"/>
    <tableColumn id="3" name="类型"/>
    <tableColumn id="4" name="楼栋"/>
    <tableColumn id="5" name="房号/位置"/>
    <tableColumn id="6" name="报修问题描述"/>
    <tableColumn id="7" name="维修类别"/>
    <tableColumn id="8" name="跟进人1"/>
    <tableColumn id="9" name="跟进人2"/>
    <tableColumn id="10" name="预约时间"/>
    <tableColumn id="11" name="上门排序"/>
    <tableColumn id="12" name="完成情况"/>
    <tableColumn id="13" name="完成日期"/>
    <tableColumn id="14" name="处理天数">
      <calculatedColumnFormula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calculatedColumnFormula>
    </tableColumn>
    <tableColumn id="15" name="该户第几次">
      <calculatedColumnFormula>IF(OR(工单[[#This Row],[楼栋]]="",工单[[#This Row],[房号/位置]]=""),"",COUNTIFS(INDEX(工单[楼栋],1):工单[[#This Row],[楼栋]],工单[[#This Row],[楼栋]],INDEX(工单[房号/位置],1):工单[[#This Row],[房号/位置]],工单[[#This Row],[房号/位置]]))</calculatedColumnFormula>
    </tableColumn>
    <tableColumn id="16" name="维修备注"/>
    <tableColumn id="17" name="耗材费(元)"/>
    <tableColumn id="18" name="维修评价"/>
    <tableColumn id="19" name="业主意见与建议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AEA5"/>
    <pageSetUpPr fitToPage="true"/>
  </sheetPr>
  <dimension ref="B2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6"/>
    <col collapsed="false" customWidth="true" hidden="false" outlineLevel="0" max="3" min="3" style="0" width="78"/>
    <col collapsed="false" customWidth="true" hidden="false" outlineLevel="0" max="4" min="4" style="0" width="2.5"/>
  </cols>
  <sheetData>
    <row r="2" customFormat="false" ht="39.75" hidden="false" customHeight="true" outlineLevel="0" collapsed="false">
      <c r="B2" s="1" t="s">
        <v>0</v>
      </c>
    </row>
    <row r="3" customFormat="false" ht="25.5" hidden="false" customHeight="true" outlineLevel="0" collapsed="false">
      <c r="B3" s="2" t="s">
        <v>1</v>
      </c>
      <c r="C3" s="2"/>
    </row>
    <row r="4" customFormat="false" ht="12" hidden="false" customHeight="true" outlineLevel="0" collapsed="false"/>
    <row r="5" customFormat="false" ht="30" hidden="false" customHeight="true" outlineLevel="0" collapsed="false">
      <c r="B5" s="3" t="s">
        <v>2</v>
      </c>
      <c r="C5" s="3"/>
    </row>
    <row r="6" customFormat="false" ht="46.5" hidden="false" customHeight="true" outlineLevel="0" collapsed="false">
      <c r="B6" s="4" t="s">
        <v>3</v>
      </c>
      <c r="C6" s="5" t="s">
        <v>4</v>
      </c>
    </row>
    <row r="7" customFormat="false" ht="46.5" hidden="false" customHeight="true" outlineLevel="0" collapsed="false">
      <c r="B7" s="4" t="s">
        <v>5</v>
      </c>
      <c r="C7" s="5" t="s">
        <v>6</v>
      </c>
    </row>
    <row r="8" customFormat="false" ht="28.5" hidden="false" customHeight="true" outlineLevel="0" collapsed="false">
      <c r="B8" s="4" t="s">
        <v>7</v>
      </c>
      <c r="C8" s="5" t="s">
        <v>8</v>
      </c>
    </row>
    <row r="9" customFormat="false" ht="28.5" hidden="false" customHeight="true" outlineLevel="0" collapsed="false">
      <c r="B9" s="4" t="s">
        <v>9</v>
      </c>
      <c r="C9" s="5" t="s">
        <v>10</v>
      </c>
    </row>
    <row r="10" customFormat="false" ht="28.5" hidden="false" customHeight="true" outlineLevel="0" collapsed="false">
      <c r="B10" s="4" t="s">
        <v>11</v>
      </c>
      <c r="C10" s="5" t="s">
        <v>570</v>
      </c>
    </row>
    <row r="11" customFormat="false" ht="12" hidden="false" customHeight="true" outlineLevel="0" collapsed="false"/>
    <row r="12" customFormat="false" ht="30" hidden="false" customHeight="true" outlineLevel="0" collapsed="false">
      <c r="B12" s="3" t="s">
        <v>12</v>
      </c>
      <c r="C12" s="3"/>
    </row>
    <row r="13" customFormat="false" ht="28.5" hidden="false" customHeight="true" outlineLevel="0" collapsed="false">
      <c r="B13" s="4" t="s">
        <v>13</v>
      </c>
      <c r="C13" s="5" t="s">
        <v>14</v>
      </c>
    </row>
    <row r="14" customFormat="false" ht="65.25" hidden="false" customHeight="true" outlineLevel="0" collapsed="false">
      <c r="B14" s="4" t="s">
        <v>15</v>
      </c>
      <c r="C14" s="5" t="s">
        <v>16</v>
      </c>
    </row>
    <row r="15" customFormat="false" ht="28.5" hidden="false" customHeight="true" outlineLevel="0" collapsed="false">
      <c r="B15" s="4" t="s">
        <v>17</v>
      </c>
      <c r="C15" s="5" t="s">
        <v>18</v>
      </c>
    </row>
    <row r="16" customFormat="false" ht="28.5" hidden="false" customHeight="true" outlineLevel="0" collapsed="false">
      <c r="B16" s="4" t="s">
        <v>19</v>
      </c>
      <c r="C16" s="5" t="s">
        <v>20</v>
      </c>
    </row>
    <row r="17" customFormat="false" ht="12" hidden="false" customHeight="true" outlineLevel="0" collapsed="false"/>
    <row r="18" customFormat="false" ht="30" hidden="false" customHeight="true" outlineLevel="0" collapsed="false">
      <c r="B18" s="3" t="s">
        <v>21</v>
      </c>
      <c r="C18" s="3"/>
    </row>
    <row r="19" customFormat="false" ht="28.5" hidden="false" customHeight="true" outlineLevel="0" collapsed="false">
      <c r="B19" s="4" t="s">
        <v>22</v>
      </c>
      <c r="C19" s="5" t="s">
        <v>23</v>
      </c>
    </row>
    <row r="20" customFormat="false" ht="46.5" hidden="false" customHeight="true" outlineLevel="0" collapsed="false">
      <c r="B20" s="4" t="s">
        <v>24</v>
      </c>
      <c r="C20" s="5" t="s">
        <v>25</v>
      </c>
    </row>
    <row r="21" customFormat="false" ht="28.5" hidden="false" customHeight="true" outlineLevel="0" collapsed="false">
      <c r="B21" s="4" t="s">
        <v>26</v>
      </c>
      <c r="C21" s="5" t="s">
        <v>27</v>
      </c>
    </row>
    <row r="22" customFormat="false" ht="12" hidden="false" customHeight="true" outlineLevel="0" collapsed="false"/>
    <row r="23" customFormat="false" ht="30" hidden="false" customHeight="true" outlineLevel="0" collapsed="false">
      <c r="B23" s="3" t="s">
        <v>28</v>
      </c>
      <c r="C23" s="3"/>
    </row>
    <row r="24" customFormat="false" ht="28.5" hidden="false" customHeight="true" outlineLevel="0" collapsed="false">
      <c r="B24" s="6" t="s">
        <v>29</v>
      </c>
      <c r="C24" s="5" t="s">
        <v>30</v>
      </c>
    </row>
    <row r="25" customFormat="false" ht="28.5" hidden="false" customHeight="true" outlineLevel="0" collapsed="false">
      <c r="B25" s="7" t="s">
        <v>31</v>
      </c>
      <c r="C25" s="5" t="s">
        <v>32</v>
      </c>
    </row>
    <row r="26" customFormat="false" ht="28.5" hidden="false" customHeight="true" outlineLevel="0" collapsed="false">
      <c r="B26" s="8" t="s">
        <v>33</v>
      </c>
      <c r="C26" s="5" t="s">
        <v>34</v>
      </c>
    </row>
    <row r="27" customFormat="false" ht="28.5" hidden="false" customHeight="true" outlineLevel="0" collapsed="false">
      <c r="B27" s="9" t="s">
        <v>35</v>
      </c>
      <c r="C27" s="5" t="s">
        <v>36</v>
      </c>
    </row>
    <row r="28" customFormat="false" ht="28.5" hidden="false" customHeight="true" outlineLevel="0" collapsed="false">
      <c r="B28" s="10" t="s">
        <v>37</v>
      </c>
      <c r="C28" s="5" t="s">
        <v>38</v>
      </c>
    </row>
    <row r="29" customFormat="false" ht="12" hidden="false" customHeight="true" outlineLevel="0" collapsed="false"/>
    <row r="30" customFormat="false" ht="30" hidden="false" customHeight="true" outlineLevel="0" collapsed="false">
      <c r="B30" s="3" t="s">
        <v>39</v>
      </c>
      <c r="C30" s="3"/>
    </row>
    <row r="31" customFormat="false" ht="28.5" hidden="false" customHeight="true" outlineLevel="0" collapsed="false">
      <c r="B31" s="4" t="s">
        <v>40</v>
      </c>
      <c r="C31" s="5" t="s">
        <v>41</v>
      </c>
    </row>
    <row r="32" customFormat="false" ht="28.5" hidden="false" customHeight="true" outlineLevel="0" collapsed="false">
      <c r="B32" s="4" t="s">
        <v>42</v>
      </c>
      <c r="C32" s="5" t="s">
        <v>43</v>
      </c>
    </row>
    <row r="33" customFormat="false" ht="28.5" hidden="false" customHeight="true" outlineLevel="0" collapsed="false">
      <c r="B33" s="4" t="s">
        <v>44</v>
      </c>
      <c r="C33" s="5" t="s">
        <v>45</v>
      </c>
    </row>
    <row r="34" customFormat="false" ht="28.5" hidden="false" customHeight="true" outlineLevel="0" collapsed="false">
      <c r="B34" s="4" t="s">
        <v>46</v>
      </c>
      <c r="C34" s="5" t="s">
        <v>47</v>
      </c>
    </row>
  </sheetData>
  <mergeCells count="6">
    <mergeCell ref="B3:C3"/>
    <mergeCell ref="B5:C5"/>
    <mergeCell ref="B12:C12"/>
    <mergeCell ref="B18:C18"/>
    <mergeCell ref="B23:C23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1413"/>
    <pageSetUpPr fitToPage="true"/>
  </sheetPr>
  <dimension ref="A1:S1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7" activeCellId="0" sqref="A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6.51"/>
    <col collapsed="false" customWidth="true" hidden="false" outlineLevel="0" max="4" min="4" style="0" width="8.5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9" min="8" style="0" width="8.5"/>
    <col collapsed="false" customWidth="true" hidden="false" outlineLevel="0" max="10" min="10" style="0" width="14"/>
    <col collapsed="false" customWidth="true" hidden="false" outlineLevel="0" max="11" min="11" style="0" width="8.5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8.5"/>
    <col collapsed="false" customWidth="true" hidden="false" outlineLevel="0" max="15" min="15" style="0" width="9"/>
    <col collapsed="false" customWidth="true" hidden="false" outlineLevel="0" max="16" min="16" style="0" width="28"/>
    <col collapsed="false" customWidth="true" hidden="false" outlineLevel="0" max="18" min="17" style="0" width="10"/>
    <col collapsed="false" customWidth="true" hidden="false" outlineLevel="0" max="19" min="19" style="0" width="24"/>
  </cols>
  <sheetData>
    <row r="1" customFormat="false" ht="31.5" hidden="false" customHeight="true" outlineLevel="0" collapsed="false">
      <c r="A1" s="11" t="s">
        <v>48</v>
      </c>
      <c r="B1" s="11"/>
      <c r="C1" s="11"/>
      <c r="D1" s="11"/>
      <c r="E1" s="11"/>
      <c r="F1" s="11"/>
      <c r="G1" s="12" t="s">
        <v>49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customFormat="false" ht="21" hidden="false" customHeight="true" outlineLevel="0" collapsed="false">
      <c r="A2" s="13" t="s">
        <v>50</v>
      </c>
      <c r="B2" s="13"/>
      <c r="C2" s="13"/>
      <c r="D2" s="13"/>
      <c r="E2" s="13"/>
      <c r="F2" s="14" t="s">
        <v>51</v>
      </c>
      <c r="G2" s="14"/>
      <c r="H2" s="15" t="str">
        <f aca="false">设置!A9&amp;""</f>
        <v>张师傅</v>
      </c>
      <c r="I2" s="15" t="str">
        <f aca="false">设置!A10&amp;""</f>
        <v>李师傅</v>
      </c>
      <c r="J2" s="15" t="str">
        <f aca="false">设置!A11&amp;""</f>
        <v>王师傅</v>
      </c>
      <c r="K2" s="15" t="str">
        <f aca="false">设置!A12&amp;""</f>
        <v>陈师傅</v>
      </c>
      <c r="L2" s="15" t="str">
        <f aca="false">设置!A13&amp;""</f>
        <v>刘师傅</v>
      </c>
      <c r="M2" s="16" t="s">
        <v>52</v>
      </c>
      <c r="N2" s="16"/>
      <c r="O2" s="16"/>
      <c r="P2" s="16"/>
    </row>
    <row r="3" customFormat="false" ht="21" hidden="false" customHeight="true" outlineLevel="0" collapsed="false">
      <c r="A3" s="17" t="str">
        <f aca="false">"在岗 "&amp;COUNTIF(H4:L4,"在岗*")&amp;" 人　·　空闲 "&amp;COUNTIF(H4:L4,"空闲")&amp;" 人　·　休息 "&amp;COUNTIF(H4:L4,"休息")&amp;" 人"</f>
        <v>在岗 4 人　·　空闲 0 人　·　休息 1 人</v>
      </c>
      <c r="B3" s="17"/>
      <c r="C3" s="17"/>
      <c r="D3" s="17"/>
      <c r="E3" s="17"/>
      <c r="F3" s="14" t="s">
        <v>53</v>
      </c>
      <c r="G3" s="14"/>
      <c r="H3" s="18" t="s">
        <v>54</v>
      </c>
      <c r="I3" s="18" t="s">
        <v>55</v>
      </c>
      <c r="J3" s="18" t="s">
        <v>55</v>
      </c>
      <c r="K3" s="18" t="s">
        <v>55</v>
      </c>
      <c r="L3" s="18" t="s">
        <v>55</v>
      </c>
      <c r="M3" s="16" t="s">
        <v>56</v>
      </c>
      <c r="N3" s="16"/>
      <c r="O3" s="16"/>
      <c r="P3" s="16"/>
    </row>
    <row r="4" customFormat="false" ht="21" hidden="false" customHeight="true" outlineLevel="0" collapsed="false">
      <c r="A4" s="16" t="s">
        <v>57</v>
      </c>
      <c r="B4" s="16"/>
      <c r="C4" s="16"/>
      <c r="D4" s="16"/>
      <c r="E4" s="16"/>
      <c r="F4" s="14" t="s">
        <v>58</v>
      </c>
      <c r="G4" s="14"/>
      <c r="H4" s="19" t="str">
        <f aca="false">IF(H2="","",IF(H3="休息","休息",IF(COUNTIFS(工单[跟进人1],H$2,工单[完成情况],"跟进中")+COUNTIFS(工单[跟进人2],H$2,工单[完成情况],"跟进中")&gt;0,"在岗 "&amp;COUNTIFS(工单[跟进人1],H$2,工单[完成情况],"跟进中")+COUNTIFS(工单[跟进人2],H$2,工单[完成情况],"跟进中")&amp;" 单","空闲")))</f>
        <v>休息</v>
      </c>
      <c r="I4" s="19" t="str">
        <f aca="false">IF(I2="","",IF(I3="休息","休息",IF(COUNTIFS(工单[跟进人1],I$2,工单[完成情况],"跟进中")+COUNTIFS(工单[跟进人2],I$2,工单[完成情况],"跟进中")&gt;0,"在岗 "&amp;COUNTIFS(工单[跟进人1],I$2,工单[完成情况],"跟进中")+COUNTIFS(工单[跟进人2],I$2,工单[完成情况],"跟进中")&amp;" 单","空闲")))</f>
        <v>在岗 7 单</v>
      </c>
      <c r="J4" s="19" t="str">
        <f aca="false">IF(J2="","",IF(J3="休息","休息",IF(COUNTIFS(工单[跟进人1],J$2,工单[完成情况],"跟进中")+COUNTIFS(工单[跟进人2],J$2,工单[完成情况],"跟进中")&gt;0,"在岗 "&amp;COUNTIFS(工单[跟进人1],J$2,工单[完成情况],"跟进中")+COUNTIFS(工单[跟进人2],J$2,工单[完成情况],"跟进中")&amp;" 单","空闲")))</f>
        <v>在岗 1 单</v>
      </c>
      <c r="K4" s="19" t="str">
        <f aca="false">IF(K2="","",IF(K3="休息","休息",IF(COUNTIFS(工单[跟进人1],K$2,工单[完成情况],"跟进中")+COUNTIFS(工单[跟进人2],K$2,工单[完成情况],"跟进中")&gt;0,"在岗 "&amp;COUNTIFS(工单[跟进人1],K$2,工单[完成情况],"跟进中")+COUNTIFS(工单[跟进人2],K$2,工单[完成情况],"跟进中")&amp;" 单","空闲")))</f>
        <v>在岗 4 单</v>
      </c>
      <c r="L4" s="19" t="str">
        <f aca="false">IF(L2="","",IF(L3="休息","休息",IF(COUNTIFS(工单[跟进人1],L$2,工单[完成情况],"跟进中")+COUNTIFS(工单[跟进人2],L$2,工单[完成情况],"跟进中")&gt;0,"在岗 "&amp;COUNTIFS(工单[跟进人1],L$2,工单[完成情况],"跟进中")+COUNTIFS(工单[跟进人2],L$2,工单[完成情况],"跟进中")&amp;" 单","空闲")))</f>
        <v>在岗 3 单</v>
      </c>
      <c r="M4" s="16" t="s">
        <v>59</v>
      </c>
      <c r="N4" s="16"/>
      <c r="O4" s="16"/>
      <c r="P4" s="16"/>
    </row>
    <row r="5" customFormat="false" ht="7.5" hidden="false" customHeight="true" outlineLevel="0" collapsed="false"/>
    <row r="6" customFormat="false" ht="30" hidden="false" customHeight="true" outlineLevel="0" collapsed="false">
      <c r="A6" s="20" t="s">
        <v>60</v>
      </c>
      <c r="B6" s="21" t="s">
        <v>61</v>
      </c>
      <c r="C6" s="21" t="s">
        <v>62</v>
      </c>
      <c r="D6" s="21" t="s">
        <v>63</v>
      </c>
      <c r="E6" s="21" t="s">
        <v>64</v>
      </c>
      <c r="F6" s="21" t="s">
        <v>65</v>
      </c>
      <c r="G6" s="21" t="s">
        <v>66</v>
      </c>
      <c r="H6" s="21" t="s">
        <v>67</v>
      </c>
      <c r="I6" s="21" t="s">
        <v>68</v>
      </c>
      <c r="J6" s="21" t="s">
        <v>69</v>
      </c>
      <c r="K6" s="21" t="s">
        <v>70</v>
      </c>
      <c r="L6" s="21" t="s">
        <v>71</v>
      </c>
      <c r="M6" s="21" t="s">
        <v>72</v>
      </c>
      <c r="N6" s="20" t="s">
        <v>73</v>
      </c>
      <c r="O6" s="20" t="s">
        <v>74</v>
      </c>
      <c r="P6" s="21" t="s">
        <v>75</v>
      </c>
      <c r="Q6" s="21" t="s">
        <v>76</v>
      </c>
      <c r="R6" s="21" t="s">
        <v>77</v>
      </c>
      <c r="S6" s="21" t="s">
        <v>78</v>
      </c>
    </row>
    <row r="7" customFormat="false" ht="15" hidden="false" customHeight="false" outlineLevel="0" collapsed="false">
      <c r="A7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8-403-0501</v>
      </c>
      <c r="B7" s="23" t="n">
        <v>45778</v>
      </c>
      <c r="C7" s="19" t="s">
        <v>79</v>
      </c>
      <c r="D7" s="19" t="s">
        <v>80</v>
      </c>
      <c r="E7" s="19" t="s">
        <v>81</v>
      </c>
      <c r="F7" s="24" t="s">
        <v>310</v>
      </c>
      <c r="G7" s="19" t="s">
        <v>82</v>
      </c>
      <c r="H7" s="19" t="s">
        <v>83</v>
      </c>
      <c r="I7" s="19" t="s">
        <v>84</v>
      </c>
      <c r="J7" s="19" t="s">
        <v>311</v>
      </c>
      <c r="K7" s="19" t="s">
        <v>85</v>
      </c>
      <c r="L7" s="19" t="s">
        <v>86</v>
      </c>
      <c r="M7" s="23"/>
      <c r="N7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7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7" s="24" t="s">
        <v>312</v>
      </c>
      <c r="Q7" s="27"/>
      <c r="R7" s="19" t="s">
        <v>87</v>
      </c>
      <c r="S7" s="24"/>
    </row>
    <row r="8" customFormat="false" ht="15" hidden="false" customHeight="false" outlineLevel="0" collapsed="false">
      <c r="A8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6-2504-0501</v>
      </c>
      <c r="B8" s="23" t="n">
        <v>45778</v>
      </c>
      <c r="C8" s="19" t="s">
        <v>79</v>
      </c>
      <c r="D8" s="19" t="s">
        <v>88</v>
      </c>
      <c r="E8" s="19" t="s">
        <v>89</v>
      </c>
      <c r="F8" s="24" t="s">
        <v>313</v>
      </c>
      <c r="G8" s="19" t="s">
        <v>82</v>
      </c>
      <c r="H8" s="19" t="s">
        <v>90</v>
      </c>
      <c r="I8" s="19" t="s">
        <v>83</v>
      </c>
      <c r="J8" s="19" t="s">
        <v>314</v>
      </c>
      <c r="K8" s="19"/>
      <c r="L8" s="19" t="s">
        <v>91</v>
      </c>
      <c r="M8" s="23"/>
      <c r="N8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6</v>
      </c>
      <c r="O8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8" s="24" t="s">
        <v>315</v>
      </c>
      <c r="Q8" s="27"/>
      <c r="R8" s="19"/>
      <c r="S8" s="24"/>
    </row>
    <row r="9" customFormat="false" ht="15" hidden="false" customHeight="false" outlineLevel="0" collapsed="false">
      <c r="A9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5-503-0501</v>
      </c>
      <c r="B9" s="23" t="n">
        <v>45778</v>
      </c>
      <c r="C9" s="19" t="s">
        <v>79</v>
      </c>
      <c r="D9" s="19" t="s">
        <v>92</v>
      </c>
      <c r="E9" s="19" t="s">
        <v>93</v>
      </c>
      <c r="F9" s="24" t="s">
        <v>316</v>
      </c>
      <c r="G9" s="19" t="s">
        <v>94</v>
      </c>
      <c r="H9" s="19" t="s">
        <v>90</v>
      </c>
      <c r="I9" s="19"/>
      <c r="J9" s="19" t="s">
        <v>317</v>
      </c>
      <c r="K9" s="19"/>
      <c r="L9" s="19" t="s">
        <v>86</v>
      </c>
      <c r="M9" s="23"/>
      <c r="N9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9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9" s="24" t="s">
        <v>318</v>
      </c>
      <c r="Q9" s="27"/>
      <c r="R9" s="19" t="s">
        <v>87</v>
      </c>
      <c r="S9" s="24"/>
    </row>
    <row r="10" customFormat="false" ht="15" hidden="false" customHeight="false" outlineLevel="0" collapsed="false">
      <c r="A10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7-2904-0501</v>
      </c>
      <c r="B10" s="23" t="n">
        <v>45778</v>
      </c>
      <c r="C10" s="19" t="s">
        <v>79</v>
      </c>
      <c r="D10" s="19" t="s">
        <v>95</v>
      </c>
      <c r="E10" s="19" t="s">
        <v>96</v>
      </c>
      <c r="F10" s="24" t="s">
        <v>319</v>
      </c>
      <c r="G10" s="19" t="s">
        <v>97</v>
      </c>
      <c r="H10" s="19" t="s">
        <v>83</v>
      </c>
      <c r="I10" s="19"/>
      <c r="J10" s="19" t="s">
        <v>320</v>
      </c>
      <c r="K10" s="19"/>
      <c r="L10" s="19" t="s">
        <v>86</v>
      </c>
      <c r="M10" s="23"/>
      <c r="N10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0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0" s="24" t="s">
        <v>321</v>
      </c>
      <c r="Q10" s="27"/>
      <c r="R10" s="19" t="s">
        <v>98</v>
      </c>
      <c r="S10" s="24"/>
    </row>
    <row r="11" customFormat="false" ht="15" hidden="false" customHeight="false" outlineLevel="0" collapsed="false">
      <c r="A11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6-2004-0501</v>
      </c>
      <c r="B11" s="23" t="n">
        <v>45778</v>
      </c>
      <c r="C11" s="19" t="s">
        <v>79</v>
      </c>
      <c r="D11" s="19" t="s">
        <v>88</v>
      </c>
      <c r="E11" s="19" t="s">
        <v>99</v>
      </c>
      <c r="F11" s="24" t="s">
        <v>322</v>
      </c>
      <c r="G11" s="19" t="s">
        <v>82</v>
      </c>
      <c r="H11" s="19" t="s">
        <v>83</v>
      </c>
      <c r="I11" s="19"/>
      <c r="J11" s="19" t="s">
        <v>323</v>
      </c>
      <c r="K11" s="19"/>
      <c r="L11" s="19" t="s">
        <v>86</v>
      </c>
      <c r="M11" s="23"/>
      <c r="N11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1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1" s="24" t="s">
        <v>324</v>
      </c>
      <c r="Q11" s="27"/>
      <c r="R11" s="19" t="s">
        <v>100</v>
      </c>
      <c r="S11" s="24"/>
    </row>
    <row r="12" customFormat="false" ht="15" hidden="false" customHeight="false" outlineLevel="0" collapsed="false">
      <c r="A12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6-2501-0501</v>
      </c>
      <c r="B12" s="23" t="n">
        <v>45778</v>
      </c>
      <c r="C12" s="19" t="s">
        <v>79</v>
      </c>
      <c r="D12" s="19" t="s">
        <v>88</v>
      </c>
      <c r="E12" s="19" t="s">
        <v>101</v>
      </c>
      <c r="F12" s="24" t="s">
        <v>325</v>
      </c>
      <c r="G12" s="19" t="s">
        <v>97</v>
      </c>
      <c r="H12" s="19" t="s">
        <v>83</v>
      </c>
      <c r="I12" s="19"/>
      <c r="J12" s="19" t="s">
        <v>326</v>
      </c>
      <c r="K12" s="19"/>
      <c r="L12" s="19" t="s">
        <v>86</v>
      </c>
      <c r="M12" s="23"/>
      <c r="N12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2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2" s="24" t="s">
        <v>327</v>
      </c>
      <c r="Q12" s="27"/>
      <c r="R12" s="19" t="s">
        <v>87</v>
      </c>
      <c r="S12" s="24" t="s">
        <v>328</v>
      </c>
    </row>
    <row r="13" customFormat="false" ht="29.85" hidden="false" customHeight="false" outlineLevel="0" collapsed="false">
      <c r="A13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6-701-0501</v>
      </c>
      <c r="B13" s="23" t="n">
        <v>45778</v>
      </c>
      <c r="C13" s="19" t="s">
        <v>79</v>
      </c>
      <c r="D13" s="19" t="s">
        <v>88</v>
      </c>
      <c r="E13" s="19" t="s">
        <v>102</v>
      </c>
      <c r="F13" s="24" t="s">
        <v>329</v>
      </c>
      <c r="G13" s="19" t="s">
        <v>103</v>
      </c>
      <c r="H13" s="19" t="s">
        <v>84</v>
      </c>
      <c r="I13" s="19"/>
      <c r="J13" s="19" t="s">
        <v>323</v>
      </c>
      <c r="K13" s="19" t="s">
        <v>104</v>
      </c>
      <c r="L13" s="19" t="s">
        <v>91</v>
      </c>
      <c r="M13" s="23"/>
      <c r="N13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6</v>
      </c>
      <c r="O13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3" s="24" t="s">
        <v>330</v>
      </c>
      <c r="Q13" s="27"/>
      <c r="R13" s="19" t="s">
        <v>87</v>
      </c>
      <c r="S13" s="24" t="s">
        <v>331</v>
      </c>
    </row>
    <row r="14" customFormat="false" ht="29.85" hidden="false" customHeight="false" outlineLevel="0" collapsed="false">
      <c r="A14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8-1602-0501</v>
      </c>
      <c r="B14" s="23" t="n">
        <v>45778</v>
      </c>
      <c r="C14" s="19" t="s">
        <v>79</v>
      </c>
      <c r="D14" s="19" t="s">
        <v>80</v>
      </c>
      <c r="E14" s="19" t="s">
        <v>105</v>
      </c>
      <c r="F14" s="24" t="s">
        <v>332</v>
      </c>
      <c r="G14" s="19" t="s">
        <v>82</v>
      </c>
      <c r="H14" s="19"/>
      <c r="I14" s="19"/>
      <c r="J14" s="19" t="s">
        <v>323</v>
      </c>
      <c r="K14" s="19" t="s">
        <v>106</v>
      </c>
      <c r="L14" s="19" t="s">
        <v>91</v>
      </c>
      <c r="M14" s="23"/>
      <c r="N14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6</v>
      </c>
      <c r="O14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4" s="24" t="s">
        <v>333</v>
      </c>
      <c r="Q14" s="27"/>
      <c r="R14" s="19"/>
      <c r="S14" s="24"/>
    </row>
    <row r="15" customFormat="false" ht="15" hidden="false" customHeight="false" outlineLevel="0" collapsed="false">
      <c r="A15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5-504-0501</v>
      </c>
      <c r="B15" s="23" t="n">
        <v>45778</v>
      </c>
      <c r="C15" s="19" t="s">
        <v>79</v>
      </c>
      <c r="D15" s="19" t="s">
        <v>92</v>
      </c>
      <c r="E15" s="19" t="s">
        <v>107</v>
      </c>
      <c r="F15" s="24" t="s">
        <v>334</v>
      </c>
      <c r="G15" s="19" t="s">
        <v>97</v>
      </c>
      <c r="H15" s="19" t="s">
        <v>83</v>
      </c>
      <c r="I15" s="19"/>
      <c r="J15" s="19" t="s">
        <v>335</v>
      </c>
      <c r="K15" s="19"/>
      <c r="L15" s="19" t="s">
        <v>86</v>
      </c>
      <c r="M15" s="23"/>
      <c r="N15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5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5" s="24" t="s">
        <v>108</v>
      </c>
      <c r="Q15" s="27"/>
      <c r="R15" s="19" t="s">
        <v>87</v>
      </c>
      <c r="S15" s="24"/>
    </row>
    <row r="16" customFormat="false" ht="15" hidden="false" customHeight="false" outlineLevel="0" collapsed="false">
      <c r="A16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7-304-0501</v>
      </c>
      <c r="B16" s="23" t="n">
        <v>45778</v>
      </c>
      <c r="C16" s="19" t="s">
        <v>79</v>
      </c>
      <c r="D16" s="19" t="s">
        <v>95</v>
      </c>
      <c r="E16" s="19" t="s">
        <v>109</v>
      </c>
      <c r="F16" s="24" t="s">
        <v>336</v>
      </c>
      <c r="G16" s="19" t="s">
        <v>103</v>
      </c>
      <c r="H16" s="19" t="s">
        <v>84</v>
      </c>
      <c r="I16" s="19"/>
      <c r="J16" s="19" t="s">
        <v>337</v>
      </c>
      <c r="K16" s="19" t="s">
        <v>110</v>
      </c>
      <c r="L16" s="19" t="s">
        <v>86</v>
      </c>
      <c r="M16" s="23"/>
      <c r="N16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6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6" s="24"/>
      <c r="Q16" s="27"/>
      <c r="R16" s="19" t="s">
        <v>87</v>
      </c>
      <c r="S16" s="24" t="s">
        <v>338</v>
      </c>
    </row>
    <row r="17" customFormat="false" ht="15" hidden="false" customHeight="false" outlineLevel="0" collapsed="false">
      <c r="A17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10-901-0501</v>
      </c>
      <c r="B17" s="23" t="n">
        <v>45778</v>
      </c>
      <c r="C17" s="19" t="s">
        <v>79</v>
      </c>
      <c r="D17" s="19" t="s">
        <v>111</v>
      </c>
      <c r="E17" s="19" t="s">
        <v>112</v>
      </c>
      <c r="F17" s="24" t="s">
        <v>339</v>
      </c>
      <c r="G17" s="19" t="s">
        <v>97</v>
      </c>
      <c r="H17" s="19" t="s">
        <v>84</v>
      </c>
      <c r="I17" s="19"/>
      <c r="J17" s="19" t="s">
        <v>335</v>
      </c>
      <c r="K17" s="19" t="s">
        <v>85</v>
      </c>
      <c r="L17" s="19" t="s">
        <v>86</v>
      </c>
      <c r="M17" s="23"/>
      <c r="N17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7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7" s="24" t="s">
        <v>108</v>
      </c>
      <c r="Q17" s="27"/>
      <c r="R17" s="19" t="s">
        <v>87</v>
      </c>
      <c r="S17" s="24"/>
    </row>
    <row r="18" customFormat="false" ht="15" hidden="false" customHeight="false" outlineLevel="0" collapsed="false">
      <c r="A18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9-1204-0501</v>
      </c>
      <c r="B18" s="23" t="n">
        <v>45778</v>
      </c>
      <c r="C18" s="19" t="s">
        <v>79</v>
      </c>
      <c r="D18" s="19" t="s">
        <v>113</v>
      </c>
      <c r="E18" s="19" t="s">
        <v>114</v>
      </c>
      <c r="F18" s="24" t="s">
        <v>340</v>
      </c>
      <c r="G18" s="19" t="s">
        <v>82</v>
      </c>
      <c r="H18" s="19" t="s">
        <v>84</v>
      </c>
      <c r="I18" s="19"/>
      <c r="J18" s="19" t="s">
        <v>335</v>
      </c>
      <c r="K18" s="19" t="s">
        <v>85</v>
      </c>
      <c r="L18" s="19" t="s">
        <v>86</v>
      </c>
      <c r="M18" s="23"/>
      <c r="N18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8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8" s="24" t="s">
        <v>108</v>
      </c>
      <c r="Q18" s="27"/>
      <c r="R18" s="19" t="s">
        <v>87</v>
      </c>
      <c r="S18" s="24" t="s">
        <v>341</v>
      </c>
    </row>
    <row r="19" customFormat="false" ht="15" hidden="false" customHeight="false" outlineLevel="0" collapsed="false">
      <c r="A19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1-1203-0501</v>
      </c>
      <c r="B19" s="23" t="n">
        <v>45778</v>
      </c>
      <c r="C19" s="19" t="s">
        <v>79</v>
      </c>
      <c r="D19" s="19" t="s">
        <v>115</v>
      </c>
      <c r="E19" s="19" t="s">
        <v>116</v>
      </c>
      <c r="F19" s="24" t="s">
        <v>342</v>
      </c>
      <c r="G19" s="19" t="s">
        <v>97</v>
      </c>
      <c r="H19" s="19" t="s">
        <v>90</v>
      </c>
      <c r="I19" s="19"/>
      <c r="J19" s="19" t="s">
        <v>343</v>
      </c>
      <c r="K19" s="19" t="s">
        <v>104</v>
      </c>
      <c r="L19" s="19" t="s">
        <v>86</v>
      </c>
      <c r="M19" s="23"/>
      <c r="N19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9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9" s="24" t="s">
        <v>108</v>
      </c>
      <c r="Q19" s="27"/>
      <c r="R19" s="19" t="s">
        <v>87</v>
      </c>
      <c r="S19" s="24"/>
    </row>
    <row r="20" customFormat="false" ht="15" hidden="false" customHeight="false" outlineLevel="0" collapsed="false">
      <c r="A20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8-3101-0501</v>
      </c>
      <c r="B20" s="23" t="n">
        <v>45778</v>
      </c>
      <c r="C20" s="19" t="s">
        <v>79</v>
      </c>
      <c r="D20" s="19" t="s">
        <v>80</v>
      </c>
      <c r="E20" s="19" t="s">
        <v>117</v>
      </c>
      <c r="F20" s="24" t="s">
        <v>344</v>
      </c>
      <c r="G20" s="19" t="s">
        <v>118</v>
      </c>
      <c r="H20" s="19" t="s">
        <v>84</v>
      </c>
      <c r="I20" s="19"/>
      <c r="J20" s="19" t="s">
        <v>345</v>
      </c>
      <c r="K20" s="19"/>
      <c r="L20" s="19" t="s">
        <v>86</v>
      </c>
      <c r="M20" s="23"/>
      <c r="N20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20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20" s="24"/>
      <c r="Q20" s="27"/>
      <c r="R20" s="19" t="s">
        <v>87</v>
      </c>
      <c r="S20" s="24"/>
    </row>
    <row r="21" customFormat="false" ht="15" hidden="false" customHeight="false" outlineLevel="0" collapsed="false">
      <c r="A21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8-1501-0501</v>
      </c>
      <c r="B21" s="23" t="n">
        <v>45778</v>
      </c>
      <c r="C21" s="19" t="s">
        <v>79</v>
      </c>
      <c r="D21" s="19" t="s">
        <v>80</v>
      </c>
      <c r="E21" s="19" t="s">
        <v>119</v>
      </c>
      <c r="F21" s="24" t="s">
        <v>346</v>
      </c>
      <c r="G21" s="19" t="s">
        <v>82</v>
      </c>
      <c r="H21" s="19" t="s">
        <v>84</v>
      </c>
      <c r="I21" s="19"/>
      <c r="J21" s="19" t="s">
        <v>311</v>
      </c>
      <c r="K21" s="19"/>
      <c r="L21" s="19" t="s">
        <v>86</v>
      </c>
      <c r="M21" s="23"/>
      <c r="N21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21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21" s="24" t="s">
        <v>347</v>
      </c>
      <c r="Q21" s="27"/>
      <c r="R21" s="19" t="s">
        <v>98</v>
      </c>
      <c r="S21" s="24"/>
    </row>
    <row r="22" customFormat="false" ht="15" hidden="false" customHeight="false" outlineLevel="0" collapsed="false">
      <c r="A22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11-1402-0501</v>
      </c>
      <c r="B22" s="23" t="n">
        <v>45778</v>
      </c>
      <c r="C22" s="19" t="s">
        <v>79</v>
      </c>
      <c r="D22" s="19" t="s">
        <v>120</v>
      </c>
      <c r="E22" s="19" t="s">
        <v>121</v>
      </c>
      <c r="F22" s="24" t="s">
        <v>348</v>
      </c>
      <c r="G22" s="19" t="s">
        <v>97</v>
      </c>
      <c r="H22" s="19" t="s">
        <v>84</v>
      </c>
      <c r="I22" s="19"/>
      <c r="J22" s="19" t="s">
        <v>349</v>
      </c>
      <c r="K22" s="19" t="s">
        <v>104</v>
      </c>
      <c r="L22" s="19" t="s">
        <v>86</v>
      </c>
      <c r="M22" s="23"/>
      <c r="N22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22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22" s="24" t="s">
        <v>350</v>
      </c>
      <c r="Q22" s="27"/>
      <c r="R22" s="19" t="s">
        <v>87</v>
      </c>
      <c r="S22" s="24"/>
    </row>
    <row r="23" customFormat="false" ht="15" hidden="false" customHeight="false" outlineLevel="0" collapsed="false">
      <c r="A23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5-2803-0501</v>
      </c>
      <c r="B23" s="23" t="n">
        <v>45778</v>
      </c>
      <c r="C23" s="19" t="s">
        <v>79</v>
      </c>
      <c r="D23" s="19" t="s">
        <v>92</v>
      </c>
      <c r="E23" s="19" t="s">
        <v>122</v>
      </c>
      <c r="F23" s="24" t="s">
        <v>351</v>
      </c>
      <c r="G23" s="19" t="s">
        <v>123</v>
      </c>
      <c r="H23" s="19" t="s">
        <v>84</v>
      </c>
      <c r="I23" s="19"/>
      <c r="J23" s="19" t="s">
        <v>352</v>
      </c>
      <c r="K23" s="19"/>
      <c r="L23" s="19" t="s">
        <v>86</v>
      </c>
      <c r="M23" s="23"/>
      <c r="N23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23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23" s="24"/>
      <c r="Q23" s="27"/>
      <c r="R23" s="19" t="s">
        <v>87</v>
      </c>
      <c r="S23" s="24" t="s">
        <v>353</v>
      </c>
    </row>
    <row r="24" customFormat="false" ht="15" hidden="false" customHeight="false" outlineLevel="0" collapsed="false">
      <c r="A24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10-1103-0501</v>
      </c>
      <c r="B24" s="23" t="n">
        <v>45778</v>
      </c>
      <c r="C24" s="19" t="s">
        <v>79</v>
      </c>
      <c r="D24" s="19" t="s">
        <v>111</v>
      </c>
      <c r="E24" s="19" t="s">
        <v>124</v>
      </c>
      <c r="F24" s="24" t="s">
        <v>354</v>
      </c>
      <c r="G24" s="19" t="s">
        <v>97</v>
      </c>
      <c r="H24" s="19" t="s">
        <v>84</v>
      </c>
      <c r="I24" s="19"/>
      <c r="J24" s="19" t="s">
        <v>355</v>
      </c>
      <c r="K24" s="19"/>
      <c r="L24" s="19" t="s">
        <v>86</v>
      </c>
      <c r="M24" s="23"/>
      <c r="N24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24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24" s="24"/>
      <c r="Q24" s="27"/>
      <c r="R24" s="19" t="s">
        <v>87</v>
      </c>
      <c r="S24" s="24"/>
    </row>
    <row r="25" customFormat="false" ht="15" hidden="false" customHeight="false" outlineLevel="0" collapsed="false">
      <c r="A25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3-2901-0501</v>
      </c>
      <c r="B25" s="23" t="n">
        <v>45778</v>
      </c>
      <c r="C25" s="19" t="s">
        <v>79</v>
      </c>
      <c r="D25" s="19" t="s">
        <v>125</v>
      </c>
      <c r="E25" s="19" t="s">
        <v>126</v>
      </c>
      <c r="F25" s="24" t="s">
        <v>356</v>
      </c>
      <c r="G25" s="19" t="s">
        <v>82</v>
      </c>
      <c r="H25" s="19" t="s">
        <v>83</v>
      </c>
      <c r="I25" s="19"/>
      <c r="J25" s="19" t="s">
        <v>320</v>
      </c>
      <c r="K25" s="19"/>
      <c r="L25" s="19" t="s">
        <v>86</v>
      </c>
      <c r="M25" s="23"/>
      <c r="N25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25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25" s="24"/>
      <c r="Q25" s="27"/>
      <c r="R25" s="19" t="s">
        <v>87</v>
      </c>
      <c r="S25" s="24"/>
    </row>
    <row r="26" customFormat="false" ht="15" hidden="false" customHeight="false" outlineLevel="0" collapsed="false">
      <c r="A26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2-2604-0501</v>
      </c>
      <c r="B26" s="23" t="n">
        <v>45778</v>
      </c>
      <c r="C26" s="19" t="s">
        <v>79</v>
      </c>
      <c r="D26" s="19" t="s">
        <v>127</v>
      </c>
      <c r="E26" s="19" t="s">
        <v>128</v>
      </c>
      <c r="F26" s="24" t="s">
        <v>357</v>
      </c>
      <c r="G26" s="19" t="s">
        <v>97</v>
      </c>
      <c r="H26" s="19" t="s">
        <v>84</v>
      </c>
      <c r="I26" s="19"/>
      <c r="J26" s="19" t="s">
        <v>358</v>
      </c>
      <c r="K26" s="19" t="s">
        <v>85</v>
      </c>
      <c r="L26" s="19" t="s">
        <v>86</v>
      </c>
      <c r="M26" s="23"/>
      <c r="N26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26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26" s="24"/>
      <c r="Q26" s="27"/>
      <c r="R26" s="19" t="s">
        <v>87</v>
      </c>
      <c r="S26" s="24"/>
    </row>
    <row r="27" customFormat="false" ht="15" hidden="false" customHeight="false" outlineLevel="0" collapsed="false">
      <c r="A27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4-3104-0501</v>
      </c>
      <c r="B27" s="23" t="n">
        <v>45778</v>
      </c>
      <c r="C27" s="19" t="s">
        <v>79</v>
      </c>
      <c r="D27" s="19" t="s">
        <v>129</v>
      </c>
      <c r="E27" s="19" t="s">
        <v>130</v>
      </c>
      <c r="F27" s="24" t="s">
        <v>359</v>
      </c>
      <c r="G27" s="19" t="s">
        <v>123</v>
      </c>
      <c r="H27" s="19" t="s">
        <v>90</v>
      </c>
      <c r="I27" s="19"/>
      <c r="J27" s="19" t="s">
        <v>360</v>
      </c>
      <c r="K27" s="19"/>
      <c r="L27" s="19" t="s">
        <v>86</v>
      </c>
      <c r="M27" s="23"/>
      <c r="N27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27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27" s="24" t="s">
        <v>361</v>
      </c>
      <c r="Q27" s="27"/>
      <c r="R27" s="19" t="s">
        <v>98</v>
      </c>
      <c r="S27" s="24"/>
    </row>
    <row r="28" customFormat="false" ht="15" hidden="false" customHeight="false" outlineLevel="0" collapsed="false">
      <c r="A28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9-501-0501</v>
      </c>
      <c r="B28" s="23" t="n">
        <v>45778</v>
      </c>
      <c r="C28" s="19" t="s">
        <v>79</v>
      </c>
      <c r="D28" s="19" t="s">
        <v>113</v>
      </c>
      <c r="E28" s="19" t="s">
        <v>131</v>
      </c>
      <c r="F28" s="24" t="s">
        <v>362</v>
      </c>
      <c r="G28" s="19" t="s">
        <v>103</v>
      </c>
      <c r="H28" s="19" t="s">
        <v>83</v>
      </c>
      <c r="I28" s="19"/>
      <c r="J28" s="19" t="s">
        <v>363</v>
      </c>
      <c r="K28" s="19"/>
      <c r="L28" s="19" t="s">
        <v>86</v>
      </c>
      <c r="M28" s="23"/>
      <c r="N28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28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28" s="24"/>
      <c r="Q28" s="27"/>
      <c r="R28" s="19" t="s">
        <v>87</v>
      </c>
      <c r="S28" s="24" t="s">
        <v>364</v>
      </c>
    </row>
    <row r="29" customFormat="false" ht="15" hidden="false" customHeight="false" outlineLevel="0" collapsed="false">
      <c r="A29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11-802-0501</v>
      </c>
      <c r="B29" s="23" t="n">
        <v>45778</v>
      </c>
      <c r="C29" s="19" t="s">
        <v>79</v>
      </c>
      <c r="D29" s="19" t="s">
        <v>120</v>
      </c>
      <c r="E29" s="19" t="s">
        <v>132</v>
      </c>
      <c r="F29" s="24" t="s">
        <v>365</v>
      </c>
      <c r="G29" s="19" t="s">
        <v>97</v>
      </c>
      <c r="H29" s="19" t="s">
        <v>84</v>
      </c>
      <c r="I29" s="19"/>
      <c r="J29" s="19" t="s">
        <v>366</v>
      </c>
      <c r="K29" s="19" t="s">
        <v>106</v>
      </c>
      <c r="L29" s="19" t="s">
        <v>86</v>
      </c>
      <c r="M29" s="23"/>
      <c r="N29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29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29" s="24"/>
      <c r="Q29" s="27"/>
      <c r="R29" s="19" t="s">
        <v>87</v>
      </c>
      <c r="S29" s="24"/>
    </row>
    <row r="30" customFormat="false" ht="15" hidden="false" customHeight="false" outlineLevel="0" collapsed="false">
      <c r="A30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6-2701-0501</v>
      </c>
      <c r="B30" s="23" t="n">
        <v>45778</v>
      </c>
      <c r="C30" s="19" t="s">
        <v>79</v>
      </c>
      <c r="D30" s="19" t="s">
        <v>88</v>
      </c>
      <c r="E30" s="19" t="s">
        <v>133</v>
      </c>
      <c r="F30" s="24" t="s">
        <v>367</v>
      </c>
      <c r="G30" s="19" t="s">
        <v>118</v>
      </c>
      <c r="H30" s="19" t="s">
        <v>83</v>
      </c>
      <c r="I30" s="19"/>
      <c r="J30" s="19" t="s">
        <v>368</v>
      </c>
      <c r="K30" s="19"/>
      <c r="L30" s="19" t="s">
        <v>86</v>
      </c>
      <c r="M30" s="23"/>
      <c r="N30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30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30" s="24" t="s">
        <v>134</v>
      </c>
      <c r="Q30" s="27"/>
      <c r="R30" s="19" t="s">
        <v>87</v>
      </c>
      <c r="S30" s="24"/>
    </row>
    <row r="31" customFormat="false" ht="15" hidden="false" customHeight="false" outlineLevel="0" collapsed="false">
      <c r="A31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9-乒乓球位置-0501</v>
      </c>
      <c r="B31" s="23" t="n">
        <v>45778</v>
      </c>
      <c r="C31" s="19" t="s">
        <v>135</v>
      </c>
      <c r="D31" s="19" t="s">
        <v>113</v>
      </c>
      <c r="E31" s="19" t="s">
        <v>136</v>
      </c>
      <c r="F31" s="24" t="s">
        <v>369</v>
      </c>
      <c r="G31" s="19" t="s">
        <v>118</v>
      </c>
      <c r="H31" s="19" t="s">
        <v>83</v>
      </c>
      <c r="I31" s="19"/>
      <c r="J31" s="19" t="s">
        <v>320</v>
      </c>
      <c r="K31" s="19"/>
      <c r="L31" s="19" t="s">
        <v>86</v>
      </c>
      <c r="M31" s="23"/>
      <c r="N31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31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31" s="24"/>
      <c r="Q31" s="27"/>
      <c r="R31" s="19"/>
      <c r="S31" s="24"/>
    </row>
    <row r="32" customFormat="false" ht="15" hidden="false" customHeight="false" outlineLevel="0" collapsed="false">
      <c r="A32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公-东大门-0501</v>
      </c>
      <c r="B32" s="23" t="n">
        <v>45778</v>
      </c>
      <c r="C32" s="19" t="s">
        <v>135</v>
      </c>
      <c r="D32" s="19" t="s">
        <v>137</v>
      </c>
      <c r="E32" s="19" t="s">
        <v>138</v>
      </c>
      <c r="F32" s="24" t="s">
        <v>370</v>
      </c>
      <c r="G32" s="19" t="s">
        <v>139</v>
      </c>
      <c r="H32" s="19" t="s">
        <v>140</v>
      </c>
      <c r="I32" s="19" t="s">
        <v>141</v>
      </c>
      <c r="J32" s="19" t="s">
        <v>320</v>
      </c>
      <c r="K32" s="19"/>
      <c r="L32" s="19" t="s">
        <v>86</v>
      </c>
      <c r="M32" s="23"/>
      <c r="N32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32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32" s="24"/>
      <c r="Q32" s="27"/>
      <c r="R32" s="19"/>
      <c r="S32" s="24"/>
    </row>
    <row r="33" customFormat="false" ht="15" hidden="false" customHeight="false" outlineLevel="0" collapsed="false">
      <c r="A33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公-西门车库出口-0501</v>
      </c>
      <c r="B33" s="23" t="n">
        <v>45778</v>
      </c>
      <c r="C33" s="19" t="s">
        <v>135</v>
      </c>
      <c r="D33" s="19" t="s">
        <v>137</v>
      </c>
      <c r="E33" s="19" t="s">
        <v>142</v>
      </c>
      <c r="F33" s="24" t="s">
        <v>371</v>
      </c>
      <c r="G33" s="19" t="s">
        <v>143</v>
      </c>
      <c r="H33" s="19" t="s">
        <v>140</v>
      </c>
      <c r="I33" s="19" t="s">
        <v>141</v>
      </c>
      <c r="J33" s="19" t="s">
        <v>320</v>
      </c>
      <c r="K33" s="19"/>
      <c r="L33" s="19" t="s">
        <v>86</v>
      </c>
      <c r="M33" s="23"/>
      <c r="N33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33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33" s="24"/>
      <c r="Q33" s="27"/>
      <c r="R33" s="19"/>
      <c r="S33" s="24"/>
    </row>
    <row r="34" customFormat="false" ht="15" hidden="false" customHeight="false" outlineLevel="0" collapsed="false">
      <c r="A34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3-货梯-0501</v>
      </c>
      <c r="B34" s="23" t="n">
        <v>45778</v>
      </c>
      <c r="C34" s="19" t="s">
        <v>135</v>
      </c>
      <c r="D34" s="19" t="s">
        <v>125</v>
      </c>
      <c r="E34" s="19" t="s">
        <v>144</v>
      </c>
      <c r="F34" s="24" t="s">
        <v>372</v>
      </c>
      <c r="G34" s="19" t="s">
        <v>82</v>
      </c>
      <c r="H34" s="19" t="s">
        <v>140</v>
      </c>
      <c r="I34" s="19"/>
      <c r="J34" s="19" t="s">
        <v>360</v>
      </c>
      <c r="K34" s="19"/>
      <c r="L34" s="19" t="s">
        <v>86</v>
      </c>
      <c r="M34" s="23"/>
      <c r="N34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34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34" s="24"/>
      <c r="Q34" s="27"/>
      <c r="R34" s="19"/>
      <c r="S34" s="24"/>
    </row>
    <row r="35" customFormat="false" ht="15" hidden="false" customHeight="false" outlineLevel="0" collapsed="false">
      <c r="A35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9-肉菜市场-0501</v>
      </c>
      <c r="B35" s="23" t="n">
        <v>45778</v>
      </c>
      <c r="C35" s="19" t="s">
        <v>135</v>
      </c>
      <c r="D35" s="19" t="s">
        <v>113</v>
      </c>
      <c r="E35" s="19" t="s">
        <v>145</v>
      </c>
      <c r="F35" s="24" t="s">
        <v>373</v>
      </c>
      <c r="G35" s="19" t="s">
        <v>94</v>
      </c>
      <c r="H35" s="19" t="s">
        <v>90</v>
      </c>
      <c r="I35" s="19"/>
      <c r="J35" s="19"/>
      <c r="K35" s="19"/>
      <c r="L35" s="19" t="s">
        <v>91</v>
      </c>
      <c r="M35" s="23"/>
      <c r="N35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6</v>
      </c>
      <c r="O35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35" s="24" t="s">
        <v>146</v>
      </c>
      <c r="Q35" s="27"/>
      <c r="R35" s="19"/>
      <c r="S35" s="24"/>
    </row>
    <row r="36" customFormat="false" ht="15" hidden="false" customHeight="false" outlineLevel="0" collapsed="false">
      <c r="A36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10-1层-0501</v>
      </c>
      <c r="B36" s="23" t="n">
        <v>45778</v>
      </c>
      <c r="C36" s="19" t="s">
        <v>135</v>
      </c>
      <c r="D36" s="19" t="s">
        <v>111</v>
      </c>
      <c r="E36" s="19" t="s">
        <v>147</v>
      </c>
      <c r="F36" s="24" t="s">
        <v>374</v>
      </c>
      <c r="G36" s="19" t="s">
        <v>97</v>
      </c>
      <c r="H36" s="19" t="s">
        <v>140</v>
      </c>
      <c r="I36" s="19"/>
      <c r="J36" s="19" t="s">
        <v>323</v>
      </c>
      <c r="K36" s="19"/>
      <c r="L36" s="19" t="s">
        <v>86</v>
      </c>
      <c r="M36" s="23"/>
      <c r="N36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36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36" s="24"/>
      <c r="Q36" s="27"/>
      <c r="R36" s="19"/>
      <c r="S36" s="24"/>
    </row>
    <row r="37" customFormat="false" ht="15" hidden="false" customHeight="false" outlineLevel="0" collapsed="false">
      <c r="A37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公-健身房旁-0501</v>
      </c>
      <c r="B37" s="23" t="n">
        <v>45778</v>
      </c>
      <c r="C37" s="19" t="s">
        <v>135</v>
      </c>
      <c r="D37" s="19" t="s">
        <v>137</v>
      </c>
      <c r="E37" s="19" t="s">
        <v>148</v>
      </c>
      <c r="F37" s="24" t="s">
        <v>375</v>
      </c>
      <c r="G37" s="19" t="s">
        <v>118</v>
      </c>
      <c r="H37" s="19" t="s">
        <v>83</v>
      </c>
      <c r="I37" s="19"/>
      <c r="J37" s="19" t="s">
        <v>376</v>
      </c>
      <c r="K37" s="19"/>
      <c r="L37" s="19" t="s">
        <v>86</v>
      </c>
      <c r="M37" s="23"/>
      <c r="N37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37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37" s="24" t="s">
        <v>377</v>
      </c>
      <c r="Q37" s="27"/>
      <c r="R37" s="19"/>
      <c r="S37" s="24"/>
    </row>
    <row r="38" customFormat="false" ht="15" hidden="false" customHeight="false" outlineLevel="0" collapsed="false">
      <c r="A38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2-1楼-0501</v>
      </c>
      <c r="B38" s="23" t="n">
        <v>45778</v>
      </c>
      <c r="C38" s="19" t="s">
        <v>135</v>
      </c>
      <c r="D38" s="19" t="s">
        <v>127</v>
      </c>
      <c r="E38" s="19" t="s">
        <v>149</v>
      </c>
      <c r="F38" s="24" t="s">
        <v>378</v>
      </c>
      <c r="G38" s="19" t="s">
        <v>143</v>
      </c>
      <c r="H38" s="19" t="s">
        <v>140</v>
      </c>
      <c r="I38" s="19" t="s">
        <v>141</v>
      </c>
      <c r="J38" s="19" t="s">
        <v>379</v>
      </c>
      <c r="K38" s="19"/>
      <c r="L38" s="19" t="s">
        <v>86</v>
      </c>
      <c r="M38" s="23"/>
      <c r="N38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38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38" s="24"/>
      <c r="Q38" s="27"/>
      <c r="R38" s="19"/>
      <c r="S38" s="24"/>
    </row>
    <row r="39" customFormat="false" ht="29.85" hidden="false" customHeight="false" outlineLevel="0" collapsed="false">
      <c r="A39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公-东大门-0501-02</v>
      </c>
      <c r="B39" s="23" t="n">
        <v>45778</v>
      </c>
      <c r="C39" s="19" t="s">
        <v>135</v>
      </c>
      <c r="D39" s="19" t="s">
        <v>137</v>
      </c>
      <c r="E39" s="19" t="s">
        <v>138</v>
      </c>
      <c r="F39" s="24" t="s">
        <v>380</v>
      </c>
      <c r="G39" s="19" t="s">
        <v>103</v>
      </c>
      <c r="H39" s="19" t="s">
        <v>90</v>
      </c>
      <c r="I39" s="19"/>
      <c r="J39" s="19" t="s">
        <v>381</v>
      </c>
      <c r="K39" s="19"/>
      <c r="L39" s="19" t="s">
        <v>91</v>
      </c>
      <c r="M39" s="23"/>
      <c r="N39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6</v>
      </c>
      <c r="O39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2</v>
      </c>
      <c r="P39" s="24" t="s">
        <v>382</v>
      </c>
      <c r="Q39" s="27"/>
      <c r="R39" s="19"/>
      <c r="S39" s="24"/>
    </row>
    <row r="40" customFormat="false" ht="15" hidden="false" customHeight="false" outlineLevel="0" collapsed="false">
      <c r="A40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8-大堂-0501</v>
      </c>
      <c r="B40" s="23" t="n">
        <v>45778</v>
      </c>
      <c r="C40" s="19" t="s">
        <v>135</v>
      </c>
      <c r="D40" s="19" t="s">
        <v>80</v>
      </c>
      <c r="E40" s="19" t="s">
        <v>150</v>
      </c>
      <c r="F40" s="24" t="s">
        <v>383</v>
      </c>
      <c r="G40" s="19" t="s">
        <v>118</v>
      </c>
      <c r="H40" s="19" t="s">
        <v>140</v>
      </c>
      <c r="I40" s="19"/>
      <c r="J40" s="19" t="s">
        <v>360</v>
      </c>
      <c r="K40" s="19"/>
      <c r="L40" s="19" t="s">
        <v>86</v>
      </c>
      <c r="M40" s="23"/>
      <c r="N40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40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40" s="24"/>
      <c r="Q40" s="27"/>
      <c r="R40" s="19"/>
      <c r="S40" s="24"/>
    </row>
    <row r="41" customFormat="false" ht="29.85" hidden="false" customHeight="false" outlineLevel="0" collapsed="false">
      <c r="A41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7-凉亭-0501</v>
      </c>
      <c r="B41" s="23" t="n">
        <v>45778</v>
      </c>
      <c r="C41" s="19" t="s">
        <v>135</v>
      </c>
      <c r="D41" s="19" t="s">
        <v>95</v>
      </c>
      <c r="E41" s="19" t="s">
        <v>151</v>
      </c>
      <c r="F41" s="24" t="s">
        <v>384</v>
      </c>
      <c r="G41" s="19" t="s">
        <v>123</v>
      </c>
      <c r="H41" s="19" t="s">
        <v>140</v>
      </c>
      <c r="I41" s="19" t="s">
        <v>141</v>
      </c>
      <c r="J41" s="19" t="s">
        <v>360</v>
      </c>
      <c r="K41" s="19"/>
      <c r="L41" s="19" t="s">
        <v>91</v>
      </c>
      <c r="M41" s="23"/>
      <c r="N41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6</v>
      </c>
      <c r="O41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41" s="24" t="s">
        <v>385</v>
      </c>
      <c r="Q41" s="27"/>
      <c r="R41" s="19"/>
      <c r="S41" s="24"/>
    </row>
    <row r="42" customFormat="false" ht="29.85" hidden="false" customHeight="false" outlineLevel="0" collapsed="false">
      <c r="A42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5-1602-0502</v>
      </c>
      <c r="B42" s="23" t="n">
        <v>45779</v>
      </c>
      <c r="C42" s="19" t="s">
        <v>79</v>
      </c>
      <c r="D42" s="19" t="s">
        <v>92</v>
      </c>
      <c r="E42" s="19" t="s">
        <v>105</v>
      </c>
      <c r="F42" s="24" t="s">
        <v>386</v>
      </c>
      <c r="G42" s="19" t="s">
        <v>94</v>
      </c>
      <c r="H42" s="19" t="s">
        <v>84</v>
      </c>
      <c r="I42" s="19"/>
      <c r="J42" s="19" t="s">
        <v>387</v>
      </c>
      <c r="K42" s="19"/>
      <c r="L42" s="19" t="s">
        <v>91</v>
      </c>
      <c r="M42" s="23"/>
      <c r="N42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5</v>
      </c>
      <c r="O42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42" s="24" t="s">
        <v>388</v>
      </c>
      <c r="Q42" s="27"/>
      <c r="R42" s="19" t="s">
        <v>87</v>
      </c>
      <c r="S42" s="24"/>
    </row>
    <row r="43" customFormat="false" ht="15" hidden="false" customHeight="false" outlineLevel="0" collapsed="false">
      <c r="A43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11-2301-0502</v>
      </c>
      <c r="B43" s="23" t="n">
        <v>45779</v>
      </c>
      <c r="C43" s="19" t="s">
        <v>79</v>
      </c>
      <c r="D43" s="19" t="s">
        <v>120</v>
      </c>
      <c r="E43" s="19" t="s">
        <v>152</v>
      </c>
      <c r="F43" s="24" t="s">
        <v>389</v>
      </c>
      <c r="G43" s="19" t="s">
        <v>153</v>
      </c>
      <c r="H43" s="19" t="s">
        <v>140</v>
      </c>
      <c r="I43" s="19"/>
      <c r="J43" s="19" t="s">
        <v>317</v>
      </c>
      <c r="K43" s="19"/>
      <c r="L43" s="19" t="s">
        <v>86</v>
      </c>
      <c r="M43" s="23"/>
      <c r="N43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43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43" s="24" t="s">
        <v>390</v>
      </c>
      <c r="Q43" s="27"/>
      <c r="R43" s="19" t="s">
        <v>87</v>
      </c>
      <c r="S43" s="24"/>
    </row>
    <row r="44" customFormat="false" ht="15" hidden="false" customHeight="false" outlineLevel="0" collapsed="false">
      <c r="A44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2-1201-0502</v>
      </c>
      <c r="B44" s="23" t="n">
        <v>45779</v>
      </c>
      <c r="C44" s="19" t="s">
        <v>79</v>
      </c>
      <c r="D44" s="19" t="s">
        <v>127</v>
      </c>
      <c r="E44" s="19" t="s">
        <v>154</v>
      </c>
      <c r="F44" s="24" t="s">
        <v>391</v>
      </c>
      <c r="G44" s="19" t="s">
        <v>123</v>
      </c>
      <c r="H44" s="19" t="s">
        <v>83</v>
      </c>
      <c r="I44" s="19"/>
      <c r="J44" s="19" t="s">
        <v>392</v>
      </c>
      <c r="K44" s="19"/>
      <c r="L44" s="19" t="s">
        <v>86</v>
      </c>
      <c r="M44" s="23"/>
      <c r="N44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44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44" s="24"/>
      <c r="Q44" s="27"/>
      <c r="R44" s="19" t="s">
        <v>87</v>
      </c>
      <c r="S44" s="24"/>
    </row>
    <row r="45" customFormat="false" ht="15" hidden="false" customHeight="false" outlineLevel="0" collapsed="false">
      <c r="A45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9-304-0502</v>
      </c>
      <c r="B45" s="23" t="n">
        <v>45779</v>
      </c>
      <c r="C45" s="19" t="s">
        <v>79</v>
      </c>
      <c r="D45" s="19" t="s">
        <v>113</v>
      </c>
      <c r="E45" s="19" t="s">
        <v>109</v>
      </c>
      <c r="F45" s="24" t="s">
        <v>393</v>
      </c>
      <c r="G45" s="19" t="s">
        <v>82</v>
      </c>
      <c r="H45" s="19" t="s">
        <v>84</v>
      </c>
      <c r="I45" s="19"/>
      <c r="J45" s="19" t="s">
        <v>394</v>
      </c>
      <c r="K45" s="19" t="s">
        <v>85</v>
      </c>
      <c r="L45" s="19" t="s">
        <v>86</v>
      </c>
      <c r="M45" s="23"/>
      <c r="N45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45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45" s="24" t="s">
        <v>202</v>
      </c>
      <c r="Q45" s="27"/>
      <c r="R45" s="19" t="s">
        <v>87</v>
      </c>
      <c r="S45" s="24"/>
    </row>
    <row r="46" customFormat="false" ht="15" hidden="false" customHeight="false" outlineLevel="0" collapsed="false">
      <c r="A46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6-201-0502</v>
      </c>
      <c r="B46" s="23" t="n">
        <v>45779</v>
      </c>
      <c r="C46" s="19" t="s">
        <v>79</v>
      </c>
      <c r="D46" s="19" t="s">
        <v>88</v>
      </c>
      <c r="E46" s="19" t="s">
        <v>155</v>
      </c>
      <c r="F46" s="24" t="s">
        <v>395</v>
      </c>
      <c r="G46" s="19" t="s">
        <v>97</v>
      </c>
      <c r="H46" s="19" t="s">
        <v>83</v>
      </c>
      <c r="I46" s="19"/>
      <c r="J46" s="19" t="s">
        <v>317</v>
      </c>
      <c r="K46" s="19"/>
      <c r="L46" s="19" t="s">
        <v>86</v>
      </c>
      <c r="M46" s="23"/>
      <c r="N46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46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46" s="24"/>
      <c r="Q46" s="27"/>
      <c r="R46" s="19" t="s">
        <v>87</v>
      </c>
      <c r="S46" s="24"/>
    </row>
    <row r="47" customFormat="false" ht="15" hidden="false" customHeight="false" outlineLevel="0" collapsed="false">
      <c r="A47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10-2403-0502</v>
      </c>
      <c r="B47" s="23" t="n">
        <v>45779</v>
      </c>
      <c r="C47" s="19" t="s">
        <v>79</v>
      </c>
      <c r="D47" s="19" t="s">
        <v>111</v>
      </c>
      <c r="E47" s="19" t="s">
        <v>156</v>
      </c>
      <c r="F47" s="24" t="s">
        <v>396</v>
      </c>
      <c r="G47" s="19" t="s">
        <v>157</v>
      </c>
      <c r="H47" s="19" t="s">
        <v>83</v>
      </c>
      <c r="I47" s="19"/>
      <c r="J47" s="19" t="s">
        <v>397</v>
      </c>
      <c r="K47" s="19"/>
      <c r="L47" s="19" t="s">
        <v>86</v>
      </c>
      <c r="M47" s="23"/>
      <c r="N47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47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47" s="24"/>
      <c r="Q47" s="27"/>
      <c r="R47" s="19" t="s">
        <v>87</v>
      </c>
      <c r="S47" s="24"/>
    </row>
    <row r="48" customFormat="false" ht="29.85" hidden="false" customHeight="false" outlineLevel="0" collapsed="false">
      <c r="A48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6-3304-0502</v>
      </c>
      <c r="B48" s="23" t="n">
        <v>45779</v>
      </c>
      <c r="C48" s="19" t="s">
        <v>79</v>
      </c>
      <c r="D48" s="19" t="s">
        <v>88</v>
      </c>
      <c r="E48" s="19" t="s">
        <v>158</v>
      </c>
      <c r="F48" s="24" t="s">
        <v>398</v>
      </c>
      <c r="G48" s="19" t="s">
        <v>82</v>
      </c>
      <c r="H48" s="19" t="s">
        <v>84</v>
      </c>
      <c r="I48" s="19"/>
      <c r="J48" s="19" t="s">
        <v>317</v>
      </c>
      <c r="K48" s="19" t="s">
        <v>104</v>
      </c>
      <c r="L48" s="19" t="s">
        <v>91</v>
      </c>
      <c r="M48" s="23"/>
      <c r="N48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5</v>
      </c>
      <c r="O48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48" s="24" t="s">
        <v>399</v>
      </c>
      <c r="Q48" s="27"/>
      <c r="R48" s="19" t="s">
        <v>87</v>
      </c>
      <c r="S48" s="24"/>
    </row>
    <row r="49" customFormat="false" ht="15" hidden="false" customHeight="false" outlineLevel="0" collapsed="false">
      <c r="A49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7-2503-0502</v>
      </c>
      <c r="B49" s="23" t="n">
        <v>45779</v>
      </c>
      <c r="C49" s="19" t="s">
        <v>79</v>
      </c>
      <c r="D49" s="19" t="s">
        <v>95</v>
      </c>
      <c r="E49" s="19" t="s">
        <v>159</v>
      </c>
      <c r="F49" s="24" t="s">
        <v>400</v>
      </c>
      <c r="G49" s="19" t="s">
        <v>118</v>
      </c>
      <c r="H49" s="19" t="s">
        <v>83</v>
      </c>
      <c r="I49" s="19"/>
      <c r="J49" s="19" t="s">
        <v>394</v>
      </c>
      <c r="K49" s="19" t="s">
        <v>85</v>
      </c>
      <c r="L49" s="19" t="s">
        <v>86</v>
      </c>
      <c r="M49" s="23"/>
      <c r="N49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49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49" s="24"/>
      <c r="Q49" s="27"/>
      <c r="R49" s="19" t="s">
        <v>87</v>
      </c>
      <c r="S49" s="24"/>
    </row>
    <row r="50" customFormat="false" ht="15" hidden="false" customHeight="false" outlineLevel="0" collapsed="false">
      <c r="A50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9-1102-0502</v>
      </c>
      <c r="B50" s="23" t="n">
        <v>45779</v>
      </c>
      <c r="C50" s="19" t="s">
        <v>79</v>
      </c>
      <c r="D50" s="19" t="s">
        <v>113</v>
      </c>
      <c r="E50" s="19" t="s">
        <v>160</v>
      </c>
      <c r="F50" s="24" t="s">
        <v>401</v>
      </c>
      <c r="G50" s="19" t="s">
        <v>118</v>
      </c>
      <c r="H50" s="19" t="s">
        <v>84</v>
      </c>
      <c r="I50" s="19"/>
      <c r="J50" s="19" t="s">
        <v>402</v>
      </c>
      <c r="K50" s="19" t="s">
        <v>85</v>
      </c>
      <c r="L50" s="19" t="s">
        <v>86</v>
      </c>
      <c r="M50" s="23"/>
      <c r="N50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50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50" s="24"/>
      <c r="Q50" s="27"/>
      <c r="R50" s="19" t="s">
        <v>87</v>
      </c>
      <c r="S50" s="24" t="s">
        <v>403</v>
      </c>
    </row>
    <row r="51" customFormat="false" ht="29.85" hidden="false" customHeight="false" outlineLevel="0" collapsed="false">
      <c r="A51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5-1501-0502</v>
      </c>
      <c r="B51" s="23" t="n">
        <v>45779</v>
      </c>
      <c r="C51" s="19" t="s">
        <v>79</v>
      </c>
      <c r="D51" s="19" t="s">
        <v>92</v>
      </c>
      <c r="E51" s="19" t="s">
        <v>119</v>
      </c>
      <c r="F51" s="24" t="s">
        <v>404</v>
      </c>
      <c r="G51" s="19" t="s">
        <v>94</v>
      </c>
      <c r="H51" s="19" t="s">
        <v>140</v>
      </c>
      <c r="I51" s="19"/>
      <c r="J51" s="19" t="s">
        <v>405</v>
      </c>
      <c r="K51" s="19" t="s">
        <v>104</v>
      </c>
      <c r="L51" s="19" t="s">
        <v>91</v>
      </c>
      <c r="M51" s="23"/>
      <c r="N51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5</v>
      </c>
      <c r="O51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51" s="24" t="s">
        <v>406</v>
      </c>
      <c r="Q51" s="27"/>
      <c r="R51" s="19" t="s">
        <v>87</v>
      </c>
      <c r="S51" s="24"/>
    </row>
    <row r="52" customFormat="false" ht="15" hidden="false" customHeight="false" outlineLevel="0" collapsed="false">
      <c r="A52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10-502-0502</v>
      </c>
      <c r="B52" s="23" t="n">
        <v>45779</v>
      </c>
      <c r="C52" s="19" t="s">
        <v>79</v>
      </c>
      <c r="D52" s="19" t="s">
        <v>111</v>
      </c>
      <c r="E52" s="19" t="s">
        <v>161</v>
      </c>
      <c r="F52" s="24" t="s">
        <v>407</v>
      </c>
      <c r="G52" s="19" t="s">
        <v>97</v>
      </c>
      <c r="H52" s="19" t="s">
        <v>140</v>
      </c>
      <c r="I52" s="19"/>
      <c r="J52" s="19" t="s">
        <v>317</v>
      </c>
      <c r="K52" s="19" t="s">
        <v>104</v>
      </c>
      <c r="L52" s="19" t="s">
        <v>86</v>
      </c>
      <c r="M52" s="23"/>
      <c r="N52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52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52" s="24"/>
      <c r="Q52" s="27"/>
      <c r="R52" s="19" t="s">
        <v>87</v>
      </c>
      <c r="S52" s="24"/>
    </row>
    <row r="53" customFormat="false" ht="29.85" hidden="false" customHeight="false" outlineLevel="0" collapsed="false">
      <c r="A53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7-1004-0502</v>
      </c>
      <c r="B53" s="23" t="n">
        <v>45779</v>
      </c>
      <c r="C53" s="19" t="s">
        <v>79</v>
      </c>
      <c r="D53" s="19" t="s">
        <v>95</v>
      </c>
      <c r="E53" s="19" t="s">
        <v>162</v>
      </c>
      <c r="F53" s="24" t="s">
        <v>408</v>
      </c>
      <c r="G53" s="19" t="s">
        <v>97</v>
      </c>
      <c r="H53" s="19" t="s">
        <v>84</v>
      </c>
      <c r="I53" s="19"/>
      <c r="J53" s="19" t="s">
        <v>409</v>
      </c>
      <c r="K53" s="19" t="s">
        <v>85</v>
      </c>
      <c r="L53" s="19" t="s">
        <v>86</v>
      </c>
      <c r="M53" s="23"/>
      <c r="N53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53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53" s="24" t="s">
        <v>410</v>
      </c>
      <c r="Q53" s="27"/>
      <c r="R53" s="19" t="s">
        <v>87</v>
      </c>
      <c r="S53" s="24"/>
    </row>
    <row r="54" customFormat="false" ht="29.85" hidden="false" customHeight="false" outlineLevel="0" collapsed="false">
      <c r="A54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10-1901-0502</v>
      </c>
      <c r="B54" s="23" t="n">
        <v>45779</v>
      </c>
      <c r="C54" s="19" t="s">
        <v>79</v>
      </c>
      <c r="D54" s="19" t="s">
        <v>111</v>
      </c>
      <c r="E54" s="19" t="s">
        <v>163</v>
      </c>
      <c r="F54" s="24" t="s">
        <v>411</v>
      </c>
      <c r="G54" s="19" t="s">
        <v>97</v>
      </c>
      <c r="H54" s="19" t="s">
        <v>84</v>
      </c>
      <c r="I54" s="19"/>
      <c r="J54" s="19" t="s">
        <v>412</v>
      </c>
      <c r="K54" s="19"/>
      <c r="L54" s="19" t="s">
        <v>86</v>
      </c>
      <c r="M54" s="23"/>
      <c r="N54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54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54" s="24" t="s">
        <v>413</v>
      </c>
      <c r="Q54" s="27"/>
      <c r="R54" s="19" t="s">
        <v>87</v>
      </c>
      <c r="S54" s="24"/>
    </row>
    <row r="55" customFormat="false" ht="15" hidden="false" customHeight="false" outlineLevel="0" collapsed="false">
      <c r="A55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5-503-0502-02</v>
      </c>
      <c r="B55" s="23" t="n">
        <v>45779</v>
      </c>
      <c r="C55" s="19" t="s">
        <v>79</v>
      </c>
      <c r="D55" s="19" t="s">
        <v>92</v>
      </c>
      <c r="E55" s="19" t="s">
        <v>93</v>
      </c>
      <c r="F55" s="24" t="s">
        <v>414</v>
      </c>
      <c r="G55" s="19" t="s">
        <v>103</v>
      </c>
      <c r="H55" s="19" t="s">
        <v>84</v>
      </c>
      <c r="I55" s="19"/>
      <c r="J55" s="19" t="s">
        <v>415</v>
      </c>
      <c r="K55" s="19"/>
      <c r="L55" s="19" t="s">
        <v>86</v>
      </c>
      <c r="M55" s="23"/>
      <c r="N55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55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2</v>
      </c>
      <c r="P55" s="24"/>
      <c r="Q55" s="27"/>
      <c r="R55" s="19" t="s">
        <v>87</v>
      </c>
      <c r="S55" s="24"/>
    </row>
    <row r="56" customFormat="false" ht="15" hidden="false" customHeight="false" outlineLevel="0" collapsed="false">
      <c r="A56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5-2101-0502</v>
      </c>
      <c r="B56" s="23" t="n">
        <v>45779</v>
      </c>
      <c r="C56" s="19" t="s">
        <v>79</v>
      </c>
      <c r="D56" s="19" t="s">
        <v>92</v>
      </c>
      <c r="E56" s="19" t="s">
        <v>164</v>
      </c>
      <c r="F56" s="24" t="s">
        <v>416</v>
      </c>
      <c r="G56" s="19" t="s">
        <v>123</v>
      </c>
      <c r="H56" s="19" t="s">
        <v>83</v>
      </c>
      <c r="I56" s="19"/>
      <c r="J56" s="19" t="s">
        <v>397</v>
      </c>
      <c r="K56" s="19"/>
      <c r="L56" s="19" t="s">
        <v>86</v>
      </c>
      <c r="M56" s="23"/>
      <c r="N56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56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56" s="24" t="s">
        <v>165</v>
      </c>
      <c r="Q56" s="27"/>
      <c r="R56" s="19" t="s">
        <v>87</v>
      </c>
      <c r="S56" s="24"/>
    </row>
    <row r="57" customFormat="false" ht="15" hidden="false" customHeight="false" outlineLevel="0" collapsed="false">
      <c r="A57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10-3302-0502</v>
      </c>
      <c r="B57" s="23" t="n">
        <v>45779</v>
      </c>
      <c r="C57" s="19" t="s">
        <v>79</v>
      </c>
      <c r="D57" s="19" t="s">
        <v>111</v>
      </c>
      <c r="E57" s="19" t="s">
        <v>166</v>
      </c>
      <c r="F57" s="24" t="s">
        <v>417</v>
      </c>
      <c r="G57" s="19" t="s">
        <v>97</v>
      </c>
      <c r="H57" s="19" t="s">
        <v>84</v>
      </c>
      <c r="I57" s="19"/>
      <c r="J57" s="19" t="s">
        <v>418</v>
      </c>
      <c r="K57" s="19" t="s">
        <v>104</v>
      </c>
      <c r="L57" s="19" t="s">
        <v>86</v>
      </c>
      <c r="M57" s="23"/>
      <c r="N57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57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57" s="24"/>
      <c r="Q57" s="27"/>
      <c r="R57" s="19" t="s">
        <v>87</v>
      </c>
      <c r="S57" s="24"/>
    </row>
    <row r="58" customFormat="false" ht="15" hidden="false" customHeight="false" outlineLevel="0" collapsed="false">
      <c r="A58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3-2904-0502</v>
      </c>
      <c r="B58" s="23" t="n">
        <v>45779</v>
      </c>
      <c r="C58" s="19" t="s">
        <v>79</v>
      </c>
      <c r="D58" s="19" t="s">
        <v>125</v>
      </c>
      <c r="E58" s="19" t="s">
        <v>96</v>
      </c>
      <c r="F58" s="24" t="s">
        <v>419</v>
      </c>
      <c r="G58" s="19" t="s">
        <v>97</v>
      </c>
      <c r="H58" s="19" t="s">
        <v>140</v>
      </c>
      <c r="I58" s="19"/>
      <c r="J58" s="19" t="s">
        <v>420</v>
      </c>
      <c r="K58" s="19"/>
      <c r="L58" s="19" t="s">
        <v>86</v>
      </c>
      <c r="M58" s="23"/>
      <c r="N58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58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58" s="24"/>
      <c r="Q58" s="27"/>
      <c r="R58" s="19" t="s">
        <v>98</v>
      </c>
      <c r="S58" s="24"/>
    </row>
    <row r="59" customFormat="false" ht="15" hidden="false" customHeight="false" outlineLevel="0" collapsed="false">
      <c r="A59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8-2704-0502</v>
      </c>
      <c r="B59" s="23" t="n">
        <v>45779</v>
      </c>
      <c r="C59" s="19" t="s">
        <v>79</v>
      </c>
      <c r="D59" s="19" t="s">
        <v>80</v>
      </c>
      <c r="E59" s="19" t="s">
        <v>167</v>
      </c>
      <c r="F59" s="24" t="s">
        <v>421</v>
      </c>
      <c r="G59" s="19" t="s">
        <v>82</v>
      </c>
      <c r="H59" s="19" t="s">
        <v>83</v>
      </c>
      <c r="I59" s="19" t="s">
        <v>84</v>
      </c>
      <c r="J59" s="19" t="s">
        <v>422</v>
      </c>
      <c r="K59" s="19"/>
      <c r="L59" s="19" t="s">
        <v>86</v>
      </c>
      <c r="M59" s="23"/>
      <c r="N59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59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59" s="24" t="s">
        <v>168</v>
      </c>
      <c r="Q59" s="27"/>
      <c r="R59" s="19" t="s">
        <v>87</v>
      </c>
      <c r="S59" s="24"/>
    </row>
    <row r="60" customFormat="false" ht="15" hidden="false" customHeight="false" outlineLevel="0" collapsed="false">
      <c r="A60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2-702-0502</v>
      </c>
      <c r="B60" s="23" t="n">
        <v>45779</v>
      </c>
      <c r="C60" s="19" t="s">
        <v>79</v>
      </c>
      <c r="D60" s="19" t="s">
        <v>127</v>
      </c>
      <c r="E60" s="19" t="s">
        <v>169</v>
      </c>
      <c r="F60" s="24" t="s">
        <v>423</v>
      </c>
      <c r="G60" s="19" t="s">
        <v>97</v>
      </c>
      <c r="H60" s="19" t="s">
        <v>90</v>
      </c>
      <c r="I60" s="19"/>
      <c r="J60" s="19" t="s">
        <v>409</v>
      </c>
      <c r="K60" s="19"/>
      <c r="L60" s="19" t="s">
        <v>86</v>
      </c>
      <c r="M60" s="23"/>
      <c r="N60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60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60" s="24"/>
      <c r="Q60" s="27"/>
      <c r="R60" s="19" t="s">
        <v>87</v>
      </c>
      <c r="S60" s="24"/>
    </row>
    <row r="61" customFormat="false" ht="29.85" hidden="false" customHeight="false" outlineLevel="0" collapsed="false">
      <c r="A61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7-1301-0502</v>
      </c>
      <c r="B61" s="23" t="n">
        <v>45779</v>
      </c>
      <c r="C61" s="19" t="s">
        <v>79</v>
      </c>
      <c r="D61" s="19" t="s">
        <v>95</v>
      </c>
      <c r="E61" s="19" t="s">
        <v>170</v>
      </c>
      <c r="F61" s="24" t="s">
        <v>424</v>
      </c>
      <c r="G61" s="19" t="s">
        <v>103</v>
      </c>
      <c r="H61" s="19" t="s">
        <v>84</v>
      </c>
      <c r="I61" s="19"/>
      <c r="J61" s="19" t="s">
        <v>387</v>
      </c>
      <c r="K61" s="19" t="s">
        <v>85</v>
      </c>
      <c r="L61" s="19" t="s">
        <v>91</v>
      </c>
      <c r="M61" s="23"/>
      <c r="N61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5</v>
      </c>
      <c r="O61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61" s="24" t="s">
        <v>425</v>
      </c>
      <c r="Q61" s="27"/>
      <c r="R61" s="19"/>
      <c r="S61" s="24"/>
    </row>
    <row r="62" customFormat="false" ht="15" hidden="false" customHeight="false" outlineLevel="0" collapsed="false">
      <c r="A62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公-946车位-0502</v>
      </c>
      <c r="B62" s="23" t="n">
        <v>45779</v>
      </c>
      <c r="C62" s="19" t="s">
        <v>135</v>
      </c>
      <c r="D62" s="19" t="s">
        <v>137</v>
      </c>
      <c r="E62" s="19" t="s">
        <v>171</v>
      </c>
      <c r="F62" s="24" t="s">
        <v>426</v>
      </c>
      <c r="G62" s="19" t="s">
        <v>118</v>
      </c>
      <c r="H62" s="19" t="s">
        <v>83</v>
      </c>
      <c r="I62" s="19"/>
      <c r="J62" s="19" t="s">
        <v>397</v>
      </c>
      <c r="K62" s="19"/>
      <c r="L62" s="19" t="s">
        <v>86</v>
      </c>
      <c r="M62" s="23"/>
      <c r="N62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62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62" s="24"/>
      <c r="Q62" s="27"/>
      <c r="R62" s="19"/>
      <c r="S62" s="24"/>
    </row>
    <row r="63" customFormat="false" ht="15" hidden="false" customHeight="false" outlineLevel="0" collapsed="false">
      <c r="A63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11-负一-0502</v>
      </c>
      <c r="B63" s="23" t="n">
        <v>45779</v>
      </c>
      <c r="C63" s="19" t="s">
        <v>135</v>
      </c>
      <c r="D63" s="19" t="s">
        <v>120</v>
      </c>
      <c r="E63" s="19" t="s">
        <v>172</v>
      </c>
      <c r="F63" s="24" t="s">
        <v>427</v>
      </c>
      <c r="G63" s="19" t="s">
        <v>97</v>
      </c>
      <c r="H63" s="19" t="s">
        <v>83</v>
      </c>
      <c r="I63" s="19"/>
      <c r="J63" s="19" t="s">
        <v>397</v>
      </c>
      <c r="K63" s="19"/>
      <c r="L63" s="19" t="s">
        <v>86</v>
      </c>
      <c r="M63" s="23"/>
      <c r="N63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63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63" s="24"/>
      <c r="Q63" s="27"/>
      <c r="R63" s="19"/>
      <c r="S63" s="24"/>
    </row>
    <row r="64" customFormat="false" ht="15" hidden="false" customHeight="false" outlineLevel="0" collapsed="false">
      <c r="A64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10-1楼-0502</v>
      </c>
      <c r="B64" s="23" t="n">
        <v>45779</v>
      </c>
      <c r="C64" s="19" t="s">
        <v>135</v>
      </c>
      <c r="D64" s="19" t="s">
        <v>111</v>
      </c>
      <c r="E64" s="19" t="s">
        <v>149</v>
      </c>
      <c r="F64" s="24" t="s">
        <v>428</v>
      </c>
      <c r="G64" s="19" t="s">
        <v>118</v>
      </c>
      <c r="H64" s="19" t="s">
        <v>83</v>
      </c>
      <c r="I64" s="19"/>
      <c r="J64" s="19" t="s">
        <v>397</v>
      </c>
      <c r="K64" s="19"/>
      <c r="L64" s="19" t="s">
        <v>86</v>
      </c>
      <c r="M64" s="23"/>
      <c r="N64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64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64" s="24" t="s">
        <v>173</v>
      </c>
      <c r="Q64" s="27"/>
      <c r="R64" s="19"/>
      <c r="S64" s="24"/>
    </row>
    <row r="65" customFormat="false" ht="15" hidden="false" customHeight="false" outlineLevel="0" collapsed="false">
      <c r="A65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10-大堂-0502</v>
      </c>
      <c r="B65" s="23" t="n">
        <v>45779</v>
      </c>
      <c r="C65" s="19" t="s">
        <v>135</v>
      </c>
      <c r="D65" s="19" t="s">
        <v>111</v>
      </c>
      <c r="E65" s="19" t="s">
        <v>150</v>
      </c>
      <c r="F65" s="24" t="s">
        <v>429</v>
      </c>
      <c r="G65" s="19" t="s">
        <v>143</v>
      </c>
      <c r="H65" s="19" t="s">
        <v>83</v>
      </c>
      <c r="I65" s="19"/>
      <c r="J65" s="19" t="s">
        <v>397</v>
      </c>
      <c r="K65" s="19"/>
      <c r="L65" s="19" t="s">
        <v>86</v>
      </c>
      <c r="M65" s="23"/>
      <c r="N65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65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65" s="24"/>
      <c r="Q65" s="27"/>
      <c r="R65" s="19"/>
      <c r="S65" s="24"/>
    </row>
    <row r="66" customFormat="false" ht="15" hidden="false" customHeight="false" outlineLevel="0" collapsed="false">
      <c r="A66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公-919车位-0502</v>
      </c>
      <c r="B66" s="23" t="n">
        <v>45779</v>
      </c>
      <c r="C66" s="19" t="s">
        <v>135</v>
      </c>
      <c r="D66" s="19" t="s">
        <v>137</v>
      </c>
      <c r="E66" s="19" t="s">
        <v>174</v>
      </c>
      <c r="F66" s="24" t="s">
        <v>430</v>
      </c>
      <c r="G66" s="19" t="s">
        <v>118</v>
      </c>
      <c r="H66" s="19" t="s">
        <v>83</v>
      </c>
      <c r="I66" s="19"/>
      <c r="J66" s="19" t="s">
        <v>397</v>
      </c>
      <c r="K66" s="19"/>
      <c r="L66" s="19" t="s">
        <v>86</v>
      </c>
      <c r="M66" s="23"/>
      <c r="N66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66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66" s="24"/>
      <c r="Q66" s="27"/>
      <c r="R66" s="19"/>
      <c r="S66" s="24"/>
    </row>
    <row r="67" customFormat="false" ht="15" hidden="false" customHeight="false" outlineLevel="0" collapsed="false">
      <c r="A67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11-602-0503</v>
      </c>
      <c r="B67" s="23" t="n">
        <v>45780</v>
      </c>
      <c r="C67" s="19" t="s">
        <v>79</v>
      </c>
      <c r="D67" s="19" t="s">
        <v>120</v>
      </c>
      <c r="E67" s="19" t="s">
        <v>175</v>
      </c>
      <c r="F67" s="24" t="s">
        <v>431</v>
      </c>
      <c r="G67" s="19" t="s">
        <v>97</v>
      </c>
      <c r="H67" s="19" t="s">
        <v>83</v>
      </c>
      <c r="I67" s="19"/>
      <c r="J67" s="19" t="s">
        <v>432</v>
      </c>
      <c r="K67" s="19"/>
      <c r="L67" s="19" t="s">
        <v>86</v>
      </c>
      <c r="M67" s="23"/>
      <c r="N67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67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67" s="24"/>
      <c r="Q67" s="27"/>
      <c r="R67" s="19" t="s">
        <v>87</v>
      </c>
      <c r="S67" s="24"/>
    </row>
    <row r="68" customFormat="false" ht="15" hidden="false" customHeight="false" outlineLevel="0" collapsed="false">
      <c r="A68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6-1904-0503</v>
      </c>
      <c r="B68" s="23" t="n">
        <v>45780</v>
      </c>
      <c r="C68" s="19" t="s">
        <v>79</v>
      </c>
      <c r="D68" s="19" t="s">
        <v>88</v>
      </c>
      <c r="E68" s="19" t="s">
        <v>176</v>
      </c>
      <c r="F68" s="24" t="s">
        <v>433</v>
      </c>
      <c r="G68" s="19" t="s">
        <v>97</v>
      </c>
      <c r="H68" s="19" t="s">
        <v>84</v>
      </c>
      <c r="I68" s="19"/>
      <c r="J68" s="19" t="s">
        <v>434</v>
      </c>
      <c r="K68" s="19"/>
      <c r="L68" s="19" t="s">
        <v>86</v>
      </c>
      <c r="M68" s="23"/>
      <c r="N68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68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68" s="24"/>
      <c r="Q68" s="27"/>
      <c r="R68" s="19" t="s">
        <v>87</v>
      </c>
      <c r="S68" s="24" t="s">
        <v>435</v>
      </c>
    </row>
    <row r="69" customFormat="false" ht="15" hidden="false" customHeight="false" outlineLevel="0" collapsed="false">
      <c r="A69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1-1301-0503</v>
      </c>
      <c r="B69" s="23" t="n">
        <v>45780</v>
      </c>
      <c r="C69" s="19" t="s">
        <v>79</v>
      </c>
      <c r="D69" s="19" t="s">
        <v>115</v>
      </c>
      <c r="E69" s="19" t="s">
        <v>170</v>
      </c>
      <c r="F69" s="24" t="s">
        <v>436</v>
      </c>
      <c r="G69" s="19" t="s">
        <v>118</v>
      </c>
      <c r="H69" s="19" t="s">
        <v>83</v>
      </c>
      <c r="I69" s="19"/>
      <c r="J69" s="19" t="s">
        <v>432</v>
      </c>
      <c r="K69" s="19"/>
      <c r="L69" s="19" t="s">
        <v>86</v>
      </c>
      <c r="M69" s="23"/>
      <c r="N69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69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69" s="24"/>
      <c r="Q69" s="27"/>
      <c r="R69" s="19" t="s">
        <v>87</v>
      </c>
      <c r="S69" s="24"/>
    </row>
    <row r="70" customFormat="false" ht="15" hidden="false" customHeight="false" outlineLevel="0" collapsed="false">
      <c r="A70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6-2402-0503</v>
      </c>
      <c r="B70" s="23" t="n">
        <v>45780</v>
      </c>
      <c r="C70" s="19" t="s">
        <v>79</v>
      </c>
      <c r="D70" s="19" t="s">
        <v>88</v>
      </c>
      <c r="E70" s="19" t="s">
        <v>177</v>
      </c>
      <c r="F70" s="24" t="s">
        <v>178</v>
      </c>
      <c r="G70" s="19" t="s">
        <v>97</v>
      </c>
      <c r="H70" s="19" t="s">
        <v>83</v>
      </c>
      <c r="I70" s="19"/>
      <c r="J70" s="19" t="s">
        <v>432</v>
      </c>
      <c r="K70" s="19"/>
      <c r="L70" s="19" t="s">
        <v>86</v>
      </c>
      <c r="M70" s="23"/>
      <c r="N70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70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70" s="24"/>
      <c r="Q70" s="27"/>
      <c r="R70" s="19" t="s">
        <v>87</v>
      </c>
      <c r="S70" s="24"/>
    </row>
    <row r="71" customFormat="false" ht="15" hidden="false" customHeight="false" outlineLevel="0" collapsed="false">
      <c r="A71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9-2203-0503</v>
      </c>
      <c r="B71" s="23" t="n">
        <v>45780</v>
      </c>
      <c r="C71" s="19" t="s">
        <v>79</v>
      </c>
      <c r="D71" s="19" t="s">
        <v>113</v>
      </c>
      <c r="E71" s="19" t="s">
        <v>179</v>
      </c>
      <c r="F71" s="24" t="s">
        <v>437</v>
      </c>
      <c r="G71" s="19" t="s">
        <v>123</v>
      </c>
      <c r="H71" s="19" t="s">
        <v>84</v>
      </c>
      <c r="I71" s="19"/>
      <c r="J71" s="19" t="s">
        <v>438</v>
      </c>
      <c r="K71" s="19"/>
      <c r="L71" s="19" t="s">
        <v>86</v>
      </c>
      <c r="M71" s="23"/>
      <c r="N71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71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71" s="24" t="s">
        <v>439</v>
      </c>
      <c r="Q71" s="27"/>
      <c r="R71" s="19" t="s">
        <v>87</v>
      </c>
      <c r="S71" s="24"/>
    </row>
    <row r="72" customFormat="false" ht="15" hidden="false" customHeight="false" outlineLevel="0" collapsed="false">
      <c r="A72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4-2903-0503</v>
      </c>
      <c r="B72" s="23" t="n">
        <v>45780</v>
      </c>
      <c r="C72" s="19" t="s">
        <v>79</v>
      </c>
      <c r="D72" s="19" t="s">
        <v>129</v>
      </c>
      <c r="E72" s="19" t="s">
        <v>180</v>
      </c>
      <c r="F72" s="24" t="s">
        <v>440</v>
      </c>
      <c r="G72" s="19" t="s">
        <v>118</v>
      </c>
      <c r="H72" s="19" t="s">
        <v>90</v>
      </c>
      <c r="I72" s="19"/>
      <c r="J72" s="19" t="s">
        <v>441</v>
      </c>
      <c r="K72" s="19" t="s">
        <v>104</v>
      </c>
      <c r="L72" s="19" t="s">
        <v>86</v>
      </c>
      <c r="M72" s="23"/>
      <c r="N72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72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72" s="24" t="s">
        <v>181</v>
      </c>
      <c r="Q72" s="27"/>
      <c r="R72" s="19" t="s">
        <v>87</v>
      </c>
      <c r="S72" s="24" t="s">
        <v>182</v>
      </c>
    </row>
    <row r="73" customFormat="false" ht="15" hidden="false" customHeight="false" outlineLevel="0" collapsed="false">
      <c r="A73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10-1501-0503</v>
      </c>
      <c r="B73" s="23" t="n">
        <v>45780</v>
      </c>
      <c r="C73" s="19" t="s">
        <v>79</v>
      </c>
      <c r="D73" s="19" t="s">
        <v>111</v>
      </c>
      <c r="E73" s="19" t="s">
        <v>119</v>
      </c>
      <c r="F73" s="24" t="s">
        <v>442</v>
      </c>
      <c r="G73" s="19" t="s">
        <v>97</v>
      </c>
      <c r="H73" s="19" t="s">
        <v>84</v>
      </c>
      <c r="I73" s="19"/>
      <c r="J73" s="19" t="s">
        <v>443</v>
      </c>
      <c r="K73" s="19"/>
      <c r="L73" s="19" t="s">
        <v>86</v>
      </c>
      <c r="M73" s="23"/>
      <c r="N73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73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73" s="24"/>
      <c r="Q73" s="27"/>
      <c r="R73" s="19" t="s">
        <v>98</v>
      </c>
      <c r="S73" s="24"/>
    </row>
    <row r="74" customFormat="false" ht="15" hidden="false" customHeight="false" outlineLevel="0" collapsed="false">
      <c r="A74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5-204-0503</v>
      </c>
      <c r="B74" s="23" t="n">
        <v>45780</v>
      </c>
      <c r="C74" s="19" t="s">
        <v>79</v>
      </c>
      <c r="D74" s="19" t="s">
        <v>92</v>
      </c>
      <c r="E74" s="19" t="s">
        <v>183</v>
      </c>
      <c r="F74" s="24" t="s">
        <v>444</v>
      </c>
      <c r="G74" s="19" t="s">
        <v>123</v>
      </c>
      <c r="H74" s="19" t="s">
        <v>83</v>
      </c>
      <c r="I74" s="19"/>
      <c r="J74" s="19" t="s">
        <v>445</v>
      </c>
      <c r="K74" s="19" t="s">
        <v>85</v>
      </c>
      <c r="L74" s="19" t="s">
        <v>86</v>
      </c>
      <c r="M74" s="23"/>
      <c r="N74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74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74" s="24" t="s">
        <v>184</v>
      </c>
      <c r="Q74" s="27"/>
      <c r="R74" s="19" t="s">
        <v>87</v>
      </c>
      <c r="S74" s="24"/>
    </row>
    <row r="75" customFormat="false" ht="15" hidden="false" customHeight="false" outlineLevel="0" collapsed="false">
      <c r="A75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11-2504-0503</v>
      </c>
      <c r="B75" s="23" t="n">
        <v>45780</v>
      </c>
      <c r="C75" s="19" t="s">
        <v>79</v>
      </c>
      <c r="D75" s="19" t="s">
        <v>120</v>
      </c>
      <c r="E75" s="19" t="s">
        <v>89</v>
      </c>
      <c r="F75" s="24" t="s">
        <v>446</v>
      </c>
      <c r="G75" s="19" t="s">
        <v>82</v>
      </c>
      <c r="H75" s="19" t="s">
        <v>140</v>
      </c>
      <c r="I75" s="19"/>
      <c r="J75" s="19" t="s">
        <v>447</v>
      </c>
      <c r="K75" s="19"/>
      <c r="L75" s="19" t="s">
        <v>86</v>
      </c>
      <c r="M75" s="23"/>
      <c r="N75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75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75" s="24" t="s">
        <v>448</v>
      </c>
      <c r="Q75" s="27"/>
      <c r="R75" s="19" t="s">
        <v>87</v>
      </c>
      <c r="S75" s="24"/>
    </row>
    <row r="76" customFormat="false" ht="15" hidden="false" customHeight="false" outlineLevel="0" collapsed="false">
      <c r="A76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11-大门-0503</v>
      </c>
      <c r="B76" s="23" t="n">
        <v>45780</v>
      </c>
      <c r="C76" s="19" t="s">
        <v>135</v>
      </c>
      <c r="D76" s="19" t="s">
        <v>120</v>
      </c>
      <c r="E76" s="19" t="s">
        <v>185</v>
      </c>
      <c r="F76" s="24" t="s">
        <v>449</v>
      </c>
      <c r="G76" s="19" t="s">
        <v>97</v>
      </c>
      <c r="H76" s="19" t="s">
        <v>140</v>
      </c>
      <c r="I76" s="19" t="s">
        <v>83</v>
      </c>
      <c r="J76" s="19" t="s">
        <v>441</v>
      </c>
      <c r="K76" s="19"/>
      <c r="L76" s="19" t="s">
        <v>86</v>
      </c>
      <c r="M76" s="23"/>
      <c r="N76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76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76" s="24"/>
      <c r="Q76" s="27"/>
      <c r="R76" s="19"/>
      <c r="S76" s="24"/>
    </row>
    <row r="77" customFormat="false" ht="29.85" hidden="false" customHeight="false" outlineLevel="0" collapsed="false">
      <c r="A77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7-1304-0503</v>
      </c>
      <c r="B77" s="23" t="n">
        <v>45780</v>
      </c>
      <c r="C77" s="19" t="s">
        <v>79</v>
      </c>
      <c r="D77" s="19" t="s">
        <v>95</v>
      </c>
      <c r="E77" s="19" t="s">
        <v>186</v>
      </c>
      <c r="F77" s="24" t="s">
        <v>450</v>
      </c>
      <c r="G77" s="19" t="s">
        <v>94</v>
      </c>
      <c r="H77" s="19" t="s">
        <v>83</v>
      </c>
      <c r="I77" s="19"/>
      <c r="J77" s="19" t="s">
        <v>432</v>
      </c>
      <c r="K77" s="19"/>
      <c r="L77" s="19" t="s">
        <v>86</v>
      </c>
      <c r="M77" s="23"/>
      <c r="N77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77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77" s="24" t="s">
        <v>451</v>
      </c>
      <c r="Q77" s="27"/>
      <c r="R77" s="19" t="s">
        <v>87</v>
      </c>
      <c r="S77" s="24"/>
    </row>
    <row r="78" customFormat="false" ht="29.85" hidden="false" customHeight="false" outlineLevel="0" collapsed="false">
      <c r="A78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7-3002-0503</v>
      </c>
      <c r="B78" s="23" t="n">
        <v>45780</v>
      </c>
      <c r="C78" s="19" t="s">
        <v>79</v>
      </c>
      <c r="D78" s="19" t="s">
        <v>95</v>
      </c>
      <c r="E78" s="19" t="s">
        <v>187</v>
      </c>
      <c r="F78" s="24" t="s">
        <v>452</v>
      </c>
      <c r="G78" s="19" t="s">
        <v>118</v>
      </c>
      <c r="H78" s="19" t="s">
        <v>83</v>
      </c>
      <c r="I78" s="19"/>
      <c r="J78" s="19" t="s">
        <v>432</v>
      </c>
      <c r="K78" s="19"/>
      <c r="L78" s="19" t="s">
        <v>91</v>
      </c>
      <c r="M78" s="23"/>
      <c r="N78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4</v>
      </c>
      <c r="O78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78" s="24" t="s">
        <v>453</v>
      </c>
      <c r="Q78" s="27"/>
      <c r="R78" s="19" t="s">
        <v>87</v>
      </c>
      <c r="S78" s="24"/>
    </row>
    <row r="79" customFormat="false" ht="15" hidden="false" customHeight="false" outlineLevel="0" collapsed="false">
      <c r="A79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4-1104-0503</v>
      </c>
      <c r="B79" s="23" t="n">
        <v>45780</v>
      </c>
      <c r="C79" s="19" t="s">
        <v>79</v>
      </c>
      <c r="D79" s="19" t="s">
        <v>129</v>
      </c>
      <c r="E79" s="19" t="s">
        <v>188</v>
      </c>
      <c r="F79" s="24" t="s">
        <v>454</v>
      </c>
      <c r="G79" s="19" t="s">
        <v>97</v>
      </c>
      <c r="H79" s="19" t="s">
        <v>84</v>
      </c>
      <c r="I79" s="19"/>
      <c r="J79" s="19" t="s">
        <v>432</v>
      </c>
      <c r="K79" s="19" t="s">
        <v>85</v>
      </c>
      <c r="L79" s="19" t="s">
        <v>86</v>
      </c>
      <c r="M79" s="23"/>
      <c r="N79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79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79" s="24"/>
      <c r="Q79" s="27"/>
      <c r="R79" s="19" t="s">
        <v>87</v>
      </c>
      <c r="S79" s="24"/>
    </row>
    <row r="80" customFormat="false" ht="15" hidden="false" customHeight="false" outlineLevel="0" collapsed="false">
      <c r="A80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6-504-0503</v>
      </c>
      <c r="B80" s="23" t="n">
        <v>45780</v>
      </c>
      <c r="C80" s="19" t="s">
        <v>79</v>
      </c>
      <c r="D80" s="19" t="s">
        <v>88</v>
      </c>
      <c r="E80" s="19" t="s">
        <v>107</v>
      </c>
      <c r="F80" s="24" t="s">
        <v>455</v>
      </c>
      <c r="G80" s="19" t="s">
        <v>97</v>
      </c>
      <c r="H80" s="19" t="s">
        <v>90</v>
      </c>
      <c r="I80" s="19"/>
      <c r="J80" s="19" t="s">
        <v>432</v>
      </c>
      <c r="K80" s="19"/>
      <c r="L80" s="19" t="s">
        <v>86</v>
      </c>
      <c r="M80" s="23"/>
      <c r="N80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80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80" s="24"/>
      <c r="Q80" s="27"/>
      <c r="R80" s="19" t="s">
        <v>87</v>
      </c>
      <c r="S80" s="24" t="s">
        <v>456</v>
      </c>
    </row>
    <row r="81" customFormat="false" ht="15" hidden="false" customHeight="false" outlineLevel="0" collapsed="false">
      <c r="A81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7-2304-0503</v>
      </c>
      <c r="B81" s="23" t="n">
        <v>45780</v>
      </c>
      <c r="C81" s="19" t="s">
        <v>79</v>
      </c>
      <c r="D81" s="19" t="s">
        <v>95</v>
      </c>
      <c r="E81" s="19" t="s">
        <v>189</v>
      </c>
      <c r="F81" s="24" t="s">
        <v>457</v>
      </c>
      <c r="G81" s="19" t="s">
        <v>97</v>
      </c>
      <c r="H81" s="19" t="s">
        <v>84</v>
      </c>
      <c r="I81" s="19"/>
      <c r="J81" s="19" t="s">
        <v>432</v>
      </c>
      <c r="K81" s="19" t="s">
        <v>104</v>
      </c>
      <c r="L81" s="19" t="s">
        <v>86</v>
      </c>
      <c r="M81" s="23"/>
      <c r="N81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81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81" s="24"/>
      <c r="Q81" s="27"/>
      <c r="R81" s="19" t="s">
        <v>87</v>
      </c>
      <c r="S81" s="24"/>
    </row>
    <row r="82" customFormat="false" ht="15" hidden="false" customHeight="false" outlineLevel="0" collapsed="false">
      <c r="A82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6-1102-0503</v>
      </c>
      <c r="B82" s="23" t="n">
        <v>45780</v>
      </c>
      <c r="C82" s="19" t="s">
        <v>79</v>
      </c>
      <c r="D82" s="19" t="s">
        <v>88</v>
      </c>
      <c r="E82" s="19" t="s">
        <v>160</v>
      </c>
      <c r="F82" s="24" t="s">
        <v>458</v>
      </c>
      <c r="G82" s="19" t="s">
        <v>103</v>
      </c>
      <c r="H82" s="19" t="s">
        <v>141</v>
      </c>
      <c r="I82" s="19"/>
      <c r="J82" s="19" t="s">
        <v>432</v>
      </c>
      <c r="K82" s="19"/>
      <c r="L82" s="19" t="s">
        <v>86</v>
      </c>
      <c r="M82" s="23"/>
      <c r="N82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82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82" s="24"/>
      <c r="Q82" s="27"/>
      <c r="R82" s="19" t="s">
        <v>87</v>
      </c>
      <c r="S82" s="24"/>
    </row>
    <row r="83" customFormat="false" ht="15" hidden="false" customHeight="false" outlineLevel="0" collapsed="false">
      <c r="A83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6-1503-0503</v>
      </c>
      <c r="B83" s="23" t="n">
        <v>45780</v>
      </c>
      <c r="C83" s="19" t="s">
        <v>79</v>
      </c>
      <c r="D83" s="19" t="s">
        <v>88</v>
      </c>
      <c r="E83" s="19" t="s">
        <v>190</v>
      </c>
      <c r="F83" s="24" t="s">
        <v>459</v>
      </c>
      <c r="G83" s="19" t="s">
        <v>103</v>
      </c>
      <c r="H83" s="19" t="s">
        <v>83</v>
      </c>
      <c r="I83" s="19"/>
      <c r="J83" s="19" t="s">
        <v>432</v>
      </c>
      <c r="K83" s="19"/>
      <c r="L83" s="19" t="s">
        <v>86</v>
      </c>
      <c r="M83" s="23"/>
      <c r="N83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83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83" s="24"/>
      <c r="Q83" s="27"/>
      <c r="R83" s="19" t="s">
        <v>87</v>
      </c>
      <c r="S83" s="24"/>
    </row>
    <row r="84" customFormat="false" ht="15" hidden="false" customHeight="false" outlineLevel="0" collapsed="false">
      <c r="A84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9-3301-0503</v>
      </c>
      <c r="B84" s="23" t="n">
        <v>45780</v>
      </c>
      <c r="C84" s="19" t="s">
        <v>79</v>
      </c>
      <c r="D84" s="19" t="s">
        <v>113</v>
      </c>
      <c r="E84" s="19" t="s">
        <v>191</v>
      </c>
      <c r="F84" s="24" t="s">
        <v>460</v>
      </c>
      <c r="G84" s="19" t="s">
        <v>118</v>
      </c>
      <c r="H84" s="19" t="s">
        <v>90</v>
      </c>
      <c r="I84" s="19"/>
      <c r="J84" s="19" t="s">
        <v>432</v>
      </c>
      <c r="K84" s="19"/>
      <c r="L84" s="19" t="s">
        <v>86</v>
      </c>
      <c r="M84" s="23"/>
      <c r="N84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84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84" s="24" t="s">
        <v>461</v>
      </c>
      <c r="Q84" s="27"/>
      <c r="R84" s="19" t="s">
        <v>87</v>
      </c>
      <c r="S84" s="24"/>
    </row>
    <row r="85" customFormat="false" ht="15" hidden="false" customHeight="false" outlineLevel="0" collapsed="false">
      <c r="A85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9-3204-0503</v>
      </c>
      <c r="B85" s="23" t="n">
        <v>45780</v>
      </c>
      <c r="C85" s="19" t="s">
        <v>79</v>
      </c>
      <c r="D85" s="19" t="s">
        <v>113</v>
      </c>
      <c r="E85" s="19" t="s">
        <v>192</v>
      </c>
      <c r="F85" s="24" t="s">
        <v>462</v>
      </c>
      <c r="G85" s="19" t="s">
        <v>118</v>
      </c>
      <c r="H85" s="19" t="s">
        <v>84</v>
      </c>
      <c r="I85" s="19"/>
      <c r="J85" s="19" t="s">
        <v>443</v>
      </c>
      <c r="K85" s="19"/>
      <c r="L85" s="19" t="s">
        <v>86</v>
      </c>
      <c r="M85" s="23"/>
      <c r="N85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85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85" s="24"/>
      <c r="Q85" s="27"/>
      <c r="R85" s="19" t="s">
        <v>87</v>
      </c>
      <c r="S85" s="24" t="s">
        <v>463</v>
      </c>
    </row>
    <row r="86" customFormat="false" ht="15" hidden="false" customHeight="false" outlineLevel="0" collapsed="false">
      <c r="A86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9-303-0503</v>
      </c>
      <c r="B86" s="23" t="n">
        <v>45780</v>
      </c>
      <c r="C86" s="19" t="s">
        <v>79</v>
      </c>
      <c r="D86" s="19" t="s">
        <v>113</v>
      </c>
      <c r="E86" s="19" t="s">
        <v>193</v>
      </c>
      <c r="F86" s="24" t="s">
        <v>464</v>
      </c>
      <c r="G86" s="19" t="s">
        <v>118</v>
      </c>
      <c r="H86" s="19" t="s">
        <v>83</v>
      </c>
      <c r="I86" s="19"/>
      <c r="J86" s="19" t="s">
        <v>434</v>
      </c>
      <c r="K86" s="19"/>
      <c r="L86" s="19" t="s">
        <v>86</v>
      </c>
      <c r="M86" s="23"/>
      <c r="N86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86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86" s="24"/>
      <c r="Q86" s="27"/>
      <c r="R86" s="19" t="s">
        <v>87</v>
      </c>
      <c r="S86" s="24"/>
    </row>
    <row r="87" customFormat="false" ht="15" hidden="false" customHeight="false" outlineLevel="0" collapsed="false">
      <c r="A87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S-124-0503</v>
      </c>
      <c r="B87" s="23" t="n">
        <v>45780</v>
      </c>
      <c r="C87" s="19" t="s">
        <v>79</v>
      </c>
      <c r="D87" s="19" t="s">
        <v>194</v>
      </c>
      <c r="E87" s="19" t="s">
        <v>195</v>
      </c>
      <c r="F87" s="24" t="s">
        <v>465</v>
      </c>
      <c r="G87" s="19" t="s">
        <v>157</v>
      </c>
      <c r="H87" s="19" t="s">
        <v>141</v>
      </c>
      <c r="I87" s="19"/>
      <c r="J87" s="19" t="s">
        <v>434</v>
      </c>
      <c r="K87" s="19"/>
      <c r="L87" s="19" t="s">
        <v>86</v>
      </c>
      <c r="M87" s="23"/>
      <c r="N87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87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87" s="24"/>
      <c r="Q87" s="27"/>
      <c r="R87" s="19" t="s">
        <v>87</v>
      </c>
      <c r="S87" s="24"/>
    </row>
    <row r="88" customFormat="false" ht="15" hidden="false" customHeight="false" outlineLevel="0" collapsed="false">
      <c r="A88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7-1402-0503</v>
      </c>
      <c r="B88" s="23" t="n">
        <v>45780</v>
      </c>
      <c r="C88" s="19" t="s">
        <v>79</v>
      </c>
      <c r="D88" s="19" t="s">
        <v>95</v>
      </c>
      <c r="E88" s="19" t="s">
        <v>121</v>
      </c>
      <c r="F88" s="24" t="s">
        <v>466</v>
      </c>
      <c r="G88" s="19" t="s">
        <v>97</v>
      </c>
      <c r="H88" s="19" t="s">
        <v>83</v>
      </c>
      <c r="I88" s="19"/>
      <c r="J88" s="19" t="s">
        <v>434</v>
      </c>
      <c r="K88" s="19"/>
      <c r="L88" s="19" t="s">
        <v>86</v>
      </c>
      <c r="M88" s="23"/>
      <c r="N88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88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88" s="24"/>
      <c r="Q88" s="27"/>
      <c r="R88" s="19" t="s">
        <v>87</v>
      </c>
      <c r="S88" s="24"/>
    </row>
    <row r="89" customFormat="false" ht="15" hidden="false" customHeight="false" outlineLevel="0" collapsed="false">
      <c r="A89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8-3303-0503</v>
      </c>
      <c r="B89" s="23" t="n">
        <v>45780</v>
      </c>
      <c r="C89" s="19" t="s">
        <v>79</v>
      </c>
      <c r="D89" s="19" t="s">
        <v>80</v>
      </c>
      <c r="E89" s="19" t="s">
        <v>196</v>
      </c>
      <c r="F89" s="24" t="s">
        <v>467</v>
      </c>
      <c r="G89" s="19" t="s">
        <v>97</v>
      </c>
      <c r="H89" s="19" t="s">
        <v>84</v>
      </c>
      <c r="I89" s="19"/>
      <c r="J89" s="19" t="s">
        <v>434</v>
      </c>
      <c r="K89" s="19"/>
      <c r="L89" s="19" t="s">
        <v>86</v>
      </c>
      <c r="M89" s="23"/>
      <c r="N89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89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89" s="24"/>
      <c r="Q89" s="27"/>
      <c r="R89" s="19" t="s">
        <v>87</v>
      </c>
      <c r="S89" s="24"/>
    </row>
    <row r="90" customFormat="false" ht="15" hidden="false" customHeight="false" outlineLevel="0" collapsed="false">
      <c r="A90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7-504-0503</v>
      </c>
      <c r="B90" s="23" t="n">
        <v>45780</v>
      </c>
      <c r="C90" s="19" t="s">
        <v>79</v>
      </c>
      <c r="D90" s="19" t="s">
        <v>95</v>
      </c>
      <c r="E90" s="19" t="s">
        <v>107</v>
      </c>
      <c r="F90" s="24" t="s">
        <v>468</v>
      </c>
      <c r="G90" s="19" t="s">
        <v>97</v>
      </c>
      <c r="H90" s="19" t="s">
        <v>83</v>
      </c>
      <c r="I90" s="19"/>
      <c r="J90" s="19" t="s">
        <v>432</v>
      </c>
      <c r="K90" s="19"/>
      <c r="L90" s="19" t="s">
        <v>86</v>
      </c>
      <c r="M90" s="23"/>
      <c r="N90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90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90" s="24"/>
      <c r="Q90" s="27"/>
      <c r="R90" s="19" t="s">
        <v>87</v>
      </c>
      <c r="S90" s="24"/>
    </row>
    <row r="91" customFormat="false" ht="15" hidden="false" customHeight="false" outlineLevel="0" collapsed="false">
      <c r="A91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3-2102-0503</v>
      </c>
      <c r="B91" s="23" t="n">
        <v>45780</v>
      </c>
      <c r="C91" s="19" t="s">
        <v>79</v>
      </c>
      <c r="D91" s="19" t="s">
        <v>125</v>
      </c>
      <c r="E91" s="19" t="s">
        <v>197</v>
      </c>
      <c r="F91" s="24" t="s">
        <v>469</v>
      </c>
      <c r="G91" s="19" t="s">
        <v>118</v>
      </c>
      <c r="H91" s="19" t="s">
        <v>84</v>
      </c>
      <c r="I91" s="19"/>
      <c r="J91" s="19" t="s">
        <v>432</v>
      </c>
      <c r="K91" s="19"/>
      <c r="L91" s="19" t="s">
        <v>86</v>
      </c>
      <c r="M91" s="23"/>
      <c r="N91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91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91" s="24" t="s">
        <v>198</v>
      </c>
      <c r="Q91" s="27"/>
      <c r="R91" s="19" t="s">
        <v>87</v>
      </c>
      <c r="S91" s="24"/>
    </row>
    <row r="92" customFormat="false" ht="15" hidden="false" customHeight="false" outlineLevel="0" collapsed="false">
      <c r="A92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8-2203-0503</v>
      </c>
      <c r="B92" s="23" t="n">
        <v>45780</v>
      </c>
      <c r="C92" s="19" t="s">
        <v>79</v>
      </c>
      <c r="D92" s="19" t="s">
        <v>80</v>
      </c>
      <c r="E92" s="19" t="s">
        <v>179</v>
      </c>
      <c r="F92" s="24" t="s">
        <v>470</v>
      </c>
      <c r="G92" s="19" t="s">
        <v>97</v>
      </c>
      <c r="H92" s="19" t="s">
        <v>141</v>
      </c>
      <c r="I92" s="19"/>
      <c r="J92" s="19" t="s">
        <v>471</v>
      </c>
      <c r="K92" s="19"/>
      <c r="L92" s="19" t="s">
        <v>86</v>
      </c>
      <c r="M92" s="23"/>
      <c r="N92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92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92" s="24"/>
      <c r="Q92" s="27"/>
      <c r="R92" s="19" t="s">
        <v>87</v>
      </c>
      <c r="S92" s="24"/>
    </row>
    <row r="93" customFormat="false" ht="15" hidden="false" customHeight="false" outlineLevel="0" collapsed="false">
      <c r="A93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2-1202-0503</v>
      </c>
      <c r="B93" s="23" t="n">
        <v>45780</v>
      </c>
      <c r="C93" s="19" t="s">
        <v>79</v>
      </c>
      <c r="D93" s="19" t="s">
        <v>127</v>
      </c>
      <c r="E93" s="19" t="s">
        <v>199</v>
      </c>
      <c r="F93" s="24" t="s">
        <v>472</v>
      </c>
      <c r="G93" s="19" t="s">
        <v>123</v>
      </c>
      <c r="H93" s="19" t="s">
        <v>83</v>
      </c>
      <c r="I93" s="19"/>
      <c r="J93" s="19" t="s">
        <v>443</v>
      </c>
      <c r="K93" s="19" t="s">
        <v>85</v>
      </c>
      <c r="L93" s="19" t="s">
        <v>86</v>
      </c>
      <c r="M93" s="23"/>
      <c r="N93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93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93" s="24" t="s">
        <v>200</v>
      </c>
      <c r="Q93" s="27"/>
      <c r="R93" s="19" t="s">
        <v>87</v>
      </c>
      <c r="S93" s="24"/>
    </row>
    <row r="94" customFormat="false" ht="15" hidden="false" customHeight="false" outlineLevel="0" collapsed="false">
      <c r="A94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10-1003-0503</v>
      </c>
      <c r="B94" s="23" t="n">
        <v>45780</v>
      </c>
      <c r="C94" s="19" t="s">
        <v>79</v>
      </c>
      <c r="D94" s="19" t="s">
        <v>111</v>
      </c>
      <c r="E94" s="19" t="s">
        <v>201</v>
      </c>
      <c r="F94" s="24" t="s">
        <v>473</v>
      </c>
      <c r="G94" s="19" t="s">
        <v>82</v>
      </c>
      <c r="H94" s="19" t="s">
        <v>84</v>
      </c>
      <c r="I94" s="19"/>
      <c r="J94" s="19" t="s">
        <v>445</v>
      </c>
      <c r="K94" s="19"/>
      <c r="L94" s="19" t="s">
        <v>86</v>
      </c>
      <c r="M94" s="23"/>
      <c r="N94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94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94" s="24" t="s">
        <v>474</v>
      </c>
      <c r="Q94" s="27"/>
      <c r="R94" s="19" t="s">
        <v>98</v>
      </c>
      <c r="S94" s="24"/>
    </row>
    <row r="95" customFormat="false" ht="15" hidden="false" customHeight="false" outlineLevel="0" collapsed="false">
      <c r="A95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6-2802-0503</v>
      </c>
      <c r="B95" s="23" t="n">
        <v>45780</v>
      </c>
      <c r="C95" s="19" t="s">
        <v>79</v>
      </c>
      <c r="D95" s="19" t="s">
        <v>88</v>
      </c>
      <c r="E95" s="19" t="s">
        <v>203</v>
      </c>
      <c r="F95" s="24" t="s">
        <v>475</v>
      </c>
      <c r="G95" s="19" t="s">
        <v>94</v>
      </c>
      <c r="H95" s="19" t="s">
        <v>140</v>
      </c>
      <c r="I95" s="19"/>
      <c r="J95" s="19" t="s">
        <v>476</v>
      </c>
      <c r="K95" s="19" t="s">
        <v>104</v>
      </c>
      <c r="L95" s="19" t="s">
        <v>91</v>
      </c>
      <c r="M95" s="23"/>
      <c r="N95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4</v>
      </c>
      <c r="O95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95" s="24" t="s">
        <v>204</v>
      </c>
      <c r="Q95" s="27"/>
      <c r="R95" s="19"/>
      <c r="S95" s="24"/>
    </row>
    <row r="96" customFormat="false" ht="15" hidden="false" customHeight="false" outlineLevel="0" collapsed="false">
      <c r="A96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公-254车位-0503</v>
      </c>
      <c r="B96" s="23" t="n">
        <v>45780</v>
      </c>
      <c r="C96" s="19" t="s">
        <v>135</v>
      </c>
      <c r="D96" s="19" t="s">
        <v>137</v>
      </c>
      <c r="E96" s="19" t="s">
        <v>205</v>
      </c>
      <c r="F96" s="24" t="s">
        <v>477</v>
      </c>
      <c r="G96" s="19" t="s">
        <v>94</v>
      </c>
      <c r="H96" s="19"/>
      <c r="I96" s="19"/>
      <c r="J96" s="19" t="s">
        <v>434</v>
      </c>
      <c r="K96" s="19"/>
      <c r="L96" s="19"/>
      <c r="M96" s="23"/>
      <c r="N96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4</v>
      </c>
      <c r="O96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96" s="24"/>
      <c r="Q96" s="27"/>
      <c r="R96" s="19"/>
      <c r="S96" s="24"/>
    </row>
    <row r="97" customFormat="false" ht="15" hidden="false" customHeight="false" outlineLevel="0" collapsed="false">
      <c r="A97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公-557车位-0503</v>
      </c>
      <c r="B97" s="23" t="n">
        <v>45780</v>
      </c>
      <c r="C97" s="19" t="s">
        <v>135</v>
      </c>
      <c r="D97" s="19" t="s">
        <v>137</v>
      </c>
      <c r="E97" s="19" t="s">
        <v>206</v>
      </c>
      <c r="F97" s="24" t="s">
        <v>478</v>
      </c>
      <c r="G97" s="19" t="s">
        <v>118</v>
      </c>
      <c r="H97" s="19" t="s">
        <v>90</v>
      </c>
      <c r="I97" s="19"/>
      <c r="J97" s="19" t="s">
        <v>432</v>
      </c>
      <c r="K97" s="19"/>
      <c r="L97" s="19" t="s">
        <v>86</v>
      </c>
      <c r="M97" s="23"/>
      <c r="N97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97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97" s="24"/>
      <c r="Q97" s="27"/>
      <c r="R97" s="19"/>
      <c r="S97" s="24"/>
    </row>
    <row r="98" customFormat="false" ht="15" hidden="false" customHeight="false" outlineLevel="0" collapsed="false">
      <c r="A98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5-负一-0503</v>
      </c>
      <c r="B98" s="23" t="n">
        <v>45780</v>
      </c>
      <c r="C98" s="19" t="s">
        <v>135</v>
      </c>
      <c r="D98" s="19" t="s">
        <v>92</v>
      </c>
      <c r="E98" s="19" t="s">
        <v>172</v>
      </c>
      <c r="F98" s="24" t="s">
        <v>479</v>
      </c>
      <c r="G98" s="19" t="s">
        <v>97</v>
      </c>
      <c r="H98" s="19" t="s">
        <v>83</v>
      </c>
      <c r="I98" s="19"/>
      <c r="J98" s="19" t="s">
        <v>432</v>
      </c>
      <c r="K98" s="19"/>
      <c r="L98" s="19" t="s">
        <v>86</v>
      </c>
      <c r="M98" s="23"/>
      <c r="N98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98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98" s="24"/>
      <c r="Q98" s="27"/>
      <c r="R98" s="19"/>
      <c r="S98" s="24"/>
    </row>
    <row r="99" customFormat="false" ht="15" hidden="false" customHeight="false" outlineLevel="0" collapsed="false">
      <c r="A99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3-大堂-0503</v>
      </c>
      <c r="B99" s="23" t="n">
        <v>45780</v>
      </c>
      <c r="C99" s="19" t="s">
        <v>135</v>
      </c>
      <c r="D99" s="19" t="s">
        <v>125</v>
      </c>
      <c r="E99" s="19" t="s">
        <v>150</v>
      </c>
      <c r="F99" s="24" t="s">
        <v>480</v>
      </c>
      <c r="G99" s="19" t="s">
        <v>143</v>
      </c>
      <c r="H99" s="19" t="s">
        <v>83</v>
      </c>
      <c r="I99" s="19"/>
      <c r="J99" s="19" t="s">
        <v>434</v>
      </c>
      <c r="K99" s="19"/>
      <c r="L99" s="19" t="s">
        <v>86</v>
      </c>
      <c r="M99" s="23"/>
      <c r="N99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99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99" s="24"/>
      <c r="Q99" s="27"/>
      <c r="R99" s="19"/>
      <c r="S99" s="24"/>
    </row>
    <row r="100" customFormat="false" ht="29.85" hidden="false" customHeight="false" outlineLevel="0" collapsed="false">
      <c r="A100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8-1704-0504</v>
      </c>
      <c r="B100" s="23" t="n">
        <v>45781</v>
      </c>
      <c r="C100" s="19" t="s">
        <v>79</v>
      </c>
      <c r="D100" s="19" t="s">
        <v>80</v>
      </c>
      <c r="E100" s="19" t="s">
        <v>207</v>
      </c>
      <c r="F100" s="24" t="s">
        <v>481</v>
      </c>
      <c r="G100" s="19" t="s">
        <v>118</v>
      </c>
      <c r="H100" s="19" t="s">
        <v>83</v>
      </c>
      <c r="I100" s="19"/>
      <c r="J100" s="19" t="s">
        <v>482</v>
      </c>
      <c r="K100" s="19"/>
      <c r="L100" s="19" t="s">
        <v>91</v>
      </c>
      <c r="M100" s="23"/>
      <c r="N100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3</v>
      </c>
      <c r="O100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00" s="24" t="s">
        <v>483</v>
      </c>
      <c r="Q100" s="27"/>
      <c r="R100" s="19"/>
      <c r="S100" s="24"/>
    </row>
    <row r="101" customFormat="false" ht="29.85" hidden="false" customHeight="false" outlineLevel="0" collapsed="false">
      <c r="A101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6-402-0504</v>
      </c>
      <c r="B101" s="23" t="n">
        <v>45781</v>
      </c>
      <c r="C101" s="19" t="s">
        <v>79</v>
      </c>
      <c r="D101" s="19" t="s">
        <v>88</v>
      </c>
      <c r="E101" s="19" t="s">
        <v>208</v>
      </c>
      <c r="F101" s="24" t="s">
        <v>484</v>
      </c>
      <c r="G101" s="19" t="s">
        <v>123</v>
      </c>
      <c r="H101" s="19" t="s">
        <v>83</v>
      </c>
      <c r="I101" s="19"/>
      <c r="J101" s="19" t="s">
        <v>482</v>
      </c>
      <c r="K101" s="19"/>
      <c r="L101" s="19" t="s">
        <v>86</v>
      </c>
      <c r="M101" s="23"/>
      <c r="N101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01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01" s="24"/>
      <c r="Q101" s="27"/>
      <c r="R101" s="19" t="s">
        <v>87</v>
      </c>
      <c r="S101" s="24" t="s">
        <v>485</v>
      </c>
    </row>
    <row r="102" customFormat="false" ht="15" hidden="false" customHeight="false" outlineLevel="0" collapsed="false">
      <c r="A102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8-3104-0504</v>
      </c>
      <c r="B102" s="23" t="n">
        <v>45781</v>
      </c>
      <c r="C102" s="19" t="s">
        <v>79</v>
      </c>
      <c r="D102" s="19" t="s">
        <v>80</v>
      </c>
      <c r="E102" s="19" t="s">
        <v>130</v>
      </c>
      <c r="F102" s="24" t="s">
        <v>486</v>
      </c>
      <c r="G102" s="19" t="s">
        <v>123</v>
      </c>
      <c r="H102" s="19" t="s">
        <v>83</v>
      </c>
      <c r="I102" s="19"/>
      <c r="J102" s="19" t="s">
        <v>482</v>
      </c>
      <c r="K102" s="19"/>
      <c r="L102" s="19" t="s">
        <v>86</v>
      </c>
      <c r="M102" s="23"/>
      <c r="N102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02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02" s="24"/>
      <c r="Q102" s="27"/>
      <c r="R102" s="19" t="s">
        <v>87</v>
      </c>
      <c r="S102" s="24"/>
    </row>
    <row r="103" customFormat="false" ht="15" hidden="false" customHeight="false" outlineLevel="0" collapsed="false">
      <c r="A103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8-1003-0504</v>
      </c>
      <c r="B103" s="23" t="n">
        <v>45781</v>
      </c>
      <c r="C103" s="19" t="s">
        <v>79</v>
      </c>
      <c r="D103" s="19" t="s">
        <v>80</v>
      </c>
      <c r="E103" s="19" t="s">
        <v>201</v>
      </c>
      <c r="F103" s="24" t="s">
        <v>487</v>
      </c>
      <c r="G103" s="19" t="s">
        <v>82</v>
      </c>
      <c r="H103" s="19" t="s">
        <v>83</v>
      </c>
      <c r="I103" s="19"/>
      <c r="J103" s="19" t="s">
        <v>482</v>
      </c>
      <c r="K103" s="19"/>
      <c r="L103" s="19" t="s">
        <v>86</v>
      </c>
      <c r="M103" s="23"/>
      <c r="N103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03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03" s="24"/>
      <c r="Q103" s="27"/>
      <c r="R103" s="19" t="s">
        <v>87</v>
      </c>
      <c r="S103" s="24"/>
    </row>
    <row r="104" customFormat="false" ht="15" hidden="false" customHeight="false" outlineLevel="0" collapsed="false">
      <c r="A104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1-2002-0504</v>
      </c>
      <c r="B104" s="23" t="n">
        <v>45781</v>
      </c>
      <c r="C104" s="19" t="s">
        <v>79</v>
      </c>
      <c r="D104" s="19" t="s">
        <v>115</v>
      </c>
      <c r="E104" s="19" t="s">
        <v>209</v>
      </c>
      <c r="F104" s="24" t="s">
        <v>488</v>
      </c>
      <c r="G104" s="19" t="s">
        <v>118</v>
      </c>
      <c r="H104" s="19" t="s">
        <v>83</v>
      </c>
      <c r="I104" s="19"/>
      <c r="J104" s="19" t="s">
        <v>489</v>
      </c>
      <c r="K104" s="19"/>
      <c r="L104" s="19" t="s">
        <v>86</v>
      </c>
      <c r="M104" s="23"/>
      <c r="N104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04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04" s="24"/>
      <c r="Q104" s="27"/>
      <c r="R104" s="19" t="s">
        <v>87</v>
      </c>
      <c r="S104" s="24"/>
    </row>
    <row r="105" customFormat="false" ht="15" hidden="false" customHeight="false" outlineLevel="0" collapsed="false">
      <c r="A105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7-1304-0504-02</v>
      </c>
      <c r="B105" s="23" t="n">
        <v>45781</v>
      </c>
      <c r="C105" s="19" t="s">
        <v>79</v>
      </c>
      <c r="D105" s="19" t="s">
        <v>95</v>
      </c>
      <c r="E105" s="19" t="s">
        <v>186</v>
      </c>
      <c r="F105" s="24" t="s">
        <v>490</v>
      </c>
      <c r="G105" s="19" t="s">
        <v>97</v>
      </c>
      <c r="H105" s="19" t="s">
        <v>83</v>
      </c>
      <c r="I105" s="19"/>
      <c r="J105" s="19" t="s">
        <v>491</v>
      </c>
      <c r="K105" s="19"/>
      <c r="L105" s="19" t="s">
        <v>86</v>
      </c>
      <c r="M105" s="23"/>
      <c r="N105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05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2</v>
      </c>
      <c r="P105" s="24"/>
      <c r="Q105" s="27"/>
      <c r="R105" s="19" t="s">
        <v>87</v>
      </c>
      <c r="S105" s="24"/>
    </row>
    <row r="106" customFormat="false" ht="15" hidden="false" customHeight="false" outlineLevel="0" collapsed="false">
      <c r="A106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10-3102-0504</v>
      </c>
      <c r="B106" s="23" t="n">
        <v>45781</v>
      </c>
      <c r="C106" s="19" t="s">
        <v>79</v>
      </c>
      <c r="D106" s="19" t="s">
        <v>111</v>
      </c>
      <c r="E106" s="19" t="s">
        <v>210</v>
      </c>
      <c r="F106" s="24" t="s">
        <v>492</v>
      </c>
      <c r="G106" s="19" t="s">
        <v>118</v>
      </c>
      <c r="H106" s="19" t="s">
        <v>84</v>
      </c>
      <c r="I106" s="19"/>
      <c r="J106" s="19" t="s">
        <v>491</v>
      </c>
      <c r="K106" s="19"/>
      <c r="L106" s="19" t="s">
        <v>91</v>
      </c>
      <c r="M106" s="23"/>
      <c r="N106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3</v>
      </c>
      <c r="O106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06" s="24"/>
      <c r="Q106" s="27"/>
      <c r="R106" s="19"/>
      <c r="S106" s="24"/>
    </row>
    <row r="107" customFormat="false" ht="15" hidden="false" customHeight="false" outlineLevel="0" collapsed="false">
      <c r="A107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9-2504-0504</v>
      </c>
      <c r="B107" s="23" t="n">
        <v>45781</v>
      </c>
      <c r="C107" s="19" t="s">
        <v>79</v>
      </c>
      <c r="D107" s="19" t="s">
        <v>113</v>
      </c>
      <c r="E107" s="19" t="s">
        <v>89</v>
      </c>
      <c r="F107" s="24" t="s">
        <v>493</v>
      </c>
      <c r="G107" s="19" t="s">
        <v>123</v>
      </c>
      <c r="H107" s="19" t="s">
        <v>83</v>
      </c>
      <c r="I107" s="19"/>
      <c r="J107" s="19" t="s">
        <v>494</v>
      </c>
      <c r="K107" s="19"/>
      <c r="L107" s="19" t="s">
        <v>86</v>
      </c>
      <c r="M107" s="23"/>
      <c r="N107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07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07" s="24"/>
      <c r="Q107" s="27"/>
      <c r="R107" s="19" t="s">
        <v>87</v>
      </c>
      <c r="S107" s="24"/>
    </row>
    <row r="108" customFormat="false" ht="15.65" hidden="false" customHeight="false" outlineLevel="0" collapsed="false">
      <c r="A108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10-1101-0504</v>
      </c>
      <c r="B108" s="23" t="n">
        <v>45781</v>
      </c>
      <c r="C108" s="19" t="s">
        <v>79</v>
      </c>
      <c r="D108" s="19" t="s">
        <v>111</v>
      </c>
      <c r="E108" s="19" t="s">
        <v>211</v>
      </c>
      <c r="F108" s="24" t="s">
        <v>495</v>
      </c>
      <c r="G108" s="19" t="s">
        <v>103</v>
      </c>
      <c r="H108" s="19" t="s">
        <v>83</v>
      </c>
      <c r="I108" s="19"/>
      <c r="J108" s="19" t="s">
        <v>491</v>
      </c>
      <c r="K108" s="19"/>
      <c r="L108" s="19" t="s">
        <v>86</v>
      </c>
      <c r="M108" s="23"/>
      <c r="N108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08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08" s="24" t="s">
        <v>496</v>
      </c>
      <c r="Q108" s="27"/>
      <c r="R108" s="19" t="s">
        <v>87</v>
      </c>
      <c r="S108" s="24"/>
    </row>
    <row r="109" customFormat="false" ht="15" hidden="false" customHeight="false" outlineLevel="0" collapsed="false">
      <c r="A109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1-804-0504</v>
      </c>
      <c r="B109" s="23" t="n">
        <v>45781</v>
      </c>
      <c r="C109" s="19" t="s">
        <v>79</v>
      </c>
      <c r="D109" s="19" t="s">
        <v>115</v>
      </c>
      <c r="E109" s="19" t="s">
        <v>212</v>
      </c>
      <c r="F109" s="24" t="s">
        <v>497</v>
      </c>
      <c r="G109" s="19" t="s">
        <v>103</v>
      </c>
      <c r="H109" s="19" t="s">
        <v>213</v>
      </c>
      <c r="I109" s="19"/>
      <c r="J109" s="19" t="s">
        <v>498</v>
      </c>
      <c r="K109" s="19"/>
      <c r="L109" s="19" t="s">
        <v>86</v>
      </c>
      <c r="M109" s="23"/>
      <c r="N109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09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09" s="24"/>
      <c r="Q109" s="27"/>
      <c r="R109" s="19" t="s">
        <v>87</v>
      </c>
      <c r="S109" s="24"/>
    </row>
    <row r="110" customFormat="false" ht="15" hidden="false" customHeight="false" outlineLevel="0" collapsed="false">
      <c r="A110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1-202-0504</v>
      </c>
      <c r="B110" s="23" t="n">
        <v>45781</v>
      </c>
      <c r="C110" s="19" t="s">
        <v>79</v>
      </c>
      <c r="D110" s="19" t="s">
        <v>115</v>
      </c>
      <c r="E110" s="19" t="s">
        <v>214</v>
      </c>
      <c r="F110" s="24" t="s">
        <v>499</v>
      </c>
      <c r="G110" s="19" t="s">
        <v>153</v>
      </c>
      <c r="H110" s="19" t="s">
        <v>83</v>
      </c>
      <c r="I110" s="19"/>
      <c r="J110" s="19" t="s">
        <v>500</v>
      </c>
      <c r="K110" s="19"/>
      <c r="L110" s="19" t="s">
        <v>86</v>
      </c>
      <c r="M110" s="23"/>
      <c r="N110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10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10" s="24" t="s">
        <v>215</v>
      </c>
      <c r="Q110" s="27"/>
      <c r="R110" s="19" t="s">
        <v>87</v>
      </c>
      <c r="S110" s="24"/>
    </row>
    <row r="111" customFormat="false" ht="15" hidden="false" customHeight="false" outlineLevel="0" collapsed="false">
      <c r="A111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9-1502-0504</v>
      </c>
      <c r="B111" s="23" t="n">
        <v>45781</v>
      </c>
      <c r="C111" s="19" t="s">
        <v>79</v>
      </c>
      <c r="D111" s="19" t="s">
        <v>113</v>
      </c>
      <c r="E111" s="19" t="s">
        <v>216</v>
      </c>
      <c r="F111" s="24" t="s">
        <v>501</v>
      </c>
      <c r="G111" s="19" t="s">
        <v>123</v>
      </c>
      <c r="H111" s="19" t="s">
        <v>83</v>
      </c>
      <c r="I111" s="19"/>
      <c r="J111" s="19" t="s">
        <v>500</v>
      </c>
      <c r="K111" s="19"/>
      <c r="L111" s="19" t="s">
        <v>86</v>
      </c>
      <c r="M111" s="23"/>
      <c r="N111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11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11" s="24"/>
      <c r="Q111" s="27"/>
      <c r="R111" s="19" t="s">
        <v>87</v>
      </c>
      <c r="S111" s="24"/>
    </row>
    <row r="112" customFormat="false" ht="15" hidden="false" customHeight="false" outlineLevel="0" collapsed="false">
      <c r="A112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5-1104-0504</v>
      </c>
      <c r="B112" s="23" t="n">
        <v>45781</v>
      </c>
      <c r="C112" s="19" t="s">
        <v>79</v>
      </c>
      <c r="D112" s="19" t="s">
        <v>92</v>
      </c>
      <c r="E112" s="19" t="s">
        <v>188</v>
      </c>
      <c r="F112" s="24" t="s">
        <v>502</v>
      </c>
      <c r="G112" s="19" t="s">
        <v>97</v>
      </c>
      <c r="H112" s="19" t="s">
        <v>84</v>
      </c>
      <c r="I112" s="19"/>
      <c r="J112" s="19" t="s">
        <v>503</v>
      </c>
      <c r="K112" s="19"/>
      <c r="L112" s="19" t="s">
        <v>86</v>
      </c>
      <c r="M112" s="23"/>
      <c r="N112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12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12" s="24"/>
      <c r="Q112" s="27"/>
      <c r="R112" s="19" t="s">
        <v>87</v>
      </c>
      <c r="S112" s="24"/>
    </row>
    <row r="113" customFormat="false" ht="15" hidden="false" customHeight="false" outlineLevel="0" collapsed="false">
      <c r="A113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11-2904-0504</v>
      </c>
      <c r="B113" s="23" t="n">
        <v>45781</v>
      </c>
      <c r="C113" s="19" t="s">
        <v>79</v>
      </c>
      <c r="D113" s="19" t="s">
        <v>120</v>
      </c>
      <c r="E113" s="19" t="s">
        <v>96</v>
      </c>
      <c r="F113" s="24" t="s">
        <v>504</v>
      </c>
      <c r="G113" s="19" t="s">
        <v>103</v>
      </c>
      <c r="H113" s="19" t="s">
        <v>84</v>
      </c>
      <c r="I113" s="19"/>
      <c r="J113" s="19" t="s">
        <v>505</v>
      </c>
      <c r="K113" s="19" t="s">
        <v>106</v>
      </c>
      <c r="L113" s="19" t="s">
        <v>91</v>
      </c>
      <c r="M113" s="23"/>
      <c r="N113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3</v>
      </c>
      <c r="O113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13" s="24" t="s">
        <v>217</v>
      </c>
      <c r="Q113" s="27"/>
      <c r="R113" s="19"/>
      <c r="S113" s="24"/>
    </row>
    <row r="114" customFormat="false" ht="15" hidden="false" customHeight="false" outlineLevel="0" collapsed="false">
      <c r="A114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4-1603-0504</v>
      </c>
      <c r="B114" s="23" t="n">
        <v>45781</v>
      </c>
      <c r="C114" s="19" t="s">
        <v>79</v>
      </c>
      <c r="D114" s="19" t="s">
        <v>129</v>
      </c>
      <c r="E114" s="19" t="s">
        <v>218</v>
      </c>
      <c r="F114" s="24" t="s">
        <v>506</v>
      </c>
      <c r="G114" s="19" t="s">
        <v>118</v>
      </c>
      <c r="H114" s="19" t="s">
        <v>90</v>
      </c>
      <c r="I114" s="19"/>
      <c r="J114" s="19" t="s">
        <v>507</v>
      </c>
      <c r="K114" s="19"/>
      <c r="L114" s="19" t="s">
        <v>86</v>
      </c>
      <c r="M114" s="23"/>
      <c r="N114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14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14" s="24"/>
      <c r="Q114" s="27"/>
      <c r="R114" s="19" t="s">
        <v>87</v>
      </c>
      <c r="S114" s="24" t="s">
        <v>508</v>
      </c>
    </row>
    <row r="115" customFormat="false" ht="15" hidden="false" customHeight="false" outlineLevel="0" collapsed="false">
      <c r="A115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7-503-0504</v>
      </c>
      <c r="B115" s="23" t="n">
        <v>45781</v>
      </c>
      <c r="C115" s="19" t="s">
        <v>79</v>
      </c>
      <c r="D115" s="19" t="s">
        <v>95</v>
      </c>
      <c r="E115" s="19" t="s">
        <v>93</v>
      </c>
      <c r="F115" s="24" t="s">
        <v>509</v>
      </c>
      <c r="G115" s="19" t="s">
        <v>97</v>
      </c>
      <c r="H115" s="19" t="s">
        <v>83</v>
      </c>
      <c r="I115" s="19"/>
      <c r="J115" s="19" t="s">
        <v>510</v>
      </c>
      <c r="K115" s="19"/>
      <c r="L115" s="19" t="s">
        <v>86</v>
      </c>
      <c r="M115" s="23"/>
      <c r="N115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15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15" s="24"/>
      <c r="Q115" s="27"/>
      <c r="R115" s="19" t="s">
        <v>87</v>
      </c>
      <c r="S115" s="24"/>
    </row>
    <row r="116" customFormat="false" ht="15" hidden="false" customHeight="false" outlineLevel="0" collapsed="false">
      <c r="A116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5-货梯-0504</v>
      </c>
      <c r="B116" s="23" t="n">
        <v>45781</v>
      </c>
      <c r="C116" s="19" t="s">
        <v>135</v>
      </c>
      <c r="D116" s="19" t="s">
        <v>92</v>
      </c>
      <c r="E116" s="19" t="s">
        <v>144</v>
      </c>
      <c r="F116" s="24" t="s">
        <v>511</v>
      </c>
      <c r="G116" s="19" t="s">
        <v>82</v>
      </c>
      <c r="H116" s="19"/>
      <c r="I116" s="19"/>
      <c r="J116" s="19" t="s">
        <v>482</v>
      </c>
      <c r="K116" s="19"/>
      <c r="L116" s="19"/>
      <c r="M116" s="23"/>
      <c r="N116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3</v>
      </c>
      <c r="O116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16" s="24"/>
      <c r="Q116" s="27"/>
      <c r="R116" s="19"/>
      <c r="S116" s="24"/>
    </row>
    <row r="117" customFormat="false" ht="15" hidden="false" customHeight="false" outlineLevel="0" collapsed="false">
      <c r="A117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5-2601-0505</v>
      </c>
      <c r="B117" s="23" t="n">
        <v>45782</v>
      </c>
      <c r="C117" s="19" t="s">
        <v>79</v>
      </c>
      <c r="D117" s="19" t="s">
        <v>92</v>
      </c>
      <c r="E117" s="19" t="s">
        <v>219</v>
      </c>
      <c r="F117" s="24" t="s">
        <v>512</v>
      </c>
      <c r="G117" s="19" t="s">
        <v>118</v>
      </c>
      <c r="H117" s="19" t="s">
        <v>83</v>
      </c>
      <c r="I117" s="19"/>
      <c r="J117" s="19" t="s">
        <v>513</v>
      </c>
      <c r="K117" s="19"/>
      <c r="L117" s="19" t="s">
        <v>86</v>
      </c>
      <c r="M117" s="23"/>
      <c r="N117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17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17" s="24"/>
      <c r="Q117" s="27"/>
      <c r="R117" s="19" t="s">
        <v>87</v>
      </c>
      <c r="S117" s="24"/>
    </row>
    <row r="118" customFormat="false" ht="15" hidden="false" customHeight="false" outlineLevel="0" collapsed="false">
      <c r="A118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8-1603-0505</v>
      </c>
      <c r="B118" s="23" t="n">
        <v>45782</v>
      </c>
      <c r="C118" s="19" t="s">
        <v>79</v>
      </c>
      <c r="D118" s="19" t="s">
        <v>80</v>
      </c>
      <c r="E118" s="19" t="s">
        <v>218</v>
      </c>
      <c r="F118" s="24" t="s">
        <v>514</v>
      </c>
      <c r="G118" s="19" t="s">
        <v>103</v>
      </c>
      <c r="H118" s="19" t="s">
        <v>84</v>
      </c>
      <c r="I118" s="19"/>
      <c r="J118" s="19" t="s">
        <v>513</v>
      </c>
      <c r="K118" s="19"/>
      <c r="L118" s="19" t="s">
        <v>86</v>
      </c>
      <c r="M118" s="23"/>
      <c r="N118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18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18" s="24" t="s">
        <v>220</v>
      </c>
      <c r="Q118" s="27"/>
      <c r="R118" s="19" t="s">
        <v>87</v>
      </c>
      <c r="S118" s="24"/>
    </row>
    <row r="119" customFormat="false" ht="15" hidden="false" customHeight="false" outlineLevel="0" collapsed="false">
      <c r="A119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2-2101-0505</v>
      </c>
      <c r="B119" s="23" t="n">
        <v>45782</v>
      </c>
      <c r="C119" s="19" t="s">
        <v>79</v>
      </c>
      <c r="D119" s="19" t="s">
        <v>127</v>
      </c>
      <c r="E119" s="19" t="s">
        <v>164</v>
      </c>
      <c r="F119" s="24" t="s">
        <v>515</v>
      </c>
      <c r="G119" s="19" t="s">
        <v>97</v>
      </c>
      <c r="H119" s="19" t="s">
        <v>83</v>
      </c>
      <c r="I119" s="19"/>
      <c r="J119" s="19" t="s">
        <v>513</v>
      </c>
      <c r="K119" s="19" t="s">
        <v>104</v>
      </c>
      <c r="L119" s="19" t="s">
        <v>86</v>
      </c>
      <c r="M119" s="23"/>
      <c r="N119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19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19" s="24"/>
      <c r="Q119" s="27"/>
      <c r="R119" s="19" t="s">
        <v>87</v>
      </c>
      <c r="S119" s="24"/>
    </row>
    <row r="120" customFormat="false" ht="15" hidden="false" customHeight="false" outlineLevel="0" collapsed="false">
      <c r="A120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10-2802-0505</v>
      </c>
      <c r="B120" s="23" t="n">
        <v>45782</v>
      </c>
      <c r="C120" s="19" t="s">
        <v>79</v>
      </c>
      <c r="D120" s="19" t="s">
        <v>111</v>
      </c>
      <c r="E120" s="19" t="s">
        <v>203</v>
      </c>
      <c r="F120" s="24" t="s">
        <v>516</v>
      </c>
      <c r="G120" s="19" t="s">
        <v>82</v>
      </c>
      <c r="H120" s="19" t="s">
        <v>83</v>
      </c>
      <c r="I120" s="19"/>
      <c r="J120" s="19" t="s">
        <v>517</v>
      </c>
      <c r="K120" s="19"/>
      <c r="L120" s="19" t="s">
        <v>86</v>
      </c>
      <c r="M120" s="23"/>
      <c r="N120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20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20" s="24" t="s">
        <v>221</v>
      </c>
      <c r="Q120" s="27"/>
      <c r="R120" s="19" t="s">
        <v>87</v>
      </c>
      <c r="S120" s="24"/>
    </row>
    <row r="121" customFormat="false" ht="15" hidden="false" customHeight="false" outlineLevel="0" collapsed="false">
      <c r="A121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6-403-0505</v>
      </c>
      <c r="B121" s="23" t="n">
        <v>45782</v>
      </c>
      <c r="C121" s="19" t="s">
        <v>79</v>
      </c>
      <c r="D121" s="19" t="s">
        <v>88</v>
      </c>
      <c r="E121" s="19" t="s">
        <v>81</v>
      </c>
      <c r="F121" s="24" t="s">
        <v>222</v>
      </c>
      <c r="G121" s="19" t="s">
        <v>97</v>
      </c>
      <c r="H121" s="19" t="s">
        <v>141</v>
      </c>
      <c r="I121" s="19"/>
      <c r="J121" s="19" t="s">
        <v>518</v>
      </c>
      <c r="K121" s="19"/>
      <c r="L121" s="19" t="s">
        <v>86</v>
      </c>
      <c r="M121" s="23"/>
      <c r="N121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21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21" s="24"/>
      <c r="Q121" s="27"/>
      <c r="R121" s="19" t="s">
        <v>98</v>
      </c>
      <c r="S121" s="24"/>
    </row>
    <row r="122" customFormat="false" ht="15" hidden="false" customHeight="false" outlineLevel="0" collapsed="false">
      <c r="A122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3-203-0505</v>
      </c>
      <c r="B122" s="23" t="n">
        <v>45782</v>
      </c>
      <c r="C122" s="19" t="s">
        <v>79</v>
      </c>
      <c r="D122" s="19" t="s">
        <v>125</v>
      </c>
      <c r="E122" s="19" t="s">
        <v>223</v>
      </c>
      <c r="F122" s="24" t="s">
        <v>519</v>
      </c>
      <c r="G122" s="19" t="s">
        <v>97</v>
      </c>
      <c r="H122" s="19" t="s">
        <v>84</v>
      </c>
      <c r="I122" s="19"/>
      <c r="J122" s="19" t="s">
        <v>520</v>
      </c>
      <c r="K122" s="19"/>
      <c r="L122" s="19" t="s">
        <v>86</v>
      </c>
      <c r="M122" s="23"/>
      <c r="N122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22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22" s="24" t="s">
        <v>224</v>
      </c>
      <c r="Q122" s="27"/>
      <c r="R122" s="19" t="s">
        <v>87</v>
      </c>
      <c r="S122" s="24"/>
    </row>
    <row r="123" customFormat="false" ht="15" hidden="false" customHeight="false" outlineLevel="0" collapsed="false">
      <c r="A123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9-1603-0505</v>
      </c>
      <c r="B123" s="23" t="n">
        <v>45782</v>
      </c>
      <c r="C123" s="19" t="s">
        <v>79</v>
      </c>
      <c r="D123" s="19" t="s">
        <v>113</v>
      </c>
      <c r="E123" s="19" t="s">
        <v>218</v>
      </c>
      <c r="F123" s="24" t="s">
        <v>521</v>
      </c>
      <c r="G123" s="19" t="s">
        <v>123</v>
      </c>
      <c r="H123" s="19" t="s">
        <v>83</v>
      </c>
      <c r="I123" s="19"/>
      <c r="J123" s="19" t="s">
        <v>522</v>
      </c>
      <c r="K123" s="19"/>
      <c r="L123" s="19" t="s">
        <v>86</v>
      </c>
      <c r="M123" s="23"/>
      <c r="N123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23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23" s="24"/>
      <c r="Q123" s="27"/>
      <c r="R123" s="19" t="s">
        <v>87</v>
      </c>
      <c r="S123" s="24"/>
    </row>
    <row r="124" customFormat="false" ht="15" hidden="false" customHeight="false" outlineLevel="0" collapsed="false">
      <c r="A124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5-2802-0505</v>
      </c>
      <c r="B124" s="23" t="n">
        <v>45782</v>
      </c>
      <c r="C124" s="19" t="s">
        <v>79</v>
      </c>
      <c r="D124" s="19" t="s">
        <v>92</v>
      </c>
      <c r="E124" s="19" t="s">
        <v>203</v>
      </c>
      <c r="F124" s="24" t="s">
        <v>523</v>
      </c>
      <c r="G124" s="19" t="s">
        <v>103</v>
      </c>
      <c r="H124" s="19" t="s">
        <v>140</v>
      </c>
      <c r="I124" s="19"/>
      <c r="J124" s="19" t="s">
        <v>524</v>
      </c>
      <c r="K124" s="19" t="s">
        <v>85</v>
      </c>
      <c r="L124" s="19" t="s">
        <v>86</v>
      </c>
      <c r="M124" s="23"/>
      <c r="N124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24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24" s="24" t="s">
        <v>225</v>
      </c>
      <c r="Q124" s="27"/>
      <c r="R124" s="19"/>
      <c r="S124" s="24"/>
    </row>
    <row r="125" customFormat="false" ht="15" hidden="false" customHeight="false" outlineLevel="0" collapsed="false">
      <c r="A125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11-803-0506</v>
      </c>
      <c r="B125" s="23" t="n">
        <v>45783</v>
      </c>
      <c r="C125" s="19" t="s">
        <v>79</v>
      </c>
      <c r="D125" s="19" t="s">
        <v>120</v>
      </c>
      <c r="E125" s="19" t="s">
        <v>226</v>
      </c>
      <c r="F125" s="24" t="s">
        <v>525</v>
      </c>
      <c r="G125" s="19" t="s">
        <v>123</v>
      </c>
      <c r="H125" s="19" t="s">
        <v>83</v>
      </c>
      <c r="I125" s="19"/>
      <c r="J125" s="19" t="s">
        <v>526</v>
      </c>
      <c r="K125" s="19"/>
      <c r="L125" s="19" t="s">
        <v>86</v>
      </c>
      <c r="M125" s="23"/>
      <c r="N125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25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25" s="24"/>
      <c r="Q125" s="27"/>
      <c r="R125" s="19" t="s">
        <v>87</v>
      </c>
      <c r="S125" s="24"/>
    </row>
    <row r="126" customFormat="false" ht="29.85" hidden="false" customHeight="false" outlineLevel="0" collapsed="false">
      <c r="A126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1-2101-0506</v>
      </c>
      <c r="B126" s="23" t="n">
        <v>45783</v>
      </c>
      <c r="C126" s="19" t="s">
        <v>79</v>
      </c>
      <c r="D126" s="19" t="s">
        <v>115</v>
      </c>
      <c r="E126" s="19" t="s">
        <v>164</v>
      </c>
      <c r="F126" s="24" t="s">
        <v>527</v>
      </c>
      <c r="G126" s="19" t="s">
        <v>123</v>
      </c>
      <c r="H126" s="19" t="s">
        <v>213</v>
      </c>
      <c r="I126" s="19"/>
      <c r="J126" s="19" t="s">
        <v>528</v>
      </c>
      <c r="K126" s="19"/>
      <c r="L126" s="19" t="s">
        <v>86</v>
      </c>
      <c r="M126" s="23"/>
      <c r="N126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26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26" s="24"/>
      <c r="Q126" s="27"/>
      <c r="R126" s="19" t="s">
        <v>98</v>
      </c>
      <c r="S126" s="24"/>
    </row>
    <row r="127" customFormat="false" ht="15" hidden="false" customHeight="false" outlineLevel="0" collapsed="false">
      <c r="A127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4-2604-0506</v>
      </c>
      <c r="B127" s="23" t="n">
        <v>45783</v>
      </c>
      <c r="C127" s="19" t="s">
        <v>79</v>
      </c>
      <c r="D127" s="19" t="s">
        <v>129</v>
      </c>
      <c r="E127" s="19" t="s">
        <v>128</v>
      </c>
      <c r="F127" s="24" t="s">
        <v>529</v>
      </c>
      <c r="G127" s="19" t="s">
        <v>103</v>
      </c>
      <c r="H127" s="19" t="s">
        <v>83</v>
      </c>
      <c r="I127" s="19"/>
      <c r="J127" s="19" t="s">
        <v>530</v>
      </c>
      <c r="K127" s="19"/>
      <c r="L127" s="19" t="s">
        <v>86</v>
      </c>
      <c r="M127" s="23"/>
      <c r="N127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27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27" s="24"/>
      <c r="Q127" s="27"/>
      <c r="R127" s="19" t="s">
        <v>87</v>
      </c>
      <c r="S127" s="24"/>
    </row>
    <row r="128" customFormat="false" ht="15" hidden="false" customHeight="false" outlineLevel="0" collapsed="false">
      <c r="A128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1-2604-0506</v>
      </c>
      <c r="B128" s="23" t="n">
        <v>45783</v>
      </c>
      <c r="C128" s="19" t="s">
        <v>79</v>
      </c>
      <c r="D128" s="19" t="s">
        <v>115</v>
      </c>
      <c r="E128" s="19" t="s">
        <v>128</v>
      </c>
      <c r="F128" s="24" t="s">
        <v>531</v>
      </c>
      <c r="G128" s="19" t="s">
        <v>118</v>
      </c>
      <c r="H128" s="19" t="s">
        <v>213</v>
      </c>
      <c r="I128" s="19"/>
      <c r="J128" s="19" t="s">
        <v>532</v>
      </c>
      <c r="K128" s="19"/>
      <c r="L128" s="19" t="s">
        <v>86</v>
      </c>
      <c r="M128" s="23"/>
      <c r="N128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28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28" s="24"/>
      <c r="Q128" s="27"/>
      <c r="R128" s="19" t="s">
        <v>87</v>
      </c>
      <c r="S128" s="24"/>
    </row>
    <row r="129" customFormat="false" ht="29.85" hidden="false" customHeight="false" outlineLevel="0" collapsed="false">
      <c r="A129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5-702-0506</v>
      </c>
      <c r="B129" s="23" t="n">
        <v>45783</v>
      </c>
      <c r="C129" s="19" t="s">
        <v>79</v>
      </c>
      <c r="D129" s="19" t="s">
        <v>92</v>
      </c>
      <c r="E129" s="19" t="s">
        <v>169</v>
      </c>
      <c r="F129" s="24" t="s">
        <v>533</v>
      </c>
      <c r="G129" s="19" t="s">
        <v>97</v>
      </c>
      <c r="H129" s="19" t="s">
        <v>83</v>
      </c>
      <c r="I129" s="19"/>
      <c r="J129" s="19" t="s">
        <v>534</v>
      </c>
      <c r="K129" s="19"/>
      <c r="L129" s="19" t="s">
        <v>86</v>
      </c>
      <c r="M129" s="23"/>
      <c r="N129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29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29" s="24"/>
      <c r="Q129" s="27"/>
      <c r="R129" s="19" t="s">
        <v>87</v>
      </c>
      <c r="S129" s="24"/>
    </row>
    <row r="130" customFormat="false" ht="29.85" hidden="false" customHeight="false" outlineLevel="0" collapsed="false">
      <c r="A130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11-401-0506</v>
      </c>
      <c r="B130" s="23" t="n">
        <v>45783</v>
      </c>
      <c r="C130" s="19" t="s">
        <v>79</v>
      </c>
      <c r="D130" s="19" t="s">
        <v>120</v>
      </c>
      <c r="E130" s="19" t="s">
        <v>227</v>
      </c>
      <c r="F130" s="24" t="s">
        <v>535</v>
      </c>
      <c r="G130" s="19" t="s">
        <v>97</v>
      </c>
      <c r="H130" s="19" t="s">
        <v>83</v>
      </c>
      <c r="I130" s="19"/>
      <c r="J130" s="19" t="s">
        <v>536</v>
      </c>
      <c r="K130" s="19"/>
      <c r="L130" s="19" t="s">
        <v>86</v>
      </c>
      <c r="M130" s="23"/>
      <c r="N130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30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30" s="24"/>
      <c r="Q130" s="27"/>
      <c r="R130" s="19" t="s">
        <v>87</v>
      </c>
      <c r="S130" s="24"/>
    </row>
    <row r="131" customFormat="false" ht="29.85" hidden="false" customHeight="false" outlineLevel="0" collapsed="false">
      <c r="A131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5-3203-0506</v>
      </c>
      <c r="B131" s="23" t="n">
        <v>45783</v>
      </c>
      <c r="C131" s="19" t="s">
        <v>79</v>
      </c>
      <c r="D131" s="19" t="s">
        <v>92</v>
      </c>
      <c r="E131" s="19" t="s">
        <v>228</v>
      </c>
      <c r="F131" s="24" t="s">
        <v>537</v>
      </c>
      <c r="G131" s="19" t="s">
        <v>157</v>
      </c>
      <c r="H131" s="19"/>
      <c r="I131" s="19"/>
      <c r="J131" s="19" t="s">
        <v>536</v>
      </c>
      <c r="K131" s="19"/>
      <c r="L131" s="19" t="s">
        <v>86</v>
      </c>
      <c r="M131" s="23"/>
      <c r="N131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31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31" s="24"/>
      <c r="Q131" s="27"/>
      <c r="R131" s="19" t="s">
        <v>98</v>
      </c>
      <c r="S131" s="24"/>
    </row>
    <row r="132" customFormat="false" ht="15" hidden="false" customHeight="false" outlineLevel="0" collapsed="false">
      <c r="A132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8-1501-0506-02</v>
      </c>
      <c r="B132" s="23" t="n">
        <v>45783</v>
      </c>
      <c r="C132" s="19" t="s">
        <v>79</v>
      </c>
      <c r="D132" s="19" t="s">
        <v>80</v>
      </c>
      <c r="E132" s="19" t="s">
        <v>119</v>
      </c>
      <c r="F132" s="24" t="s">
        <v>538</v>
      </c>
      <c r="G132" s="19" t="s">
        <v>97</v>
      </c>
      <c r="H132" s="19" t="s">
        <v>83</v>
      </c>
      <c r="I132" s="19"/>
      <c r="J132" s="19" t="s">
        <v>536</v>
      </c>
      <c r="K132" s="19"/>
      <c r="L132" s="19" t="s">
        <v>86</v>
      </c>
      <c r="M132" s="23"/>
      <c r="N132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32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2</v>
      </c>
      <c r="P132" s="24"/>
      <c r="Q132" s="27"/>
      <c r="R132" s="19" t="s">
        <v>87</v>
      </c>
      <c r="S132" s="24"/>
    </row>
    <row r="133" customFormat="false" ht="15" hidden="false" customHeight="false" outlineLevel="0" collapsed="false">
      <c r="A133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11-2702-0506</v>
      </c>
      <c r="B133" s="23" t="n">
        <v>45783</v>
      </c>
      <c r="C133" s="19" t="s">
        <v>79</v>
      </c>
      <c r="D133" s="19" t="s">
        <v>120</v>
      </c>
      <c r="E133" s="19" t="s">
        <v>229</v>
      </c>
      <c r="F133" s="24" t="s">
        <v>539</v>
      </c>
      <c r="G133" s="19" t="s">
        <v>82</v>
      </c>
      <c r="H133" s="19" t="s">
        <v>83</v>
      </c>
      <c r="I133" s="19"/>
      <c r="J133" s="19" t="s">
        <v>526</v>
      </c>
      <c r="K133" s="19" t="s">
        <v>104</v>
      </c>
      <c r="L133" s="19" t="s">
        <v>86</v>
      </c>
      <c r="M133" s="23"/>
      <c r="N133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33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33" s="24" t="s">
        <v>230</v>
      </c>
      <c r="Q133" s="27"/>
      <c r="R133" s="19" t="s">
        <v>87</v>
      </c>
      <c r="S133" s="24"/>
    </row>
    <row r="134" customFormat="false" ht="15" hidden="false" customHeight="false" outlineLevel="0" collapsed="false">
      <c r="A134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1-2404-0506</v>
      </c>
      <c r="B134" s="23" t="n">
        <v>45783</v>
      </c>
      <c r="C134" s="19" t="s">
        <v>79</v>
      </c>
      <c r="D134" s="19" t="s">
        <v>115</v>
      </c>
      <c r="E134" s="19" t="s">
        <v>231</v>
      </c>
      <c r="F134" s="24" t="s">
        <v>540</v>
      </c>
      <c r="G134" s="19" t="s">
        <v>153</v>
      </c>
      <c r="H134" s="19" t="s">
        <v>83</v>
      </c>
      <c r="I134" s="19"/>
      <c r="J134" s="19" t="s">
        <v>526</v>
      </c>
      <c r="K134" s="19"/>
      <c r="L134" s="19" t="s">
        <v>86</v>
      </c>
      <c r="M134" s="23"/>
      <c r="N134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34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34" s="24"/>
      <c r="Q134" s="27"/>
      <c r="R134" s="19" t="s">
        <v>87</v>
      </c>
      <c r="S134" s="24"/>
    </row>
    <row r="135" customFormat="false" ht="15" hidden="false" customHeight="false" outlineLevel="0" collapsed="false">
      <c r="A135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7-1603-0506</v>
      </c>
      <c r="B135" s="23" t="n">
        <v>45783</v>
      </c>
      <c r="C135" s="19" t="s">
        <v>79</v>
      </c>
      <c r="D135" s="19" t="s">
        <v>95</v>
      </c>
      <c r="E135" s="19" t="s">
        <v>218</v>
      </c>
      <c r="F135" s="24" t="s">
        <v>541</v>
      </c>
      <c r="G135" s="19" t="s">
        <v>123</v>
      </c>
      <c r="H135" s="19" t="s">
        <v>84</v>
      </c>
      <c r="I135" s="19"/>
      <c r="J135" s="19" t="s">
        <v>542</v>
      </c>
      <c r="K135" s="19"/>
      <c r="L135" s="19" t="s">
        <v>86</v>
      </c>
      <c r="M135" s="23"/>
      <c r="N135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35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35" s="24" t="s">
        <v>232</v>
      </c>
      <c r="Q135" s="27"/>
      <c r="R135" s="19" t="s">
        <v>87</v>
      </c>
      <c r="S135" s="24"/>
    </row>
    <row r="136" customFormat="false" ht="15" hidden="false" customHeight="false" outlineLevel="0" collapsed="false">
      <c r="A136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4-2704-0506</v>
      </c>
      <c r="B136" s="23" t="n">
        <v>45783</v>
      </c>
      <c r="C136" s="19" t="s">
        <v>79</v>
      </c>
      <c r="D136" s="19" t="s">
        <v>129</v>
      </c>
      <c r="E136" s="19" t="s">
        <v>167</v>
      </c>
      <c r="F136" s="24" t="s">
        <v>543</v>
      </c>
      <c r="G136" s="19" t="s">
        <v>97</v>
      </c>
      <c r="H136" s="19" t="s">
        <v>90</v>
      </c>
      <c r="I136" s="19"/>
      <c r="J136" s="19" t="s">
        <v>544</v>
      </c>
      <c r="K136" s="19"/>
      <c r="L136" s="19" t="s">
        <v>86</v>
      </c>
      <c r="M136" s="23"/>
      <c r="N136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36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36" s="24"/>
      <c r="Q136" s="27"/>
      <c r="R136" s="19" t="s">
        <v>87</v>
      </c>
      <c r="S136" s="24"/>
    </row>
    <row r="137" customFormat="false" ht="15" hidden="false" customHeight="false" outlineLevel="0" collapsed="false">
      <c r="A137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8-603-0506</v>
      </c>
      <c r="B137" s="23" t="n">
        <v>45783</v>
      </c>
      <c r="C137" s="19" t="s">
        <v>79</v>
      </c>
      <c r="D137" s="19" t="s">
        <v>80</v>
      </c>
      <c r="E137" s="19" t="s">
        <v>233</v>
      </c>
      <c r="F137" s="24" t="s">
        <v>545</v>
      </c>
      <c r="G137" s="19" t="s">
        <v>118</v>
      </c>
      <c r="H137" s="19" t="s">
        <v>83</v>
      </c>
      <c r="I137" s="19"/>
      <c r="J137" s="19" t="s">
        <v>546</v>
      </c>
      <c r="K137" s="19"/>
      <c r="L137" s="19" t="s">
        <v>86</v>
      </c>
      <c r="M137" s="23"/>
      <c r="N137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37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37" s="24"/>
      <c r="Q137" s="27"/>
      <c r="R137" s="19" t="s">
        <v>98</v>
      </c>
      <c r="S137" s="24"/>
    </row>
    <row r="138" customFormat="false" ht="29.85" hidden="false" customHeight="false" outlineLevel="0" collapsed="false">
      <c r="A138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10-1401-0506</v>
      </c>
      <c r="B138" s="23" t="n">
        <v>45783</v>
      </c>
      <c r="C138" s="19" t="s">
        <v>79</v>
      </c>
      <c r="D138" s="19" t="s">
        <v>111</v>
      </c>
      <c r="E138" s="19" t="s">
        <v>234</v>
      </c>
      <c r="F138" s="24" t="s">
        <v>547</v>
      </c>
      <c r="G138" s="19" t="s">
        <v>94</v>
      </c>
      <c r="H138" s="19" t="s">
        <v>84</v>
      </c>
      <c r="I138" s="19"/>
      <c r="J138" s="19" t="s">
        <v>548</v>
      </c>
      <c r="K138" s="19" t="s">
        <v>85</v>
      </c>
      <c r="L138" s="19" t="s">
        <v>91</v>
      </c>
      <c r="M138" s="23"/>
      <c r="N138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1</v>
      </c>
      <c r="O138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38" s="24" t="s">
        <v>549</v>
      </c>
      <c r="Q138" s="27"/>
      <c r="R138" s="19"/>
      <c r="S138" s="24"/>
    </row>
    <row r="139" customFormat="false" ht="15" hidden="false" customHeight="false" outlineLevel="0" collapsed="false">
      <c r="A139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6-504-0507-02</v>
      </c>
      <c r="B139" s="23" t="n">
        <v>45784</v>
      </c>
      <c r="C139" s="19" t="s">
        <v>79</v>
      </c>
      <c r="D139" s="19" t="s">
        <v>88</v>
      </c>
      <c r="E139" s="19" t="s">
        <v>107</v>
      </c>
      <c r="F139" s="24" t="s">
        <v>550</v>
      </c>
      <c r="G139" s="19" t="s">
        <v>153</v>
      </c>
      <c r="H139" s="19" t="s">
        <v>83</v>
      </c>
      <c r="I139" s="19"/>
      <c r="J139" s="19" t="s">
        <v>551</v>
      </c>
      <c r="K139" s="19"/>
      <c r="L139" s="19" t="s">
        <v>86</v>
      </c>
      <c r="M139" s="23"/>
      <c r="N139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39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2</v>
      </c>
      <c r="P139" s="24"/>
      <c r="Q139" s="27"/>
      <c r="R139" s="19" t="s">
        <v>87</v>
      </c>
      <c r="S139" s="24"/>
    </row>
    <row r="140" customFormat="false" ht="29.85" hidden="false" customHeight="false" outlineLevel="0" collapsed="false">
      <c r="A140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10-2702-0507</v>
      </c>
      <c r="B140" s="23" t="n">
        <v>45784</v>
      </c>
      <c r="C140" s="19" t="s">
        <v>79</v>
      </c>
      <c r="D140" s="19" t="s">
        <v>111</v>
      </c>
      <c r="E140" s="19" t="s">
        <v>229</v>
      </c>
      <c r="F140" s="24" t="s">
        <v>552</v>
      </c>
      <c r="G140" s="19" t="s">
        <v>123</v>
      </c>
      <c r="H140" s="19" t="s">
        <v>83</v>
      </c>
      <c r="I140" s="19"/>
      <c r="J140" s="19" t="s">
        <v>551</v>
      </c>
      <c r="K140" s="19"/>
      <c r="L140" s="19" t="s">
        <v>86</v>
      </c>
      <c r="M140" s="23"/>
      <c r="N140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40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40" s="24" t="s">
        <v>553</v>
      </c>
      <c r="Q140" s="27"/>
      <c r="R140" s="19" t="s">
        <v>87</v>
      </c>
      <c r="S140" s="24"/>
    </row>
    <row r="141" customFormat="false" ht="15" hidden="false" customHeight="false" outlineLevel="0" collapsed="false">
      <c r="A141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8-1501-0507-03</v>
      </c>
      <c r="B141" s="23" t="n">
        <v>45784</v>
      </c>
      <c r="C141" s="19" t="s">
        <v>79</v>
      </c>
      <c r="D141" s="19" t="s">
        <v>80</v>
      </c>
      <c r="E141" s="19" t="s">
        <v>119</v>
      </c>
      <c r="F141" s="24" t="s">
        <v>554</v>
      </c>
      <c r="G141" s="19" t="s">
        <v>157</v>
      </c>
      <c r="H141" s="19" t="s">
        <v>83</v>
      </c>
      <c r="I141" s="19"/>
      <c r="J141" s="19" t="s">
        <v>551</v>
      </c>
      <c r="K141" s="19"/>
      <c r="L141" s="19" t="s">
        <v>86</v>
      </c>
      <c r="M141" s="23"/>
      <c r="N141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41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3</v>
      </c>
      <c r="P141" s="24"/>
      <c r="Q141" s="27"/>
      <c r="R141" s="19" t="s">
        <v>87</v>
      </c>
      <c r="S141" s="24"/>
    </row>
    <row r="142" customFormat="false" ht="15" hidden="false" customHeight="false" outlineLevel="0" collapsed="false">
      <c r="A142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8-1102-0507</v>
      </c>
      <c r="B142" s="23" t="n">
        <v>45784</v>
      </c>
      <c r="C142" s="19" t="s">
        <v>79</v>
      </c>
      <c r="D142" s="19" t="s">
        <v>80</v>
      </c>
      <c r="E142" s="19" t="s">
        <v>160</v>
      </c>
      <c r="F142" s="24" t="s">
        <v>555</v>
      </c>
      <c r="G142" s="19" t="s">
        <v>97</v>
      </c>
      <c r="H142" s="19" t="s">
        <v>83</v>
      </c>
      <c r="I142" s="19"/>
      <c r="J142" s="19" t="s">
        <v>556</v>
      </c>
      <c r="K142" s="19"/>
      <c r="L142" s="19" t="s">
        <v>86</v>
      </c>
      <c r="M142" s="23"/>
      <c r="N142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42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42" s="24"/>
      <c r="Q142" s="27"/>
      <c r="R142" s="19" t="s">
        <v>87</v>
      </c>
      <c r="S142" s="24"/>
    </row>
    <row r="143" customFormat="false" ht="15" hidden="false" customHeight="false" outlineLevel="0" collapsed="false">
      <c r="A143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5-1701-0507</v>
      </c>
      <c r="B143" s="23" t="n">
        <v>45784</v>
      </c>
      <c r="C143" s="19" t="s">
        <v>79</v>
      </c>
      <c r="D143" s="19" t="s">
        <v>92</v>
      </c>
      <c r="E143" s="19" t="s">
        <v>235</v>
      </c>
      <c r="F143" s="24" t="s">
        <v>557</v>
      </c>
      <c r="G143" s="19" t="s">
        <v>82</v>
      </c>
      <c r="H143" s="19" t="s">
        <v>83</v>
      </c>
      <c r="I143" s="19"/>
      <c r="J143" s="19" t="s">
        <v>556</v>
      </c>
      <c r="K143" s="19"/>
      <c r="L143" s="19" t="s">
        <v>86</v>
      </c>
      <c r="M143" s="23"/>
      <c r="N143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43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43" s="24"/>
      <c r="Q143" s="27"/>
      <c r="R143" s="19" t="s">
        <v>87</v>
      </c>
      <c r="S143" s="24"/>
    </row>
    <row r="144" customFormat="false" ht="15" hidden="false" customHeight="false" outlineLevel="0" collapsed="false">
      <c r="A144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6-1101-0507</v>
      </c>
      <c r="B144" s="23" t="n">
        <v>45784</v>
      </c>
      <c r="C144" s="19" t="s">
        <v>79</v>
      </c>
      <c r="D144" s="19" t="s">
        <v>88</v>
      </c>
      <c r="E144" s="19" t="s">
        <v>211</v>
      </c>
      <c r="F144" s="24" t="s">
        <v>558</v>
      </c>
      <c r="G144" s="19" t="s">
        <v>123</v>
      </c>
      <c r="H144" s="19" t="s">
        <v>83</v>
      </c>
      <c r="I144" s="19"/>
      <c r="J144" s="19" t="s">
        <v>551</v>
      </c>
      <c r="K144" s="19"/>
      <c r="L144" s="19" t="s">
        <v>86</v>
      </c>
      <c r="M144" s="23"/>
      <c r="N144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44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44" s="24" t="s">
        <v>236</v>
      </c>
      <c r="Q144" s="27"/>
      <c r="R144" s="19" t="s">
        <v>87</v>
      </c>
      <c r="S144" s="24"/>
    </row>
    <row r="145" customFormat="false" ht="15" hidden="false" customHeight="false" outlineLevel="0" collapsed="false">
      <c r="A145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2-2002-0507</v>
      </c>
      <c r="B145" s="23" t="n">
        <v>45784</v>
      </c>
      <c r="C145" s="19" t="s">
        <v>79</v>
      </c>
      <c r="D145" s="19" t="s">
        <v>127</v>
      </c>
      <c r="E145" s="19" t="s">
        <v>209</v>
      </c>
      <c r="F145" s="24" t="s">
        <v>559</v>
      </c>
      <c r="G145" s="19" t="s">
        <v>118</v>
      </c>
      <c r="H145" s="19" t="s">
        <v>83</v>
      </c>
      <c r="I145" s="19"/>
      <c r="J145" s="19" t="s">
        <v>551</v>
      </c>
      <c r="K145" s="19"/>
      <c r="L145" s="19" t="s">
        <v>86</v>
      </c>
      <c r="M145" s="23"/>
      <c r="N145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45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45" s="24"/>
      <c r="Q145" s="27"/>
      <c r="R145" s="19" t="s">
        <v>87</v>
      </c>
      <c r="S145" s="24"/>
    </row>
    <row r="146" customFormat="false" ht="15" hidden="false" customHeight="false" outlineLevel="0" collapsed="false">
      <c r="A146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9-2604-0507</v>
      </c>
      <c r="B146" s="23" t="n">
        <v>45784</v>
      </c>
      <c r="C146" s="19" t="s">
        <v>79</v>
      </c>
      <c r="D146" s="19" t="s">
        <v>113</v>
      </c>
      <c r="E146" s="19" t="s">
        <v>128</v>
      </c>
      <c r="F146" s="24" t="s">
        <v>560</v>
      </c>
      <c r="G146" s="19" t="s">
        <v>97</v>
      </c>
      <c r="H146" s="19" t="s">
        <v>84</v>
      </c>
      <c r="I146" s="19"/>
      <c r="J146" s="19" t="s">
        <v>561</v>
      </c>
      <c r="K146" s="19"/>
      <c r="L146" s="19" t="s">
        <v>86</v>
      </c>
      <c r="M146" s="23"/>
      <c r="N146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46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46" s="24"/>
      <c r="Q146" s="27"/>
      <c r="R146" s="19" t="s">
        <v>87</v>
      </c>
      <c r="S146" s="24" t="s">
        <v>562</v>
      </c>
    </row>
    <row r="147" customFormat="false" ht="15" hidden="false" customHeight="false" outlineLevel="0" collapsed="false">
      <c r="A147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5-1101-0507</v>
      </c>
      <c r="B147" s="23" t="n">
        <v>45784</v>
      </c>
      <c r="C147" s="19" t="s">
        <v>79</v>
      </c>
      <c r="D147" s="19" t="s">
        <v>92</v>
      </c>
      <c r="E147" s="19" t="s">
        <v>211</v>
      </c>
      <c r="F147" s="24" t="s">
        <v>563</v>
      </c>
      <c r="G147" s="19" t="s">
        <v>103</v>
      </c>
      <c r="H147" s="19" t="s">
        <v>84</v>
      </c>
      <c r="I147" s="19"/>
      <c r="J147" s="19" t="s">
        <v>556</v>
      </c>
      <c r="K147" s="19"/>
      <c r="L147" s="19" t="s">
        <v>86</v>
      </c>
      <c r="M147" s="23"/>
      <c r="N147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47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47" s="24" t="s">
        <v>237</v>
      </c>
      <c r="Q147" s="27"/>
      <c r="R147" s="19" t="s">
        <v>98</v>
      </c>
      <c r="S147" s="24"/>
    </row>
    <row r="148" customFormat="false" ht="15" hidden="false" customHeight="false" outlineLevel="0" collapsed="false">
      <c r="A148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3-402-0507</v>
      </c>
      <c r="B148" s="23" t="n">
        <v>45784</v>
      </c>
      <c r="C148" s="19" t="s">
        <v>79</v>
      </c>
      <c r="D148" s="19" t="s">
        <v>125</v>
      </c>
      <c r="E148" s="19" t="s">
        <v>208</v>
      </c>
      <c r="F148" s="24" t="s">
        <v>564</v>
      </c>
      <c r="G148" s="19" t="s">
        <v>82</v>
      </c>
      <c r="H148" s="19" t="s">
        <v>140</v>
      </c>
      <c r="I148" s="19"/>
      <c r="J148" s="19" t="s">
        <v>565</v>
      </c>
      <c r="K148" s="19" t="s">
        <v>85</v>
      </c>
      <c r="L148" s="19" t="s">
        <v>91</v>
      </c>
      <c r="M148" s="23"/>
      <c r="N148" s="25" t="n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>0</v>
      </c>
      <c r="O148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48" s="24" t="s">
        <v>238</v>
      </c>
      <c r="Q148" s="27"/>
      <c r="R148" s="19"/>
      <c r="S148" s="24"/>
    </row>
    <row r="149" customFormat="false" ht="15" hidden="false" customHeight="false" outlineLevel="0" collapsed="false">
      <c r="A149" s="22" t="str">
        <f aca="false">IF(OR(工单[[#This Row],[报修日期]]="",工单[[#This Row],[楼栋]]="",工单[[#This Row],[房号/位置]]=""),"待补",IF(工单[[#This Row],[楼栋]]="公共区域","公",IF(工单[[#This Row],[楼栋]]="商铺","S",SUBSTITUTE(工单[[#This Row],[楼栋]],"栋","")))&amp;"-"&amp;工单[[#This Row],[房号/位置]]&amp;"-"&amp;TEXT(MONTH(工单[[#This Row],[报修日期]]),"00")&amp;TEXT(DAY(工单[[#This Row],[报修日期]]),"00")&amp;IF(N(工单[[#This Row],[该户第几次]])&gt;1,"-"&amp;TEXT(工单[[#This Row],[该户第几次]],"00"),""))</f>
        <v>11-2804-0507</v>
      </c>
      <c r="B149" s="23" t="n">
        <v>45784</v>
      </c>
      <c r="C149" s="19" t="s">
        <v>79</v>
      </c>
      <c r="D149" s="19" t="s">
        <v>120</v>
      </c>
      <c r="E149" s="19" t="s">
        <v>239</v>
      </c>
      <c r="F149" s="24" t="s">
        <v>566</v>
      </c>
      <c r="G149" s="19" t="s">
        <v>118</v>
      </c>
      <c r="H149" s="19" t="s">
        <v>83</v>
      </c>
      <c r="I149" s="19"/>
      <c r="J149" s="19" t="s">
        <v>567</v>
      </c>
      <c r="K149" s="19"/>
      <c r="L149" s="19" t="s">
        <v>86</v>
      </c>
      <c r="M149" s="23"/>
      <c r="N149" s="25" t="str">
        <f aca="false">IF(工单[[#This Row],[报修日期]]="","",IF(工单[[#This Row],[完成情况]]="已完成",IF(工单[[#This Row],[完成日期]]="","",工单[[#This Row],[完成日期]]-工单[[#This Row],[报修日期]]),IF(基准日&lt;工单[[#This Row],[报修日期]],"",基准日-工单[[#This Row],[报修日期]])))</f>
        <v/>
      </c>
      <c r="O149" s="26" t="n">
        <f aca="false">IF(OR(工单[[#This Row],[楼栋]]="",工单[[#This Row],[房号/位置]]=""),"",COUNTIFS(INDEX(工单[楼栋],1):工单[[#This Row],[楼栋]],工单[[#This Row],[楼栋]],INDEX(工单[房号/位置],1):工单[[#This Row],[房号/位置]],工单[[#This Row],[房号/位置]]))</f>
        <v>1</v>
      </c>
      <c r="P149" s="24" t="s">
        <v>568</v>
      </c>
      <c r="Q149" s="27"/>
      <c r="R149" s="19" t="s">
        <v>87</v>
      </c>
      <c r="S149" s="24"/>
    </row>
  </sheetData>
  <mergeCells count="11">
    <mergeCell ref="A1:F1"/>
    <mergeCell ref="G1:S1"/>
    <mergeCell ref="A2:E2"/>
    <mergeCell ref="F2:G2"/>
    <mergeCell ref="M2:P2"/>
    <mergeCell ref="A3:E3"/>
    <mergeCell ref="F3:G3"/>
    <mergeCell ref="M3:P3"/>
    <mergeCell ref="A4:E4"/>
    <mergeCell ref="F4:G4"/>
    <mergeCell ref="M4:P4"/>
  </mergeCells>
  <conditionalFormatting sqref="H4:L4">
    <cfRule type="expression" priority="2" aboveAverage="0" equalAverage="0" bottom="0" percent="0" rank="0" text="" dxfId="15">
      <formula>H4="休息"</formula>
    </cfRule>
    <cfRule type="expression" priority="3" aboveAverage="0" equalAverage="0" bottom="0" percent="0" rank="0" text="" dxfId="16">
      <formula>H4="空闲"</formula>
    </cfRule>
    <cfRule type="expression" priority="4" aboveAverage="0" equalAverage="0" bottom="0" percent="0" rank="0" text="" dxfId="17">
      <formula>LEFT(H4,2)="在岗"</formula>
    </cfRule>
  </conditionalFormatting>
  <conditionalFormatting sqref="H2:L3">
    <cfRule type="expression" priority="5" aboveAverage="0" equalAverage="0" bottom="0" percent="0" rank="0" text="" dxfId="15">
      <formula>H$3="休息"</formula>
    </cfRule>
  </conditionalFormatting>
  <conditionalFormatting sqref="N7:N2006">
    <cfRule type="expression" priority="6" aboveAverage="0" equalAverage="0" bottom="0" percent="0" rank="0" text="" dxfId="18">
      <formula>AND(ISNUMBER($N7),$L7&lt;&gt;"已完成",$N7&gt;=超期阈值)</formula>
    </cfRule>
    <cfRule type="expression" priority="7" aboveAverage="0" equalAverage="0" bottom="0" percent="0" rank="0" text="" dxfId="17">
      <formula>AND(ISNUMBER($N7),$L7&lt;&gt;"已完成")</formula>
    </cfRule>
  </conditionalFormatting>
  <conditionalFormatting sqref="I7:I2006">
    <cfRule type="expression" priority="8" aboveAverage="0" equalAverage="0" bottom="0" percent="0" rank="0" text="" dxfId="18">
      <formula>AND($I7&lt;&gt;"",$I7&lt;&gt;"取消",$I7=$H7)</formula>
    </cfRule>
  </conditionalFormatting>
  <conditionalFormatting sqref="H7:I2006">
    <cfRule type="expression" priority="9" aboveAverage="0" equalAverage="0" bottom="0" percent="0" rank="0" text="" dxfId="19">
      <formula>H7="取消"</formula>
    </cfRule>
  </conditionalFormatting>
  <conditionalFormatting sqref="K7:K2006">
    <cfRule type="expression" priority="10" aboveAverage="0" equalAverage="0" bottom="0" percent="0" rank="0" text="" dxfId="18">
      <formula>$K7="优先1"</formula>
    </cfRule>
    <cfRule type="expression" priority="11" aboveAverage="0" equalAverage="0" bottom="0" percent="0" rank="0" text="" dxfId="20">
      <formula>$K7="优先2"</formula>
    </cfRule>
    <cfRule type="expression" priority="12" aboveAverage="0" equalAverage="0" bottom="0" percent="0" rank="0" text="" dxfId="21">
      <formula>$K7="优先3"</formula>
    </cfRule>
  </conditionalFormatting>
  <conditionalFormatting sqref="L7:L2006">
    <cfRule type="expression" priority="13" aboveAverage="0" equalAverage="0" bottom="0" percent="0" rank="0" text="" dxfId="22">
      <formula>$L7="已完成"</formula>
    </cfRule>
    <cfRule type="expression" priority="14" aboveAverage="0" equalAverage="0" bottom="0" percent="0" rank="0" text="" dxfId="17">
      <formula>$L7="跟进中"</formula>
    </cfRule>
    <cfRule type="expression" priority="15" aboveAverage="0" equalAverage="0" bottom="0" percent="0" rank="0" text="" dxfId="21">
      <formula>$L7="需另约时间"</formula>
    </cfRule>
    <cfRule type="expression" priority="16" aboveAverage="0" equalAverage="0" bottom="0" percent="0" rank="0" text="" dxfId="23">
      <formula>AND($F7&lt;&gt;"",$L7="")</formula>
    </cfRule>
  </conditionalFormatting>
  <conditionalFormatting sqref="B7:B2006">
    <cfRule type="expression" priority="17" aboveAverage="0" equalAverage="0" bottom="0" percent="0" rank="0" text="" dxfId="23">
      <formula>AND($F7&lt;&gt;"",$B7="")</formula>
    </cfRule>
  </conditionalFormatting>
  <conditionalFormatting sqref="G7:G2006">
    <cfRule type="expression" priority="18" aboveAverage="0" equalAverage="0" bottom="0" percent="0" rank="0" text="" dxfId="23">
      <formula>AND($F7&lt;&gt;"",$G7="")</formula>
    </cfRule>
  </conditionalFormatting>
  <conditionalFormatting sqref="M7:M2006">
    <cfRule type="expression" priority="19" aboveAverage="0" equalAverage="0" bottom="0" percent="0" rank="0" text="" dxfId="21">
      <formula>AND(ISNUMBER($M7),ISNUMBER($B7),$M7&lt;$B7)</formula>
    </cfRule>
  </conditionalFormatting>
  <conditionalFormatting sqref="O7:O2006">
    <cfRule type="expression" priority="20" aboveAverage="0" equalAverage="0" bottom="0" percent="0" rank="0" text="" dxfId="24">
      <formula>AND(ISNUMBER($O7),$O7&gt;=3)</formula>
    </cfRule>
    <cfRule type="expression" priority="21" aboveAverage="0" equalAverage="0" bottom="0" percent="0" rank="0" text="" dxfId="25">
      <formula>$O7=2</formula>
    </cfRule>
  </conditionalFormatting>
  <conditionalFormatting sqref="A7:A2006">
    <cfRule type="expression" priority="22" aboveAverage="0" equalAverage="0" bottom="0" percent="0" rank="0" text="" dxfId="23">
      <formula>$A7="待补"</formula>
    </cfRule>
  </conditionalFormatting>
  <conditionalFormatting sqref="R7:R2006">
    <cfRule type="expression" priority="23" aboveAverage="0" equalAverage="0" bottom="0" percent="0" rank="0" text="" dxfId="26">
      <formula>$R7="非常满意"</formula>
    </cfRule>
    <cfRule type="expression" priority="24" aboveAverage="0" equalAverage="0" bottom="0" percent="0" rank="0" text="" dxfId="22">
      <formula>$R7="满意"</formula>
    </cfRule>
    <cfRule type="expression" priority="25" aboveAverage="0" equalAverage="0" bottom="0" percent="0" rank="0" text="" dxfId="17">
      <formula>$R7="一般"</formula>
    </cfRule>
    <cfRule type="expression" priority="26" aboveAverage="0" equalAverage="0" bottom="0" percent="0" rank="0" text="" dxfId="21">
      <formula>$R7="不满意"</formula>
    </cfRule>
  </conditionalFormatting>
  <dataValidations count="11">
    <dataValidation allowBlank="true" errorStyle="stop" errorTitle="今日休息" operator="between" prompt="选「休息」后，跟进人下拉里不再出现这位师傅。" promptTitle="今日休息" showDropDown="false" showErrorMessage="false" showInputMessage="true" sqref="H3:L3" type="list">
      <formula1>"休息,上班"</formula1>
      <formula2>0</formula2>
    </dataValidation>
    <dataValidation allowBlank="true" error="请输入日期，例如 2025-05-07。" errorStyle="stop" errorTitle="报修日期" operator="between" prompt="格式 2025-05-07。仪表盘按这一列统计，必须填。" promptTitle="报修日期" showDropDown="false" showErrorMessage="true" showInputMessage="true" sqref="B7:B1149" type="date">
      <formula1>DATE(2020,1,1)</formula1>
      <formula2>DATE(2099,12,31)</formula2>
    </dataValidation>
    <dataValidation allowBlank="true" error="请选择 入户 或 公区。" errorStyle="stop" operator="between" showDropDown="false" showErrorMessage="true" showInputMessage="false" sqref="C7:C1149" type="list">
      <formula1>"入户,公区"</formula1>
      <formula2>0</formula2>
    </dataValidation>
    <dataValidation allowBlank="true" error="请从下拉选择；新楼栋先加到【设置】。" errorStyle="stop" operator="between" showDropDown="false" showErrorMessage="true" showInputMessage="false" sqref="D7:D1149" type="list">
      <formula1>楼栋</formula1>
      <formula2>0</formula2>
    </dataValidation>
    <dataValidation allowBlank="true" error="请从下拉选择。" errorStyle="stop" errorTitle="维修类别" operator="between" prompt="一单多个问题时选最主要的那个。" promptTitle="维修类别" showDropDown="false" showErrorMessage="true" showInputMessage="true" sqref="G7:G1149" type="list">
      <formula1>类别</formula1>
      <formula2>0</formula2>
    </dataValidation>
    <dataValidation allowBlank="true" error="这位师傅今天休息，或不在【设置】的师傅名单里。确定仍要填写吗？" errorStyle="warning" errorTitle="不在可派单名单" operator="between" promptTitle="不在可派单名单" showDropDown="false" showErrorMessage="true" showInputMessage="false" sqref="H7:I1149" type="list">
      <formula1>可派单</formula1>
      <formula2>0</formula2>
    </dataValidation>
    <dataValidation allowBlank="true" errorStyle="stop" operator="between" showDropDown="false" showErrorMessage="false" showInputMessage="false" sqref="K7:K1149" type="list">
      <formula1>"优先1,优先2,优先3,优先4,优先5,优先6"</formula1>
      <formula2>0</formula2>
    </dataValidation>
    <dataValidation allowBlank="true" error="请从下拉选择。" errorStyle="stop" operator="between" showDropDown="false" showErrorMessage="true" showInputMessage="false" sqref="L7:L1149" type="list">
      <formula1>"跟进中,需另约时间,已完成"</formula1>
      <formula2>0</formula2>
    </dataValidation>
    <dataValidation allowBlank="true" error="请输入日期，例如 2025-05-07。" errorStyle="stop" errorTitle="完成日期" operator="between" prompt="完成情况改为「已完成」时填，用来算处理天数。" promptTitle="完成日期" showDropDown="false" showErrorMessage="true" showInputMessage="true" sqref="M7:M1149" type="date">
      <formula1>DATE(2020,1,1)</formula1>
      <formula2>DATE(2099,12,31)</formula2>
    </dataValidation>
    <dataValidation allowBlank="true" error="请输入不小于 0 的金额。" errorStyle="stop" operator="greaterThanOrEqual" showDropDown="false" showErrorMessage="true" showInputMessage="false" sqref="Q7:Q1149" type="decimal">
      <formula1>0</formula1>
      <formula2>0</formula2>
    </dataValidation>
    <dataValidation allowBlank="true" error="请从下拉选择。" errorStyle="stop" operator="between" showDropDown="false" showErrorMessage="true" showInputMessage="false" sqref="R7:R1149" type="list">
      <formula1>"非常满意,满意,一般,不满意"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&amp;L单据编号：楼栋-房号（位置）-月日，同一户再次报修加 -02、-03&amp;R第 &amp;P 页 / 共 &amp;N 页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57"/>
    <pageSetUpPr fitToPage="true"/>
  </sheetPr>
  <dimension ref="A1:Q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9"/>
    <col collapsed="false" customWidth="true" hidden="false" outlineLevel="0" max="4" min="4" style="0" width="11"/>
    <col collapsed="false" customWidth="true" hidden="false" outlineLevel="0" max="9" min="5" style="0" width="10"/>
    <col collapsed="false" customWidth="true" hidden="false" outlineLevel="0" max="10" min="10" style="0" width="11"/>
    <col collapsed="false" customWidth="true" hidden="false" outlineLevel="0" max="13" min="11" style="0" width="10"/>
    <col collapsed="false" customWidth="true" hidden="false" outlineLevel="0" max="14" min="14" style="0" width="11"/>
    <col collapsed="false" customWidth="true" hidden="true" outlineLevel="0" max="17" min="16" style="0" width="13"/>
  </cols>
  <sheetData>
    <row r="1" customFormat="false" ht="36" hidden="false" customHeight="true" outlineLevel="0" collapsed="false">
      <c r="A1" s="28" t="s">
        <v>240</v>
      </c>
      <c r="B1" s="28"/>
      <c r="C1" s="28"/>
      <c r="D1" s="28"/>
      <c r="E1" s="28"/>
      <c r="F1" s="28"/>
      <c r="G1" s="28"/>
      <c r="H1" s="28"/>
      <c r="I1" s="12" t="s">
        <v>241</v>
      </c>
      <c r="J1" s="12"/>
      <c r="K1" s="12"/>
      <c r="L1" s="12"/>
      <c r="M1" s="12"/>
      <c r="N1" s="12"/>
    </row>
    <row r="2" customFormat="false" ht="24" hidden="false" customHeight="true" outlineLevel="0" collapsed="false">
      <c r="A2" s="29" t="s">
        <v>242</v>
      </c>
      <c r="B2" s="30" t="n">
        <f aca="false">基准日</f>
        <v>45784</v>
      </c>
      <c r="C2" s="30"/>
      <c r="D2" s="31" t="s">
        <v>243</v>
      </c>
      <c r="E2" s="32" t="s">
        <v>244</v>
      </c>
      <c r="F2" s="16" t="str">
        <f aca="false">"　"&amp;TEXT(期初,"yyyy-mm-dd")&amp;" ~ "&amp;TEXT(期末,"yyyy-mm-dd")&amp;"　　米黄格可改；基准日在【设置】里改，留空即今天"</f>
        <v>　2025-05-01 ~ 2025-05-31　　米黄格可改；基准日在【设置】里改，留空即今天</v>
      </c>
      <c r="G2" s="16"/>
      <c r="H2" s="16"/>
      <c r="I2" s="16"/>
      <c r="J2" s="16"/>
      <c r="K2" s="16"/>
      <c r="L2" s="16"/>
      <c r="M2" s="16"/>
      <c r="N2" s="16"/>
    </row>
    <row r="3" customFormat="false" ht="7.5" hidden="false" customHeight="true" outlineLevel="0" collapsed="false"/>
    <row r="4" customFormat="false" ht="25.5" hidden="false" customHeight="true" outlineLevel="0" collapsed="false">
      <c r="A4" s="33" t="s">
        <v>245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customFormat="false" ht="19.5" hidden="false" customHeight="true" outlineLevel="0" collapsed="false">
      <c r="A5" s="34" t="s">
        <v>246</v>
      </c>
      <c r="B5" s="34"/>
      <c r="C5" s="35" t="s">
        <v>247</v>
      </c>
      <c r="D5" s="35"/>
      <c r="E5" s="35" t="s">
        <v>248</v>
      </c>
      <c r="F5" s="35"/>
      <c r="G5" s="35" t="s">
        <v>249</v>
      </c>
      <c r="H5" s="35"/>
      <c r="I5" s="35" t="s">
        <v>53</v>
      </c>
      <c r="J5" s="35"/>
      <c r="K5" s="36"/>
      <c r="L5" s="36"/>
      <c r="M5" s="36"/>
      <c r="N5" s="36"/>
    </row>
    <row r="6" customFormat="false" ht="36" hidden="false" customHeight="true" outlineLevel="0" collapsed="false">
      <c r="A6" s="37" t="n">
        <f aca="false">COUNTIFS(工单[完成情况],"&lt;&gt;已完成",工单[报修问题描述],"&lt;&gt;")</f>
        <v>19</v>
      </c>
      <c r="B6" s="37"/>
      <c r="C6" s="38" t="n">
        <f aca="false">SUMPRODUCT((工单[完成情况]&lt;&gt;"已完成")*ISNUMBER(工单[处理天数])*((0&amp;工单[处理天数])*1&gt;=超期阈值))</f>
        <v>17</v>
      </c>
      <c r="D6" s="38"/>
      <c r="E6" s="39" t="n">
        <f aca="false">COUNTIFS(工单[该户第几次],2)</f>
        <v>5</v>
      </c>
      <c r="F6" s="39"/>
      <c r="G6" s="40" t="n">
        <f aca="false">COUNTIF(工单台账!$H$4:$L$4,"空闲")</f>
        <v>0</v>
      </c>
      <c r="H6" s="40"/>
      <c r="I6" s="40" t="n">
        <f aca="false">COUNTIF(工单台账!$H$4:$L$4,"休息")</f>
        <v>1</v>
      </c>
      <c r="J6" s="40"/>
      <c r="K6" s="41"/>
      <c r="L6" s="41"/>
      <c r="M6" s="41"/>
      <c r="N6" s="41"/>
    </row>
    <row r="7" customFormat="false" ht="18" hidden="false" customHeight="true" outlineLevel="0" collapsed="false">
      <c r="A7" s="42" t="s">
        <v>250</v>
      </c>
      <c r="B7" s="42"/>
      <c r="C7" s="43" t="str">
        <f aca="false">"等待 ≥ "&amp;超期阈值&amp;" 天"</f>
        <v>等待 ≥ 3 天</v>
      </c>
      <c r="D7" s="43"/>
      <c r="E7" s="43" t="s">
        <v>251</v>
      </c>
      <c r="F7" s="43"/>
      <c r="G7" s="43" t="s">
        <v>252</v>
      </c>
      <c r="H7" s="43"/>
      <c r="I7" s="43" t="s">
        <v>253</v>
      </c>
      <c r="J7" s="43"/>
      <c r="K7" s="44"/>
      <c r="L7" s="44"/>
      <c r="M7" s="44"/>
      <c r="N7" s="44"/>
    </row>
    <row r="8" customFormat="false" ht="7.5" hidden="false" customHeight="true" outlineLevel="0" collapsed="false"/>
    <row r="9" customFormat="false" ht="15" hidden="false" customHeight="false" outlineLevel="0" collapsed="false">
      <c r="A9" s="45" t="str">
        <f aca="false">"未结工单（按等待天数从长到短，最多列 15 单）　共 "&amp;A6&amp;" 单"</f>
        <v>未结工单（按等待天数从长到短，最多列 15 单）　共 19 单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</row>
    <row r="10" customFormat="false" ht="24" hidden="false" customHeight="true" outlineLevel="0" collapsed="false">
      <c r="A10" s="46" t="s">
        <v>60</v>
      </c>
      <c r="B10" s="46" t="s">
        <v>62</v>
      </c>
      <c r="C10" s="46" t="s">
        <v>63</v>
      </c>
      <c r="D10" s="46" t="s">
        <v>64</v>
      </c>
      <c r="E10" s="46" t="s">
        <v>65</v>
      </c>
      <c r="F10" s="46"/>
      <c r="G10" s="46"/>
      <c r="H10" s="46" t="s">
        <v>66</v>
      </c>
      <c r="I10" s="46" t="s">
        <v>254</v>
      </c>
      <c r="J10" s="46" t="s">
        <v>61</v>
      </c>
      <c r="K10" s="46" t="s">
        <v>255</v>
      </c>
      <c r="L10" s="46" t="s">
        <v>71</v>
      </c>
      <c r="M10" s="46" t="s">
        <v>256</v>
      </c>
      <c r="N10" s="46"/>
    </row>
    <row r="11" customFormat="false" ht="18.75" hidden="false" customHeight="true" outlineLevel="0" collapsed="false">
      <c r="A11" s="47" t="str">
        <f aca="false">IF($P11=0,"",INDEX(工单[单据编号],$P11-ROW(工单[#Headers]))&amp;"")</f>
        <v>7-凉亭-0501</v>
      </c>
      <c r="B11" s="48" t="str">
        <f aca="false">IF($P11=0,"",INDEX(工单[类型],$P11-ROW(工单[#Headers]))&amp;"")</f>
        <v>公区</v>
      </c>
      <c r="C11" s="48" t="str">
        <f aca="false">IF($P11=0,"",INDEX(工单[楼栋],$P11-ROW(工单[#Headers]))&amp;"")</f>
        <v>7栋</v>
      </c>
      <c r="D11" s="48" t="str">
        <f aca="false">IF($P11=0,"",INDEX(工单[房号/位置],$P11-ROW(工单[#Headers]))&amp;"")</f>
        <v>凉亭</v>
      </c>
      <c r="E11" s="49" t="str">
        <f aca="false">IF($P11=0,"",INDEX(工单[报修问题描述],$P11-ROW(工单[#Headers]))&amp;"")</f>
        <v>凉亭顶部雨后积水不退</v>
      </c>
      <c r="F11" s="49"/>
      <c r="G11" s="49"/>
      <c r="H11" s="48" t="str">
        <f aca="false">IF($P11=0,"",INDEX(工单[维修类别],$P11-ROW(工单[#Headers]))&amp;"")</f>
        <v>给排水</v>
      </c>
      <c r="I11" s="47" t="str">
        <f aca="false">IF($P11=0,"",INDEX(工单[跟进人1],$P11-ROW(工单[#Headers]))&amp;IF(INDEX(工单[跟进人2],$P11-ROW(工单[#Headers]))="","","、"&amp;INDEX(工单[跟进人2],$P11-ROW(工单[#Headers]))))</f>
        <v>陈师傅、王师傅</v>
      </c>
      <c r="J11" s="50" t="n">
        <f aca="false">IF($P11=0,"",INDEX(工单[报修日期],$P11-ROW(工单[#Headers])))</f>
        <v>45778</v>
      </c>
      <c r="K11" s="51" t="n">
        <f aca="false">IF($P11=0,"",INDEX(工单[处理天数],$P11-ROW(工单[#Headers])))</f>
        <v>6</v>
      </c>
      <c r="L11" s="48" t="str">
        <f aca="false">IF($P11=0,"",IF(INDEX(工单[完成情况],$P11-ROW(工单[#Headers]))="","没填状态",INDEX(工单[完成情况],$P11-ROW(工单[#Headers]))))</f>
        <v>跟进中</v>
      </c>
      <c r="M11" s="49" t="str">
        <f aca="false">IF($P11=0,"",INDEX(工单[维修备注],$P11-ROW(工单[#Headers]))&amp;"")</f>
        <v>雨水管被落叶堵死，预计重新改管道</v>
      </c>
      <c r="N11" s="49"/>
      <c r="P11" s="52" t="n">
        <f aca="false">IFERROR(MOD(SUMPRODUCT(LARGE((工单[完成情况]&lt;&gt;"已完成")*ISNUMBER(工单[处理天数])*((0&amp;工单[处理天数])*100000+ROW(工单[处理天数])),1)),100000),0)</f>
        <v>41</v>
      </c>
    </row>
    <row r="12" customFormat="false" ht="18.75" hidden="false" customHeight="true" outlineLevel="0" collapsed="false">
      <c r="A12" s="47" t="str">
        <f aca="false">IF($P12=0,"",INDEX(工单[单据编号],$P12-ROW(工单[#Headers]))&amp;"")</f>
        <v>公-东大门-0501-02</v>
      </c>
      <c r="B12" s="48" t="str">
        <f aca="false">IF($P12=0,"",INDEX(工单[类型],$P12-ROW(工单[#Headers]))&amp;"")</f>
        <v>公区</v>
      </c>
      <c r="C12" s="48" t="str">
        <f aca="false">IF($P12=0,"",INDEX(工单[楼栋],$P12-ROW(工单[#Headers]))&amp;"")</f>
        <v>公共区域</v>
      </c>
      <c r="D12" s="48" t="str">
        <f aca="false">IF($P12=0,"",INDEX(工单[房号/位置],$P12-ROW(工单[#Headers]))&amp;"")</f>
        <v>东大门</v>
      </c>
      <c r="E12" s="49" t="str">
        <f aca="false">IF($P12=0,"",INDEX(工单[报修问题描述],$P12-ROW(工单[#Headers]))&amp;"")</f>
        <v>门岗天花受潮破损修缮</v>
      </c>
      <c r="F12" s="49"/>
      <c r="G12" s="49"/>
      <c r="H12" s="48" t="str">
        <f aca="false">IF($P12=0,"",INDEX(工单[维修类别],$P12-ROW(工单[#Headers]))&amp;"")</f>
        <v>墙地饰面</v>
      </c>
      <c r="I12" s="47" t="str">
        <f aca="false">IF($P12=0,"",INDEX(工单[跟进人1],$P12-ROW(工单[#Headers]))&amp;IF(INDEX(工单[跟进人2],$P12-ROW(工单[#Headers]))="","","、"&amp;INDEX(工单[跟进人2],$P12-ROW(工单[#Headers]))))</f>
        <v>刘师傅</v>
      </c>
      <c r="J12" s="50" t="n">
        <f aca="false">IF($P12=0,"",INDEX(工单[报修日期],$P12-ROW(工单[#Headers])))</f>
        <v>45778</v>
      </c>
      <c r="K12" s="51" t="n">
        <f aca="false">IF($P12=0,"",INDEX(工单[处理天数],$P12-ROW(工单[#Headers])))</f>
        <v>6</v>
      </c>
      <c r="L12" s="48" t="str">
        <f aca="false">IF($P12=0,"",IF(INDEX(工单[完成情况],$P12-ROW(工单[#Headers]))="","没填状态",INDEX(工单[完成情况],$P12-ROW(工单[#Headers]))))</f>
        <v>跟进中</v>
      </c>
      <c r="M12" s="49" t="str">
        <f aca="false">IF($P12=0,"",INDEX(工单[维修备注],$P12-ROW(工单[#Headers]))&amp;"")</f>
        <v>已补洞批腻子，待干燥后打磨刷乳胶漆</v>
      </c>
      <c r="N12" s="49"/>
      <c r="P12" s="52" t="n">
        <f aca="false">IFERROR(MOD(SUMPRODUCT(LARGE((工单[完成情况]&lt;&gt;"已完成")*ISNUMBER(工单[处理天数])*((0&amp;工单[处理天数])*100000+ROW(工单[处理天数])),2)),100000),0)</f>
        <v>39</v>
      </c>
    </row>
    <row r="13" customFormat="false" ht="18.75" hidden="false" customHeight="true" outlineLevel="0" collapsed="false">
      <c r="A13" s="47" t="str">
        <f aca="false">IF($P13=0,"",INDEX(工单[单据编号],$P13-ROW(工单[#Headers]))&amp;"")</f>
        <v>9-肉菜市场-0501</v>
      </c>
      <c r="B13" s="48" t="str">
        <f aca="false">IF($P13=0,"",INDEX(工单[类型],$P13-ROW(工单[#Headers]))&amp;"")</f>
        <v>公区</v>
      </c>
      <c r="C13" s="48" t="str">
        <f aca="false">IF($P13=0,"",INDEX(工单[楼栋],$P13-ROW(工单[#Headers]))&amp;"")</f>
        <v>9栋</v>
      </c>
      <c r="D13" s="48" t="str">
        <f aca="false">IF($P13=0,"",INDEX(工单[房号/位置],$P13-ROW(工单[#Headers]))&amp;"")</f>
        <v>肉菜市场</v>
      </c>
      <c r="E13" s="49" t="str">
        <f aca="false">IF($P13=0,"",INDEX(工单[报修问题描述],$P13-ROW(工单[#Headers]))&amp;"")</f>
        <v>市场内墙雨后渗水</v>
      </c>
      <c r="F13" s="49"/>
      <c r="G13" s="49"/>
      <c r="H13" s="48" t="str">
        <f aca="false">IF($P13=0,"",INDEX(工单[维修类别],$P13-ROW(工单[#Headers]))&amp;"")</f>
        <v>渗漏防水</v>
      </c>
      <c r="I13" s="47" t="str">
        <f aca="false">IF($P13=0,"",INDEX(工单[跟进人1],$P13-ROW(工单[#Headers]))&amp;IF(INDEX(工单[跟进人2],$P13-ROW(工单[#Headers]))="","","、"&amp;INDEX(工单[跟进人2],$P13-ROW(工单[#Headers]))))</f>
        <v>刘师傅</v>
      </c>
      <c r="J13" s="50" t="n">
        <f aca="false">IF($P13=0,"",INDEX(工单[报修日期],$P13-ROW(工单[#Headers])))</f>
        <v>45778</v>
      </c>
      <c r="K13" s="51" t="n">
        <f aca="false">IF($P13=0,"",INDEX(工单[处理天数],$P13-ROW(工单[#Headers])))</f>
        <v>6</v>
      </c>
      <c r="L13" s="48" t="str">
        <f aca="false">IF($P13=0,"",IF(INDEX(工单[完成情况],$P13-ROW(工单[#Headers]))="","没填状态",INDEX(工单[完成情况],$P13-ROW(工单[#Headers]))))</f>
        <v>跟进中</v>
      </c>
      <c r="M13" s="49" t="str">
        <f aca="false">IF($P13=0,"",INDEX(工单[维修备注],$P13-ROW(工单[#Headers]))&amp;"")</f>
        <v>待跟进</v>
      </c>
      <c r="N13" s="49"/>
      <c r="P13" s="52" t="n">
        <f aca="false">IFERROR(MOD(SUMPRODUCT(LARGE((工单[完成情况]&lt;&gt;"已完成")*ISNUMBER(工单[处理天数])*((0&amp;工单[处理天数])*100000+ROW(工单[处理天数])),3)),100000),0)</f>
        <v>35</v>
      </c>
    </row>
    <row r="14" customFormat="false" ht="18.75" hidden="false" customHeight="true" outlineLevel="0" collapsed="false">
      <c r="A14" s="47" t="str">
        <f aca="false">IF($P14=0,"",INDEX(工单[单据编号],$P14-ROW(工单[#Headers]))&amp;"")</f>
        <v>8-1602-0501</v>
      </c>
      <c r="B14" s="48" t="str">
        <f aca="false">IF($P14=0,"",INDEX(工单[类型],$P14-ROW(工单[#Headers]))&amp;"")</f>
        <v>入户</v>
      </c>
      <c r="C14" s="48" t="str">
        <f aca="false">IF($P14=0,"",INDEX(工单[楼栋],$P14-ROW(工单[#Headers]))&amp;"")</f>
        <v>8栋</v>
      </c>
      <c r="D14" s="48" t="str">
        <f aca="false">IF($P14=0,"",INDEX(工单[房号/位置],$P14-ROW(工单[#Headers]))&amp;"")</f>
        <v>1602</v>
      </c>
      <c r="E14" s="49" t="str">
        <f aca="false">IF($P14=0,"",INDEX(工单[报修问题描述],$P14-ROW(工单[#Headers]))&amp;"")</f>
        <v>客厅空调管冷凝水滴落</v>
      </c>
      <c r="F14" s="49"/>
      <c r="G14" s="49"/>
      <c r="H14" s="48" t="str">
        <f aca="false">IF($P14=0,"",INDEX(工单[维修类别],$P14-ROW(工单[#Headers]))&amp;"")</f>
        <v>空调暖通</v>
      </c>
      <c r="I14" s="47" t="str">
        <f aca="false">IF($P14=0,"",INDEX(工单[跟进人1],$P14-ROW(工单[#Headers]))&amp;IF(INDEX(工单[跟进人2],$P14-ROW(工单[#Headers]))="","","、"&amp;INDEX(工单[跟进人2],$P14-ROW(工单[#Headers]))))</f>
        <v/>
      </c>
      <c r="J14" s="50" t="n">
        <f aca="false">IF($P14=0,"",INDEX(工单[报修日期],$P14-ROW(工单[#Headers])))</f>
        <v>45778</v>
      </c>
      <c r="K14" s="51" t="n">
        <f aca="false">IF($P14=0,"",INDEX(工单[处理天数],$P14-ROW(工单[#Headers])))</f>
        <v>6</v>
      </c>
      <c r="L14" s="48" t="str">
        <f aca="false">IF($P14=0,"",IF(INDEX(工单[完成情况],$P14-ROW(工单[#Headers]))="","没填状态",INDEX(工单[完成情况],$P14-ROW(工单[#Headers]))))</f>
        <v>跟进中</v>
      </c>
      <c r="M14" s="49" t="str">
        <f aca="false">IF($P14=0,"",INDEX(工单[维修备注],$P14-ROW(工单[#Headers]))&amp;"")</f>
        <v>需先由第三方单位为楼上住户空调管加装保温棉</v>
      </c>
      <c r="N14" s="49"/>
      <c r="P14" s="52" t="n">
        <f aca="false">IFERROR(MOD(SUMPRODUCT(LARGE((工单[完成情况]&lt;&gt;"已完成")*ISNUMBER(工单[处理天数])*((0&amp;工单[处理天数])*100000+ROW(工单[处理天数])),4)),100000),0)</f>
        <v>14</v>
      </c>
    </row>
    <row r="15" customFormat="false" ht="18.75" hidden="false" customHeight="true" outlineLevel="0" collapsed="false">
      <c r="A15" s="47" t="str">
        <f aca="false">IF($P15=0,"",INDEX(工单[单据编号],$P15-ROW(工单[#Headers]))&amp;"")</f>
        <v>6-701-0501</v>
      </c>
      <c r="B15" s="48" t="str">
        <f aca="false">IF($P15=0,"",INDEX(工单[类型],$P15-ROW(工单[#Headers]))&amp;"")</f>
        <v>入户</v>
      </c>
      <c r="C15" s="48" t="str">
        <f aca="false">IF($P15=0,"",INDEX(工单[楼栋],$P15-ROW(工单[#Headers]))&amp;"")</f>
        <v>6栋</v>
      </c>
      <c r="D15" s="48" t="str">
        <f aca="false">IF($P15=0,"",INDEX(工单[房号/位置],$P15-ROW(工单[#Headers]))&amp;"")</f>
        <v>701</v>
      </c>
      <c r="E15" s="49" t="str">
        <f aca="false">IF($P15=0,"",INDEX(工单[报修问题描述],$P15-ROW(工单[#Headers]))&amp;"")</f>
        <v>次卧墙面受潮鼓包起皮</v>
      </c>
      <c r="F15" s="49"/>
      <c r="G15" s="49"/>
      <c r="H15" s="48" t="str">
        <f aca="false">IF($P15=0,"",INDEX(工单[维修类别],$P15-ROW(工单[#Headers]))&amp;"")</f>
        <v>墙地饰面</v>
      </c>
      <c r="I15" s="47" t="str">
        <f aca="false">IF($P15=0,"",INDEX(工单[跟进人1],$P15-ROW(工单[#Headers]))&amp;IF(INDEX(工单[跟进人2],$P15-ROW(工单[#Headers]))="","","、"&amp;INDEX(工单[跟进人2],$P15-ROW(工单[#Headers]))))</f>
        <v>李师傅</v>
      </c>
      <c r="J15" s="50" t="n">
        <f aca="false">IF($P15=0,"",INDEX(工单[报修日期],$P15-ROW(工单[#Headers])))</f>
        <v>45778</v>
      </c>
      <c r="K15" s="51" t="n">
        <f aca="false">IF($P15=0,"",INDEX(工单[处理天数],$P15-ROW(工单[#Headers])))</f>
        <v>6</v>
      </c>
      <c r="L15" s="48" t="str">
        <f aca="false">IF($P15=0,"",IF(INDEX(工单[完成情况],$P15-ROW(工单[#Headers]))="","没填状态",INDEX(工单[完成情况],$P15-ROW(工单[#Headers]))))</f>
        <v>跟进中</v>
      </c>
      <c r="M15" s="49" t="str">
        <f aca="false">IF($P15=0,"",INDEX(工单[维修备注],$P15-ROW(工单[#Headers]))&amp;"")</f>
        <v>已铲除鼓包批第一遍腻子，待干透后约第二次上门</v>
      </c>
      <c r="N15" s="49"/>
      <c r="P15" s="52" t="n">
        <f aca="false">IFERROR(MOD(SUMPRODUCT(LARGE((工单[完成情况]&lt;&gt;"已完成")*ISNUMBER(工单[处理天数])*((0&amp;工单[处理天数])*100000+ROW(工单[处理天数])),5)),100000),0)</f>
        <v>13</v>
      </c>
    </row>
    <row r="16" customFormat="false" ht="18.75" hidden="false" customHeight="true" outlineLevel="0" collapsed="false">
      <c r="A16" s="47" t="str">
        <f aca="false">IF($P16=0,"",INDEX(工单[单据编号],$P16-ROW(工单[#Headers]))&amp;"")</f>
        <v>6-2504-0501</v>
      </c>
      <c r="B16" s="48" t="str">
        <f aca="false">IF($P16=0,"",INDEX(工单[类型],$P16-ROW(工单[#Headers]))&amp;"")</f>
        <v>入户</v>
      </c>
      <c r="C16" s="48" t="str">
        <f aca="false">IF($P16=0,"",INDEX(工单[楼栋],$P16-ROW(工单[#Headers]))&amp;"")</f>
        <v>6栋</v>
      </c>
      <c r="D16" s="48" t="str">
        <f aca="false">IF($P16=0,"",INDEX(工单[房号/位置],$P16-ROW(工单[#Headers]))&amp;"")</f>
        <v>2504</v>
      </c>
      <c r="E16" s="49" t="str">
        <f aca="false">IF($P16=0,"",INDEX(工单[报修问题描述],$P16-ROW(工单[#Headers]))&amp;"")</f>
        <v>空调开机后室内机滴水</v>
      </c>
      <c r="F16" s="49"/>
      <c r="G16" s="49"/>
      <c r="H16" s="48" t="str">
        <f aca="false">IF($P16=0,"",INDEX(工单[维修类别],$P16-ROW(工单[#Headers]))&amp;"")</f>
        <v>空调暖通</v>
      </c>
      <c r="I16" s="47" t="str">
        <f aca="false">IF($P16=0,"",INDEX(工单[跟进人1],$P16-ROW(工单[#Headers]))&amp;IF(INDEX(工单[跟进人2],$P16-ROW(工单[#Headers]))="","","、"&amp;INDEX(工单[跟进人2],$P16-ROW(工单[#Headers]))))</f>
        <v>刘师傅、张师傅</v>
      </c>
      <c r="J16" s="50" t="n">
        <f aca="false">IF($P16=0,"",INDEX(工单[报修日期],$P16-ROW(工单[#Headers])))</f>
        <v>45778</v>
      </c>
      <c r="K16" s="51" t="n">
        <f aca="false">IF($P16=0,"",INDEX(工单[处理天数],$P16-ROW(工单[#Headers])))</f>
        <v>6</v>
      </c>
      <c r="L16" s="48" t="str">
        <f aca="false">IF($P16=0,"",IF(INDEX(工单[完成情况],$P16-ROW(工单[#Headers]))="","没填状态",INDEX(工单[完成情况],$P16-ROW(工单[#Headers]))))</f>
        <v>跟进中</v>
      </c>
      <c r="M16" s="49" t="str">
        <f aca="false">IF($P16=0,"",INDEX(工单[维修备注],$P16-ROW(工单[#Headers]))&amp;"")</f>
        <v>需重新包扎保温棉，待料处理</v>
      </c>
      <c r="N16" s="49"/>
      <c r="P16" s="52" t="n">
        <f aca="false">IFERROR(MOD(SUMPRODUCT(LARGE((工单[完成情况]&lt;&gt;"已完成")*ISNUMBER(工单[处理天数])*((0&amp;工单[处理天数])*100000+ROW(工单[处理天数])),6)),100000),0)</f>
        <v>8</v>
      </c>
    </row>
    <row r="17" customFormat="false" ht="18.75" hidden="false" customHeight="true" outlineLevel="0" collapsed="false">
      <c r="A17" s="47" t="str">
        <f aca="false">IF($P17=0,"",INDEX(工单[单据编号],$P17-ROW(工单[#Headers]))&amp;"")</f>
        <v>7-1301-0502</v>
      </c>
      <c r="B17" s="48" t="str">
        <f aca="false">IF($P17=0,"",INDEX(工单[类型],$P17-ROW(工单[#Headers]))&amp;"")</f>
        <v>入户</v>
      </c>
      <c r="C17" s="48" t="str">
        <f aca="false">IF($P17=0,"",INDEX(工单[楼栋],$P17-ROW(工单[#Headers]))&amp;"")</f>
        <v>7栋</v>
      </c>
      <c r="D17" s="48" t="str">
        <f aca="false">IF($P17=0,"",INDEX(工单[房号/位置],$P17-ROW(工单[#Headers]))&amp;"")</f>
        <v>1301</v>
      </c>
      <c r="E17" s="49" t="str">
        <f aca="false">IF($P17=0,"",INDEX(工单[报修问题描述],$P17-ROW(工单[#Headers]))&amp;"")</f>
        <v>卧室墙面出现细小裂纹</v>
      </c>
      <c r="F17" s="49"/>
      <c r="G17" s="49"/>
      <c r="H17" s="48" t="str">
        <f aca="false">IF($P17=0,"",INDEX(工单[维修类别],$P17-ROW(工单[#Headers]))&amp;"")</f>
        <v>墙地饰面</v>
      </c>
      <c r="I17" s="47" t="str">
        <f aca="false">IF($P17=0,"",INDEX(工单[跟进人1],$P17-ROW(工单[#Headers]))&amp;IF(INDEX(工单[跟进人2],$P17-ROW(工单[#Headers]))="","","、"&amp;INDEX(工单[跟进人2],$P17-ROW(工单[#Headers]))))</f>
        <v>李师傅</v>
      </c>
      <c r="J17" s="50" t="n">
        <f aca="false">IF($P17=0,"",INDEX(工单[报修日期],$P17-ROW(工单[#Headers])))</f>
        <v>45779</v>
      </c>
      <c r="K17" s="51" t="n">
        <f aca="false">IF($P17=0,"",INDEX(工单[处理天数],$P17-ROW(工单[#Headers])))</f>
        <v>5</v>
      </c>
      <c r="L17" s="48" t="str">
        <f aca="false">IF($P17=0,"",IF(INDEX(工单[完成情况],$P17-ROW(工单[#Headers]))="","没填状态",INDEX(工单[完成情况],$P17-ROW(工单[#Headers]))))</f>
        <v>跟进中</v>
      </c>
      <c r="M17" s="49" t="str">
        <f aca="false">IF($P17=0,"",INDEX(工单[维修备注],$P17-ROW(工单[#Headers]))&amp;"")</f>
        <v>已现场查看，待腻子干透后打磨修补</v>
      </c>
      <c r="N17" s="49"/>
      <c r="P17" s="52" t="n">
        <f aca="false">IFERROR(MOD(SUMPRODUCT(LARGE((工单[完成情况]&lt;&gt;"已完成")*ISNUMBER(工单[处理天数])*((0&amp;工单[处理天数])*100000+ROW(工单[处理天数])),7)),100000),0)</f>
        <v>61</v>
      </c>
    </row>
    <row r="18" customFormat="false" ht="18.75" hidden="false" customHeight="true" outlineLevel="0" collapsed="false">
      <c r="A18" s="47" t="str">
        <f aca="false">IF($P18=0,"",INDEX(工单[单据编号],$P18-ROW(工单[#Headers]))&amp;"")</f>
        <v>5-1501-0502</v>
      </c>
      <c r="B18" s="48" t="str">
        <f aca="false">IF($P18=0,"",INDEX(工单[类型],$P18-ROW(工单[#Headers]))&amp;"")</f>
        <v>入户</v>
      </c>
      <c r="C18" s="48" t="str">
        <f aca="false">IF($P18=0,"",INDEX(工单[楼栋],$P18-ROW(工单[#Headers]))&amp;"")</f>
        <v>5栋</v>
      </c>
      <c r="D18" s="48" t="str">
        <f aca="false">IF($P18=0,"",INDEX(工单[房号/位置],$P18-ROW(工单[#Headers]))&amp;"")</f>
        <v>1501</v>
      </c>
      <c r="E18" s="49" t="str">
        <f aca="false">IF($P18=0,"",INDEX(工单[报修问题描述],$P18-ROW(工单[#Headers]))&amp;"")</f>
        <v>主卧外墙渗水，墙纸发霉</v>
      </c>
      <c r="F18" s="49"/>
      <c r="G18" s="49"/>
      <c r="H18" s="48" t="str">
        <f aca="false">IF($P18=0,"",INDEX(工单[维修类别],$P18-ROW(工单[#Headers]))&amp;"")</f>
        <v>渗漏防水</v>
      </c>
      <c r="I18" s="47" t="str">
        <f aca="false">IF($P18=0,"",INDEX(工单[跟进人1],$P18-ROW(工单[#Headers]))&amp;IF(INDEX(工单[跟进人2],$P18-ROW(工单[#Headers]))="","","、"&amp;INDEX(工单[跟进人2],$P18-ROW(工单[#Headers]))))</f>
        <v>陈师傅</v>
      </c>
      <c r="J18" s="50" t="n">
        <f aca="false">IF($P18=0,"",INDEX(工单[报修日期],$P18-ROW(工单[#Headers])))</f>
        <v>45779</v>
      </c>
      <c r="K18" s="51" t="n">
        <f aca="false">IF($P18=0,"",INDEX(工单[处理天数],$P18-ROW(工单[#Headers])))</f>
        <v>5</v>
      </c>
      <c r="L18" s="48" t="str">
        <f aca="false">IF($P18=0,"",IF(INDEX(工单[完成情况],$P18-ROW(工单[#Headers]))="","没填状态",INDEX(工单[完成情况],$P18-ROW(工单[#Headers]))))</f>
        <v>跟进中</v>
      </c>
      <c r="M18" s="49" t="str">
        <f aca="false">IF($P18=0,"",INDEX(工单[维修备注],$P18-ROW(工单[#Headers]))&amp;"")</f>
        <v>已现场拍照留证，待后续协商处理（业主意向使用公共维修资金）</v>
      </c>
      <c r="N18" s="49"/>
      <c r="P18" s="52" t="n">
        <f aca="false">IFERROR(MOD(SUMPRODUCT(LARGE((工单[完成情况]&lt;&gt;"已完成")*ISNUMBER(工单[处理天数])*((0&amp;工单[处理天数])*100000+ROW(工单[处理天数])),8)),100000),0)</f>
        <v>51</v>
      </c>
    </row>
    <row r="19" customFormat="false" ht="18.75" hidden="false" customHeight="true" outlineLevel="0" collapsed="false">
      <c r="A19" s="47" t="str">
        <f aca="false">IF($P19=0,"",INDEX(工单[单据编号],$P19-ROW(工单[#Headers]))&amp;"")</f>
        <v>6-3304-0502</v>
      </c>
      <c r="B19" s="48" t="str">
        <f aca="false">IF($P19=0,"",INDEX(工单[类型],$P19-ROW(工单[#Headers]))&amp;"")</f>
        <v>入户</v>
      </c>
      <c r="C19" s="48" t="str">
        <f aca="false">IF($P19=0,"",INDEX(工单[楼栋],$P19-ROW(工单[#Headers]))&amp;"")</f>
        <v>6栋</v>
      </c>
      <c r="D19" s="48" t="str">
        <f aca="false">IF($P19=0,"",INDEX(工单[房号/位置],$P19-ROW(工单[#Headers]))&amp;"")</f>
        <v>3304</v>
      </c>
      <c r="E19" s="49" t="str">
        <f aca="false">IF($P19=0,"",INDEX(工单[报修问题描述],$P19-ROW(工单[#Headers]))&amp;"")</f>
        <v>空调外机噪音大</v>
      </c>
      <c r="F19" s="49"/>
      <c r="G19" s="49"/>
      <c r="H19" s="48" t="str">
        <f aca="false">IF($P19=0,"",INDEX(工单[维修类别],$P19-ROW(工单[#Headers]))&amp;"")</f>
        <v>空调暖通</v>
      </c>
      <c r="I19" s="47" t="str">
        <f aca="false">IF($P19=0,"",INDEX(工单[跟进人1],$P19-ROW(工单[#Headers]))&amp;IF(INDEX(工单[跟进人2],$P19-ROW(工单[#Headers]))="","","、"&amp;INDEX(工单[跟进人2],$P19-ROW(工单[#Headers]))))</f>
        <v>李师傅</v>
      </c>
      <c r="J19" s="50" t="n">
        <f aca="false">IF($P19=0,"",INDEX(工单[报修日期],$P19-ROW(工单[#Headers])))</f>
        <v>45779</v>
      </c>
      <c r="K19" s="51" t="n">
        <f aca="false">IF($P19=0,"",INDEX(工单[处理天数],$P19-ROW(工单[#Headers])))</f>
        <v>5</v>
      </c>
      <c r="L19" s="48" t="str">
        <f aca="false">IF($P19=0,"",IF(INDEX(工单[完成情况],$P19-ROW(工单[#Headers]))="","没填状态",INDEX(工单[完成情况],$P19-ROW(工单[#Headers]))))</f>
        <v>跟进中</v>
      </c>
      <c r="M19" s="49" t="str">
        <f aca="false">IF($P19=0,"",INDEX(工单[维修备注],$P19-ROW(工单[#Headers]))&amp;"")</f>
        <v>非物业维修范围，业主已联系空调售后</v>
      </c>
      <c r="N19" s="49"/>
      <c r="P19" s="52" t="n">
        <f aca="false">IFERROR(MOD(SUMPRODUCT(LARGE((工单[完成情况]&lt;&gt;"已完成")*ISNUMBER(工单[处理天数])*((0&amp;工单[处理天数])*100000+ROW(工单[处理天数])),9)),100000),0)</f>
        <v>48</v>
      </c>
    </row>
    <row r="20" customFormat="false" ht="18.75" hidden="false" customHeight="true" outlineLevel="0" collapsed="false">
      <c r="A20" s="47" t="str">
        <f aca="false">IF($P20=0,"",INDEX(工单[单据编号],$P20-ROW(工单[#Headers]))&amp;"")</f>
        <v>5-1602-0502</v>
      </c>
      <c r="B20" s="48" t="str">
        <f aca="false">IF($P20=0,"",INDEX(工单[类型],$P20-ROW(工单[#Headers]))&amp;"")</f>
        <v>入户</v>
      </c>
      <c r="C20" s="48" t="str">
        <f aca="false">IF($P20=0,"",INDEX(工单[楼栋],$P20-ROW(工单[#Headers]))&amp;"")</f>
        <v>5栋</v>
      </c>
      <c r="D20" s="48" t="str">
        <f aca="false">IF($P20=0,"",INDEX(工单[房号/位置],$P20-ROW(工单[#Headers]))&amp;"")</f>
        <v>1602</v>
      </c>
      <c r="E20" s="49" t="str">
        <f aca="false">IF($P20=0,"",INDEX(工单[报修问题描述],$P20-ROW(工单[#Headers]))&amp;"")</f>
        <v>次卧外墙窗边渗水</v>
      </c>
      <c r="F20" s="49"/>
      <c r="G20" s="49"/>
      <c r="H20" s="48" t="str">
        <f aca="false">IF($P20=0,"",INDEX(工单[维修类别],$P20-ROW(工单[#Headers]))&amp;"")</f>
        <v>渗漏防水</v>
      </c>
      <c r="I20" s="47" t="str">
        <f aca="false">IF($P20=0,"",INDEX(工单[跟进人1],$P20-ROW(工单[#Headers]))&amp;IF(INDEX(工单[跟进人2],$P20-ROW(工单[#Headers]))="","","、"&amp;INDEX(工单[跟进人2],$P20-ROW(工单[#Headers]))))</f>
        <v>李师傅</v>
      </c>
      <c r="J20" s="50" t="n">
        <f aca="false">IF($P20=0,"",INDEX(工单[报修日期],$P20-ROW(工单[#Headers])))</f>
        <v>45779</v>
      </c>
      <c r="K20" s="51" t="n">
        <f aca="false">IF($P20=0,"",INDEX(工单[处理天数],$P20-ROW(工单[#Headers])))</f>
        <v>5</v>
      </c>
      <c r="L20" s="48" t="str">
        <f aca="false">IF($P20=0,"",IF(INDEX(工单[完成情况],$P20-ROW(工单[#Headers]))="","没填状态",INDEX(工单[完成情况],$P20-ROW(工单[#Headers]))))</f>
        <v>跟进中</v>
      </c>
      <c r="M20" s="49" t="str">
        <f aca="false">IF($P20=0,"",INDEX(工单[维修备注],$P20-ROW(工单[#Headers]))&amp;"")</f>
        <v>已查看，业主要求先处理室内墙面，再排查渗水点并尽快修复</v>
      </c>
      <c r="N20" s="49"/>
      <c r="P20" s="52" t="n">
        <f aca="false">IFERROR(MOD(SUMPRODUCT(LARGE((工单[完成情况]&lt;&gt;"已完成")*ISNUMBER(工单[处理天数])*((0&amp;工单[处理天数])*100000+ROW(工单[处理天数])),10)),100000),0)</f>
        <v>42</v>
      </c>
    </row>
    <row r="21" customFormat="false" ht="18.75" hidden="false" customHeight="true" outlineLevel="0" collapsed="false">
      <c r="A21" s="47" t="str">
        <f aca="false">IF($P21=0,"",INDEX(工单[单据编号],$P21-ROW(工单[#Headers]))&amp;"")</f>
        <v>公-254车位-0503</v>
      </c>
      <c r="B21" s="48" t="str">
        <f aca="false">IF($P21=0,"",INDEX(工单[类型],$P21-ROW(工单[#Headers]))&amp;"")</f>
        <v>公区</v>
      </c>
      <c r="C21" s="48" t="str">
        <f aca="false">IF($P21=0,"",INDEX(工单[楼栋],$P21-ROW(工单[#Headers]))&amp;"")</f>
        <v>公共区域</v>
      </c>
      <c r="D21" s="48" t="str">
        <f aca="false">IF($P21=0,"",INDEX(工单[房号/位置],$P21-ROW(工单[#Headers]))&amp;"")</f>
        <v>254车位</v>
      </c>
      <c r="E21" s="49" t="str">
        <f aca="false">IF($P21=0,"",INDEX(工单[报修问题描述],$P21-ROW(工单[#Headers]))&amp;"")</f>
        <v>车位顶板漏水</v>
      </c>
      <c r="F21" s="49"/>
      <c r="G21" s="49"/>
      <c r="H21" s="48" t="str">
        <f aca="false">IF($P21=0,"",INDEX(工单[维修类别],$P21-ROW(工单[#Headers]))&amp;"")</f>
        <v>渗漏防水</v>
      </c>
      <c r="I21" s="47" t="str">
        <f aca="false">IF($P21=0,"",INDEX(工单[跟进人1],$P21-ROW(工单[#Headers]))&amp;IF(INDEX(工单[跟进人2],$P21-ROW(工单[#Headers]))="","","、"&amp;INDEX(工单[跟进人2],$P21-ROW(工单[#Headers]))))</f>
        <v/>
      </c>
      <c r="J21" s="50" t="n">
        <f aca="false">IF($P21=0,"",INDEX(工单[报修日期],$P21-ROW(工单[#Headers])))</f>
        <v>45780</v>
      </c>
      <c r="K21" s="51" t="n">
        <f aca="false">IF($P21=0,"",INDEX(工单[处理天数],$P21-ROW(工单[#Headers])))</f>
        <v>4</v>
      </c>
      <c r="L21" s="48" t="str">
        <f aca="false">IF($P21=0,"",IF(INDEX(工单[完成情况],$P21-ROW(工单[#Headers]))="","没填状态",INDEX(工单[完成情况],$P21-ROW(工单[#Headers]))))</f>
        <v>没填状态</v>
      </c>
      <c r="M21" s="49" t="str">
        <f aca="false">IF($P21=0,"",INDEX(工单[维修备注],$P21-ROW(工单[#Headers]))&amp;"")</f>
        <v/>
      </c>
      <c r="N21" s="49"/>
      <c r="P21" s="52" t="n">
        <f aca="false">IFERROR(MOD(SUMPRODUCT(LARGE((工单[完成情况]&lt;&gt;"已完成")*ISNUMBER(工单[处理天数])*((0&amp;工单[处理天数])*100000+ROW(工单[处理天数])),11)),100000),0)</f>
        <v>96</v>
      </c>
    </row>
    <row r="22" customFormat="false" ht="18.75" hidden="false" customHeight="true" outlineLevel="0" collapsed="false">
      <c r="A22" s="47" t="str">
        <f aca="false">IF($P22=0,"",INDEX(工单[单据编号],$P22-ROW(工单[#Headers]))&amp;"")</f>
        <v>6-2802-0503</v>
      </c>
      <c r="B22" s="48" t="str">
        <f aca="false">IF($P22=0,"",INDEX(工单[类型],$P22-ROW(工单[#Headers]))&amp;"")</f>
        <v>入户</v>
      </c>
      <c r="C22" s="48" t="str">
        <f aca="false">IF($P22=0,"",INDEX(工单[楼栋],$P22-ROW(工单[#Headers]))&amp;"")</f>
        <v>6栋</v>
      </c>
      <c r="D22" s="48" t="str">
        <f aca="false">IF($P22=0,"",INDEX(工单[房号/位置],$P22-ROW(工单[#Headers]))&amp;"")</f>
        <v>2802</v>
      </c>
      <c r="E22" s="49" t="str">
        <f aca="false">IF($P22=0,"",INDEX(工单[报修问题描述],$P22-ROW(工单[#Headers]))&amp;"")</f>
        <v>连续下雨后阳台墙面渗水</v>
      </c>
      <c r="F22" s="49"/>
      <c r="G22" s="49"/>
      <c r="H22" s="48" t="str">
        <f aca="false">IF($P22=0,"",INDEX(工单[维修类别],$P22-ROW(工单[#Headers]))&amp;"")</f>
        <v>渗漏防水</v>
      </c>
      <c r="I22" s="47" t="str">
        <f aca="false">IF($P22=0,"",INDEX(工单[跟进人1],$P22-ROW(工单[#Headers]))&amp;IF(INDEX(工单[跟进人2],$P22-ROW(工单[#Headers]))="","","、"&amp;INDEX(工单[跟进人2],$P22-ROW(工单[#Headers]))))</f>
        <v>陈师傅</v>
      </c>
      <c r="J22" s="50" t="n">
        <f aca="false">IF($P22=0,"",INDEX(工单[报修日期],$P22-ROW(工单[#Headers])))</f>
        <v>45780</v>
      </c>
      <c r="K22" s="51" t="n">
        <f aca="false">IF($P22=0,"",INDEX(工单[处理天数],$P22-ROW(工单[#Headers])))</f>
        <v>4</v>
      </c>
      <c r="L22" s="48" t="str">
        <f aca="false">IF($P22=0,"",IF(INDEX(工单[完成情况],$P22-ROW(工单[#Headers]))="","没填状态",INDEX(工单[完成情况],$P22-ROW(工单[#Headers]))))</f>
        <v>跟进中</v>
      </c>
      <c r="M22" s="49" t="str">
        <f aca="false">IF($P22=0,"",INDEX(工单[维修备注],$P22-ROW(工单[#Headers]))&amp;"")</f>
        <v>已拍照留证，待联系防水单位复查</v>
      </c>
      <c r="N22" s="49"/>
      <c r="P22" s="52" t="n">
        <f aca="false">IFERROR(MOD(SUMPRODUCT(LARGE((工单[完成情况]&lt;&gt;"已完成")*ISNUMBER(工单[处理天数])*((0&amp;工单[处理天数])*100000+ROW(工单[处理天数])),12)),100000),0)</f>
        <v>95</v>
      </c>
    </row>
    <row r="23" customFormat="false" ht="18.75" hidden="false" customHeight="true" outlineLevel="0" collapsed="false">
      <c r="A23" s="47" t="str">
        <f aca="false">IF($P23=0,"",INDEX(工单[单据编号],$P23-ROW(工单[#Headers]))&amp;"")</f>
        <v>7-3002-0503</v>
      </c>
      <c r="B23" s="48" t="str">
        <f aca="false">IF($P23=0,"",INDEX(工单[类型],$P23-ROW(工单[#Headers]))&amp;"")</f>
        <v>入户</v>
      </c>
      <c r="C23" s="48" t="str">
        <f aca="false">IF($P23=0,"",INDEX(工单[楼栋],$P23-ROW(工单[#Headers]))&amp;"")</f>
        <v>7栋</v>
      </c>
      <c r="D23" s="48" t="str">
        <f aca="false">IF($P23=0,"",INDEX(工单[房号/位置],$P23-ROW(工单[#Headers]))&amp;"")</f>
        <v>3002</v>
      </c>
      <c r="E23" s="49" t="str">
        <f aca="false">IF($P23=0,"",INDEX(工单[报修问题描述],$P23-ROW(工单[#Headers]))&amp;"")</f>
        <v>需要加装插座并固定门把手</v>
      </c>
      <c r="F23" s="49"/>
      <c r="G23" s="49"/>
      <c r="H23" s="48" t="str">
        <f aca="false">IF($P23=0,"",INDEX(工单[维修类别],$P23-ROW(工单[#Headers]))&amp;"")</f>
        <v>电气照明</v>
      </c>
      <c r="I23" s="47" t="str">
        <f aca="false">IF($P23=0,"",INDEX(工单[跟进人1],$P23-ROW(工单[#Headers]))&amp;IF(INDEX(工单[跟进人2],$P23-ROW(工单[#Headers]))="","","、"&amp;INDEX(工单[跟进人2],$P23-ROW(工单[#Headers]))))</f>
        <v>张师傅</v>
      </c>
      <c r="J23" s="50" t="n">
        <f aca="false">IF($P23=0,"",INDEX(工单[报修日期],$P23-ROW(工单[#Headers])))</f>
        <v>45780</v>
      </c>
      <c r="K23" s="51" t="n">
        <f aca="false">IF($P23=0,"",INDEX(工单[处理天数],$P23-ROW(工单[#Headers])))</f>
        <v>4</v>
      </c>
      <c r="L23" s="48" t="str">
        <f aca="false">IF($P23=0,"",IF(INDEX(工单[完成情况],$P23-ROW(工单[#Headers]))="","没填状态",INDEX(工单[完成情况],$P23-ROW(工单[#Headers]))))</f>
        <v>跟进中</v>
      </c>
      <c r="M23" s="49" t="str">
        <f aca="false">IF($P23=0,"",INDEX(工单[维修备注],$P23-ROW(工单[#Headers]))&amp;"")</f>
        <v>门把手已固定，插座待业主买好面板后再约时间</v>
      </c>
      <c r="N23" s="49"/>
      <c r="P23" s="52" t="n">
        <f aca="false">IFERROR(MOD(SUMPRODUCT(LARGE((工单[完成情况]&lt;&gt;"已完成")*ISNUMBER(工单[处理天数])*((0&amp;工单[处理天数])*100000+ROW(工单[处理天数])),13)),100000),0)</f>
        <v>78</v>
      </c>
    </row>
    <row r="24" customFormat="false" ht="18.75" hidden="false" customHeight="true" outlineLevel="0" collapsed="false">
      <c r="A24" s="47" t="str">
        <f aca="false">IF($P24=0,"",INDEX(工单[单据编号],$P24-ROW(工单[#Headers]))&amp;"")</f>
        <v>5-货梯-0504</v>
      </c>
      <c r="B24" s="48" t="str">
        <f aca="false">IF($P24=0,"",INDEX(工单[类型],$P24-ROW(工单[#Headers]))&amp;"")</f>
        <v>公区</v>
      </c>
      <c r="C24" s="48" t="str">
        <f aca="false">IF($P24=0,"",INDEX(工单[楼栋],$P24-ROW(工单[#Headers]))&amp;"")</f>
        <v>5栋</v>
      </c>
      <c r="D24" s="48" t="str">
        <f aca="false">IF($P24=0,"",INDEX(工单[房号/位置],$P24-ROW(工单[#Headers]))&amp;"")</f>
        <v>货梯</v>
      </c>
      <c r="E24" s="49" t="str">
        <f aca="false">IF($P24=0,"",INDEX(工单[报修问题描述],$P24-ROW(工单[#Headers]))&amp;"")</f>
        <v>5栋货梯空调不凉</v>
      </c>
      <c r="F24" s="49"/>
      <c r="G24" s="49"/>
      <c r="H24" s="48" t="str">
        <f aca="false">IF($P24=0,"",INDEX(工单[维修类别],$P24-ROW(工单[#Headers]))&amp;"")</f>
        <v>空调暖通</v>
      </c>
      <c r="I24" s="47" t="str">
        <f aca="false">IF($P24=0,"",INDEX(工单[跟进人1],$P24-ROW(工单[#Headers]))&amp;IF(INDEX(工单[跟进人2],$P24-ROW(工单[#Headers]))="","","、"&amp;INDEX(工单[跟进人2],$P24-ROW(工单[#Headers]))))</f>
        <v/>
      </c>
      <c r="J24" s="50" t="n">
        <f aca="false">IF($P24=0,"",INDEX(工单[报修日期],$P24-ROW(工单[#Headers])))</f>
        <v>45781</v>
      </c>
      <c r="K24" s="51" t="n">
        <f aca="false">IF($P24=0,"",INDEX(工单[处理天数],$P24-ROW(工单[#Headers])))</f>
        <v>3</v>
      </c>
      <c r="L24" s="48" t="str">
        <f aca="false">IF($P24=0,"",IF(INDEX(工单[完成情况],$P24-ROW(工单[#Headers]))="","没填状态",INDEX(工单[完成情况],$P24-ROW(工单[#Headers]))))</f>
        <v>没填状态</v>
      </c>
      <c r="M24" s="49" t="str">
        <f aca="false">IF($P24=0,"",INDEX(工单[维修备注],$P24-ROW(工单[#Headers]))&amp;"")</f>
        <v/>
      </c>
      <c r="N24" s="49"/>
      <c r="P24" s="52" t="n">
        <f aca="false">IFERROR(MOD(SUMPRODUCT(LARGE((工单[完成情况]&lt;&gt;"已完成")*ISNUMBER(工单[处理天数])*((0&amp;工单[处理天数])*100000+ROW(工单[处理天数])),14)),100000),0)</f>
        <v>116</v>
      </c>
    </row>
    <row r="25" customFormat="false" ht="18.75" hidden="false" customHeight="true" outlineLevel="0" collapsed="false">
      <c r="A25" s="47" t="str">
        <f aca="false">IF($P25=0,"",INDEX(工单[单据编号],$P25-ROW(工单[#Headers]))&amp;"")</f>
        <v>11-2904-0504</v>
      </c>
      <c r="B25" s="48" t="str">
        <f aca="false">IF($P25=0,"",INDEX(工单[类型],$P25-ROW(工单[#Headers]))&amp;"")</f>
        <v>入户</v>
      </c>
      <c r="C25" s="48" t="str">
        <f aca="false">IF($P25=0,"",INDEX(工单[楼栋],$P25-ROW(工单[#Headers]))&amp;"")</f>
        <v>11栋</v>
      </c>
      <c r="D25" s="48" t="str">
        <f aca="false">IF($P25=0,"",INDEX(工单[房号/位置],$P25-ROW(工单[#Headers]))&amp;"")</f>
        <v>2904</v>
      </c>
      <c r="E25" s="49" t="str">
        <f aca="false">IF($P25=0,"",INDEX(工单[报修问题描述],$P25-ROW(工单[#Headers]))&amp;"")</f>
        <v>卫生间墙砖空鼓开裂</v>
      </c>
      <c r="F25" s="49"/>
      <c r="G25" s="49"/>
      <c r="H25" s="48" t="str">
        <f aca="false">IF($P25=0,"",INDEX(工单[维修类别],$P25-ROW(工单[#Headers]))&amp;"")</f>
        <v>墙地饰面</v>
      </c>
      <c r="I25" s="47" t="str">
        <f aca="false">IF($P25=0,"",INDEX(工单[跟进人1],$P25-ROW(工单[#Headers]))&amp;IF(INDEX(工单[跟进人2],$P25-ROW(工单[#Headers]))="","","、"&amp;INDEX(工单[跟进人2],$P25-ROW(工单[#Headers]))))</f>
        <v>李师傅</v>
      </c>
      <c r="J25" s="50" t="n">
        <f aca="false">IF($P25=0,"",INDEX(工单[报修日期],$P25-ROW(工单[#Headers])))</f>
        <v>45781</v>
      </c>
      <c r="K25" s="51" t="n">
        <f aca="false">IF($P25=0,"",INDEX(工单[处理天数],$P25-ROW(工单[#Headers])))</f>
        <v>3</v>
      </c>
      <c r="L25" s="48" t="str">
        <f aca="false">IF($P25=0,"",IF(INDEX(工单[完成情况],$P25-ROW(工单[#Headers]))="","没填状态",INDEX(工单[完成情况],$P25-ROW(工单[#Headers]))))</f>
        <v>跟进中</v>
      </c>
      <c r="M25" s="49" t="str">
        <f aca="false">IF($P25=0,"",INDEX(工单[维修备注],$P25-ROW(工单[#Headers]))&amp;"")</f>
        <v>待业主确认施工时间后返修</v>
      </c>
      <c r="N25" s="49"/>
      <c r="P25" s="52" t="n">
        <f aca="false">IFERROR(MOD(SUMPRODUCT(LARGE((工单[完成情况]&lt;&gt;"已完成")*ISNUMBER(工单[处理天数])*((0&amp;工单[处理天数])*100000+ROW(工单[处理天数])),15)),100000),0)</f>
        <v>113</v>
      </c>
    </row>
    <row r="26" customFormat="false" ht="15" hidden="false" customHeight="false" outlineLevel="0" collapsed="false">
      <c r="A26" s="16" t="str">
        <f aca="false">IF(A6&gt;15,"　还有 "&amp;(A6-15)&amp;" 单没列出：在台账里筛选「完成情况」查看。","　没填报修日期的未结单不在这里，台账里会标米黄。")</f>
        <v>　还有 4 单没列出：在台账里筛选「完成情况」查看。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customFormat="false" ht="7.5" hidden="false" customHeight="true" outlineLevel="0" collapsed="false"/>
    <row r="28" customFormat="false" ht="15" hidden="false" customHeight="false" outlineLevel="0" collapsed="false">
      <c r="A28" s="45" t="str">
        <f aca="false">"重复报修户（按第二次报修时间从近到远，最多列 10 户；≥ 3 次建议主管上门回访）　共 "&amp;E6&amp;" 户"</f>
        <v>重复报修户（按第二次报修时间从近到远，最多列 10 户；≥ 3 次建议主管上门回访）　共 5 户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</row>
    <row r="29" customFormat="false" ht="24" hidden="false" customHeight="true" outlineLevel="0" collapsed="false">
      <c r="A29" s="46" t="s">
        <v>63</v>
      </c>
      <c r="B29" s="46" t="s">
        <v>64</v>
      </c>
      <c r="C29" s="46" t="s">
        <v>257</v>
      </c>
      <c r="D29" s="46" t="s">
        <v>258</v>
      </c>
      <c r="E29" s="46" t="s">
        <v>259</v>
      </c>
      <c r="F29" s="46"/>
      <c r="G29" s="46"/>
      <c r="H29" s="46" t="s">
        <v>66</v>
      </c>
      <c r="I29" s="46" t="s">
        <v>254</v>
      </c>
      <c r="J29" s="46" t="s">
        <v>71</v>
      </c>
      <c r="K29" s="46" t="s">
        <v>77</v>
      </c>
      <c r="L29" s="46" t="s">
        <v>75</v>
      </c>
      <c r="M29" s="46"/>
      <c r="N29" s="46"/>
    </row>
    <row r="30" customFormat="false" ht="18.75" hidden="false" customHeight="true" outlineLevel="0" collapsed="false">
      <c r="A30" s="48" t="str">
        <f aca="false">IF($Q30=0,"",INDEX(工单[楼栋],$Q30-ROW(工单[#Headers]))&amp;"")</f>
        <v>6栋</v>
      </c>
      <c r="B30" s="48" t="str">
        <f aca="false">IF($Q30=0,"",INDEX(工单[房号/位置],$Q30-ROW(工单[#Headers]))&amp;"")</f>
        <v>504</v>
      </c>
      <c r="C30" s="58" t="n">
        <f aca="false">IF($Q30=0,"",COUNTIFS(工单[楼栋],A30,工单[房号/位置],B30))</f>
        <v>2</v>
      </c>
      <c r="D30" s="50" t="n">
        <f aca="false">IF($Q30=0,"",INDEX(工单[报修日期],$Q30-ROW(工单[#Headers])))</f>
        <v>45784</v>
      </c>
      <c r="E30" s="49" t="str">
        <f aca="false">IF($Q30=0,"",INDEX(工单[报修问题描述],$Q30-ROW(工单[#Headers]))&amp;"")</f>
        <v>燃气灶点火打不着</v>
      </c>
      <c r="F30" s="49"/>
      <c r="G30" s="49"/>
      <c r="H30" s="48" t="str">
        <f aca="false">IF($Q30=0,"",INDEX(工单[维修类别],$Q30-ROW(工单[#Headers]))&amp;"")</f>
        <v>燃气厨电</v>
      </c>
      <c r="I30" s="48" t="str">
        <f aca="false">IF($Q30=0,"",INDEX(工单[跟进人1],$Q30-ROW(工单[#Headers]))&amp;"")</f>
        <v>张师傅</v>
      </c>
      <c r="J30" s="48" t="str">
        <f aca="false">IF($Q30=0,"",INDEX(工单[完成情况],$Q30-ROW(工单[#Headers]))&amp;"")</f>
        <v>已完成</v>
      </c>
      <c r="K30" s="48" t="str">
        <f aca="false">IF($Q30=0,"",INDEX(工单[维修评价],$Q30-ROW(工单[#Headers]))&amp;"")</f>
        <v>非常满意</v>
      </c>
      <c r="L30" s="49" t="str">
        <f aca="false">IF($Q30=0,"",INDEX(工单[维修备注],$Q30-ROW(工单[#Headers]))&amp;"")</f>
        <v/>
      </c>
      <c r="M30" s="49"/>
      <c r="N30" s="49"/>
      <c r="P30" s="52" t="n">
        <f aca="false">IFERROR(SUMPRODUCT(LARGE((工单[该户第几次]=2)*ROW(工单[该户第几次]),1)),0)</f>
        <v>139</v>
      </c>
      <c r="Q30" s="52" t="n">
        <f aca="false">IF(P30=0,0,SUMPRODUCT(MAX((工单[楼栋]=INDEX(工单[楼栋],P30-ROW(工单[#Headers])))*(工单[房号/位置]=INDEX(工单[房号/位置],P30-ROW(工单[#Headers])))*ROW(工单[楼栋]))))</f>
        <v>139</v>
      </c>
    </row>
    <row r="31" customFormat="false" ht="18.75" hidden="false" customHeight="true" outlineLevel="0" collapsed="false">
      <c r="A31" s="48" t="str">
        <f aca="false">IF($Q31=0,"",INDEX(工单[楼栋],$Q31-ROW(工单[#Headers]))&amp;"")</f>
        <v>8栋</v>
      </c>
      <c r="B31" s="48" t="str">
        <f aca="false">IF($Q31=0,"",INDEX(工单[房号/位置],$Q31-ROW(工单[#Headers]))&amp;"")</f>
        <v>1501</v>
      </c>
      <c r="C31" s="58" t="n">
        <f aca="false">IF($Q31=0,"",COUNTIFS(工单[楼栋],A31,工单[房号/位置],B31))</f>
        <v>3</v>
      </c>
      <c r="D31" s="50" t="n">
        <f aca="false">IF($Q31=0,"",INDEX(工单[报修日期],$Q31-ROW(工单[#Headers])))</f>
        <v>45784</v>
      </c>
      <c r="E31" s="49" t="str">
        <f aca="false">IF($Q31=0,"",INDEX(工单[报修问题描述],$Q31-ROW(工单[#Headers]))&amp;"")</f>
        <v>想挂电视需要打孔</v>
      </c>
      <c r="F31" s="49"/>
      <c r="G31" s="49"/>
      <c r="H31" s="48" t="str">
        <f aca="false">IF($Q31=0,"",INDEX(工单[维修类别],$Q31-ROW(工单[#Headers]))&amp;"")</f>
        <v>其他</v>
      </c>
      <c r="I31" s="48" t="str">
        <f aca="false">IF($Q31=0,"",INDEX(工单[跟进人1],$Q31-ROW(工单[#Headers]))&amp;"")</f>
        <v>张师傅</v>
      </c>
      <c r="J31" s="48" t="str">
        <f aca="false">IF($Q31=0,"",INDEX(工单[完成情况],$Q31-ROW(工单[#Headers]))&amp;"")</f>
        <v>已完成</v>
      </c>
      <c r="K31" s="48" t="str">
        <f aca="false">IF($Q31=0,"",INDEX(工单[维修评价],$Q31-ROW(工单[#Headers]))&amp;"")</f>
        <v>非常满意</v>
      </c>
      <c r="L31" s="49" t="str">
        <f aca="false">IF($Q31=0,"",INDEX(工单[维修备注],$Q31-ROW(工单[#Headers]))&amp;"")</f>
        <v/>
      </c>
      <c r="M31" s="49"/>
      <c r="N31" s="49"/>
      <c r="P31" s="52" t="n">
        <f aca="false">IFERROR(SUMPRODUCT(LARGE((工单[该户第几次]=2)*ROW(工单[该户第几次]),2)),0)</f>
        <v>132</v>
      </c>
      <c r="Q31" s="52" t="n">
        <f aca="false">IF(P31=0,0,SUMPRODUCT(MAX((工单[楼栋]=INDEX(工单[楼栋],P31-ROW(工单[#Headers])))*(工单[房号/位置]=INDEX(工单[房号/位置],P31-ROW(工单[#Headers])))*ROW(工单[楼栋]))))</f>
        <v>141</v>
      </c>
    </row>
    <row r="32" customFormat="false" ht="18.75" hidden="false" customHeight="true" outlineLevel="0" collapsed="false">
      <c r="A32" s="48" t="str">
        <f aca="false">IF($Q32=0,"",INDEX(工单[楼栋],$Q32-ROW(工单[#Headers]))&amp;"")</f>
        <v>7栋</v>
      </c>
      <c r="B32" s="48" t="str">
        <f aca="false">IF($Q32=0,"",INDEX(工单[房号/位置],$Q32-ROW(工单[#Headers]))&amp;"")</f>
        <v>1304</v>
      </c>
      <c r="C32" s="58" t="n">
        <f aca="false">IF($Q32=0,"",COUNTIFS(工单[楼栋],A32,工单[房号/位置],B32))</f>
        <v>2</v>
      </c>
      <c r="D32" s="50" t="n">
        <f aca="false">IF($Q32=0,"",INDEX(工单[报修日期],$Q32-ROW(工单[#Headers])))</f>
        <v>45781</v>
      </c>
      <c r="E32" s="49" t="str">
        <f aca="false">IF($Q32=0,"",INDEX(工单[报修问题描述],$Q32-ROW(工单[#Headers]))&amp;"")</f>
        <v>镜柜铰链到货了，麻烦上门安装</v>
      </c>
      <c r="F32" s="49"/>
      <c r="G32" s="49"/>
      <c r="H32" s="48" t="str">
        <f aca="false">IF($Q32=0,"",INDEX(工单[维修类别],$Q32-ROW(工单[#Headers]))&amp;"")</f>
        <v>门窗五金</v>
      </c>
      <c r="I32" s="48" t="str">
        <f aca="false">IF($Q32=0,"",INDEX(工单[跟进人1],$Q32-ROW(工单[#Headers]))&amp;"")</f>
        <v>张师傅</v>
      </c>
      <c r="J32" s="48" t="str">
        <f aca="false">IF($Q32=0,"",INDEX(工单[完成情况],$Q32-ROW(工单[#Headers]))&amp;"")</f>
        <v>已完成</v>
      </c>
      <c r="K32" s="48" t="str">
        <f aca="false">IF($Q32=0,"",INDEX(工单[维修评价],$Q32-ROW(工单[#Headers]))&amp;"")</f>
        <v>非常满意</v>
      </c>
      <c r="L32" s="49" t="str">
        <f aca="false">IF($Q32=0,"",INDEX(工单[维修备注],$Q32-ROW(工单[#Headers]))&amp;"")</f>
        <v/>
      </c>
      <c r="M32" s="49"/>
      <c r="N32" s="49"/>
      <c r="P32" s="52" t="n">
        <f aca="false">IFERROR(SUMPRODUCT(LARGE((工单[该户第几次]=2)*ROW(工单[该户第几次]),3)),0)</f>
        <v>105</v>
      </c>
      <c r="Q32" s="52" t="n">
        <f aca="false">IF(P32=0,0,SUMPRODUCT(MAX((工单[楼栋]=INDEX(工单[楼栋],P32-ROW(工单[#Headers])))*(工单[房号/位置]=INDEX(工单[房号/位置],P32-ROW(工单[#Headers])))*ROW(工单[楼栋]))))</f>
        <v>105</v>
      </c>
    </row>
    <row r="33" customFormat="false" ht="18.75" hidden="false" customHeight="true" outlineLevel="0" collapsed="false">
      <c r="A33" s="48" t="str">
        <f aca="false">IF($Q33=0,"",INDEX(工单[楼栋],$Q33-ROW(工单[#Headers]))&amp;"")</f>
        <v>5栋</v>
      </c>
      <c r="B33" s="48" t="str">
        <f aca="false">IF($Q33=0,"",INDEX(工单[房号/位置],$Q33-ROW(工单[#Headers]))&amp;"")</f>
        <v>503</v>
      </c>
      <c r="C33" s="58" t="n">
        <f aca="false">IF($Q33=0,"",COUNTIFS(工单[楼栋],A33,工单[房号/位置],B33))</f>
        <v>2</v>
      </c>
      <c r="D33" s="50" t="n">
        <f aca="false">IF($Q33=0,"",INDEX(工单[报修日期],$Q33-ROW(工单[#Headers])))</f>
        <v>45779</v>
      </c>
      <c r="E33" s="49" t="str">
        <f aca="false">IF($Q33=0,"",INDEX(工单[报修问题描述],$Q33-ROW(工单[#Headers]))&amp;"")</f>
        <v>厨房、卫生间门槛石松动</v>
      </c>
      <c r="F33" s="49"/>
      <c r="G33" s="49"/>
      <c r="H33" s="48" t="str">
        <f aca="false">IF($Q33=0,"",INDEX(工单[维修类别],$Q33-ROW(工单[#Headers]))&amp;"")</f>
        <v>墙地饰面</v>
      </c>
      <c r="I33" s="48" t="str">
        <f aca="false">IF($Q33=0,"",INDEX(工单[跟进人1],$Q33-ROW(工单[#Headers]))&amp;"")</f>
        <v>李师傅</v>
      </c>
      <c r="J33" s="48" t="str">
        <f aca="false">IF($Q33=0,"",INDEX(工单[完成情况],$Q33-ROW(工单[#Headers]))&amp;"")</f>
        <v>已完成</v>
      </c>
      <c r="K33" s="48" t="str">
        <f aca="false">IF($Q33=0,"",INDEX(工单[维修评价],$Q33-ROW(工单[#Headers]))&amp;"")</f>
        <v>非常满意</v>
      </c>
      <c r="L33" s="49" t="str">
        <f aca="false">IF($Q33=0,"",INDEX(工单[维修备注],$Q33-ROW(工单[#Headers]))&amp;"")</f>
        <v/>
      </c>
      <c r="M33" s="49"/>
      <c r="N33" s="49"/>
      <c r="P33" s="52" t="n">
        <f aca="false">IFERROR(SUMPRODUCT(LARGE((工单[该户第几次]=2)*ROW(工单[该户第几次]),4)),0)</f>
        <v>55</v>
      </c>
      <c r="Q33" s="52" t="n">
        <f aca="false">IF(P33=0,0,SUMPRODUCT(MAX((工单[楼栋]=INDEX(工单[楼栋],P33-ROW(工单[#Headers])))*(工单[房号/位置]=INDEX(工单[房号/位置],P33-ROW(工单[#Headers])))*ROW(工单[楼栋]))))</f>
        <v>55</v>
      </c>
    </row>
    <row r="34" customFormat="false" ht="18.75" hidden="false" customHeight="true" outlineLevel="0" collapsed="false">
      <c r="A34" s="48" t="str">
        <f aca="false">IF($Q34=0,"",INDEX(工单[楼栋],$Q34-ROW(工单[#Headers]))&amp;"")</f>
        <v>公共区域</v>
      </c>
      <c r="B34" s="48" t="str">
        <f aca="false">IF($Q34=0,"",INDEX(工单[房号/位置],$Q34-ROW(工单[#Headers]))&amp;"")</f>
        <v>东大门</v>
      </c>
      <c r="C34" s="58" t="n">
        <f aca="false">IF($Q34=0,"",COUNTIFS(工单[楼栋],A34,工单[房号/位置],B34))</f>
        <v>2</v>
      </c>
      <c r="D34" s="50" t="n">
        <f aca="false">IF($Q34=0,"",INDEX(工单[报修日期],$Q34-ROW(工单[#Headers])))</f>
        <v>45778</v>
      </c>
      <c r="E34" s="49" t="str">
        <f aca="false">IF($Q34=0,"",INDEX(工单[报修问题描述],$Q34-ROW(工单[#Headers]))&amp;"")</f>
        <v>门岗天花受潮破损修缮</v>
      </c>
      <c r="F34" s="49"/>
      <c r="G34" s="49"/>
      <c r="H34" s="48" t="str">
        <f aca="false">IF($Q34=0,"",INDEX(工单[维修类别],$Q34-ROW(工单[#Headers]))&amp;"")</f>
        <v>墙地饰面</v>
      </c>
      <c r="I34" s="48" t="str">
        <f aca="false">IF($Q34=0,"",INDEX(工单[跟进人1],$Q34-ROW(工单[#Headers]))&amp;"")</f>
        <v>刘师傅</v>
      </c>
      <c r="J34" s="48" t="str">
        <f aca="false">IF($Q34=0,"",INDEX(工单[完成情况],$Q34-ROW(工单[#Headers]))&amp;"")</f>
        <v>跟进中</v>
      </c>
      <c r="K34" s="48" t="str">
        <f aca="false">IF($Q34=0,"",INDEX(工单[维修评价],$Q34-ROW(工单[#Headers]))&amp;"")</f>
        <v/>
      </c>
      <c r="L34" s="49" t="str">
        <f aca="false">IF($Q34=0,"",INDEX(工单[维修备注],$Q34-ROW(工单[#Headers]))&amp;"")</f>
        <v>已补洞批腻子，待干燥后打磨刷乳胶漆</v>
      </c>
      <c r="M34" s="49"/>
      <c r="N34" s="49"/>
      <c r="P34" s="52" t="n">
        <f aca="false">IFERROR(SUMPRODUCT(LARGE((工单[该户第几次]=2)*ROW(工单[该户第几次]),5)),0)</f>
        <v>39</v>
      </c>
      <c r="Q34" s="52" t="n">
        <f aca="false">IF(P34=0,0,SUMPRODUCT(MAX((工单[楼栋]=INDEX(工单[楼栋],P34-ROW(工单[#Headers])))*(工单[房号/位置]=INDEX(工单[房号/位置],P34-ROW(工单[#Headers])))*ROW(工单[楼栋]))))</f>
        <v>39</v>
      </c>
    </row>
    <row r="35" customFormat="false" ht="18.75" hidden="false" customHeight="true" outlineLevel="0" collapsed="false">
      <c r="A35" s="48" t="str">
        <f aca="false">IF($Q35=0,"",INDEX(工单[楼栋],$Q35-ROW(工单[#Headers]))&amp;"")</f>
        <v/>
      </c>
      <c r="B35" s="48" t="str">
        <f aca="false">IF($Q35=0,"",INDEX(工单[房号/位置],$Q35-ROW(工单[#Headers]))&amp;"")</f>
        <v/>
      </c>
      <c r="C35" s="58" t="str">
        <f aca="false">IF($Q35=0,"",COUNTIFS(工单[楼栋],A35,工单[房号/位置],B35))</f>
        <v/>
      </c>
      <c r="D35" s="50" t="str">
        <f aca="false">IF($Q35=0,"",INDEX(工单[报修日期],$Q35-ROW(工单[#Headers])))</f>
        <v/>
      </c>
      <c r="E35" s="49" t="str">
        <f aca="false">IF($Q35=0,"",INDEX(工单[报修问题描述],$Q35-ROW(工单[#Headers]))&amp;"")</f>
        <v/>
      </c>
      <c r="F35" s="49"/>
      <c r="G35" s="49"/>
      <c r="H35" s="48" t="str">
        <f aca="false">IF($Q35=0,"",INDEX(工单[维修类别],$Q35-ROW(工单[#Headers]))&amp;"")</f>
        <v/>
      </c>
      <c r="I35" s="48" t="str">
        <f aca="false">IF($Q35=0,"",INDEX(工单[跟进人1],$Q35-ROW(工单[#Headers]))&amp;"")</f>
        <v/>
      </c>
      <c r="J35" s="48" t="str">
        <f aca="false">IF($Q35=0,"",INDEX(工单[完成情况],$Q35-ROW(工单[#Headers]))&amp;"")</f>
        <v/>
      </c>
      <c r="K35" s="48" t="str">
        <f aca="false">IF($Q35=0,"",INDEX(工单[维修评价],$Q35-ROW(工单[#Headers]))&amp;"")</f>
        <v/>
      </c>
      <c r="L35" s="49" t="str">
        <f aca="false">IF($Q35=0,"",INDEX(工单[维修备注],$Q35-ROW(工单[#Headers]))&amp;"")</f>
        <v/>
      </c>
      <c r="M35" s="49"/>
      <c r="N35" s="49"/>
      <c r="P35" s="52" t="n">
        <f aca="false">IFERROR(SUMPRODUCT(LARGE((工单[该户第几次]=2)*ROW(工单[该户第几次]),6)),0)</f>
        <v>0</v>
      </c>
      <c r="Q35" s="52" t="n">
        <f aca="false">IF(P35=0,0,SUMPRODUCT(MAX((工单[楼栋]=INDEX(工单[楼栋],P35-ROW(工单[#Headers])))*(工单[房号/位置]=INDEX(工单[房号/位置],P35-ROW(工单[#Headers])))*ROW(工单[楼栋]))))</f>
        <v>0</v>
      </c>
    </row>
    <row r="36" customFormat="false" ht="18.75" hidden="false" customHeight="true" outlineLevel="0" collapsed="false">
      <c r="A36" s="48" t="str">
        <f aca="false">IF($Q36=0,"",INDEX(工单[楼栋],$Q36-ROW(工单[#Headers]))&amp;"")</f>
        <v/>
      </c>
      <c r="B36" s="48" t="str">
        <f aca="false">IF($Q36=0,"",INDEX(工单[房号/位置],$Q36-ROW(工单[#Headers]))&amp;"")</f>
        <v/>
      </c>
      <c r="C36" s="58" t="str">
        <f aca="false">IF($Q36=0,"",COUNTIFS(工单[楼栋],A36,工单[房号/位置],B36))</f>
        <v/>
      </c>
      <c r="D36" s="50" t="str">
        <f aca="false">IF($Q36=0,"",INDEX(工单[报修日期],$Q36-ROW(工单[#Headers])))</f>
        <v/>
      </c>
      <c r="E36" s="49" t="str">
        <f aca="false">IF($Q36=0,"",INDEX(工单[报修问题描述],$Q36-ROW(工单[#Headers]))&amp;"")</f>
        <v/>
      </c>
      <c r="F36" s="49"/>
      <c r="G36" s="49"/>
      <c r="H36" s="48" t="str">
        <f aca="false">IF($Q36=0,"",INDEX(工单[维修类别],$Q36-ROW(工单[#Headers]))&amp;"")</f>
        <v/>
      </c>
      <c r="I36" s="48" t="str">
        <f aca="false">IF($Q36=0,"",INDEX(工单[跟进人1],$Q36-ROW(工单[#Headers]))&amp;"")</f>
        <v/>
      </c>
      <c r="J36" s="48" t="str">
        <f aca="false">IF($Q36=0,"",INDEX(工单[完成情况],$Q36-ROW(工单[#Headers]))&amp;"")</f>
        <v/>
      </c>
      <c r="K36" s="48" t="str">
        <f aca="false">IF($Q36=0,"",INDEX(工单[维修评价],$Q36-ROW(工单[#Headers]))&amp;"")</f>
        <v/>
      </c>
      <c r="L36" s="49" t="str">
        <f aca="false">IF($Q36=0,"",INDEX(工单[维修备注],$Q36-ROW(工单[#Headers]))&amp;"")</f>
        <v/>
      </c>
      <c r="M36" s="49"/>
      <c r="N36" s="49"/>
      <c r="P36" s="52" t="n">
        <f aca="false">IFERROR(SUMPRODUCT(LARGE((工单[该户第几次]=2)*ROW(工单[该户第几次]),7)),0)</f>
        <v>0</v>
      </c>
      <c r="Q36" s="52" t="n">
        <f aca="false">IF(P36=0,0,SUMPRODUCT(MAX((工单[楼栋]=INDEX(工单[楼栋],P36-ROW(工单[#Headers])))*(工单[房号/位置]=INDEX(工单[房号/位置],P36-ROW(工单[#Headers])))*ROW(工单[楼栋]))))</f>
        <v>0</v>
      </c>
    </row>
    <row r="37" customFormat="false" ht="18.75" hidden="false" customHeight="true" outlineLevel="0" collapsed="false">
      <c r="A37" s="48" t="str">
        <f aca="false">IF($Q37=0,"",INDEX(工单[楼栋],$Q37-ROW(工单[#Headers]))&amp;"")</f>
        <v/>
      </c>
      <c r="B37" s="48" t="str">
        <f aca="false">IF($Q37=0,"",INDEX(工单[房号/位置],$Q37-ROW(工单[#Headers]))&amp;"")</f>
        <v/>
      </c>
      <c r="C37" s="58" t="str">
        <f aca="false">IF($Q37=0,"",COUNTIFS(工单[楼栋],A37,工单[房号/位置],B37))</f>
        <v/>
      </c>
      <c r="D37" s="50" t="str">
        <f aca="false">IF($Q37=0,"",INDEX(工单[报修日期],$Q37-ROW(工单[#Headers])))</f>
        <v/>
      </c>
      <c r="E37" s="49" t="str">
        <f aca="false">IF($Q37=0,"",INDEX(工单[报修问题描述],$Q37-ROW(工单[#Headers]))&amp;"")</f>
        <v/>
      </c>
      <c r="F37" s="49"/>
      <c r="G37" s="49"/>
      <c r="H37" s="48" t="str">
        <f aca="false">IF($Q37=0,"",INDEX(工单[维修类别],$Q37-ROW(工单[#Headers]))&amp;"")</f>
        <v/>
      </c>
      <c r="I37" s="48" t="str">
        <f aca="false">IF($Q37=0,"",INDEX(工单[跟进人1],$Q37-ROW(工单[#Headers]))&amp;"")</f>
        <v/>
      </c>
      <c r="J37" s="48" t="str">
        <f aca="false">IF($Q37=0,"",INDEX(工单[完成情况],$Q37-ROW(工单[#Headers]))&amp;"")</f>
        <v/>
      </c>
      <c r="K37" s="48" t="str">
        <f aca="false">IF($Q37=0,"",INDEX(工单[维修评价],$Q37-ROW(工单[#Headers]))&amp;"")</f>
        <v/>
      </c>
      <c r="L37" s="49" t="str">
        <f aca="false">IF($Q37=0,"",INDEX(工单[维修备注],$Q37-ROW(工单[#Headers]))&amp;"")</f>
        <v/>
      </c>
      <c r="M37" s="49"/>
      <c r="N37" s="49"/>
      <c r="P37" s="52" t="n">
        <f aca="false">IFERROR(SUMPRODUCT(LARGE((工单[该户第几次]=2)*ROW(工单[该户第几次]),8)),0)</f>
        <v>0</v>
      </c>
      <c r="Q37" s="52" t="n">
        <f aca="false">IF(P37=0,0,SUMPRODUCT(MAX((工单[楼栋]=INDEX(工单[楼栋],P37-ROW(工单[#Headers])))*(工单[房号/位置]=INDEX(工单[房号/位置],P37-ROW(工单[#Headers])))*ROW(工单[楼栋]))))</f>
        <v>0</v>
      </c>
    </row>
    <row r="38" customFormat="false" ht="18.75" hidden="false" customHeight="true" outlineLevel="0" collapsed="false">
      <c r="A38" s="48" t="str">
        <f aca="false">IF($Q38=0,"",INDEX(工单[楼栋],$Q38-ROW(工单[#Headers]))&amp;"")</f>
        <v/>
      </c>
      <c r="B38" s="48" t="str">
        <f aca="false">IF($Q38=0,"",INDEX(工单[房号/位置],$Q38-ROW(工单[#Headers]))&amp;"")</f>
        <v/>
      </c>
      <c r="C38" s="58" t="str">
        <f aca="false">IF($Q38=0,"",COUNTIFS(工单[楼栋],A38,工单[房号/位置],B38))</f>
        <v/>
      </c>
      <c r="D38" s="50" t="str">
        <f aca="false">IF($Q38=0,"",INDEX(工单[报修日期],$Q38-ROW(工单[#Headers])))</f>
        <v/>
      </c>
      <c r="E38" s="49" t="str">
        <f aca="false">IF($Q38=0,"",INDEX(工单[报修问题描述],$Q38-ROW(工单[#Headers]))&amp;"")</f>
        <v/>
      </c>
      <c r="F38" s="49"/>
      <c r="G38" s="49"/>
      <c r="H38" s="48" t="str">
        <f aca="false">IF($Q38=0,"",INDEX(工单[维修类别],$Q38-ROW(工单[#Headers]))&amp;"")</f>
        <v/>
      </c>
      <c r="I38" s="48" t="str">
        <f aca="false">IF($Q38=0,"",INDEX(工单[跟进人1],$Q38-ROW(工单[#Headers]))&amp;"")</f>
        <v/>
      </c>
      <c r="J38" s="48" t="str">
        <f aca="false">IF($Q38=0,"",INDEX(工单[完成情况],$Q38-ROW(工单[#Headers]))&amp;"")</f>
        <v/>
      </c>
      <c r="K38" s="48" t="str">
        <f aca="false">IF($Q38=0,"",INDEX(工单[维修评价],$Q38-ROW(工单[#Headers]))&amp;"")</f>
        <v/>
      </c>
      <c r="L38" s="49" t="str">
        <f aca="false">IF($Q38=0,"",INDEX(工单[维修备注],$Q38-ROW(工单[#Headers]))&amp;"")</f>
        <v/>
      </c>
      <c r="M38" s="49"/>
      <c r="N38" s="49"/>
      <c r="P38" s="52" t="n">
        <f aca="false">IFERROR(SUMPRODUCT(LARGE((工单[该户第几次]=2)*ROW(工单[该户第几次]),9)),0)</f>
        <v>0</v>
      </c>
      <c r="Q38" s="52" t="n">
        <f aca="false">IF(P38=0,0,SUMPRODUCT(MAX((工单[楼栋]=INDEX(工单[楼栋],P38-ROW(工单[#Headers])))*(工单[房号/位置]=INDEX(工单[房号/位置],P38-ROW(工单[#Headers])))*ROW(工单[楼栋]))))</f>
        <v>0</v>
      </c>
    </row>
    <row r="39" customFormat="false" ht="18.75" hidden="false" customHeight="true" outlineLevel="0" collapsed="false">
      <c r="A39" s="48" t="str">
        <f aca="false">IF($Q39=0,"",INDEX(工单[楼栋],$Q39-ROW(工单[#Headers]))&amp;"")</f>
        <v/>
      </c>
      <c r="B39" s="48" t="str">
        <f aca="false">IF($Q39=0,"",INDEX(工单[房号/位置],$Q39-ROW(工单[#Headers]))&amp;"")</f>
        <v/>
      </c>
      <c r="C39" s="58" t="str">
        <f aca="false">IF($Q39=0,"",COUNTIFS(工单[楼栋],A39,工单[房号/位置],B39))</f>
        <v/>
      </c>
      <c r="D39" s="50" t="str">
        <f aca="false">IF($Q39=0,"",INDEX(工单[报修日期],$Q39-ROW(工单[#Headers])))</f>
        <v/>
      </c>
      <c r="E39" s="49" t="str">
        <f aca="false">IF($Q39=0,"",INDEX(工单[报修问题描述],$Q39-ROW(工单[#Headers]))&amp;"")</f>
        <v/>
      </c>
      <c r="F39" s="49"/>
      <c r="G39" s="49"/>
      <c r="H39" s="48" t="str">
        <f aca="false">IF($Q39=0,"",INDEX(工单[维修类别],$Q39-ROW(工单[#Headers]))&amp;"")</f>
        <v/>
      </c>
      <c r="I39" s="48" t="str">
        <f aca="false">IF($Q39=0,"",INDEX(工单[跟进人1],$Q39-ROW(工单[#Headers]))&amp;"")</f>
        <v/>
      </c>
      <c r="J39" s="48" t="str">
        <f aca="false">IF($Q39=0,"",INDEX(工单[完成情况],$Q39-ROW(工单[#Headers]))&amp;"")</f>
        <v/>
      </c>
      <c r="K39" s="48" t="str">
        <f aca="false">IF($Q39=0,"",INDEX(工单[维修评价],$Q39-ROW(工单[#Headers]))&amp;"")</f>
        <v/>
      </c>
      <c r="L39" s="49" t="str">
        <f aca="false">IF($Q39=0,"",INDEX(工单[维修备注],$Q39-ROW(工单[#Headers]))&amp;"")</f>
        <v/>
      </c>
      <c r="M39" s="49"/>
      <c r="N39" s="49"/>
      <c r="P39" s="52" t="n">
        <f aca="false">IFERROR(SUMPRODUCT(LARGE((工单[该户第几次]=2)*ROW(工单[该户第几次]),10)),0)</f>
        <v>0</v>
      </c>
      <c r="Q39" s="52" t="n">
        <f aca="false">IF(P39=0,0,SUMPRODUCT(MAX((工单[楼栋]=INDEX(工单[楼栋],P39-ROW(工单[#Headers])))*(工单[房号/位置]=INDEX(工单[房号/位置],P39-ROW(工单[#Headers])))*ROW(工单[楼栋]))))</f>
        <v>0</v>
      </c>
    </row>
    <row r="40" customFormat="false" ht="7.5" hidden="false" customHeight="true" outlineLevel="0" collapsed="false"/>
    <row r="41" customFormat="false" ht="25.5" hidden="false" customHeight="true" outlineLevel="0" collapsed="false">
      <c r="A41" s="33" t="str">
        <f aca="false">"二、这一期的表现　（"&amp;$E$2&amp;"）"</f>
        <v>二、这一期的表现　（本月）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</row>
    <row r="42" customFormat="false" ht="19.5" hidden="false" customHeight="true" outlineLevel="0" collapsed="false">
      <c r="A42" s="34" t="s">
        <v>260</v>
      </c>
      <c r="B42" s="34"/>
      <c r="C42" s="35" t="s">
        <v>261</v>
      </c>
      <c r="D42" s="35"/>
      <c r="E42" s="35" t="s">
        <v>262</v>
      </c>
      <c r="F42" s="35"/>
      <c r="G42" s="35" t="s">
        <v>263</v>
      </c>
      <c r="H42" s="35"/>
      <c r="I42" s="35" t="s">
        <v>264</v>
      </c>
      <c r="J42" s="35"/>
      <c r="K42" s="36"/>
      <c r="L42" s="36"/>
      <c r="M42" s="36"/>
      <c r="N42" s="36"/>
    </row>
    <row r="43" customFormat="false" ht="36" hidden="false" customHeight="true" outlineLevel="0" collapsed="false">
      <c r="A43" s="37" t="n">
        <f aca="false">COUNTIFS(工单[报修日期],"&gt;="&amp;期初,工单[报修日期],"&lt;="&amp;期末)</f>
        <v>143</v>
      </c>
      <c r="B43" s="37"/>
      <c r="C43" s="60" t="n">
        <f aca="false">IFERROR(COUNTIFS(工单[报修日期],"&gt;="&amp;期初,工单[报修日期],"&lt;="&amp;期末,工单[完成情况],"已完成")/A43,"-")</f>
        <v>0.867132867132867</v>
      </c>
      <c r="D43" s="60"/>
      <c r="E43" s="60" t="n">
        <f aca="false">IFERROR((COUNTIFS(工单[报修日期],"&gt;="&amp;期初,工单[报修日期],"&lt;="&amp;期末,工单[维修评价],"非常满意")+COUNTIFS(工单[报修日期],"&gt;="&amp;期初,工单[报修日期],"&lt;="&amp;期末,工单[维修评价],"满意"))/COUNTIFS(工单[报修日期],"&gt;="&amp;期初,工单[报修日期],"&lt;="&amp;期末,工单[维修评价],"&lt;&gt;"),"-")</f>
        <v>0.990990990990991</v>
      </c>
      <c r="F43" s="60"/>
      <c r="G43" s="61" t="str">
        <f aca="false">IFERROR(SUMIFS(工单[处理天数],工单[报修日期],"&gt;="&amp;期初,工单[报修日期],"&lt;="&amp;期末,工单[完成情况],"已完成",工单[完成日期],"&lt;&gt;")/COUNTIFS(工单[报修日期],"&gt;="&amp;期初,工单[报修日期],"&lt;="&amp;期末,工单[完成情况],"已完成",工单[完成日期],"&lt;&gt;"),"-")</f>
        <v>-</v>
      </c>
      <c r="H43" s="61"/>
      <c r="I43" s="62" t="n">
        <f aca="false">SUMIFS(工单[耗材费(元)],工单[报修日期],"&gt;="&amp;期初,工单[报修日期],"&lt;="&amp;期末)</f>
        <v>0</v>
      </c>
      <c r="J43" s="62"/>
      <c r="K43" s="41"/>
      <c r="L43" s="41"/>
      <c r="M43" s="41"/>
      <c r="N43" s="41"/>
    </row>
    <row r="44" customFormat="false" ht="18" hidden="false" customHeight="true" outlineLevel="0" collapsed="false">
      <c r="A44" s="42" t="s">
        <v>265</v>
      </c>
      <c r="B44" s="42"/>
      <c r="C44" s="43" t="s">
        <v>266</v>
      </c>
      <c r="D44" s="43"/>
      <c r="E44" s="43" t="s">
        <v>267</v>
      </c>
      <c r="F44" s="43"/>
      <c r="G44" s="43" t="s">
        <v>268</v>
      </c>
      <c r="H44" s="43"/>
      <c r="I44" s="43" t="s">
        <v>269</v>
      </c>
      <c r="J44" s="43"/>
      <c r="K44" s="44"/>
      <c r="L44" s="44"/>
      <c r="M44" s="44"/>
      <c r="N44" s="44"/>
    </row>
    <row r="45" customFormat="false" ht="7.5" hidden="false" customHeight="true" outlineLevel="0" collapsed="false"/>
    <row r="46" customFormat="false" ht="15" hidden="false" customHeight="false" outlineLevel="0" collapsed="false">
      <c r="A46" s="45" t="s">
        <v>270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</row>
    <row r="47" customFormat="false" ht="24" hidden="false" customHeight="true" outlineLevel="0" collapsed="false">
      <c r="A47" s="46" t="s">
        <v>271</v>
      </c>
      <c r="B47" s="46" t="s">
        <v>51</v>
      </c>
      <c r="C47" s="46" t="s">
        <v>272</v>
      </c>
      <c r="D47" s="46" t="s">
        <v>86</v>
      </c>
      <c r="E47" s="46" t="s">
        <v>273</v>
      </c>
      <c r="F47" s="46" t="s">
        <v>261</v>
      </c>
      <c r="G47" s="46" t="s">
        <v>87</v>
      </c>
      <c r="H47" s="46" t="s">
        <v>98</v>
      </c>
      <c r="I47" s="46" t="s">
        <v>100</v>
      </c>
      <c r="J47" s="46" t="s">
        <v>274</v>
      </c>
      <c r="K47" s="46" t="s">
        <v>262</v>
      </c>
      <c r="L47" s="46" t="s">
        <v>275</v>
      </c>
      <c r="M47" s="46" t="s">
        <v>58</v>
      </c>
      <c r="N47" s="46"/>
    </row>
    <row r="48" customFormat="false" ht="19.5" hidden="false" customHeight="true" outlineLevel="0" collapsed="false">
      <c r="A48" s="63" t="str">
        <f aca="false">IF(INDEX(设置!$F$26:$F$30,MATCH(1,设置!$P$26:$P$30,0))=0,"—","第 1 名")</f>
        <v>第 1 名</v>
      </c>
      <c r="B48" s="63" t="str">
        <f aca="false">INDEX(设置!$E$26:$E$30,MATCH(1,设置!$P$26:$P$30,0))</f>
        <v>张师傅</v>
      </c>
      <c r="C48" s="64" t="n">
        <f aca="false">INDEX(设置!$F$26:$F$30,MATCH(1,设置!$P$26:$P$30,0))</f>
        <v>67</v>
      </c>
      <c r="D48" s="64" t="n">
        <f aca="false">INDEX(设置!$G$26:$G$30,MATCH(1,设置!$P$26:$P$30,0))</f>
        <v>64</v>
      </c>
      <c r="E48" s="64" t="n">
        <f aca="false">INDEX(设置!$H$26:$H$30,MATCH(1,设置!$P$26:$P$30,0))</f>
        <v>3</v>
      </c>
      <c r="F48" s="65" t="n">
        <f aca="false">IFERROR(D48/C48,"")</f>
        <v>0.955223880597015</v>
      </c>
      <c r="G48" s="64" t="n">
        <f aca="false">INDEX(设置!$I$26:$I$30,MATCH(1,设置!$P$26:$P$30,0))</f>
        <v>52</v>
      </c>
      <c r="H48" s="64" t="n">
        <f aca="false">INDEX(设置!$J$26:$J$30,MATCH(1,设置!$P$26:$P$30,0))</f>
        <v>2</v>
      </c>
      <c r="I48" s="64" t="n">
        <f aca="false">INDEX(设置!$K$26:$K$30,MATCH(1,设置!$P$26:$P$30,0))</f>
        <v>1</v>
      </c>
      <c r="J48" s="64" t="n">
        <f aca="false">INDEX(设置!$L$26:$L$30,MATCH(1,设置!$P$26:$P$30,0))</f>
        <v>0</v>
      </c>
      <c r="K48" s="65" t="n">
        <f aca="false">IFERROR((G48+H48)/SUM(G48:J48),"")</f>
        <v>0.981818181818182</v>
      </c>
      <c r="L48" s="66" t="n">
        <f aca="false">INDEX(设置!$N$26:$N$30,MATCH(1,设置!$P$26:$P$30,0))</f>
        <v>98.5</v>
      </c>
      <c r="M48" s="63" t="str">
        <f aca="false">IFERROR(INDEX(工单台账!$H$4:$L$4,MATCH(B48,工单台账!$H$2:$L$2,0)),"")</f>
        <v>休息</v>
      </c>
      <c r="N48" s="63"/>
    </row>
    <row r="49" customFormat="false" ht="19.5" hidden="false" customHeight="true" outlineLevel="0" collapsed="false">
      <c r="A49" s="63" t="str">
        <f aca="false">IF(INDEX(设置!$F$26:$F$30,MATCH(2,设置!$P$26:$P$30,0))=0,"—","第 2 名")</f>
        <v>第 2 名</v>
      </c>
      <c r="B49" s="63" t="str">
        <f aca="false">INDEX(设置!$E$26:$E$30,MATCH(2,设置!$P$26:$P$30,0))</f>
        <v>李师傅</v>
      </c>
      <c r="C49" s="64" t="n">
        <f aca="false">INDEX(设置!$F$26:$F$30,MATCH(2,设置!$P$26:$P$30,0))</f>
        <v>40</v>
      </c>
      <c r="D49" s="64" t="n">
        <f aca="false">INDEX(设置!$G$26:$G$30,MATCH(2,设置!$P$26:$P$30,0))</f>
        <v>33</v>
      </c>
      <c r="E49" s="64" t="n">
        <f aca="false">INDEX(设置!$H$26:$H$30,MATCH(2,设置!$P$26:$P$30,0))</f>
        <v>7</v>
      </c>
      <c r="F49" s="65" t="n">
        <f aca="false">IFERROR(D49/C49,"")</f>
        <v>0.825</v>
      </c>
      <c r="G49" s="64" t="n">
        <f aca="false">INDEX(设置!$I$26:$I$30,MATCH(2,设置!$P$26:$P$30,0))</f>
        <v>32</v>
      </c>
      <c r="H49" s="64" t="n">
        <f aca="false">INDEX(设置!$J$26:$J$30,MATCH(2,设置!$P$26:$P$30,0))</f>
        <v>4</v>
      </c>
      <c r="I49" s="64" t="n">
        <f aca="false">INDEX(设置!$K$26:$K$30,MATCH(2,设置!$P$26:$P$30,0))</f>
        <v>0</v>
      </c>
      <c r="J49" s="64" t="n">
        <f aca="false">INDEX(设置!$L$26:$L$30,MATCH(2,设置!$P$26:$P$30,0))</f>
        <v>0</v>
      </c>
      <c r="K49" s="65" t="n">
        <f aca="false">IFERROR((G49+H49)/SUM(G49:J49),"")</f>
        <v>1</v>
      </c>
      <c r="L49" s="66" t="n">
        <f aca="false">INDEX(设置!$N$26:$N$30,MATCH(2,设置!$P$26:$P$30,0))</f>
        <v>97.8</v>
      </c>
      <c r="M49" s="63" t="str">
        <f aca="false">IFERROR(INDEX(工单台账!$H$4:$L$4,MATCH(B49,工单台账!$H$2:$L$2,0)),"")</f>
        <v>在岗 7 单</v>
      </c>
      <c r="N49" s="63"/>
    </row>
    <row r="50" customFormat="false" ht="19.5" hidden="false" customHeight="true" outlineLevel="0" collapsed="false">
      <c r="A50" s="63" t="str">
        <f aca="false">IF(INDEX(设置!$F$26:$F$30,MATCH(3,设置!$P$26:$P$30,0))=0,"—","第 3 名")</f>
        <v>第 3 名</v>
      </c>
      <c r="B50" s="63" t="str">
        <f aca="false">INDEX(设置!$E$26:$E$30,MATCH(3,设置!$P$26:$P$30,0))</f>
        <v>陈师傅</v>
      </c>
      <c r="C50" s="64" t="n">
        <f aca="false">INDEX(设置!$F$26:$F$30,MATCH(3,设置!$P$26:$P$30,0))</f>
        <v>16</v>
      </c>
      <c r="D50" s="64" t="n">
        <f aca="false">INDEX(设置!$G$26:$G$30,MATCH(3,设置!$P$26:$P$30,0))</f>
        <v>12</v>
      </c>
      <c r="E50" s="64" t="n">
        <f aca="false">INDEX(设置!$H$26:$H$30,MATCH(3,设置!$P$26:$P$30,0))</f>
        <v>4</v>
      </c>
      <c r="F50" s="65" t="n">
        <f aca="false">IFERROR(D50/C50,"")</f>
        <v>0.75</v>
      </c>
      <c r="G50" s="64" t="n">
        <f aca="false">INDEX(设置!$I$26:$I$30,MATCH(3,设置!$P$26:$P$30,0))</f>
        <v>4</v>
      </c>
      <c r="H50" s="64" t="n">
        <f aca="false">INDEX(设置!$J$26:$J$30,MATCH(3,设置!$P$26:$P$30,0))</f>
        <v>1</v>
      </c>
      <c r="I50" s="64" t="n">
        <f aca="false">INDEX(设置!$K$26:$K$30,MATCH(3,设置!$P$26:$P$30,0))</f>
        <v>0</v>
      </c>
      <c r="J50" s="64" t="n">
        <f aca="false">INDEX(设置!$L$26:$L$30,MATCH(3,设置!$P$26:$P$30,0))</f>
        <v>0</v>
      </c>
      <c r="K50" s="65" t="n">
        <f aca="false">IFERROR((G50+H50)/SUM(G50:J50),"")</f>
        <v>1</v>
      </c>
      <c r="L50" s="66" t="n">
        <f aca="false">INDEX(设置!$N$26:$N$30,MATCH(3,设置!$P$26:$P$30,0))</f>
        <v>96</v>
      </c>
      <c r="M50" s="63" t="str">
        <f aca="false">IFERROR(INDEX(工单台账!$H$4:$L$4,MATCH(B50,工单台账!$H$2:$L$2,0)),"")</f>
        <v>在岗 4 单</v>
      </c>
      <c r="N50" s="63"/>
    </row>
    <row r="51" customFormat="false" ht="19.5" hidden="false" customHeight="true" outlineLevel="0" collapsed="false">
      <c r="A51" s="63" t="str">
        <f aca="false">IF(INDEX(设置!$F$26:$F$30,MATCH(4,设置!$P$26:$P$30,0))=0,"—","第 4 名")</f>
        <v>第 4 名</v>
      </c>
      <c r="B51" s="63" t="str">
        <f aca="false">INDEX(设置!$E$26:$E$30,MATCH(4,设置!$P$26:$P$30,0))</f>
        <v>刘师傅</v>
      </c>
      <c r="C51" s="64" t="n">
        <f aca="false">INDEX(设置!$F$26:$F$30,MATCH(4,设置!$P$26:$P$30,0))</f>
        <v>13</v>
      </c>
      <c r="D51" s="64" t="n">
        <f aca="false">INDEX(设置!$G$26:$G$30,MATCH(4,设置!$P$26:$P$30,0))</f>
        <v>10</v>
      </c>
      <c r="E51" s="64" t="n">
        <f aca="false">INDEX(设置!$H$26:$H$30,MATCH(4,设置!$P$26:$P$30,0))</f>
        <v>3</v>
      </c>
      <c r="F51" s="65" t="n">
        <f aca="false">IFERROR(D51/C51,"")</f>
        <v>0.769230769230769</v>
      </c>
      <c r="G51" s="64" t="n">
        <f aca="false">INDEX(设置!$I$26:$I$30,MATCH(4,设置!$P$26:$P$30,0))</f>
        <v>8</v>
      </c>
      <c r="H51" s="64" t="n">
        <f aca="false">INDEX(设置!$J$26:$J$30,MATCH(4,设置!$P$26:$P$30,0))</f>
        <v>1</v>
      </c>
      <c r="I51" s="64" t="n">
        <f aca="false">INDEX(设置!$K$26:$K$30,MATCH(4,设置!$P$26:$P$30,0))</f>
        <v>0</v>
      </c>
      <c r="J51" s="64" t="n">
        <f aca="false">INDEX(设置!$L$26:$L$30,MATCH(4,设置!$P$26:$P$30,0))</f>
        <v>0</v>
      </c>
      <c r="K51" s="65" t="n">
        <f aca="false">IFERROR((G51+H51)/SUM(G51:J51),"")</f>
        <v>1</v>
      </c>
      <c r="L51" s="66" t="n">
        <f aca="false">INDEX(设置!$N$26:$N$30,MATCH(4,设置!$P$26:$P$30,0))</f>
        <v>97.8</v>
      </c>
      <c r="M51" s="63" t="str">
        <f aca="false">IFERROR(INDEX(工单台账!$H$4:$L$4,MATCH(B51,工单台账!$H$2:$L$2,0)),"")</f>
        <v>在岗 3 单</v>
      </c>
      <c r="N51" s="63"/>
    </row>
    <row r="52" customFormat="false" ht="19.5" hidden="false" customHeight="true" outlineLevel="0" collapsed="false">
      <c r="A52" s="63" t="str">
        <f aca="false">IF(INDEX(设置!$F$26:$F$30,MATCH(5,设置!$P$26:$P$30,0))=0,"—","第 5 名")</f>
        <v>第 5 名</v>
      </c>
      <c r="B52" s="63" t="str">
        <f aca="false">INDEX(设置!$E$26:$E$30,MATCH(5,设置!$P$26:$P$30,0))</f>
        <v>王师傅</v>
      </c>
      <c r="C52" s="64" t="n">
        <f aca="false">INDEX(设置!$F$26:$F$30,MATCH(5,设置!$P$26:$P$30,0))</f>
        <v>8</v>
      </c>
      <c r="D52" s="64" t="n">
        <f aca="false">INDEX(设置!$G$26:$G$30,MATCH(5,设置!$P$26:$P$30,0))</f>
        <v>7</v>
      </c>
      <c r="E52" s="64" t="n">
        <f aca="false">INDEX(设置!$H$26:$H$30,MATCH(5,设置!$P$26:$P$30,0))</f>
        <v>1</v>
      </c>
      <c r="F52" s="65" t="n">
        <f aca="false">IFERROR(D52/C52,"")</f>
        <v>0.875</v>
      </c>
      <c r="G52" s="64" t="n">
        <f aca="false">INDEX(设置!$I$26:$I$30,MATCH(5,设置!$P$26:$P$30,0))</f>
        <v>3</v>
      </c>
      <c r="H52" s="64" t="n">
        <f aca="false">INDEX(设置!$J$26:$J$30,MATCH(5,设置!$P$26:$P$30,0))</f>
        <v>1</v>
      </c>
      <c r="I52" s="64" t="n">
        <f aca="false">INDEX(设置!$K$26:$K$30,MATCH(5,设置!$P$26:$P$30,0))</f>
        <v>0</v>
      </c>
      <c r="J52" s="64" t="n">
        <f aca="false">INDEX(设置!$L$26:$L$30,MATCH(5,设置!$P$26:$P$30,0))</f>
        <v>0</v>
      </c>
      <c r="K52" s="65" t="n">
        <f aca="false">IFERROR((G52+H52)/SUM(G52:J52),"")</f>
        <v>1</v>
      </c>
      <c r="L52" s="66" t="n">
        <f aca="false">INDEX(设置!$N$26:$N$30,MATCH(5,设置!$P$26:$P$30,0))</f>
        <v>95</v>
      </c>
      <c r="M52" s="63" t="str">
        <f aca="false">IFERROR(INDEX(工单台账!$H$4:$L$4,MATCH(B52,工单台账!$H$2:$L$2,0)),"")</f>
        <v>在岗 1 单</v>
      </c>
      <c r="N52" s="63"/>
    </row>
    <row r="53" customFormat="false" ht="7.5" hidden="false" customHeight="true" outlineLevel="0" collapsed="false"/>
    <row r="54" customFormat="false" ht="25.5" hidden="false" customHeight="true" outlineLevel="0" collapsed="false">
      <c r="A54" s="33" t="str">
        <f aca="false">"三、问题集中在哪　（"&amp;$E$2&amp;"）"</f>
        <v>三、问题集中在哪　（本月）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</row>
    <row r="55" customFormat="false" ht="15" hidden="false" customHeight="false" outlineLevel="0" collapsed="false">
      <c r="A55" s="45" t="s">
        <v>276</v>
      </c>
      <c r="B55" s="45"/>
      <c r="C55" s="45"/>
      <c r="D55" s="45"/>
      <c r="E55" s="45"/>
      <c r="F55" s="45"/>
      <c r="G55" s="45"/>
      <c r="H55" s="45"/>
      <c r="I55" s="45"/>
    </row>
    <row r="56" customFormat="false" ht="27.75" hidden="false" customHeight="true" outlineLevel="0" collapsed="false">
      <c r="A56" s="46" t="s">
        <v>66</v>
      </c>
      <c r="B56" s="46" t="s">
        <v>260</v>
      </c>
      <c r="C56" s="46" t="s">
        <v>86</v>
      </c>
      <c r="D56" s="46" t="s">
        <v>273</v>
      </c>
      <c r="E56" s="46" t="s">
        <v>261</v>
      </c>
      <c r="F56" s="46" t="s">
        <v>277</v>
      </c>
      <c r="G56" s="46" t="s">
        <v>263</v>
      </c>
      <c r="H56" s="46" t="s">
        <v>262</v>
      </c>
      <c r="I56" s="46" t="s">
        <v>278</v>
      </c>
    </row>
    <row r="57" customFormat="false" ht="18.75" hidden="false" customHeight="true" outlineLevel="0" collapsed="false">
      <c r="A57" s="71" t="s">
        <v>97</v>
      </c>
      <c r="B57" s="64" t="n">
        <f aca="false">COUNTIFS(工单[报修日期],"&gt;="&amp;期初,工单[报修日期],"&lt;="&amp;期末,工单[维修类别],$A57)</f>
        <v>43</v>
      </c>
      <c r="C57" s="64" t="n">
        <f aca="false">COUNTIFS(工单[报修日期],"&gt;="&amp;期初,工单[报修日期],"&lt;="&amp;期末,工单[维修类别],$A57,工单[完成情况],"已完成")</f>
        <v>43</v>
      </c>
      <c r="D57" s="64" t="n">
        <f aca="false">B57-C57</f>
        <v>0</v>
      </c>
      <c r="E57" s="65" t="n">
        <f aca="false">IFERROR(C57/B57,"")</f>
        <v>1</v>
      </c>
      <c r="F57" s="65" t="n">
        <f aca="false">IFERROR(B57/$B$68,"")</f>
        <v>0.300699300699301</v>
      </c>
      <c r="G57" s="72" t="str">
        <f aca="false">IFERROR(SUMIFS(工单[处理天数],工单[报修日期],"&gt;="&amp;期初,工单[报修日期],"&lt;="&amp;期末,工单[维修类别],$A57,工单[完成情况],"已完成",工单[完成日期],"&lt;&gt;")/COUNTIFS(工单[报修日期],"&gt;="&amp;期初,工单[报修日期],"&lt;="&amp;期末,工单[维修类别],$A57,工单[完成情况],"已完成",工单[完成日期],"&lt;&gt;"),"-")</f>
        <v>-</v>
      </c>
      <c r="H57" s="65" t="n">
        <f aca="false">IFERROR((COUNTIFS(工单[报修日期],"&gt;="&amp;期初,工单[报修日期],"&lt;="&amp;期末,工单[维修类别],$A57,工单[维修评价],"非常满意")+COUNTIFS(工单[报修日期],"&gt;="&amp;期初,工单[报修日期],"&lt;="&amp;期末,工单[维修类别],$A57,工单[维修评价],"满意"))/COUNTIFS(工单[报修日期],"&gt;="&amp;期初,工单[报修日期],"&lt;="&amp;期末,工单[维修类别],$A57,工单[维修评价],"&lt;&gt;"),"")</f>
        <v>1</v>
      </c>
      <c r="I57" s="73" t="n">
        <f aca="false">SUMIFS(工单[耗材费(元)],工单[报修日期],"&gt;="&amp;期初,工单[报修日期],"&lt;="&amp;期末,工单[维修类别],$A57)</f>
        <v>0</v>
      </c>
    </row>
    <row r="58" customFormat="false" ht="18.75" hidden="false" customHeight="true" outlineLevel="0" collapsed="false">
      <c r="A58" s="71" t="s">
        <v>118</v>
      </c>
      <c r="B58" s="64" t="n">
        <f aca="false">COUNTIFS(工单[报修日期],"&gt;="&amp;期初,工单[报修日期],"&lt;="&amp;期末,工单[维修类别],$A58)</f>
        <v>27</v>
      </c>
      <c r="C58" s="64" t="n">
        <f aca="false">COUNTIFS(工单[报修日期],"&gt;="&amp;期初,工单[报修日期],"&lt;="&amp;期末,工单[维修类别],$A58,工单[完成情况],"已完成")</f>
        <v>24</v>
      </c>
      <c r="D58" s="64" t="n">
        <f aca="false">B58-C58</f>
        <v>3</v>
      </c>
      <c r="E58" s="65" t="n">
        <f aca="false">IFERROR(C58/B58,"")</f>
        <v>0.888888888888889</v>
      </c>
      <c r="F58" s="65" t="n">
        <f aca="false">IFERROR(B58/$B$68,"")</f>
        <v>0.188811188811189</v>
      </c>
      <c r="G58" s="72" t="str">
        <f aca="false">IFERROR(SUMIFS(工单[处理天数],工单[报修日期],"&gt;="&amp;期初,工单[报修日期],"&lt;="&amp;期末,工单[维修类别],$A58,工单[完成情况],"已完成",工单[完成日期],"&lt;&gt;")/COUNTIFS(工单[报修日期],"&gt;="&amp;期初,工单[报修日期],"&lt;="&amp;期末,工单[维修类别],$A58,工单[完成情况],"已完成",工单[完成日期],"&lt;&gt;"),"-")</f>
        <v>-</v>
      </c>
      <c r="H58" s="65" t="n">
        <f aca="false">IFERROR((COUNTIFS(工单[报修日期],"&gt;="&amp;期初,工单[报修日期],"&lt;="&amp;期末,工单[维修类别],$A58,工单[维修评价],"非常满意")+COUNTIFS(工单[报修日期],"&gt;="&amp;期初,工单[报修日期],"&lt;="&amp;期末,工单[维修类别],$A58,工单[维修评价],"满意"))/COUNTIFS(工单[报修日期],"&gt;="&amp;期初,工单[报修日期],"&lt;="&amp;期末,工单[维修类别],$A58,工单[维修评价],"&lt;&gt;"),"")</f>
        <v>1</v>
      </c>
      <c r="I58" s="73" t="n">
        <f aca="false">SUMIFS(工单[耗材费(元)],工单[报修日期],"&gt;="&amp;期初,工单[报修日期],"&lt;="&amp;期末,工单[维修类别],$A58)</f>
        <v>0</v>
      </c>
    </row>
    <row r="59" customFormat="false" ht="18.75" hidden="false" customHeight="true" outlineLevel="0" collapsed="false">
      <c r="A59" s="71" t="s">
        <v>123</v>
      </c>
      <c r="B59" s="64" t="n">
        <f aca="false">COUNTIFS(工单[报修日期],"&gt;="&amp;期初,工单[报修日期],"&lt;="&amp;期末,工单[维修类别],$A59)</f>
        <v>18</v>
      </c>
      <c r="C59" s="64" t="n">
        <f aca="false">COUNTIFS(工单[报修日期],"&gt;="&amp;期初,工单[报修日期],"&lt;="&amp;期末,工单[维修类别],$A59,工单[完成情况],"已完成")</f>
        <v>17</v>
      </c>
      <c r="D59" s="64" t="n">
        <f aca="false">B59-C59</f>
        <v>1</v>
      </c>
      <c r="E59" s="65" t="n">
        <f aca="false">IFERROR(C59/B59,"")</f>
        <v>0.944444444444444</v>
      </c>
      <c r="F59" s="65" t="n">
        <f aca="false">IFERROR(B59/$B$68,"")</f>
        <v>0.125874125874126</v>
      </c>
      <c r="G59" s="72" t="str">
        <f aca="false">IFERROR(SUMIFS(工单[处理天数],工单[报修日期],"&gt;="&amp;期初,工单[报修日期],"&lt;="&amp;期末,工单[维修类别],$A59,工单[完成情况],"已完成",工单[完成日期],"&lt;&gt;")/COUNTIFS(工单[报修日期],"&gt;="&amp;期初,工单[报修日期],"&lt;="&amp;期末,工单[维修类别],$A59,工单[完成情况],"已完成",工单[完成日期],"&lt;&gt;"),"-")</f>
        <v>-</v>
      </c>
      <c r="H59" s="65" t="n">
        <f aca="false">IFERROR((COUNTIFS(工单[报修日期],"&gt;="&amp;期初,工单[报修日期],"&lt;="&amp;期末,工单[维修类别],$A59,工单[维修评价],"非常满意")+COUNTIFS(工单[报修日期],"&gt;="&amp;期初,工单[报修日期],"&lt;="&amp;期末,工单[维修类别],$A59,工单[维修评价],"满意"))/COUNTIFS(工单[报修日期],"&gt;="&amp;期初,工单[报修日期],"&lt;="&amp;期末,工单[维修类别],$A59,工单[维修评价],"&lt;&gt;"),"")</f>
        <v>1</v>
      </c>
      <c r="I59" s="73" t="n">
        <f aca="false">SUMIFS(工单[耗材费(元)],工单[报修日期],"&gt;="&amp;期初,工单[报修日期],"&lt;="&amp;期末,工单[维修类别],$A59)</f>
        <v>0</v>
      </c>
    </row>
    <row r="60" customFormat="false" ht="18.75" hidden="false" customHeight="true" outlineLevel="0" collapsed="false">
      <c r="A60" s="71" t="s">
        <v>82</v>
      </c>
      <c r="B60" s="64" t="n">
        <f aca="false">COUNTIFS(工单[报修日期],"&gt;="&amp;期初,工单[报修日期],"&lt;="&amp;期末,工单[维修类别],$A60)</f>
        <v>19</v>
      </c>
      <c r="C60" s="64" t="n">
        <f aca="false">COUNTIFS(工单[报修日期],"&gt;="&amp;期初,工单[报修日期],"&lt;="&amp;期末,工单[维修类别],$A60,工单[完成情况],"已完成")</f>
        <v>14</v>
      </c>
      <c r="D60" s="64" t="n">
        <f aca="false">B60-C60</f>
        <v>5</v>
      </c>
      <c r="E60" s="65" t="n">
        <f aca="false">IFERROR(C60/B60,"")</f>
        <v>0.736842105263158</v>
      </c>
      <c r="F60" s="65" t="n">
        <f aca="false">IFERROR(B60/$B$68,"")</f>
        <v>0.132867132867133</v>
      </c>
      <c r="G60" s="72" t="str">
        <f aca="false">IFERROR(SUMIFS(工单[处理天数],工单[报修日期],"&gt;="&amp;期初,工单[报修日期],"&lt;="&amp;期末,工单[维修类别],$A60,工单[完成情况],"已完成",工单[完成日期],"&lt;&gt;")/COUNTIFS(工单[报修日期],"&gt;="&amp;期初,工单[报修日期],"&lt;="&amp;期末,工单[维修类别],$A60,工单[完成情况],"已完成",工单[完成日期],"&lt;&gt;"),"-")</f>
        <v>-</v>
      </c>
      <c r="H60" s="65" t="n">
        <f aca="false">IFERROR((COUNTIFS(工单[报修日期],"&gt;="&amp;期初,工单[报修日期],"&lt;="&amp;期末,工单[维修类别],$A60,工单[维修评价],"非常满意")+COUNTIFS(工单[报修日期],"&gt;="&amp;期初,工单[报修日期],"&lt;="&amp;期末,工单[维修类别],$A60,工单[维修评价],"满意"))/COUNTIFS(工单[报修日期],"&gt;="&amp;期初,工单[报修日期],"&lt;="&amp;期末,工单[维修类别],$A60,工单[维修评价],"&lt;&gt;"),"")</f>
        <v>0.928571428571429</v>
      </c>
      <c r="I60" s="73" t="n">
        <f aca="false">SUMIFS(工单[耗材费(元)],工单[报修日期],"&gt;="&amp;期初,工单[报修日期],"&lt;="&amp;期末,工单[维修类别],$A60)</f>
        <v>0</v>
      </c>
    </row>
    <row r="61" customFormat="false" ht="18.75" hidden="false" customHeight="true" outlineLevel="0" collapsed="false">
      <c r="A61" s="71" t="s">
        <v>94</v>
      </c>
      <c r="B61" s="64" t="n">
        <f aca="false">COUNTIFS(工单[报修日期],"&gt;="&amp;期初,工单[报修日期],"&lt;="&amp;期末,工单[维修类别],$A61)</f>
        <v>8</v>
      </c>
      <c r="C61" s="64" t="n">
        <f aca="false">COUNTIFS(工单[报修日期],"&gt;="&amp;期初,工单[报修日期],"&lt;="&amp;期末,工单[维修类别],$A61,工单[完成情况],"已完成")</f>
        <v>2</v>
      </c>
      <c r="D61" s="64" t="n">
        <f aca="false">B61-C61</f>
        <v>6</v>
      </c>
      <c r="E61" s="65" t="n">
        <f aca="false">IFERROR(C61/B61,"")</f>
        <v>0.25</v>
      </c>
      <c r="F61" s="65" t="n">
        <f aca="false">IFERROR(B61/$B$68,"")</f>
        <v>0.0559440559440559</v>
      </c>
      <c r="G61" s="72" t="str">
        <f aca="false">IFERROR(SUMIFS(工单[处理天数],工单[报修日期],"&gt;="&amp;期初,工单[报修日期],"&lt;="&amp;期末,工单[维修类别],$A61,工单[完成情况],"已完成",工单[完成日期],"&lt;&gt;")/COUNTIFS(工单[报修日期],"&gt;="&amp;期初,工单[报修日期],"&lt;="&amp;期末,工单[维修类别],$A61,工单[完成情况],"已完成",工单[完成日期],"&lt;&gt;"),"-")</f>
        <v>-</v>
      </c>
      <c r="H61" s="65" t="n">
        <f aca="false">IFERROR((COUNTIFS(工单[报修日期],"&gt;="&amp;期初,工单[报修日期],"&lt;="&amp;期末,工单[维修类别],$A61,工单[维修评价],"非常满意")+COUNTIFS(工单[报修日期],"&gt;="&amp;期初,工单[报修日期],"&lt;="&amp;期末,工单[维修类别],$A61,工单[维修评价],"满意"))/COUNTIFS(工单[报修日期],"&gt;="&amp;期初,工单[报修日期],"&lt;="&amp;期末,工单[维修类别],$A61,工单[维修评价],"&lt;&gt;"),"")</f>
        <v>1</v>
      </c>
      <c r="I61" s="73" t="n">
        <f aca="false">SUMIFS(工单[耗材费(元)],工单[报修日期],"&gt;="&amp;期初,工单[报修日期],"&lt;="&amp;期末,工单[维修类别],$A61)</f>
        <v>0</v>
      </c>
    </row>
    <row r="62" customFormat="false" ht="18.75" hidden="false" customHeight="true" outlineLevel="0" collapsed="false">
      <c r="A62" s="71" t="s">
        <v>103</v>
      </c>
      <c r="B62" s="64" t="n">
        <f aca="false">COUNTIFS(工单[报修日期],"&gt;="&amp;期初,工单[报修日期],"&lt;="&amp;期末,工单[维修类别],$A62)</f>
        <v>15</v>
      </c>
      <c r="C62" s="64" t="n">
        <f aca="false">COUNTIFS(工单[报修日期],"&gt;="&amp;期初,工单[报修日期],"&lt;="&amp;期末,工单[维修类别],$A62,工单[完成情况],"已完成")</f>
        <v>11</v>
      </c>
      <c r="D62" s="64" t="n">
        <f aca="false">B62-C62</f>
        <v>4</v>
      </c>
      <c r="E62" s="65" t="n">
        <f aca="false">IFERROR(C62/B62,"")</f>
        <v>0.733333333333333</v>
      </c>
      <c r="F62" s="65" t="n">
        <f aca="false">IFERROR(B62/$B$68,"")</f>
        <v>0.104895104895105</v>
      </c>
      <c r="G62" s="72" t="str">
        <f aca="false">IFERROR(SUMIFS(工单[处理天数],工单[报修日期],"&gt;="&amp;期初,工单[报修日期],"&lt;="&amp;期末,工单[维修类别],$A62,工单[完成情况],"已完成",工单[完成日期],"&lt;&gt;")/COUNTIFS(工单[报修日期],"&gt;="&amp;期初,工单[报修日期],"&lt;="&amp;期末,工单[维修类别],$A62,工单[完成情况],"已完成",工单[完成日期],"&lt;&gt;"),"-")</f>
        <v>-</v>
      </c>
      <c r="H62" s="65" t="n">
        <f aca="false">IFERROR((COUNTIFS(工单[报修日期],"&gt;="&amp;期初,工单[报修日期],"&lt;="&amp;期末,工单[维修类别],$A62,工单[维修评价],"非常满意")+COUNTIFS(工单[报修日期],"&gt;="&amp;期初,工单[报修日期],"&lt;="&amp;期末,工单[维修类别],$A62,工单[维修评价],"满意"))/COUNTIFS(工单[报修日期],"&gt;="&amp;期初,工单[报修日期],"&lt;="&amp;期末,工单[维修类别],$A62,工单[维修评价],"&lt;&gt;"),"")</f>
        <v>1</v>
      </c>
      <c r="I62" s="73" t="n">
        <f aca="false">SUMIFS(工单[耗材费(元)],工单[报修日期],"&gt;="&amp;期初,工单[报修日期],"&lt;="&amp;期末,工单[维修类别],$A62)</f>
        <v>0</v>
      </c>
    </row>
    <row r="63" customFormat="false" ht="18.75" hidden="false" customHeight="true" outlineLevel="0" collapsed="false">
      <c r="A63" s="71" t="s">
        <v>153</v>
      </c>
      <c r="B63" s="64" t="n">
        <f aca="false">COUNTIFS(工单[报修日期],"&gt;="&amp;期初,工单[报修日期],"&lt;="&amp;期末,工单[维修类别],$A63)</f>
        <v>4</v>
      </c>
      <c r="C63" s="64" t="n">
        <f aca="false">COUNTIFS(工单[报修日期],"&gt;="&amp;期初,工单[报修日期],"&lt;="&amp;期末,工单[维修类别],$A63,工单[完成情况],"已完成")</f>
        <v>4</v>
      </c>
      <c r="D63" s="64" t="n">
        <f aca="false">B63-C63</f>
        <v>0</v>
      </c>
      <c r="E63" s="65" t="n">
        <f aca="false">IFERROR(C63/B63,"")</f>
        <v>1</v>
      </c>
      <c r="F63" s="65" t="n">
        <f aca="false">IFERROR(B63/$B$68,"")</f>
        <v>0.027972027972028</v>
      </c>
      <c r="G63" s="72" t="str">
        <f aca="false">IFERROR(SUMIFS(工单[处理天数],工单[报修日期],"&gt;="&amp;期初,工单[报修日期],"&lt;="&amp;期末,工单[维修类别],$A63,工单[完成情况],"已完成",工单[完成日期],"&lt;&gt;")/COUNTIFS(工单[报修日期],"&gt;="&amp;期初,工单[报修日期],"&lt;="&amp;期末,工单[维修类别],$A63,工单[完成情况],"已完成",工单[完成日期],"&lt;&gt;"),"-")</f>
        <v>-</v>
      </c>
      <c r="H63" s="65" t="n">
        <f aca="false">IFERROR((COUNTIFS(工单[报修日期],"&gt;="&amp;期初,工单[报修日期],"&lt;="&amp;期末,工单[维修类别],$A63,工单[维修评价],"非常满意")+COUNTIFS(工单[报修日期],"&gt;="&amp;期初,工单[报修日期],"&lt;="&amp;期末,工单[维修类别],$A63,工单[维修评价],"满意"))/COUNTIFS(工单[报修日期],"&gt;="&amp;期初,工单[报修日期],"&lt;="&amp;期末,工单[维修类别],$A63,工单[维修评价],"&lt;&gt;"),"")</f>
        <v>1</v>
      </c>
      <c r="I63" s="73" t="n">
        <f aca="false">SUMIFS(工单[耗材费(元)],工单[报修日期],"&gt;="&amp;期初,工单[报修日期],"&lt;="&amp;期末,工单[维修类别],$A63)</f>
        <v>0</v>
      </c>
    </row>
    <row r="64" customFormat="false" ht="18.75" hidden="false" customHeight="true" outlineLevel="0" collapsed="false">
      <c r="A64" s="71" t="s">
        <v>143</v>
      </c>
      <c r="B64" s="64" t="n">
        <f aca="false">COUNTIFS(工单[报修日期],"&gt;="&amp;期初,工单[报修日期],"&lt;="&amp;期末,工单[维修类别],$A64)</f>
        <v>4</v>
      </c>
      <c r="C64" s="64" t="n">
        <f aca="false">COUNTIFS(工单[报修日期],"&gt;="&amp;期初,工单[报修日期],"&lt;="&amp;期末,工单[维修类别],$A64,工单[完成情况],"已完成")</f>
        <v>4</v>
      </c>
      <c r="D64" s="64" t="n">
        <f aca="false">B64-C64</f>
        <v>0</v>
      </c>
      <c r="E64" s="65" t="n">
        <f aca="false">IFERROR(C64/B64,"")</f>
        <v>1</v>
      </c>
      <c r="F64" s="65" t="n">
        <f aca="false">IFERROR(B64/$B$68,"")</f>
        <v>0.027972027972028</v>
      </c>
      <c r="G64" s="72" t="str">
        <f aca="false">IFERROR(SUMIFS(工单[处理天数],工单[报修日期],"&gt;="&amp;期初,工单[报修日期],"&lt;="&amp;期末,工单[维修类别],$A64,工单[完成情况],"已完成",工单[完成日期],"&lt;&gt;")/COUNTIFS(工单[报修日期],"&gt;="&amp;期初,工单[报修日期],"&lt;="&amp;期末,工单[维修类别],$A64,工单[完成情况],"已完成",工单[完成日期],"&lt;&gt;"),"-")</f>
        <v>-</v>
      </c>
      <c r="H64" s="65" t="str">
        <f aca="false">IFERROR((COUNTIFS(工单[报修日期],"&gt;="&amp;期初,工单[报修日期],"&lt;="&amp;期末,工单[维修类别],$A64,工单[维修评价],"非常满意")+COUNTIFS(工单[报修日期],"&gt;="&amp;期初,工单[报修日期],"&lt;="&amp;期末,工单[维修类别],$A64,工单[维修评价],"满意"))/COUNTIFS(工单[报修日期],"&gt;="&amp;期初,工单[报修日期],"&lt;="&amp;期末,工单[维修类别],$A64,工单[维修评价],"&lt;&gt;"),"")</f>
        <v/>
      </c>
      <c r="I64" s="73" t="n">
        <f aca="false">SUMIFS(工单[耗材费(元)],工单[报修日期],"&gt;="&amp;期初,工单[报修日期],"&lt;="&amp;期末,工单[维修类别],$A64)</f>
        <v>0</v>
      </c>
    </row>
    <row r="65" customFormat="false" ht="18.75" hidden="false" customHeight="true" outlineLevel="0" collapsed="false">
      <c r="A65" s="71" t="s">
        <v>139</v>
      </c>
      <c r="B65" s="64" t="n">
        <f aca="false">COUNTIFS(工单[报修日期],"&gt;="&amp;期初,工单[报修日期],"&lt;="&amp;期末,工单[维修类别],$A65)</f>
        <v>1</v>
      </c>
      <c r="C65" s="64" t="n">
        <f aca="false">COUNTIFS(工单[报修日期],"&gt;="&amp;期初,工单[报修日期],"&lt;="&amp;期末,工单[维修类别],$A65,工单[完成情况],"已完成")</f>
        <v>1</v>
      </c>
      <c r="D65" s="64" t="n">
        <f aca="false">B65-C65</f>
        <v>0</v>
      </c>
      <c r="E65" s="65" t="n">
        <f aca="false">IFERROR(C65/B65,"")</f>
        <v>1</v>
      </c>
      <c r="F65" s="65" t="n">
        <f aca="false">IFERROR(B65/$B$68,"")</f>
        <v>0.00699300699300699</v>
      </c>
      <c r="G65" s="72" t="str">
        <f aca="false">IFERROR(SUMIFS(工单[处理天数],工单[报修日期],"&gt;="&amp;期初,工单[报修日期],"&lt;="&amp;期末,工单[维修类别],$A65,工单[完成情况],"已完成",工单[完成日期],"&lt;&gt;")/COUNTIFS(工单[报修日期],"&gt;="&amp;期初,工单[报修日期],"&lt;="&amp;期末,工单[维修类别],$A65,工单[完成情况],"已完成",工单[完成日期],"&lt;&gt;"),"-")</f>
        <v>-</v>
      </c>
      <c r="H65" s="65" t="str">
        <f aca="false">IFERROR((COUNTIFS(工单[报修日期],"&gt;="&amp;期初,工单[报修日期],"&lt;="&amp;期末,工单[维修类别],$A65,工单[维修评价],"非常满意")+COUNTIFS(工单[报修日期],"&gt;="&amp;期初,工单[报修日期],"&lt;="&amp;期末,工单[维修类别],$A65,工单[维修评价],"满意"))/COUNTIFS(工单[报修日期],"&gt;="&amp;期初,工单[报修日期],"&lt;="&amp;期末,工单[维修类别],$A65,工单[维修评价],"&lt;&gt;"),"")</f>
        <v/>
      </c>
      <c r="I65" s="73" t="n">
        <f aca="false">SUMIFS(工单[耗材费(元)],工单[报修日期],"&gt;="&amp;期初,工单[报修日期],"&lt;="&amp;期末,工单[维修类别],$A65)</f>
        <v>0</v>
      </c>
    </row>
    <row r="66" customFormat="false" ht="18.75" hidden="false" customHeight="true" outlineLevel="0" collapsed="false">
      <c r="A66" s="71" t="s">
        <v>157</v>
      </c>
      <c r="B66" s="64" t="n">
        <f aca="false">COUNTIFS(工单[报修日期],"&gt;="&amp;期初,工单[报修日期],"&lt;="&amp;期末,工单[维修类别],$A66)</f>
        <v>4</v>
      </c>
      <c r="C66" s="64" t="n">
        <f aca="false">COUNTIFS(工单[报修日期],"&gt;="&amp;期初,工单[报修日期],"&lt;="&amp;期末,工单[维修类别],$A66,工单[完成情况],"已完成")</f>
        <v>4</v>
      </c>
      <c r="D66" s="64" t="n">
        <f aca="false">B66-C66</f>
        <v>0</v>
      </c>
      <c r="E66" s="65" t="n">
        <f aca="false">IFERROR(C66/B66,"")</f>
        <v>1</v>
      </c>
      <c r="F66" s="65" t="n">
        <f aca="false">IFERROR(B66/$B$68,"")</f>
        <v>0.027972027972028</v>
      </c>
      <c r="G66" s="72" t="str">
        <f aca="false">IFERROR(SUMIFS(工单[处理天数],工单[报修日期],"&gt;="&amp;期初,工单[报修日期],"&lt;="&amp;期末,工单[维修类别],$A66,工单[完成情况],"已完成",工单[完成日期],"&lt;&gt;")/COUNTIFS(工单[报修日期],"&gt;="&amp;期初,工单[报修日期],"&lt;="&amp;期末,工单[维修类别],$A66,工单[完成情况],"已完成",工单[完成日期],"&lt;&gt;"),"-")</f>
        <v>-</v>
      </c>
      <c r="H66" s="65" t="n">
        <f aca="false">IFERROR((COUNTIFS(工单[报修日期],"&gt;="&amp;期初,工单[报修日期],"&lt;="&amp;期末,工单[维修类别],$A66,工单[维修评价],"非常满意")+COUNTIFS(工单[报修日期],"&gt;="&amp;期初,工单[报修日期],"&lt;="&amp;期末,工单[维修类别],$A66,工单[维修评价],"满意"))/COUNTIFS(工单[报修日期],"&gt;="&amp;期初,工单[报修日期],"&lt;="&amp;期末,工单[维修类别],$A66,工单[维修评价],"&lt;&gt;"),"")</f>
        <v>1</v>
      </c>
      <c r="I66" s="73" t="n">
        <f aca="false">SUMIFS(工单[耗材费(元)],工单[报修日期],"&gt;="&amp;期初,工单[报修日期],"&lt;="&amp;期末,工单[维修类别],$A66)</f>
        <v>0</v>
      </c>
    </row>
    <row r="67" customFormat="false" ht="18.75" hidden="false" customHeight="true" outlineLevel="0" collapsed="false">
      <c r="A67" s="71" t="s">
        <v>279</v>
      </c>
      <c r="B67" s="64" t="n">
        <f aca="false">COUNTIFS(工单[报修日期],"&gt;="&amp;期初,工单[报修日期],"&lt;="&amp;期末)-SUM(B57:B66)</f>
        <v>0</v>
      </c>
      <c r="C67" s="64" t="n">
        <f aca="false">COUNTIFS(工单[报修日期],"&gt;="&amp;期初,工单[报修日期],"&lt;="&amp;期末,工单[完成情况],"已完成")-SUM(C57:C66)</f>
        <v>0</v>
      </c>
      <c r="D67" s="64" t="n">
        <f aca="false">B67-C67</f>
        <v>0</v>
      </c>
      <c r="E67" s="65" t="str">
        <f aca="false">IFERROR(C67/B67,"")</f>
        <v/>
      </c>
      <c r="F67" s="65" t="n">
        <f aca="false">IFERROR(B67/$B$68,"")</f>
        <v>0</v>
      </c>
      <c r="G67" s="72" t="s">
        <v>280</v>
      </c>
      <c r="H67" s="65"/>
      <c r="I67" s="73" t="n">
        <f aca="false">SUMIFS(工单[耗材费(元)],工单[报修日期],"&gt;="&amp;期初,工单[报修日期],"&lt;="&amp;期末)-SUM(I57:I66)</f>
        <v>0</v>
      </c>
    </row>
    <row r="68" customFormat="false" ht="15" hidden="false" customHeight="false" outlineLevel="0" collapsed="false">
      <c r="A68" s="77" t="s">
        <v>281</v>
      </c>
      <c r="B68" s="78" t="n">
        <f aca="false">SUM(B57:B67)</f>
        <v>143</v>
      </c>
      <c r="C68" s="78" t="n">
        <f aca="false">SUM(C57:C67)</f>
        <v>124</v>
      </c>
      <c r="D68" s="78" t="n">
        <f aca="false">SUM(D57:D67)</f>
        <v>19</v>
      </c>
      <c r="E68" s="79" t="n">
        <f aca="false">IFERROR(C68/B68,"")</f>
        <v>0.867132867132867</v>
      </c>
      <c r="F68" s="79" t="n">
        <f aca="false">IF(B68=0,"",1)</f>
        <v>1</v>
      </c>
      <c r="G68" s="80" t="str">
        <f aca="false">G43</f>
        <v>-</v>
      </c>
      <c r="H68" s="79" t="n">
        <f aca="false">E43</f>
        <v>0.990990990990991</v>
      </c>
      <c r="I68" s="81" t="n">
        <f aca="false">SUM(I57:I67)</f>
        <v>0</v>
      </c>
    </row>
    <row r="70" customFormat="false" ht="15" hidden="false" customHeight="false" outlineLevel="0" collapsed="false">
      <c r="A70" s="45" t="s">
        <v>282</v>
      </c>
      <c r="B70" s="45"/>
      <c r="C70" s="45"/>
      <c r="D70" s="45"/>
      <c r="E70" s="45"/>
      <c r="F70" s="45"/>
      <c r="G70" s="45"/>
      <c r="H70" s="45"/>
      <c r="I70" s="45"/>
    </row>
    <row r="71" customFormat="false" ht="27.75" hidden="false" customHeight="true" outlineLevel="0" collapsed="false">
      <c r="A71" s="46" t="s">
        <v>63</v>
      </c>
      <c r="B71" s="46" t="s">
        <v>260</v>
      </c>
      <c r="C71" s="46" t="s">
        <v>79</v>
      </c>
      <c r="D71" s="46" t="s">
        <v>135</v>
      </c>
      <c r="E71" s="46" t="s">
        <v>86</v>
      </c>
      <c r="F71" s="46" t="s">
        <v>273</v>
      </c>
      <c r="G71" s="46" t="s">
        <v>261</v>
      </c>
      <c r="H71" s="46" t="s">
        <v>262</v>
      </c>
      <c r="I71" s="46" t="s">
        <v>248</v>
      </c>
    </row>
    <row r="72" customFormat="false" ht="18.75" hidden="false" customHeight="true" outlineLevel="0" collapsed="false">
      <c r="A72" s="71" t="str">
        <f aca="false">设置!E9&amp;""</f>
        <v>1栋</v>
      </c>
      <c r="B72" s="64" t="n">
        <f aca="false">COUNTIFS(工单[报修日期],"&gt;="&amp;期初,工单[报修日期],"&lt;="&amp;期末,工单[楼栋],$A72)</f>
        <v>8</v>
      </c>
      <c r="C72" s="64" t="n">
        <f aca="false">COUNTIFS(工单[报修日期],"&gt;="&amp;期初,工单[报修日期],"&lt;="&amp;期末,工单[楼栋],$A72,工单[类型],"入户")</f>
        <v>8</v>
      </c>
      <c r="D72" s="64" t="n">
        <f aca="false">COUNTIFS(工单[报修日期],"&gt;="&amp;期初,工单[报修日期],"&lt;="&amp;期末,工单[楼栋],$A72,工单[类型],"公区")</f>
        <v>0</v>
      </c>
      <c r="E72" s="64" t="n">
        <f aca="false">COUNTIFS(工单[报修日期],"&gt;="&amp;期初,工单[报修日期],"&lt;="&amp;期末,工单[楼栋],$A72,工单[完成情况],"已完成")</f>
        <v>8</v>
      </c>
      <c r="F72" s="64" t="n">
        <f aca="false">B72-E72</f>
        <v>0</v>
      </c>
      <c r="G72" s="65" t="n">
        <f aca="false">IFERROR(E72/B72,"")</f>
        <v>1</v>
      </c>
      <c r="H72" s="65" t="n">
        <f aca="false">IFERROR((COUNTIFS(工单[报修日期],"&gt;="&amp;期初,工单[报修日期],"&lt;="&amp;期末,工单[楼栋],$A72,工单[维修评价],"非常满意")+COUNTIFS(工单[报修日期],"&gt;="&amp;期初,工单[报修日期],"&lt;="&amp;期末,工单[楼栋],$A72,工单[维修评价],"满意"))/COUNTIFS(工单[报修日期],"&gt;="&amp;期初,工单[报修日期],"&lt;="&amp;期末,工单[楼栋],$A72,工单[维修评价],"&lt;&gt;"),"")</f>
        <v>1</v>
      </c>
      <c r="I72" s="64" t="n">
        <f aca="false">COUNTIFS(工单[楼栋],$A72,工单[该户第几次],2,工单[报修日期],"&gt;="&amp;期初,工单[报修日期],"&lt;="&amp;期末)</f>
        <v>0</v>
      </c>
    </row>
    <row r="73" customFormat="false" ht="18.75" hidden="false" customHeight="true" outlineLevel="0" collapsed="false">
      <c r="A73" s="71" t="str">
        <f aca="false">设置!E10&amp;""</f>
        <v>2栋</v>
      </c>
      <c r="B73" s="64" t="n">
        <f aca="false">COUNTIFS(工单[报修日期],"&gt;="&amp;期初,工单[报修日期],"&lt;="&amp;期末,工单[楼栋],$A73)</f>
        <v>7</v>
      </c>
      <c r="C73" s="64" t="n">
        <f aca="false">COUNTIFS(工单[报修日期],"&gt;="&amp;期初,工单[报修日期],"&lt;="&amp;期末,工单[楼栋],$A73,工单[类型],"入户")</f>
        <v>6</v>
      </c>
      <c r="D73" s="64" t="n">
        <f aca="false">COUNTIFS(工单[报修日期],"&gt;="&amp;期初,工单[报修日期],"&lt;="&amp;期末,工单[楼栋],$A73,工单[类型],"公区")</f>
        <v>1</v>
      </c>
      <c r="E73" s="64" t="n">
        <f aca="false">COUNTIFS(工单[报修日期],"&gt;="&amp;期初,工单[报修日期],"&lt;="&amp;期末,工单[楼栋],$A73,工单[完成情况],"已完成")</f>
        <v>7</v>
      </c>
      <c r="F73" s="64" t="n">
        <f aca="false">B73-E73</f>
        <v>0</v>
      </c>
      <c r="G73" s="65" t="n">
        <f aca="false">IFERROR(E73/B73,"")</f>
        <v>1</v>
      </c>
      <c r="H73" s="65" t="n">
        <f aca="false">IFERROR((COUNTIFS(工单[报修日期],"&gt;="&amp;期初,工单[报修日期],"&lt;="&amp;期末,工单[楼栋],$A73,工单[维修评价],"非常满意")+COUNTIFS(工单[报修日期],"&gt;="&amp;期初,工单[报修日期],"&lt;="&amp;期末,工单[楼栋],$A73,工单[维修评价],"满意"))/COUNTIFS(工单[报修日期],"&gt;="&amp;期初,工单[报修日期],"&lt;="&amp;期末,工单[楼栋],$A73,工单[维修评价],"&lt;&gt;"),"")</f>
        <v>1</v>
      </c>
      <c r="I73" s="64" t="n">
        <f aca="false">COUNTIFS(工单[楼栋],$A73,工单[该户第几次],2,工单[报修日期],"&gt;="&amp;期初,工单[报修日期],"&lt;="&amp;期末)</f>
        <v>0</v>
      </c>
    </row>
    <row r="74" customFormat="false" ht="18.75" hidden="false" customHeight="true" outlineLevel="0" collapsed="false">
      <c r="A74" s="71" t="str">
        <f aca="false">设置!E11&amp;""</f>
        <v>3栋</v>
      </c>
      <c r="B74" s="64" t="n">
        <f aca="false">COUNTIFS(工单[报修日期],"&gt;="&amp;期初,工单[报修日期],"&lt;="&amp;期末,工单[楼栋],$A74)</f>
        <v>7</v>
      </c>
      <c r="C74" s="64" t="n">
        <f aca="false">COUNTIFS(工单[报修日期],"&gt;="&amp;期初,工单[报修日期],"&lt;="&amp;期末,工单[楼栋],$A74,工单[类型],"入户")</f>
        <v>5</v>
      </c>
      <c r="D74" s="64" t="n">
        <f aca="false">COUNTIFS(工单[报修日期],"&gt;="&amp;期初,工单[报修日期],"&lt;="&amp;期末,工单[楼栋],$A74,工单[类型],"公区")</f>
        <v>2</v>
      </c>
      <c r="E74" s="64" t="n">
        <f aca="false">COUNTIFS(工单[报修日期],"&gt;="&amp;期初,工单[报修日期],"&lt;="&amp;期末,工单[楼栋],$A74,工单[完成情况],"已完成")</f>
        <v>6</v>
      </c>
      <c r="F74" s="64" t="n">
        <f aca="false">B74-E74</f>
        <v>1</v>
      </c>
      <c r="G74" s="65" t="n">
        <f aca="false">IFERROR(E74/B74,"")</f>
        <v>0.857142857142857</v>
      </c>
      <c r="H74" s="65" t="n">
        <f aca="false">IFERROR((COUNTIFS(工单[报修日期],"&gt;="&amp;期初,工单[报修日期],"&lt;="&amp;期末,工单[楼栋],$A74,工单[维修评价],"非常满意")+COUNTIFS(工单[报修日期],"&gt;="&amp;期初,工单[报修日期],"&lt;="&amp;期末,工单[楼栋],$A74,工单[维修评价],"满意"))/COUNTIFS(工单[报修日期],"&gt;="&amp;期初,工单[报修日期],"&lt;="&amp;期末,工单[楼栋],$A74,工单[维修评价],"&lt;&gt;"),"")</f>
        <v>1</v>
      </c>
      <c r="I74" s="64" t="n">
        <f aca="false">COUNTIFS(工单[楼栋],$A74,工单[该户第几次],2,工单[报修日期],"&gt;="&amp;期初,工单[报修日期],"&lt;="&amp;期末)</f>
        <v>0</v>
      </c>
    </row>
    <row r="75" customFormat="false" ht="18.75" hidden="false" customHeight="true" outlineLevel="0" collapsed="false">
      <c r="A75" s="71" t="str">
        <f aca="false">设置!E12&amp;""</f>
        <v>4栋</v>
      </c>
      <c r="B75" s="64" t="n">
        <f aca="false">COUNTIFS(工单[报修日期],"&gt;="&amp;期初,工单[报修日期],"&lt;="&amp;期末,工单[楼栋],$A75)</f>
        <v>6</v>
      </c>
      <c r="C75" s="64" t="n">
        <f aca="false">COUNTIFS(工单[报修日期],"&gt;="&amp;期初,工单[报修日期],"&lt;="&amp;期末,工单[楼栋],$A75,工单[类型],"入户")</f>
        <v>6</v>
      </c>
      <c r="D75" s="64" t="n">
        <f aca="false">COUNTIFS(工单[报修日期],"&gt;="&amp;期初,工单[报修日期],"&lt;="&amp;期末,工单[楼栋],$A75,工单[类型],"公区")</f>
        <v>0</v>
      </c>
      <c r="E75" s="64" t="n">
        <f aca="false">COUNTIFS(工单[报修日期],"&gt;="&amp;期初,工单[报修日期],"&lt;="&amp;期末,工单[楼栋],$A75,工单[完成情况],"已完成")</f>
        <v>6</v>
      </c>
      <c r="F75" s="64" t="n">
        <f aca="false">B75-E75</f>
        <v>0</v>
      </c>
      <c r="G75" s="65" t="n">
        <f aca="false">IFERROR(E75/B75,"")</f>
        <v>1</v>
      </c>
      <c r="H75" s="65" t="n">
        <f aca="false">IFERROR((COUNTIFS(工单[报修日期],"&gt;="&amp;期初,工单[报修日期],"&lt;="&amp;期末,工单[楼栋],$A75,工单[维修评价],"非常满意")+COUNTIFS(工单[报修日期],"&gt;="&amp;期初,工单[报修日期],"&lt;="&amp;期末,工单[楼栋],$A75,工单[维修评价],"满意"))/COUNTIFS(工单[报修日期],"&gt;="&amp;期初,工单[报修日期],"&lt;="&amp;期末,工单[楼栋],$A75,工单[维修评价],"&lt;&gt;"),"")</f>
        <v>1</v>
      </c>
      <c r="I75" s="64" t="n">
        <f aca="false">COUNTIFS(工单[楼栋],$A75,工单[该户第几次],2,工单[报修日期],"&gt;="&amp;期初,工单[报修日期],"&lt;="&amp;期末)</f>
        <v>0</v>
      </c>
    </row>
    <row r="76" customFormat="false" ht="18.75" hidden="false" customHeight="true" outlineLevel="0" collapsed="false">
      <c r="A76" s="71" t="str">
        <f aca="false">设置!E13&amp;""</f>
        <v>5栋</v>
      </c>
      <c r="B76" s="64" t="n">
        <f aca="false">COUNTIFS(工单[报修日期],"&gt;="&amp;期初,工单[报修日期],"&lt;="&amp;期末,工单[楼栋],$A76)</f>
        <v>17</v>
      </c>
      <c r="C76" s="64" t="n">
        <f aca="false">COUNTIFS(工单[报修日期],"&gt;="&amp;期初,工单[报修日期],"&lt;="&amp;期末,工单[楼栋],$A76,工单[类型],"入户")</f>
        <v>15</v>
      </c>
      <c r="D76" s="64" t="n">
        <f aca="false">COUNTIFS(工单[报修日期],"&gt;="&amp;期初,工单[报修日期],"&lt;="&amp;期末,工单[楼栋],$A76,工单[类型],"公区")</f>
        <v>2</v>
      </c>
      <c r="E76" s="64" t="n">
        <f aca="false">COUNTIFS(工单[报修日期],"&gt;="&amp;期初,工单[报修日期],"&lt;="&amp;期末,工单[楼栋],$A76,工单[完成情况],"已完成")</f>
        <v>14</v>
      </c>
      <c r="F76" s="64" t="n">
        <f aca="false">B76-E76</f>
        <v>3</v>
      </c>
      <c r="G76" s="65" t="n">
        <f aca="false">IFERROR(E76/B76,"")</f>
        <v>0.823529411764706</v>
      </c>
      <c r="H76" s="65" t="n">
        <f aca="false">IFERROR((COUNTIFS(工单[报修日期],"&gt;="&amp;期初,工单[报修日期],"&lt;="&amp;期末,工单[楼栋],$A76,工单[维修评价],"非常满意")+COUNTIFS(工单[报修日期],"&gt;="&amp;期初,工单[报修日期],"&lt;="&amp;期末,工单[楼栋],$A76,工单[维修评价],"满意"))/COUNTIFS(工单[报修日期],"&gt;="&amp;期初,工单[报修日期],"&lt;="&amp;期末,工单[楼栋],$A76,工单[维修评价],"&lt;&gt;"),"")</f>
        <v>1</v>
      </c>
      <c r="I76" s="64" t="n">
        <f aca="false">COUNTIFS(工单[楼栋],$A76,工单[该户第几次],2,工单[报修日期],"&gt;="&amp;期初,工单[报修日期],"&lt;="&amp;期末)</f>
        <v>1</v>
      </c>
    </row>
    <row r="77" customFormat="false" ht="18.75" hidden="false" customHeight="true" outlineLevel="0" collapsed="false">
      <c r="A77" s="71" t="str">
        <f aca="false">设置!E14&amp;""</f>
        <v>6栋</v>
      </c>
      <c r="B77" s="64" t="n">
        <f aca="false">COUNTIFS(工单[报修日期],"&gt;="&amp;期初,工单[报修日期],"&lt;="&amp;期末,工单[楼栋],$A77)</f>
        <v>17</v>
      </c>
      <c r="C77" s="64" t="n">
        <f aca="false">COUNTIFS(工单[报修日期],"&gt;="&amp;期初,工单[报修日期],"&lt;="&amp;期末,工单[楼栋],$A77,工单[类型],"入户")</f>
        <v>17</v>
      </c>
      <c r="D77" s="64" t="n">
        <f aca="false">COUNTIFS(工单[报修日期],"&gt;="&amp;期初,工单[报修日期],"&lt;="&amp;期末,工单[楼栋],$A77,工单[类型],"公区")</f>
        <v>0</v>
      </c>
      <c r="E77" s="64" t="n">
        <f aca="false">COUNTIFS(工单[报修日期],"&gt;="&amp;期初,工单[报修日期],"&lt;="&amp;期末,工单[楼栋],$A77,工单[完成情况],"已完成")</f>
        <v>13</v>
      </c>
      <c r="F77" s="64" t="n">
        <f aca="false">B77-E77</f>
        <v>4</v>
      </c>
      <c r="G77" s="65" t="n">
        <f aca="false">IFERROR(E77/B77,"")</f>
        <v>0.764705882352941</v>
      </c>
      <c r="H77" s="65" t="n">
        <f aca="false">IFERROR((COUNTIFS(工单[报修日期],"&gt;="&amp;期初,工单[报修日期],"&lt;="&amp;期末,工单[楼栋],$A77,工单[维修评价],"非常满意")+COUNTIFS(工单[报修日期],"&gt;="&amp;期初,工单[报修日期],"&lt;="&amp;期末,工单[楼栋],$A77,工单[维修评价],"满意"))/COUNTIFS(工单[报修日期],"&gt;="&amp;期初,工单[报修日期],"&lt;="&amp;期末,工单[楼栋],$A77,工单[维修评价],"&lt;&gt;"),"")</f>
        <v>0.933333333333333</v>
      </c>
      <c r="I77" s="64" t="n">
        <f aca="false">COUNTIFS(工单[楼栋],$A77,工单[该户第几次],2,工单[报修日期],"&gt;="&amp;期初,工单[报修日期],"&lt;="&amp;期末)</f>
        <v>1</v>
      </c>
    </row>
    <row r="78" customFormat="false" ht="18.75" hidden="false" customHeight="true" outlineLevel="0" collapsed="false">
      <c r="A78" s="71" t="str">
        <f aca="false">设置!E15&amp;""</f>
        <v>7栋</v>
      </c>
      <c r="B78" s="64" t="n">
        <f aca="false">COUNTIFS(工单[报修日期],"&gt;="&amp;期初,工单[报修日期],"&lt;="&amp;期末,工单[楼栋],$A78)</f>
        <v>14</v>
      </c>
      <c r="C78" s="64" t="n">
        <f aca="false">COUNTIFS(工单[报修日期],"&gt;="&amp;期初,工单[报修日期],"&lt;="&amp;期末,工单[楼栋],$A78,工单[类型],"入户")</f>
        <v>13</v>
      </c>
      <c r="D78" s="64" t="n">
        <f aca="false">COUNTIFS(工单[报修日期],"&gt;="&amp;期初,工单[报修日期],"&lt;="&amp;期末,工单[楼栋],$A78,工单[类型],"公区")</f>
        <v>1</v>
      </c>
      <c r="E78" s="64" t="n">
        <f aca="false">COUNTIFS(工单[报修日期],"&gt;="&amp;期初,工单[报修日期],"&lt;="&amp;期末,工单[楼栋],$A78,工单[完成情况],"已完成")</f>
        <v>11</v>
      </c>
      <c r="F78" s="64" t="n">
        <f aca="false">B78-E78</f>
        <v>3</v>
      </c>
      <c r="G78" s="65" t="n">
        <f aca="false">IFERROR(E78/B78,"")</f>
        <v>0.785714285714286</v>
      </c>
      <c r="H78" s="65" t="n">
        <f aca="false">IFERROR((COUNTIFS(工单[报修日期],"&gt;="&amp;期初,工单[报修日期],"&lt;="&amp;期末,工单[楼栋],$A78,工单[维修评价],"非常满意")+COUNTIFS(工单[报修日期],"&gt;="&amp;期初,工单[报修日期],"&lt;="&amp;期末,工单[楼栋],$A78,工单[维修评价],"满意"))/COUNTIFS(工单[报修日期],"&gt;="&amp;期初,工单[报修日期],"&lt;="&amp;期末,工单[楼栋],$A78,工单[维修评价],"&lt;&gt;"),"")</f>
        <v>1</v>
      </c>
      <c r="I78" s="64" t="n">
        <f aca="false">COUNTIFS(工单[楼栋],$A78,工单[该户第几次],2,工单[报修日期],"&gt;="&amp;期初,工单[报修日期],"&lt;="&amp;期末)</f>
        <v>1</v>
      </c>
    </row>
    <row r="79" customFormat="false" ht="18.75" hidden="false" customHeight="true" outlineLevel="0" collapsed="false">
      <c r="A79" s="71" t="str">
        <f aca="false">设置!E16&amp;""</f>
        <v>8栋</v>
      </c>
      <c r="B79" s="64" t="n">
        <f aca="false">COUNTIFS(工单[报修日期],"&gt;="&amp;期初,工单[报修日期],"&lt;="&amp;期末,工单[楼栋],$A79)</f>
        <v>16</v>
      </c>
      <c r="C79" s="64" t="n">
        <f aca="false">COUNTIFS(工单[报修日期],"&gt;="&amp;期初,工单[报修日期],"&lt;="&amp;期末,工单[楼栋],$A79,工单[类型],"入户")</f>
        <v>15</v>
      </c>
      <c r="D79" s="64" t="n">
        <f aca="false">COUNTIFS(工单[报修日期],"&gt;="&amp;期初,工单[报修日期],"&lt;="&amp;期末,工单[楼栋],$A79,工单[类型],"公区")</f>
        <v>1</v>
      </c>
      <c r="E79" s="64" t="n">
        <f aca="false">COUNTIFS(工单[报修日期],"&gt;="&amp;期初,工单[报修日期],"&lt;="&amp;期末,工单[楼栋],$A79,工单[完成情况],"已完成")</f>
        <v>14</v>
      </c>
      <c r="F79" s="64" t="n">
        <f aca="false">B79-E79</f>
        <v>2</v>
      </c>
      <c r="G79" s="65" t="n">
        <f aca="false">IFERROR(E79/B79,"")</f>
        <v>0.875</v>
      </c>
      <c r="H79" s="65" t="n">
        <f aca="false">IFERROR((COUNTIFS(工单[报修日期],"&gt;="&amp;期初,工单[报修日期],"&lt;="&amp;期末,工单[楼栋],$A79,工单[维修评价],"非常满意")+COUNTIFS(工单[报修日期],"&gt;="&amp;期初,工单[报修日期],"&lt;="&amp;期末,工单[楼栋],$A79,工单[维修评价],"满意"))/COUNTIFS(工单[报修日期],"&gt;="&amp;期初,工单[报修日期],"&lt;="&amp;期末,工单[楼栋],$A79,工单[维修评价],"&lt;&gt;"),"")</f>
        <v>1</v>
      </c>
      <c r="I79" s="64" t="n">
        <f aca="false">COUNTIFS(工单[楼栋],$A79,工单[该户第几次],2,工单[报修日期],"&gt;="&amp;期初,工单[报修日期],"&lt;="&amp;期末)</f>
        <v>1</v>
      </c>
    </row>
    <row r="80" customFormat="false" ht="18.75" hidden="false" customHeight="true" outlineLevel="0" collapsed="false">
      <c r="A80" s="71" t="str">
        <f aca="false">设置!E17&amp;""</f>
        <v>9栋</v>
      </c>
      <c r="B80" s="64" t="n">
        <f aca="false">COUNTIFS(工单[报修日期],"&gt;="&amp;期初,工单[报修日期],"&lt;="&amp;期末,工单[楼栋],$A80)</f>
        <v>14</v>
      </c>
      <c r="C80" s="64" t="n">
        <f aca="false">COUNTIFS(工单[报修日期],"&gt;="&amp;期初,工单[报修日期],"&lt;="&amp;期末,工单[楼栋],$A80,工单[类型],"入户")</f>
        <v>12</v>
      </c>
      <c r="D80" s="64" t="n">
        <f aca="false">COUNTIFS(工单[报修日期],"&gt;="&amp;期初,工单[报修日期],"&lt;="&amp;期末,工单[楼栋],$A80,工单[类型],"公区")</f>
        <v>2</v>
      </c>
      <c r="E80" s="64" t="n">
        <f aca="false">COUNTIFS(工单[报修日期],"&gt;="&amp;期初,工单[报修日期],"&lt;="&amp;期末,工单[楼栋],$A80,工单[完成情况],"已完成")</f>
        <v>13</v>
      </c>
      <c r="F80" s="64" t="n">
        <f aca="false">B80-E80</f>
        <v>1</v>
      </c>
      <c r="G80" s="65" t="n">
        <f aca="false">IFERROR(E80/B80,"")</f>
        <v>0.928571428571429</v>
      </c>
      <c r="H80" s="65" t="n">
        <f aca="false">IFERROR((COUNTIFS(工单[报修日期],"&gt;="&amp;期初,工单[报修日期],"&lt;="&amp;期末,工单[楼栋],$A80,工单[维修评价],"非常满意")+COUNTIFS(工单[报修日期],"&gt;="&amp;期初,工单[报修日期],"&lt;="&amp;期末,工单[楼栋],$A80,工单[维修评价],"满意"))/COUNTIFS(工单[报修日期],"&gt;="&amp;期初,工单[报修日期],"&lt;="&amp;期末,工单[楼栋],$A80,工单[维修评价],"&lt;&gt;"),"")</f>
        <v>1</v>
      </c>
      <c r="I80" s="64" t="n">
        <f aca="false">COUNTIFS(工单[楼栋],$A80,工单[该户第几次],2,工单[报修日期],"&gt;="&amp;期初,工单[报修日期],"&lt;="&amp;期末)</f>
        <v>0</v>
      </c>
    </row>
    <row r="81" customFormat="false" ht="18.75" hidden="false" customHeight="true" outlineLevel="0" collapsed="false">
      <c r="A81" s="71" t="str">
        <f aca="false">设置!E18&amp;""</f>
        <v>10栋</v>
      </c>
      <c r="B81" s="64" t="n">
        <f aca="false">COUNTIFS(工单[报修日期],"&gt;="&amp;期初,工单[报修日期],"&lt;="&amp;期末,工单[楼栋],$A81)</f>
        <v>16</v>
      </c>
      <c r="C81" s="64" t="n">
        <f aca="false">COUNTIFS(工单[报修日期],"&gt;="&amp;期初,工单[报修日期],"&lt;="&amp;期末,工单[楼栋],$A81,工单[类型],"入户")</f>
        <v>13</v>
      </c>
      <c r="D81" s="64" t="n">
        <f aca="false">COUNTIFS(工单[报修日期],"&gt;="&amp;期初,工单[报修日期],"&lt;="&amp;期末,工单[楼栋],$A81,工单[类型],"公区")</f>
        <v>3</v>
      </c>
      <c r="E81" s="64" t="n">
        <f aca="false">COUNTIFS(工单[报修日期],"&gt;="&amp;期初,工单[报修日期],"&lt;="&amp;期末,工单[楼栋],$A81,工单[完成情况],"已完成")</f>
        <v>14</v>
      </c>
      <c r="F81" s="64" t="n">
        <f aca="false">B81-E81</f>
        <v>2</v>
      </c>
      <c r="G81" s="65" t="n">
        <f aca="false">IFERROR(E81/B81,"")</f>
        <v>0.875</v>
      </c>
      <c r="H81" s="65" t="n">
        <f aca="false">IFERROR((COUNTIFS(工单[报修日期],"&gt;="&amp;期初,工单[报修日期],"&lt;="&amp;期末,工单[楼栋],$A81,工单[维修评价],"非常满意")+COUNTIFS(工单[报修日期],"&gt;="&amp;期初,工单[报修日期],"&lt;="&amp;期末,工单[楼栋],$A81,工单[维修评价],"满意"))/COUNTIFS(工单[报修日期],"&gt;="&amp;期初,工单[报修日期],"&lt;="&amp;期末,工单[楼栋],$A81,工单[维修评价],"&lt;&gt;"),"")</f>
        <v>1</v>
      </c>
      <c r="I81" s="64" t="n">
        <f aca="false">COUNTIFS(工单[楼栋],$A81,工单[该户第几次],2,工单[报修日期],"&gt;="&amp;期初,工单[报修日期],"&lt;="&amp;期末)</f>
        <v>0</v>
      </c>
    </row>
    <row r="82" customFormat="false" ht="18.75" hidden="false" customHeight="true" outlineLevel="0" collapsed="false">
      <c r="A82" s="71" t="str">
        <f aca="false">设置!E19&amp;""</f>
        <v>11栋</v>
      </c>
      <c r="B82" s="64" t="n">
        <f aca="false">COUNTIFS(工单[报修日期],"&gt;="&amp;期初,工单[报修日期],"&lt;="&amp;期末,工单[楼栋],$A82)</f>
        <v>12</v>
      </c>
      <c r="C82" s="64" t="n">
        <f aca="false">COUNTIFS(工单[报修日期],"&gt;="&amp;期初,工单[报修日期],"&lt;="&amp;期末,工单[楼栋],$A82,工单[类型],"入户")</f>
        <v>10</v>
      </c>
      <c r="D82" s="64" t="n">
        <f aca="false">COUNTIFS(工单[报修日期],"&gt;="&amp;期初,工单[报修日期],"&lt;="&amp;期末,工单[楼栋],$A82,工单[类型],"公区")</f>
        <v>2</v>
      </c>
      <c r="E82" s="64" t="n">
        <f aca="false">COUNTIFS(工单[报修日期],"&gt;="&amp;期初,工单[报修日期],"&lt;="&amp;期末,工单[楼栋],$A82,工单[完成情况],"已完成")</f>
        <v>11</v>
      </c>
      <c r="F82" s="64" t="n">
        <f aca="false">B82-E82</f>
        <v>1</v>
      </c>
      <c r="G82" s="65" t="n">
        <f aca="false">IFERROR(E82/B82,"")</f>
        <v>0.916666666666667</v>
      </c>
      <c r="H82" s="65" t="n">
        <f aca="false">IFERROR((COUNTIFS(工单[报修日期],"&gt;="&amp;期初,工单[报修日期],"&lt;="&amp;期末,工单[楼栋],$A82,工单[维修评价],"非常满意")+COUNTIFS(工单[报修日期],"&gt;="&amp;期初,工单[报修日期],"&lt;="&amp;期末,工单[楼栋],$A82,工单[维修评价],"满意"))/COUNTIFS(工单[报修日期],"&gt;="&amp;期初,工单[报修日期],"&lt;="&amp;期末,工单[楼栋],$A82,工单[维修评价],"&lt;&gt;"),"")</f>
        <v>1</v>
      </c>
      <c r="I82" s="64" t="n">
        <f aca="false">COUNTIFS(工单[楼栋],$A82,工单[该户第几次],2,工单[报修日期],"&gt;="&amp;期初,工单[报修日期],"&lt;="&amp;期末)</f>
        <v>0</v>
      </c>
    </row>
    <row r="83" customFormat="false" ht="18.75" hidden="false" customHeight="true" outlineLevel="0" collapsed="false">
      <c r="A83" s="71" t="str">
        <f aca="false">设置!E20&amp;""</f>
        <v>商铺</v>
      </c>
      <c r="B83" s="64" t="n">
        <f aca="false">COUNTIFS(工单[报修日期],"&gt;="&amp;期初,工单[报修日期],"&lt;="&amp;期末,工单[楼栋],$A83)</f>
        <v>1</v>
      </c>
      <c r="C83" s="64" t="n">
        <f aca="false">COUNTIFS(工单[报修日期],"&gt;="&amp;期初,工单[报修日期],"&lt;="&amp;期末,工单[楼栋],$A83,工单[类型],"入户")</f>
        <v>1</v>
      </c>
      <c r="D83" s="64" t="n">
        <f aca="false">COUNTIFS(工单[报修日期],"&gt;="&amp;期初,工单[报修日期],"&lt;="&amp;期末,工单[楼栋],$A83,工单[类型],"公区")</f>
        <v>0</v>
      </c>
      <c r="E83" s="64" t="n">
        <f aca="false">COUNTIFS(工单[报修日期],"&gt;="&amp;期初,工单[报修日期],"&lt;="&amp;期末,工单[楼栋],$A83,工单[完成情况],"已完成")</f>
        <v>1</v>
      </c>
      <c r="F83" s="64" t="n">
        <f aca="false">B83-E83</f>
        <v>0</v>
      </c>
      <c r="G83" s="65" t="n">
        <f aca="false">IFERROR(E83/B83,"")</f>
        <v>1</v>
      </c>
      <c r="H83" s="65" t="n">
        <f aca="false">IFERROR((COUNTIFS(工单[报修日期],"&gt;="&amp;期初,工单[报修日期],"&lt;="&amp;期末,工单[楼栋],$A83,工单[维修评价],"非常满意")+COUNTIFS(工单[报修日期],"&gt;="&amp;期初,工单[报修日期],"&lt;="&amp;期末,工单[楼栋],$A83,工单[维修评价],"满意"))/COUNTIFS(工单[报修日期],"&gt;="&amp;期初,工单[报修日期],"&lt;="&amp;期末,工单[楼栋],$A83,工单[维修评价],"&lt;&gt;"),"")</f>
        <v>1</v>
      </c>
      <c r="I83" s="64" t="n">
        <f aca="false">COUNTIFS(工单[楼栋],$A83,工单[该户第几次],2,工单[报修日期],"&gt;="&amp;期初,工单[报修日期],"&lt;="&amp;期末)</f>
        <v>0</v>
      </c>
    </row>
    <row r="84" customFormat="false" ht="18.75" hidden="false" customHeight="true" outlineLevel="0" collapsed="false">
      <c r="A84" s="71" t="str">
        <f aca="false">设置!E21&amp;""</f>
        <v>公共区域</v>
      </c>
      <c r="B84" s="64" t="n">
        <f aca="false">COUNTIFS(工单[报修日期],"&gt;="&amp;期初,工单[报修日期],"&lt;="&amp;期末,工单[楼栋],$A84)</f>
        <v>8</v>
      </c>
      <c r="C84" s="64" t="n">
        <f aca="false">COUNTIFS(工单[报修日期],"&gt;="&amp;期初,工单[报修日期],"&lt;="&amp;期末,工单[楼栋],$A84,工单[类型],"入户")</f>
        <v>0</v>
      </c>
      <c r="D84" s="64" t="n">
        <f aca="false">COUNTIFS(工单[报修日期],"&gt;="&amp;期初,工单[报修日期],"&lt;="&amp;期末,工单[楼栋],$A84,工单[类型],"公区")</f>
        <v>8</v>
      </c>
      <c r="E84" s="64" t="n">
        <f aca="false">COUNTIFS(工单[报修日期],"&gt;="&amp;期初,工单[报修日期],"&lt;="&amp;期末,工单[楼栋],$A84,工单[完成情况],"已完成")</f>
        <v>6</v>
      </c>
      <c r="F84" s="64" t="n">
        <f aca="false">B84-E84</f>
        <v>2</v>
      </c>
      <c r="G84" s="65" t="n">
        <f aca="false">IFERROR(E84/B84,"")</f>
        <v>0.75</v>
      </c>
      <c r="H84" s="65" t="str">
        <f aca="false">IFERROR((COUNTIFS(工单[报修日期],"&gt;="&amp;期初,工单[报修日期],"&lt;="&amp;期末,工单[楼栋],$A84,工单[维修评价],"非常满意")+COUNTIFS(工单[报修日期],"&gt;="&amp;期初,工单[报修日期],"&lt;="&amp;期末,工单[楼栋],$A84,工单[维修评价],"满意"))/COUNTIFS(工单[报修日期],"&gt;="&amp;期初,工单[报修日期],"&lt;="&amp;期末,工单[楼栋],$A84,工单[维修评价],"&lt;&gt;"),"")</f>
        <v/>
      </c>
      <c r="I84" s="64" t="n">
        <f aca="false">COUNTIFS(工单[楼栋],$A84,工单[该户第几次],2,工单[报修日期],"&gt;="&amp;期初,工单[报修日期],"&lt;="&amp;期末)</f>
        <v>1</v>
      </c>
    </row>
    <row r="85" customFormat="false" ht="15" hidden="false" customHeight="false" outlineLevel="0" collapsed="false">
      <c r="A85" s="77" t="s">
        <v>281</v>
      </c>
      <c r="B85" s="78" t="n">
        <f aca="false">SUM(B72:B84)</f>
        <v>143</v>
      </c>
      <c r="C85" s="78" t="n">
        <f aca="false">SUM(C72:C84)</f>
        <v>121</v>
      </c>
      <c r="D85" s="78" t="n">
        <f aca="false">SUM(D72:D84)</f>
        <v>22</v>
      </c>
      <c r="E85" s="78" t="n">
        <f aca="false">SUM(E72:E84)</f>
        <v>124</v>
      </c>
      <c r="F85" s="78" t="n">
        <f aca="false">SUM(F72:F84)</f>
        <v>19</v>
      </c>
      <c r="G85" s="79" t="n">
        <f aca="false">IFERROR(E85/B85,"")</f>
        <v>0.867132867132867</v>
      </c>
      <c r="H85" s="79" t="n">
        <f aca="false">E43</f>
        <v>0.990990990990991</v>
      </c>
      <c r="I85" s="78" t="n">
        <f aca="false">SUM(I72:I84)</f>
        <v>5</v>
      </c>
    </row>
    <row r="87" customFormat="false" ht="15" hidden="false" customHeight="false" outlineLevel="0" collapsed="false">
      <c r="A87" s="45" t="s">
        <v>283</v>
      </c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</row>
    <row r="88" customFormat="false" ht="21.75" hidden="false" customHeight="true" outlineLevel="0" collapsed="false">
      <c r="A88" s="82" t="s">
        <v>51</v>
      </c>
      <c r="B88" s="83" t="str">
        <f aca="false">A72</f>
        <v>1栋</v>
      </c>
      <c r="C88" s="83" t="str">
        <f aca="false">A73</f>
        <v>2栋</v>
      </c>
      <c r="D88" s="83" t="str">
        <f aca="false">A74</f>
        <v>3栋</v>
      </c>
      <c r="E88" s="83" t="str">
        <f aca="false">A75</f>
        <v>4栋</v>
      </c>
      <c r="F88" s="83" t="str">
        <f aca="false">A76</f>
        <v>5栋</v>
      </c>
      <c r="G88" s="83" t="str">
        <f aca="false">A77</f>
        <v>6栋</v>
      </c>
      <c r="H88" s="83" t="str">
        <f aca="false">A78</f>
        <v>7栋</v>
      </c>
      <c r="I88" s="83" t="str">
        <f aca="false">A79</f>
        <v>8栋</v>
      </c>
      <c r="J88" s="83" t="str">
        <f aca="false">A80</f>
        <v>9栋</v>
      </c>
      <c r="K88" s="83" t="str">
        <f aca="false">A81</f>
        <v>10栋</v>
      </c>
      <c r="L88" s="83" t="str">
        <f aca="false">A82</f>
        <v>11栋</v>
      </c>
      <c r="M88" s="83" t="str">
        <f aca="false">A83</f>
        <v>商铺</v>
      </c>
      <c r="N88" s="83" t="str">
        <f aca="false">A84</f>
        <v>公共区域</v>
      </c>
    </row>
    <row r="89" customFormat="false" ht="18.75" hidden="false" customHeight="true" outlineLevel="0" collapsed="false">
      <c r="A89" s="84" t="str">
        <f aca="false">设置!A9&amp;""</f>
        <v>张师傅</v>
      </c>
      <c r="B89" s="85" t="n">
        <f aca="false">COUNTIFS(工单[跟进人1],$A89,工单[楼栋],B$88,工单[报修日期],"&gt;="&amp;期初,工单[报修日期],"&lt;="&amp;期末)+COUNTIFS(工单[跟进人2],$A89,工单[楼栋],B$88,工单[报修日期],"&gt;="&amp;期初,工单[报修日期],"&lt;="&amp;期末)</f>
        <v>4</v>
      </c>
      <c r="C89" s="85" t="n">
        <f aca="false">COUNTIFS(工单[跟进人1],$A89,工单[楼栋],C$88,工单[报修日期],"&gt;="&amp;期初,工单[报修日期],"&lt;="&amp;期末)+COUNTIFS(工单[跟进人2],$A89,工单[楼栋],C$88,工单[报修日期],"&gt;="&amp;期初,工单[报修日期],"&lt;="&amp;期末)</f>
        <v>4</v>
      </c>
      <c r="D89" s="85" t="n">
        <f aca="false">COUNTIFS(工单[跟进人1],$A89,工单[楼栋],D$88,工单[报修日期],"&gt;="&amp;期初,工单[报修日期],"&lt;="&amp;期末)+COUNTIFS(工单[跟进人2],$A89,工单[楼栋],D$88,工单[报修日期],"&gt;="&amp;期初,工单[报修日期],"&lt;="&amp;期末)</f>
        <v>2</v>
      </c>
      <c r="E89" s="85" t="n">
        <f aca="false">COUNTIFS(工单[跟进人1],$A89,工单[楼栋],E$88,工单[报修日期],"&gt;="&amp;期初,工单[报修日期],"&lt;="&amp;期末)+COUNTIFS(工单[跟进人2],$A89,工单[楼栋],E$88,工单[报修日期],"&gt;="&amp;期初,工单[报修日期],"&lt;="&amp;期末)</f>
        <v>1</v>
      </c>
      <c r="F89" s="85" t="n">
        <f aca="false">COUNTIFS(工单[跟进人1],$A89,工单[楼栋],F$88,工单[报修日期],"&gt;="&amp;期初,工单[报修日期],"&lt;="&amp;期末)+COUNTIFS(工单[跟进人2],$A89,工单[楼栋],F$88,工单[报修日期],"&gt;="&amp;期初,工单[报修日期],"&lt;="&amp;期末)</f>
        <v>7</v>
      </c>
      <c r="G89" s="85" t="n">
        <f aca="false">COUNTIFS(工单[跟进人1],$A89,工单[楼栋],G$88,工单[报修日期],"&gt;="&amp;期初,工单[报修日期],"&lt;="&amp;期末)+COUNTIFS(工单[跟进人2],$A89,工单[楼栋],G$88,工单[报修日期],"&gt;="&amp;期初,工单[报修日期],"&lt;="&amp;期末)</f>
        <v>10</v>
      </c>
      <c r="H89" s="85" t="n">
        <f aca="false">COUNTIFS(工单[跟进人1],$A89,工单[楼栋],H$88,工单[报修日期],"&gt;="&amp;期初,工单[报修日期],"&lt;="&amp;期末)+COUNTIFS(工单[跟进人2],$A89,工单[楼栋],H$88,工单[报修日期],"&gt;="&amp;期初,工单[报修日期],"&lt;="&amp;期末)</f>
        <v>8</v>
      </c>
      <c r="I89" s="85" t="n">
        <f aca="false">COUNTIFS(工单[跟进人1],$A89,工单[楼栋],I$88,工单[报修日期],"&gt;="&amp;期初,工单[报修日期],"&lt;="&amp;期末)+COUNTIFS(工单[跟进人2],$A89,工单[楼栋],I$88,工单[报修日期],"&gt;="&amp;期初,工单[报修日期],"&lt;="&amp;期末)</f>
        <v>9</v>
      </c>
      <c r="J89" s="85" t="n">
        <f aca="false">COUNTIFS(工单[跟进人1],$A89,工单[楼栋],J$88,工单[报修日期],"&gt;="&amp;期初,工单[报修日期],"&lt;="&amp;期末)+COUNTIFS(工单[跟进人2],$A89,工单[楼栋],J$88,工单[报修日期],"&gt;="&amp;期初,工单[报修日期],"&lt;="&amp;期末)</f>
        <v>6</v>
      </c>
      <c r="K89" s="85" t="n">
        <f aca="false">COUNTIFS(工单[跟进人1],$A89,工单[楼栋],K$88,工单[报修日期],"&gt;="&amp;期初,工单[报修日期],"&lt;="&amp;期末)+COUNTIFS(工单[跟进人2],$A89,工单[楼栋],K$88,工单[报修日期],"&gt;="&amp;期初,工单[报修日期],"&lt;="&amp;期末)</f>
        <v>6</v>
      </c>
      <c r="L89" s="85" t="n">
        <f aca="false">COUNTIFS(工单[跟进人1],$A89,工单[楼栋],L$88,工单[报修日期],"&gt;="&amp;期初,工单[报修日期],"&lt;="&amp;期末)+COUNTIFS(工单[跟进人2],$A89,工单[楼栋],L$88,工单[报修日期],"&gt;="&amp;期初,工单[报修日期],"&lt;="&amp;期末)</f>
        <v>7</v>
      </c>
      <c r="M89" s="85" t="n">
        <f aca="false">COUNTIFS(工单[跟进人1],$A89,工单[楼栋],M$88,工单[报修日期],"&gt;="&amp;期初,工单[报修日期],"&lt;="&amp;期末)+COUNTIFS(工单[跟进人2],$A89,工单[楼栋],M$88,工单[报修日期],"&gt;="&amp;期初,工单[报修日期],"&lt;="&amp;期末)</f>
        <v>0</v>
      </c>
      <c r="N89" s="85" t="n">
        <f aca="false">COUNTIFS(工单[跟进人1],$A89,工单[楼栋],N$88,工单[报修日期],"&gt;="&amp;期初,工单[报修日期],"&lt;="&amp;期末)+COUNTIFS(工单[跟进人2],$A89,工单[楼栋],N$88,工单[报修日期],"&gt;="&amp;期初,工单[报修日期],"&lt;="&amp;期末)</f>
        <v>3</v>
      </c>
    </row>
    <row r="90" customFormat="false" ht="18.75" hidden="false" customHeight="true" outlineLevel="0" collapsed="false">
      <c r="A90" s="84" t="str">
        <f aca="false">设置!A10&amp;""</f>
        <v>李师傅</v>
      </c>
      <c r="B90" s="85" t="n">
        <f aca="false">COUNTIFS(工单[跟进人1],$A90,工单[楼栋],B$88,工单[报修日期],"&gt;="&amp;期初,工单[报修日期],"&lt;="&amp;期末)+COUNTIFS(工单[跟进人2],$A90,工单[楼栋],B$88,工单[报修日期],"&gt;="&amp;期初,工单[报修日期],"&lt;="&amp;期末)</f>
        <v>0</v>
      </c>
      <c r="C90" s="85" t="n">
        <f aca="false">COUNTIFS(工单[跟进人1],$A90,工单[楼栋],C$88,工单[报修日期],"&gt;="&amp;期初,工单[报修日期],"&lt;="&amp;期末)+COUNTIFS(工单[跟进人2],$A90,工单[楼栋],C$88,工单[报修日期],"&gt;="&amp;期初,工单[报修日期],"&lt;="&amp;期末)</f>
        <v>1</v>
      </c>
      <c r="D90" s="85" t="n">
        <f aca="false">COUNTIFS(工单[跟进人1],$A90,工单[楼栋],D$88,工单[报修日期],"&gt;="&amp;期初,工单[报修日期],"&lt;="&amp;期末)+COUNTIFS(工单[跟进人2],$A90,工单[楼栋],D$88,工单[报修日期],"&gt;="&amp;期初,工单[报修日期],"&lt;="&amp;期末)</f>
        <v>2</v>
      </c>
      <c r="E90" s="85" t="n">
        <f aca="false">COUNTIFS(工单[跟进人1],$A90,工单[楼栋],E$88,工单[报修日期],"&gt;="&amp;期初,工单[报修日期],"&lt;="&amp;期末)+COUNTIFS(工单[跟进人2],$A90,工单[楼栋],E$88,工单[报修日期],"&gt;="&amp;期初,工单[报修日期],"&lt;="&amp;期末)</f>
        <v>1</v>
      </c>
      <c r="F90" s="85" t="n">
        <f aca="false">COUNTIFS(工单[跟进人1],$A90,工单[楼栋],F$88,工单[报修日期],"&gt;="&amp;期初,工单[报修日期],"&lt;="&amp;期末)+COUNTIFS(工单[跟进人2],$A90,工单[楼栋],F$88,工单[报修日期],"&gt;="&amp;期初,工单[报修日期],"&lt;="&amp;期末)</f>
        <v>5</v>
      </c>
      <c r="G90" s="85" t="n">
        <f aca="false">COUNTIFS(工单[跟进人1],$A90,工单[楼栋],G$88,工单[报修日期],"&gt;="&amp;期初,工单[报修日期],"&lt;="&amp;期末)+COUNTIFS(工单[跟进人2],$A90,工单[楼栋],G$88,工单[报修日期],"&gt;="&amp;期初,工单[报修日期],"&lt;="&amp;期末)</f>
        <v>3</v>
      </c>
      <c r="H90" s="85" t="n">
        <f aca="false">COUNTIFS(工单[跟进人1],$A90,工单[楼栋],H$88,工单[报修日期],"&gt;="&amp;期初,工单[报修日期],"&lt;="&amp;期末)+COUNTIFS(工单[跟进人2],$A90,工单[楼栋],H$88,工单[报修日期],"&gt;="&amp;期初,工单[报修日期],"&lt;="&amp;期末)</f>
        <v>5</v>
      </c>
      <c r="I90" s="85" t="n">
        <f aca="false">COUNTIFS(工单[跟进人1],$A90,工单[楼栋],I$88,工单[报修日期],"&gt;="&amp;期初,工单[报修日期],"&lt;="&amp;期末)+COUNTIFS(工单[跟进人2],$A90,工单[楼栋],I$88,工单[报修日期],"&gt;="&amp;期初,工单[报修日期],"&lt;="&amp;期末)</f>
        <v>6</v>
      </c>
      <c r="J90" s="85" t="n">
        <f aca="false">COUNTIFS(工单[跟进人1],$A90,工单[楼栋],J$88,工单[报修日期],"&gt;="&amp;期初,工单[报修日期],"&lt;="&amp;期末)+COUNTIFS(工单[跟进人2],$A90,工单[楼栋],J$88,工单[报修日期],"&gt;="&amp;期初,工单[报修日期],"&lt;="&amp;期末)</f>
        <v>6</v>
      </c>
      <c r="K90" s="85" t="n">
        <f aca="false">COUNTIFS(工单[跟进人1],$A90,工单[楼栋],K$88,工单[报修日期],"&gt;="&amp;期初,工单[报修日期],"&lt;="&amp;期末)+COUNTIFS(工单[跟进人2],$A90,工单[楼栋],K$88,工单[报修日期],"&gt;="&amp;期初,工单[报修日期],"&lt;="&amp;期末)</f>
        <v>8</v>
      </c>
      <c r="L90" s="85" t="n">
        <f aca="false">COUNTIFS(工单[跟进人1],$A90,工单[楼栋],L$88,工单[报修日期],"&gt;="&amp;期初,工单[报修日期],"&lt;="&amp;期末)+COUNTIFS(工单[跟进人2],$A90,工单[楼栋],L$88,工单[报修日期],"&gt;="&amp;期初,工单[报修日期],"&lt;="&amp;期末)</f>
        <v>3</v>
      </c>
      <c r="M90" s="85" t="n">
        <f aca="false">COUNTIFS(工单[跟进人1],$A90,工单[楼栋],M$88,工单[报修日期],"&gt;="&amp;期初,工单[报修日期],"&lt;="&amp;期末)+COUNTIFS(工单[跟进人2],$A90,工单[楼栋],M$88,工单[报修日期],"&gt;="&amp;期初,工单[报修日期],"&lt;="&amp;期末)</f>
        <v>0</v>
      </c>
      <c r="N90" s="85" t="n">
        <f aca="false">COUNTIFS(工单[跟进人1],$A90,工单[楼栋],N$88,工单[报修日期],"&gt;="&amp;期初,工单[报修日期],"&lt;="&amp;期末)+COUNTIFS(工单[跟进人2],$A90,工单[楼栋],N$88,工单[报修日期],"&gt;="&amp;期初,工单[报修日期],"&lt;="&amp;期末)</f>
        <v>0</v>
      </c>
    </row>
    <row r="91" customFormat="false" ht="18.75" hidden="false" customHeight="true" outlineLevel="0" collapsed="false">
      <c r="A91" s="84" t="str">
        <f aca="false">设置!A11&amp;""</f>
        <v>王师傅</v>
      </c>
      <c r="B91" s="85" t="n">
        <f aca="false">COUNTIFS(工单[跟进人1],$A91,工单[楼栋],B$88,工单[报修日期],"&gt;="&amp;期初,工单[报修日期],"&lt;="&amp;期末)+COUNTIFS(工单[跟进人2],$A91,工单[楼栋],B$88,工单[报修日期],"&gt;="&amp;期初,工单[报修日期],"&lt;="&amp;期末)</f>
        <v>0</v>
      </c>
      <c r="C91" s="85" t="n">
        <f aca="false">COUNTIFS(工单[跟进人1],$A91,工单[楼栋],C$88,工单[报修日期],"&gt;="&amp;期初,工单[报修日期],"&lt;="&amp;期末)+COUNTIFS(工单[跟进人2],$A91,工单[楼栋],C$88,工单[报修日期],"&gt;="&amp;期初,工单[报修日期],"&lt;="&amp;期末)</f>
        <v>1</v>
      </c>
      <c r="D91" s="85" t="n">
        <f aca="false">COUNTIFS(工单[跟进人1],$A91,工单[楼栋],D$88,工单[报修日期],"&gt;="&amp;期初,工单[报修日期],"&lt;="&amp;期末)+COUNTIFS(工单[跟进人2],$A91,工单[楼栋],D$88,工单[报修日期],"&gt;="&amp;期初,工单[报修日期],"&lt;="&amp;期末)</f>
        <v>0</v>
      </c>
      <c r="E91" s="85" t="n">
        <f aca="false">COUNTIFS(工单[跟进人1],$A91,工单[楼栋],E$88,工单[报修日期],"&gt;="&amp;期初,工单[报修日期],"&lt;="&amp;期末)+COUNTIFS(工单[跟进人2],$A91,工单[楼栋],E$88,工单[报修日期],"&gt;="&amp;期初,工单[报修日期],"&lt;="&amp;期末)</f>
        <v>0</v>
      </c>
      <c r="F91" s="85" t="n">
        <f aca="false">COUNTIFS(工单[跟进人1],$A91,工单[楼栋],F$88,工单[报修日期],"&gt;="&amp;期初,工单[报修日期],"&lt;="&amp;期末)+COUNTIFS(工单[跟进人2],$A91,工单[楼栋],F$88,工单[报修日期],"&gt;="&amp;期初,工单[报修日期],"&lt;="&amp;期末)</f>
        <v>0</v>
      </c>
      <c r="G91" s="85" t="n">
        <f aca="false">COUNTIFS(工单[跟进人1],$A91,工单[楼栋],G$88,工单[报修日期],"&gt;="&amp;期初,工单[报修日期],"&lt;="&amp;期末)+COUNTIFS(工单[跟进人2],$A91,工单[楼栋],G$88,工单[报修日期],"&gt;="&amp;期初,工单[报修日期],"&lt;="&amp;期末)</f>
        <v>2</v>
      </c>
      <c r="H91" s="85" t="n">
        <f aca="false">COUNTIFS(工单[跟进人1],$A91,工单[楼栋],H$88,工单[报修日期],"&gt;="&amp;期初,工单[报修日期],"&lt;="&amp;期末)+COUNTIFS(工单[跟进人2],$A91,工单[楼栋],H$88,工单[报修日期],"&gt;="&amp;期初,工单[报修日期],"&lt;="&amp;期末)</f>
        <v>1</v>
      </c>
      <c r="I91" s="85" t="n">
        <f aca="false">COUNTIFS(工单[跟进人1],$A91,工单[楼栋],I$88,工单[报修日期],"&gt;="&amp;期初,工单[报修日期],"&lt;="&amp;期末)+COUNTIFS(工单[跟进人2],$A91,工单[楼栋],I$88,工单[报修日期],"&gt;="&amp;期初,工单[报修日期],"&lt;="&amp;期末)</f>
        <v>1</v>
      </c>
      <c r="J91" s="85" t="n">
        <f aca="false">COUNTIFS(工单[跟进人1],$A91,工单[楼栋],J$88,工单[报修日期],"&gt;="&amp;期初,工单[报修日期],"&lt;="&amp;期末)+COUNTIFS(工单[跟进人2],$A91,工单[楼栋],J$88,工单[报修日期],"&gt;="&amp;期初,工单[报修日期],"&lt;="&amp;期末)</f>
        <v>0</v>
      </c>
      <c r="K91" s="85" t="n">
        <f aca="false">COUNTIFS(工单[跟进人1],$A91,工单[楼栋],K$88,工单[报修日期],"&gt;="&amp;期初,工单[报修日期],"&lt;="&amp;期末)+COUNTIFS(工单[跟进人2],$A91,工单[楼栋],K$88,工单[报修日期],"&gt;="&amp;期初,工单[报修日期],"&lt;="&amp;期末)</f>
        <v>0</v>
      </c>
      <c r="L91" s="85" t="n">
        <f aca="false">COUNTIFS(工单[跟进人1],$A91,工单[楼栋],L$88,工单[报修日期],"&gt;="&amp;期初,工单[报修日期],"&lt;="&amp;期末)+COUNTIFS(工单[跟进人2],$A91,工单[楼栋],L$88,工单[报修日期],"&gt;="&amp;期初,工单[报修日期],"&lt;="&amp;期末)</f>
        <v>0</v>
      </c>
      <c r="M91" s="85" t="n">
        <f aca="false">COUNTIFS(工单[跟进人1],$A91,工单[楼栋],M$88,工单[报修日期],"&gt;="&amp;期初,工单[报修日期],"&lt;="&amp;期末)+COUNTIFS(工单[跟进人2],$A91,工单[楼栋],M$88,工单[报修日期],"&gt;="&amp;期初,工单[报修日期],"&lt;="&amp;期末)</f>
        <v>1</v>
      </c>
      <c r="N91" s="85" t="n">
        <f aca="false">COUNTIFS(工单[跟进人1],$A91,工单[楼栋],N$88,工单[报修日期],"&gt;="&amp;期初,工单[报修日期],"&lt;="&amp;期末)+COUNTIFS(工单[跟进人2],$A91,工单[楼栋],N$88,工单[报修日期],"&gt;="&amp;期初,工单[报修日期],"&lt;="&amp;期末)</f>
        <v>2</v>
      </c>
    </row>
    <row r="92" customFormat="false" ht="18.75" hidden="false" customHeight="true" outlineLevel="0" collapsed="false">
      <c r="A92" s="84" t="str">
        <f aca="false">设置!A12&amp;""</f>
        <v>陈师傅</v>
      </c>
      <c r="B92" s="85" t="n">
        <f aca="false">COUNTIFS(工单[跟进人1],$A92,工单[楼栋],B$88,工单[报修日期],"&gt;="&amp;期初,工单[报修日期],"&lt;="&amp;期末)+COUNTIFS(工单[跟进人2],$A92,工单[楼栋],B$88,工单[报修日期],"&gt;="&amp;期初,工单[报修日期],"&lt;="&amp;期末)</f>
        <v>0</v>
      </c>
      <c r="C92" s="85" t="n">
        <f aca="false">COUNTIFS(工单[跟进人1],$A92,工单[楼栋],C$88,工单[报修日期],"&gt;="&amp;期初,工单[报修日期],"&lt;="&amp;期末)+COUNTIFS(工单[跟进人2],$A92,工单[楼栋],C$88,工单[报修日期],"&gt;="&amp;期初,工单[报修日期],"&lt;="&amp;期末)</f>
        <v>1</v>
      </c>
      <c r="D92" s="85" t="n">
        <f aca="false">COUNTIFS(工单[跟进人1],$A92,工单[楼栋],D$88,工单[报修日期],"&gt;="&amp;期初,工单[报修日期],"&lt;="&amp;期末)+COUNTIFS(工单[跟进人2],$A92,工单[楼栋],D$88,工单[报修日期],"&gt;="&amp;期初,工单[报修日期],"&lt;="&amp;期末)</f>
        <v>3</v>
      </c>
      <c r="E92" s="85" t="n">
        <f aca="false">COUNTIFS(工单[跟进人1],$A92,工单[楼栋],E$88,工单[报修日期],"&gt;="&amp;期初,工单[报修日期],"&lt;="&amp;期末)+COUNTIFS(工单[跟进人2],$A92,工单[楼栋],E$88,工单[报修日期],"&gt;="&amp;期初,工单[报修日期],"&lt;="&amp;期末)</f>
        <v>0</v>
      </c>
      <c r="F92" s="85" t="n">
        <f aca="false">COUNTIFS(工单[跟进人1],$A92,工单[楼栋],F$88,工单[报修日期],"&gt;="&amp;期初,工单[报修日期],"&lt;="&amp;期末)+COUNTIFS(工单[跟进人2],$A92,工单[楼栋],F$88,工单[报修日期],"&gt;="&amp;期初,工单[报修日期],"&lt;="&amp;期末)</f>
        <v>2</v>
      </c>
      <c r="G92" s="85" t="n">
        <f aca="false">COUNTIFS(工单[跟进人1],$A92,工单[楼栋],G$88,工单[报修日期],"&gt;="&amp;期初,工单[报修日期],"&lt;="&amp;期末)+COUNTIFS(工单[跟进人2],$A92,工单[楼栋],G$88,工单[报修日期],"&gt;="&amp;期初,工单[报修日期],"&lt;="&amp;期末)</f>
        <v>1</v>
      </c>
      <c r="H92" s="85" t="n">
        <f aca="false">COUNTIFS(工单[跟进人1],$A92,工单[楼栋],H$88,工单[报修日期],"&gt;="&amp;期初,工单[报修日期],"&lt;="&amp;期末)+COUNTIFS(工单[跟进人2],$A92,工单[楼栋],H$88,工单[报修日期],"&gt;="&amp;期初,工单[报修日期],"&lt;="&amp;期末)</f>
        <v>1</v>
      </c>
      <c r="I92" s="85" t="n">
        <f aca="false">COUNTIFS(工单[跟进人1],$A92,工单[楼栋],I$88,工单[报修日期],"&gt;="&amp;期初,工单[报修日期],"&lt;="&amp;期末)+COUNTIFS(工单[跟进人2],$A92,工单[楼栋],I$88,工单[报修日期],"&gt;="&amp;期初,工单[报修日期],"&lt;="&amp;期末)</f>
        <v>1</v>
      </c>
      <c r="J92" s="85" t="n">
        <f aca="false">COUNTIFS(工单[跟进人1],$A92,工单[楼栋],J$88,工单[报修日期],"&gt;="&amp;期初,工单[报修日期],"&lt;="&amp;期末)+COUNTIFS(工单[跟进人2],$A92,工单[楼栋],J$88,工单[报修日期],"&gt;="&amp;期初,工单[报修日期],"&lt;="&amp;期末)</f>
        <v>0</v>
      </c>
      <c r="K92" s="85" t="n">
        <f aca="false">COUNTIFS(工单[跟进人1],$A92,工单[楼栋],K$88,工单[报修日期],"&gt;="&amp;期初,工单[报修日期],"&lt;="&amp;期末)+COUNTIFS(工单[跟进人2],$A92,工单[楼栋],K$88,工单[报修日期],"&gt;="&amp;期初,工单[报修日期],"&lt;="&amp;期末)</f>
        <v>2</v>
      </c>
      <c r="L92" s="85" t="n">
        <f aca="false">COUNTIFS(工单[跟进人1],$A92,工单[楼栋],L$88,工单[报修日期],"&gt;="&amp;期初,工单[报修日期],"&lt;="&amp;期末)+COUNTIFS(工单[跟进人2],$A92,工单[楼栋],L$88,工单[报修日期],"&gt;="&amp;期初,工单[报修日期],"&lt;="&amp;期末)</f>
        <v>3</v>
      </c>
      <c r="M92" s="85" t="n">
        <f aca="false">COUNTIFS(工单[跟进人1],$A92,工单[楼栋],M$88,工单[报修日期],"&gt;="&amp;期初,工单[报修日期],"&lt;="&amp;期末)+COUNTIFS(工单[跟进人2],$A92,工单[楼栋],M$88,工单[报修日期],"&gt;="&amp;期初,工单[报修日期],"&lt;="&amp;期末)</f>
        <v>0</v>
      </c>
      <c r="N92" s="85" t="n">
        <f aca="false">COUNTIFS(工单[跟进人1],$A92,工单[楼栋],N$88,工单[报修日期],"&gt;="&amp;期初,工单[报修日期],"&lt;="&amp;期末)+COUNTIFS(工单[跟进人2],$A92,工单[楼栋],N$88,工单[报修日期],"&gt;="&amp;期初,工单[报修日期],"&lt;="&amp;期末)</f>
        <v>2</v>
      </c>
    </row>
    <row r="93" customFormat="false" ht="18.75" hidden="false" customHeight="true" outlineLevel="0" collapsed="false">
      <c r="A93" s="84" t="str">
        <f aca="false">设置!A13&amp;""</f>
        <v>刘师傅</v>
      </c>
      <c r="B93" s="85" t="n">
        <f aca="false">COUNTIFS(工单[跟进人1],$A93,工单[楼栋],B$88,工单[报修日期],"&gt;="&amp;期初,工单[报修日期],"&lt;="&amp;期末)+COUNTIFS(工单[跟进人2],$A93,工单[楼栋],B$88,工单[报修日期],"&gt;="&amp;期初,工单[报修日期],"&lt;="&amp;期末)</f>
        <v>1</v>
      </c>
      <c r="C93" s="85" t="n">
        <f aca="false">COUNTIFS(工单[跟进人1],$A93,工单[楼栋],C$88,工单[报修日期],"&gt;="&amp;期初,工单[报修日期],"&lt;="&amp;期末)+COUNTIFS(工单[跟进人2],$A93,工单[楼栋],C$88,工单[报修日期],"&gt;="&amp;期初,工单[报修日期],"&lt;="&amp;期末)</f>
        <v>1</v>
      </c>
      <c r="D93" s="85" t="n">
        <f aca="false">COUNTIFS(工单[跟进人1],$A93,工单[楼栋],D$88,工单[报修日期],"&gt;="&amp;期初,工单[报修日期],"&lt;="&amp;期末)+COUNTIFS(工单[跟进人2],$A93,工单[楼栋],D$88,工单[报修日期],"&gt;="&amp;期初,工单[报修日期],"&lt;="&amp;期末)</f>
        <v>0</v>
      </c>
      <c r="E93" s="85" t="n">
        <f aca="false">COUNTIFS(工单[跟进人1],$A93,工单[楼栋],E$88,工单[报修日期],"&gt;="&amp;期初,工单[报修日期],"&lt;="&amp;期末)+COUNTIFS(工单[跟进人2],$A93,工单[楼栋],E$88,工单[报修日期],"&gt;="&amp;期初,工单[报修日期],"&lt;="&amp;期末)</f>
        <v>4</v>
      </c>
      <c r="F93" s="85" t="n">
        <f aca="false">COUNTIFS(工单[跟进人1],$A93,工单[楼栋],F$88,工单[报修日期],"&gt;="&amp;期初,工单[报修日期],"&lt;="&amp;期末)+COUNTIFS(工单[跟进人2],$A93,工单[楼栋],F$88,工单[报修日期],"&gt;="&amp;期初,工单[报修日期],"&lt;="&amp;期末)</f>
        <v>1</v>
      </c>
      <c r="G93" s="85" t="n">
        <f aca="false">COUNTIFS(工单[跟进人1],$A93,工单[楼栋],G$88,工单[报修日期],"&gt;="&amp;期初,工单[报修日期],"&lt;="&amp;期末)+COUNTIFS(工单[跟进人2],$A93,工单[楼栋],G$88,工单[报修日期],"&gt;="&amp;期初,工单[报修日期],"&lt;="&amp;期末)</f>
        <v>2</v>
      </c>
      <c r="H93" s="85" t="n">
        <f aca="false">COUNTIFS(工单[跟进人1],$A93,工单[楼栋],H$88,工单[报修日期],"&gt;="&amp;期初,工单[报修日期],"&lt;="&amp;期末)+COUNTIFS(工单[跟进人2],$A93,工单[楼栋],H$88,工单[报修日期],"&gt;="&amp;期初,工单[报修日期],"&lt;="&amp;期末)</f>
        <v>0</v>
      </c>
      <c r="I93" s="85" t="n">
        <f aca="false">COUNTIFS(工单[跟进人1],$A93,工单[楼栋],I$88,工单[报修日期],"&gt;="&amp;期初,工单[报修日期],"&lt;="&amp;期末)+COUNTIFS(工单[跟进人2],$A93,工单[楼栋],I$88,工单[报修日期],"&gt;="&amp;期初,工单[报修日期],"&lt;="&amp;期末)</f>
        <v>0</v>
      </c>
      <c r="J93" s="85" t="n">
        <f aca="false">COUNTIFS(工单[跟进人1],$A93,工单[楼栋],J$88,工单[报修日期],"&gt;="&amp;期初,工单[报修日期],"&lt;="&amp;期末)+COUNTIFS(工单[跟进人2],$A93,工单[楼栋],J$88,工单[报修日期],"&gt;="&amp;期初,工单[报修日期],"&lt;="&amp;期末)</f>
        <v>2</v>
      </c>
      <c r="K93" s="85" t="n">
        <f aca="false">COUNTIFS(工单[跟进人1],$A93,工单[楼栋],K$88,工单[报修日期],"&gt;="&amp;期初,工单[报修日期],"&lt;="&amp;期末)+COUNTIFS(工单[跟进人2],$A93,工单[楼栋],K$88,工单[报修日期],"&gt;="&amp;期初,工单[报修日期],"&lt;="&amp;期末)</f>
        <v>0</v>
      </c>
      <c r="L93" s="85" t="n">
        <f aca="false">COUNTIFS(工单[跟进人1],$A93,工单[楼栋],L$88,工单[报修日期],"&gt;="&amp;期初,工单[报修日期],"&lt;="&amp;期末)+COUNTIFS(工单[跟进人2],$A93,工单[楼栋],L$88,工单[报修日期],"&gt;="&amp;期初,工单[报修日期],"&lt;="&amp;期末)</f>
        <v>0</v>
      </c>
      <c r="M93" s="85" t="n">
        <f aca="false">COUNTIFS(工单[跟进人1],$A93,工单[楼栋],M$88,工单[报修日期],"&gt;="&amp;期初,工单[报修日期],"&lt;="&amp;期末)+COUNTIFS(工单[跟进人2],$A93,工单[楼栋],M$88,工单[报修日期],"&gt;="&amp;期初,工单[报修日期],"&lt;="&amp;期末)</f>
        <v>0</v>
      </c>
      <c r="N93" s="85" t="n">
        <f aca="false">COUNTIFS(工单[跟进人1],$A93,工单[楼栋],N$88,工单[报修日期],"&gt;="&amp;期初,工单[报修日期],"&lt;="&amp;期末)+COUNTIFS(工单[跟进人2],$A93,工单[楼栋],N$88,工单[报修日期],"&gt;="&amp;期初,工单[报修日期],"&lt;="&amp;期末)</f>
        <v>2</v>
      </c>
    </row>
  </sheetData>
  <mergeCells count="104">
    <mergeCell ref="A1:H1"/>
    <mergeCell ref="I1:N1"/>
    <mergeCell ref="B2:C2"/>
    <mergeCell ref="F2:N2"/>
    <mergeCell ref="A4:N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9:N9"/>
    <mergeCell ref="E10:G10"/>
    <mergeCell ref="M10:N10"/>
    <mergeCell ref="E11:G11"/>
    <mergeCell ref="M11:N11"/>
    <mergeCell ref="E12:G12"/>
    <mergeCell ref="M12:N12"/>
    <mergeCell ref="E13:G13"/>
    <mergeCell ref="M13:N13"/>
    <mergeCell ref="E14:G14"/>
    <mergeCell ref="M14:N14"/>
    <mergeCell ref="E15:G15"/>
    <mergeCell ref="M15:N15"/>
    <mergeCell ref="E16:G16"/>
    <mergeCell ref="M16:N16"/>
    <mergeCell ref="E17:G17"/>
    <mergeCell ref="M17:N17"/>
    <mergeCell ref="E18:G18"/>
    <mergeCell ref="M18:N18"/>
    <mergeCell ref="E19:G19"/>
    <mergeCell ref="M19:N19"/>
    <mergeCell ref="E20:G20"/>
    <mergeCell ref="M20:N20"/>
    <mergeCell ref="E21:G21"/>
    <mergeCell ref="M21:N21"/>
    <mergeCell ref="E22:G22"/>
    <mergeCell ref="M22:N22"/>
    <mergeCell ref="E23:G23"/>
    <mergeCell ref="M23:N23"/>
    <mergeCell ref="E24:G24"/>
    <mergeCell ref="M24:N24"/>
    <mergeCell ref="E25:G25"/>
    <mergeCell ref="M25:N25"/>
    <mergeCell ref="A26:N26"/>
    <mergeCell ref="A28:N28"/>
    <mergeCell ref="E29:G29"/>
    <mergeCell ref="L29:N29"/>
    <mergeCell ref="E30:G30"/>
    <mergeCell ref="L30:N30"/>
    <mergeCell ref="E31:G31"/>
    <mergeCell ref="L31:N31"/>
    <mergeCell ref="E32:G32"/>
    <mergeCell ref="L32:N32"/>
    <mergeCell ref="E33:G33"/>
    <mergeCell ref="L33:N33"/>
    <mergeCell ref="E34:G34"/>
    <mergeCell ref="L34:N34"/>
    <mergeCell ref="E35:G35"/>
    <mergeCell ref="L35:N35"/>
    <mergeCell ref="E36:G36"/>
    <mergeCell ref="L36:N36"/>
    <mergeCell ref="E37:G37"/>
    <mergeCell ref="L37:N37"/>
    <mergeCell ref="E38:G38"/>
    <mergeCell ref="L38:N38"/>
    <mergeCell ref="E39:G39"/>
    <mergeCell ref="L39:N39"/>
    <mergeCell ref="A41:N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6:N46"/>
    <mergeCell ref="M47:N47"/>
    <mergeCell ref="M48:N48"/>
    <mergeCell ref="M49:N49"/>
    <mergeCell ref="M50:N50"/>
    <mergeCell ref="M51:N51"/>
    <mergeCell ref="M52:N52"/>
    <mergeCell ref="A54:N54"/>
    <mergeCell ref="A55:I55"/>
    <mergeCell ref="A70:I70"/>
    <mergeCell ref="A87:N87"/>
  </mergeCells>
  <conditionalFormatting sqref="C6">
    <cfRule type="expression" priority="2" aboveAverage="0" equalAverage="0" bottom="0" percent="0" rank="0" text="" dxfId="28">
      <formula>$C$6&gt;0</formula>
    </cfRule>
  </conditionalFormatting>
  <conditionalFormatting sqref="K11:K25">
    <cfRule type="expression" priority="3" aboveAverage="0" equalAverage="0" bottom="0" percent="0" rank="0" text="" dxfId="18">
      <formula>AND(ISNUMBER($K11),$K11&gt;=超期阈值)</formula>
    </cfRule>
  </conditionalFormatting>
  <conditionalFormatting sqref="L11:L25">
    <cfRule type="expression" priority="4" aboveAverage="0" equalAverage="0" bottom="0" percent="0" rank="0" text="" dxfId="21">
      <formula>$L11="需另约时间"</formula>
    </cfRule>
    <cfRule type="expression" priority="5" aboveAverage="0" equalAverage="0" bottom="0" percent="0" rank="0" text="" dxfId="17">
      <formula>$L11="没填状态"</formula>
    </cfRule>
  </conditionalFormatting>
  <conditionalFormatting sqref="C30:C39">
    <cfRule type="expression" priority="6" aboveAverage="0" equalAverage="0" bottom="0" percent="0" rank="0" text="" dxfId="24">
      <formula>AND(ISNUMBER($C30),$C30&gt;=3)</formula>
    </cfRule>
  </conditionalFormatting>
  <conditionalFormatting sqref="A48:L52">
    <cfRule type="expression" priority="7" aboveAverage="0" equalAverage="0" bottom="0" percent="0" rank="0" text="" dxfId="29">
      <formula>$C48=0</formula>
    </cfRule>
  </conditionalFormatting>
  <conditionalFormatting sqref="M48:M52">
    <cfRule type="expression" priority="8" aboveAverage="0" equalAverage="0" bottom="0" percent="0" rank="0" text="" dxfId="15">
      <formula>$M48="休息"</formula>
    </cfRule>
    <cfRule type="expression" priority="9" aboveAverage="0" equalAverage="0" bottom="0" percent="0" rank="0" text="" dxfId="22">
      <formula>$M48="空闲"</formula>
    </cfRule>
  </conditionalFormatting>
  <conditionalFormatting sqref="B57:B66">
    <cfRule type="expression" priority="10" aboveAverage="0" equalAverage="0" bottom="0" percent="0" rank="0" text="" dxfId="30">
      <formula>AND($B57&gt;0,$B57=MAX($B$57:$B$66))</formula>
    </cfRule>
  </conditionalFormatting>
  <conditionalFormatting sqref="B89:N93">
    <cfRule type="expression" priority="11" aboveAverage="0" equalAverage="0" bottom="0" percent="0" rank="0" text="" dxfId="30">
      <formula>B89&gt;=5</formula>
    </cfRule>
  </conditionalFormatting>
  <dataValidations count="1">
    <dataValidation allowBlank="true" errorStyle="stop" errorTitle="统计周期" operator="between" prompt="第二、三部分按这里选的周期统计。" promptTitle="统计周期" showDropDown="false" showErrorMessage="false" showInputMessage="true" sqref="E2" type="list">
      <formula1>"当日,本周,本月,累计"</formula1>
      <formula2>0</formula2>
    </dataValidation>
  </dataValidations>
  <printOptions headings="false" gridLines="false" gridLinesSet="true" horizontalCentered="fals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9BCC"/>
    <pageSetUpPr fitToPage="true"/>
  </sheetPr>
  <dimension ref="A1:O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10" min="8" style="0" width="12"/>
    <col collapsed="false" customWidth="true" hidden="false" outlineLevel="0" max="11" min="11" style="0" width="10"/>
    <col collapsed="false" customWidth="true" hidden="false" outlineLevel="0" max="12" min="12" style="0" width="26"/>
    <col collapsed="false" customWidth="true" hidden="false" outlineLevel="0" max="13" min="13" style="0" width="15"/>
    <col collapsed="false" customWidth="true" hidden="true" outlineLevel="0" max="15" min="15" style="0" width="13"/>
  </cols>
  <sheetData>
    <row r="1" customFormat="false" ht="33.75" hidden="false" customHeight="true" outlineLevel="0" collapsed="false">
      <c r="A1" s="11" t="s">
        <v>284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3" customFormat="false" ht="24" hidden="false" customHeight="true" outlineLevel="0" collapsed="false">
      <c r="A3" s="88" t="s">
        <v>63</v>
      </c>
      <c r="B3" s="32" t="s">
        <v>88</v>
      </c>
      <c r="C3" s="88" t="s">
        <v>285</v>
      </c>
      <c r="D3" s="32"/>
      <c r="E3" s="16" t="s">
        <v>286</v>
      </c>
      <c r="F3" s="16"/>
      <c r="G3" s="16"/>
      <c r="H3" s="16"/>
      <c r="I3" s="16"/>
      <c r="J3" s="16"/>
      <c r="K3" s="16"/>
      <c r="L3" s="16"/>
      <c r="M3" s="16"/>
    </row>
    <row r="5" customFormat="false" ht="15" hidden="false" customHeight="false" outlineLevel="0" collapsed="false">
      <c r="A5" s="89" t="s">
        <v>287</v>
      </c>
      <c r="B5" s="89" t="s">
        <v>86</v>
      </c>
      <c r="C5" s="89" t="s">
        <v>273</v>
      </c>
      <c r="D5" s="89" t="s">
        <v>87</v>
      </c>
      <c r="E5" s="89" t="s">
        <v>98</v>
      </c>
      <c r="F5" s="89" t="s">
        <v>100</v>
      </c>
      <c r="G5" s="89" t="s">
        <v>274</v>
      </c>
      <c r="H5" s="89" t="s">
        <v>262</v>
      </c>
      <c r="I5" s="89" t="s">
        <v>258</v>
      </c>
      <c r="J5" s="89" t="s">
        <v>288</v>
      </c>
    </row>
    <row r="6" customFormat="false" ht="25.5" hidden="false" customHeight="true" outlineLevel="0" collapsed="false">
      <c r="A6" s="90" t="n">
        <f aca="false">SUMPRODUCT((工单[楼栋]=$B$3)*(((工单[房号/位置]&amp;"")=($D$3&amp;""))+($D$3="")&gt;0))</f>
        <v>17</v>
      </c>
      <c r="B6" s="90" t="n">
        <f aca="false">SUMPRODUCT((工单[楼栋]=$B$3)*(((工单[房号/位置]&amp;"")=($D$3&amp;""))+($D$3="")&gt;0)*(工单[完成情况]="已完成"))</f>
        <v>13</v>
      </c>
      <c r="C6" s="90" t="n">
        <f aca="false">A6-B6</f>
        <v>4</v>
      </c>
      <c r="D6" s="90" t="n">
        <f aca="false">SUMPRODUCT((工单[楼栋]=$B$3)*(((工单[房号/位置]&amp;"")=($D$3&amp;""))+($D$3="")&gt;0)*(工单[维修评价]="非常满意"))</f>
        <v>13</v>
      </c>
      <c r="E6" s="90" t="n">
        <f aca="false">SUMPRODUCT((工单[楼栋]=$B$3)*(((工单[房号/位置]&amp;"")=($D$3&amp;""))+($D$3="")&gt;0)*(工单[维修评价]="满意"))</f>
        <v>1</v>
      </c>
      <c r="F6" s="90" t="n">
        <f aca="false">SUMPRODUCT((工单[楼栋]=$B$3)*(((工单[房号/位置]&amp;"")=($D$3&amp;""))+($D$3="")&gt;0)*(工单[维修评价]="一般"))</f>
        <v>1</v>
      </c>
      <c r="G6" s="90" t="n">
        <f aca="false">SUMPRODUCT((工单[楼栋]=$B$3)*(((工单[房号/位置]&amp;"")=($D$3&amp;""))+($D$3="")&gt;0)*(工单[维修评价]="不满意"))</f>
        <v>0</v>
      </c>
      <c r="H6" s="91" t="n">
        <f aca="false">IFERROR((D6+E6)/SUM(D6:G6),"")</f>
        <v>0.933333333333333</v>
      </c>
      <c r="I6" s="92" t="n">
        <f aca="false">IF(A6=0,"",SUMPRODUCT(MAX((工单[楼栋]=$B$3)*(((工单[房号/位置]&amp;"")=($D$3&amp;""))+($D$3="")&gt;0)*工单[报修日期])))</f>
        <v>45784</v>
      </c>
      <c r="J6" s="92" t="n">
        <f aca="false">IF(A6=0,"",SUMPRODUCT(LARGE((工单[楼栋]=$B$3)*(((工单[房号/位置]&amp;"")=($D$3&amp;""))+($D$3="")&gt;0)*工单[报修日期],A6)))</f>
        <v>45778</v>
      </c>
    </row>
    <row r="8" customFormat="false" ht="24" hidden="false" customHeight="true" outlineLevel="0" collapsed="false">
      <c r="A8" s="46" t="s">
        <v>289</v>
      </c>
      <c r="B8" s="46" t="s">
        <v>61</v>
      </c>
      <c r="C8" s="46" t="s">
        <v>62</v>
      </c>
      <c r="D8" s="46" t="s">
        <v>64</v>
      </c>
      <c r="E8" s="46" t="s">
        <v>65</v>
      </c>
      <c r="F8" s="46"/>
      <c r="G8" s="46" t="s">
        <v>66</v>
      </c>
      <c r="H8" s="46" t="s">
        <v>254</v>
      </c>
      <c r="I8" s="46" t="s">
        <v>71</v>
      </c>
      <c r="J8" s="46" t="s">
        <v>73</v>
      </c>
      <c r="K8" s="46" t="s">
        <v>77</v>
      </c>
      <c r="L8" s="46" t="s">
        <v>75</v>
      </c>
      <c r="M8" s="46" t="s">
        <v>60</v>
      </c>
    </row>
    <row r="9" customFormat="false" ht="18.75" hidden="false" customHeight="true" outlineLevel="0" collapsed="false">
      <c r="A9" s="48" t="n">
        <f aca="false">IF($O9=0,"",1)</f>
        <v>1</v>
      </c>
      <c r="B9" s="50" t="n">
        <f aca="false">IF($O9=0,"",INDEX(工单[报修日期],$O9-ROW(工单[#Headers])))</f>
        <v>45784</v>
      </c>
      <c r="C9" s="48" t="str">
        <f aca="false">IF($O9=0,"",INDEX(工单[类型],$O9-ROW(工单[#Headers]))&amp;"")</f>
        <v>入户</v>
      </c>
      <c r="D9" s="48" t="str">
        <f aca="false">IF($O9=0,"",INDEX(工单[房号/位置],$O9-ROW(工单[#Headers]))&amp;"")</f>
        <v>1101</v>
      </c>
      <c r="E9" s="49" t="str">
        <f aca="false">IF($O9=0,"",INDEX(工单[报修问题描述],$O9-ROW(工单[#Headers]))&amp;"")</f>
        <v>厨房水槽下面漏水，柜子泡湿了</v>
      </c>
      <c r="F9" s="49"/>
      <c r="G9" s="48" t="str">
        <f aca="false">IF($O9=0,"",INDEX(工单[维修类别],$O9-ROW(工单[#Headers]))&amp;"")</f>
        <v>给排水</v>
      </c>
      <c r="H9" s="48" t="str">
        <f aca="false">IF($O9=0,"",INDEX(工单[跟进人1],$O9-ROW(工单[#Headers]))&amp;IF(INDEX(工单[跟进人2],$O9-ROW(工单[#Headers]))="","","、"&amp;INDEX(工单[跟进人2],$O9-ROW(工单[#Headers]))))</f>
        <v>张师傅</v>
      </c>
      <c r="I9" s="48" t="str">
        <f aca="false">IF($O9=0,"",INDEX(工单[完成情况],$O9-ROW(工单[#Headers]))&amp;"")</f>
        <v>已完成</v>
      </c>
      <c r="J9" s="51" t="str">
        <f aca="false">IF($O9=0,"",INDEX(工单[处理天数],$O9-ROW(工单[#Headers])))</f>
        <v/>
      </c>
      <c r="K9" s="48" t="str">
        <f aca="false">IF($O9=0,"",INDEX(工单[维修评价],$O9-ROW(工单[#Headers]))&amp;"")</f>
        <v>非常满意</v>
      </c>
      <c r="L9" s="49" t="str">
        <f aca="false">IF($O9=0,"",INDEX(工单[维修备注],$O9-ROW(工单[#Headers]))&amp;"")</f>
        <v>已更换下水软管</v>
      </c>
      <c r="M9" s="48" t="str">
        <f aca="false">IF($O9=0,"",INDEX(工单[单据编号],$O9-ROW(工单[#Headers]))&amp;"")</f>
        <v>6-1101-0507</v>
      </c>
      <c r="O9" s="52" t="n">
        <f aca="false">IFERROR(SUMPRODUCT(LARGE((工单[楼栋]=$B$3)*(((工单[房号/位置]&amp;"")=($D$3&amp;""))+($D$3="")&gt;0)*ROW(工单[楼栋]),1)),0)</f>
        <v>144</v>
      </c>
    </row>
    <row r="10" customFormat="false" ht="18.75" hidden="false" customHeight="true" outlineLevel="0" collapsed="false">
      <c r="A10" s="48" t="n">
        <f aca="false">IF($O10=0,"",2)</f>
        <v>2</v>
      </c>
      <c r="B10" s="50" t="n">
        <f aca="false">IF($O10=0,"",INDEX(工单[报修日期],$O10-ROW(工单[#Headers])))</f>
        <v>45784</v>
      </c>
      <c r="C10" s="48" t="str">
        <f aca="false">IF($O10=0,"",INDEX(工单[类型],$O10-ROW(工单[#Headers]))&amp;"")</f>
        <v>入户</v>
      </c>
      <c r="D10" s="48" t="str">
        <f aca="false">IF($O10=0,"",INDEX(工单[房号/位置],$O10-ROW(工单[#Headers]))&amp;"")</f>
        <v>504</v>
      </c>
      <c r="E10" s="49" t="str">
        <f aca="false">IF($O10=0,"",INDEX(工单[报修问题描述],$O10-ROW(工单[#Headers]))&amp;"")</f>
        <v>燃气灶点火打不着</v>
      </c>
      <c r="F10" s="49"/>
      <c r="G10" s="48" t="str">
        <f aca="false">IF($O10=0,"",INDEX(工单[维修类别],$O10-ROW(工单[#Headers]))&amp;"")</f>
        <v>燃气厨电</v>
      </c>
      <c r="H10" s="48" t="str">
        <f aca="false">IF($O10=0,"",INDEX(工单[跟进人1],$O10-ROW(工单[#Headers]))&amp;IF(INDEX(工单[跟进人2],$O10-ROW(工单[#Headers]))="","","、"&amp;INDEX(工单[跟进人2],$O10-ROW(工单[#Headers]))))</f>
        <v>张师傅</v>
      </c>
      <c r="I10" s="48" t="str">
        <f aca="false">IF($O10=0,"",INDEX(工单[完成情况],$O10-ROW(工单[#Headers]))&amp;"")</f>
        <v>已完成</v>
      </c>
      <c r="J10" s="51" t="str">
        <f aca="false">IF($O10=0,"",INDEX(工单[处理天数],$O10-ROW(工单[#Headers])))</f>
        <v/>
      </c>
      <c r="K10" s="48" t="str">
        <f aca="false">IF($O10=0,"",INDEX(工单[维修评价],$O10-ROW(工单[#Headers]))&amp;"")</f>
        <v>非常满意</v>
      </c>
      <c r="L10" s="49" t="str">
        <f aca="false">IF($O10=0,"",INDEX(工单[维修备注],$O10-ROW(工单[#Headers]))&amp;"")</f>
        <v/>
      </c>
      <c r="M10" s="48" t="str">
        <f aca="false">IF($O10=0,"",INDEX(工单[单据编号],$O10-ROW(工单[#Headers]))&amp;"")</f>
        <v>6-504-0507-02</v>
      </c>
      <c r="O10" s="52" t="n">
        <f aca="false">IFERROR(SUMPRODUCT(LARGE((工单[楼栋]=$B$3)*(((工单[房号/位置]&amp;"")=($D$3&amp;""))+($D$3="")&gt;0)*ROW(工单[楼栋]),2)),0)</f>
        <v>139</v>
      </c>
    </row>
    <row r="11" customFormat="false" ht="18.75" hidden="false" customHeight="true" outlineLevel="0" collapsed="false">
      <c r="A11" s="48" t="n">
        <f aca="false">IF($O11=0,"",3)</f>
        <v>3</v>
      </c>
      <c r="B11" s="50" t="n">
        <f aca="false">IF($O11=0,"",INDEX(工单[报修日期],$O11-ROW(工单[#Headers])))</f>
        <v>45782</v>
      </c>
      <c r="C11" s="48" t="str">
        <f aca="false">IF($O11=0,"",INDEX(工单[类型],$O11-ROW(工单[#Headers]))&amp;"")</f>
        <v>入户</v>
      </c>
      <c r="D11" s="48" t="str">
        <f aca="false">IF($O11=0,"",INDEX(工单[房号/位置],$O11-ROW(工单[#Headers]))&amp;"")</f>
        <v>403</v>
      </c>
      <c r="E11" s="49" t="str">
        <f aca="false">IF($O11=0,"",INDEX(工单[报修问题描述],$O11-ROW(工单[#Headers]))&amp;"")</f>
        <v>入户门猫眼松动</v>
      </c>
      <c r="F11" s="49"/>
      <c r="G11" s="48" t="str">
        <f aca="false">IF($O11=0,"",INDEX(工单[维修类别],$O11-ROW(工单[#Headers]))&amp;"")</f>
        <v>门窗五金</v>
      </c>
      <c r="H11" s="48" t="str">
        <f aca="false">IF($O11=0,"",INDEX(工单[跟进人1],$O11-ROW(工单[#Headers]))&amp;IF(INDEX(工单[跟进人2],$O11-ROW(工单[#Headers]))="","","、"&amp;INDEX(工单[跟进人2],$O11-ROW(工单[#Headers]))))</f>
        <v>王师傅</v>
      </c>
      <c r="I11" s="48" t="str">
        <f aca="false">IF($O11=0,"",INDEX(工单[完成情况],$O11-ROW(工单[#Headers]))&amp;"")</f>
        <v>已完成</v>
      </c>
      <c r="J11" s="51" t="str">
        <f aca="false">IF($O11=0,"",INDEX(工单[处理天数],$O11-ROW(工单[#Headers])))</f>
        <v/>
      </c>
      <c r="K11" s="48" t="str">
        <f aca="false">IF($O11=0,"",INDEX(工单[维修评价],$O11-ROW(工单[#Headers]))&amp;"")</f>
        <v>满意</v>
      </c>
      <c r="L11" s="49" t="str">
        <f aca="false">IF($O11=0,"",INDEX(工单[维修备注],$O11-ROW(工单[#Headers]))&amp;"")</f>
        <v/>
      </c>
      <c r="M11" s="48" t="str">
        <f aca="false">IF($O11=0,"",INDEX(工单[单据编号],$O11-ROW(工单[#Headers]))&amp;"")</f>
        <v>6-403-0505</v>
      </c>
      <c r="O11" s="52" t="n">
        <f aca="false">IFERROR(SUMPRODUCT(LARGE((工单[楼栋]=$B$3)*(((工单[房号/位置]&amp;"")=($D$3&amp;""))+($D$3="")&gt;0)*ROW(工单[楼栋]),3)),0)</f>
        <v>121</v>
      </c>
    </row>
    <row r="12" customFormat="false" ht="18.75" hidden="false" customHeight="true" outlineLevel="0" collapsed="false">
      <c r="A12" s="48" t="n">
        <f aca="false">IF($O12=0,"",4)</f>
        <v>4</v>
      </c>
      <c r="B12" s="50" t="n">
        <f aca="false">IF($O12=0,"",INDEX(工单[报修日期],$O12-ROW(工单[#Headers])))</f>
        <v>45781</v>
      </c>
      <c r="C12" s="48" t="str">
        <f aca="false">IF($O12=0,"",INDEX(工单[类型],$O12-ROW(工单[#Headers]))&amp;"")</f>
        <v>入户</v>
      </c>
      <c r="D12" s="48" t="str">
        <f aca="false">IF($O12=0,"",INDEX(工单[房号/位置],$O12-ROW(工单[#Headers]))&amp;"")</f>
        <v>402</v>
      </c>
      <c r="E12" s="49" t="str">
        <f aca="false">IF($O12=0,"",INDEX(工单[报修问题描述],$O12-ROW(工单[#Headers]))&amp;"")</f>
        <v>卫生间下水道返臭</v>
      </c>
      <c r="F12" s="49"/>
      <c r="G12" s="48" t="str">
        <f aca="false">IF($O12=0,"",INDEX(工单[维修类别],$O12-ROW(工单[#Headers]))&amp;"")</f>
        <v>给排水</v>
      </c>
      <c r="H12" s="48" t="str">
        <f aca="false">IF($O12=0,"",INDEX(工单[跟进人1],$O12-ROW(工单[#Headers]))&amp;IF(INDEX(工单[跟进人2],$O12-ROW(工单[#Headers]))="","","、"&amp;INDEX(工单[跟进人2],$O12-ROW(工单[#Headers]))))</f>
        <v>张师傅</v>
      </c>
      <c r="I12" s="48" t="str">
        <f aca="false">IF($O12=0,"",INDEX(工单[完成情况],$O12-ROW(工单[#Headers]))&amp;"")</f>
        <v>已完成</v>
      </c>
      <c r="J12" s="51" t="str">
        <f aca="false">IF($O12=0,"",INDEX(工单[处理天数],$O12-ROW(工单[#Headers])))</f>
        <v/>
      </c>
      <c r="K12" s="48" t="str">
        <f aca="false">IF($O12=0,"",INDEX(工单[维修评价],$O12-ROW(工单[#Headers]))&amp;"")</f>
        <v>非常满意</v>
      </c>
      <c r="L12" s="49" t="str">
        <f aca="false">IF($O12=0,"",INDEX(工单[维修备注],$O12-ROW(工单[#Headers]))&amp;"")</f>
        <v/>
      </c>
      <c r="M12" s="48" t="str">
        <f aca="false">IF($O12=0,"",INDEX(工单[单据编号],$O12-ROW(工单[#Headers]))&amp;"")</f>
        <v>6-402-0504</v>
      </c>
      <c r="O12" s="52" t="n">
        <f aca="false">IFERROR(SUMPRODUCT(LARGE((工单[楼栋]=$B$3)*(((工单[房号/位置]&amp;"")=($D$3&amp;""))+($D$3="")&gt;0)*ROW(工单[楼栋]),4)),0)</f>
        <v>101</v>
      </c>
    </row>
    <row r="13" customFormat="false" ht="18.75" hidden="false" customHeight="true" outlineLevel="0" collapsed="false">
      <c r="A13" s="48" t="n">
        <f aca="false">IF($O13=0,"",5)</f>
        <v>5</v>
      </c>
      <c r="B13" s="50" t="n">
        <f aca="false">IF($O13=0,"",INDEX(工单[报修日期],$O13-ROW(工单[#Headers])))</f>
        <v>45780</v>
      </c>
      <c r="C13" s="48" t="str">
        <f aca="false">IF($O13=0,"",INDEX(工单[类型],$O13-ROW(工单[#Headers]))&amp;"")</f>
        <v>入户</v>
      </c>
      <c r="D13" s="48" t="str">
        <f aca="false">IF($O13=0,"",INDEX(工单[房号/位置],$O13-ROW(工单[#Headers]))&amp;"")</f>
        <v>2802</v>
      </c>
      <c r="E13" s="49" t="str">
        <f aca="false">IF($O13=0,"",INDEX(工单[报修问题描述],$O13-ROW(工单[#Headers]))&amp;"")</f>
        <v>连续下雨后阳台墙面渗水</v>
      </c>
      <c r="F13" s="49"/>
      <c r="G13" s="48" t="str">
        <f aca="false">IF($O13=0,"",INDEX(工单[维修类别],$O13-ROW(工单[#Headers]))&amp;"")</f>
        <v>渗漏防水</v>
      </c>
      <c r="H13" s="48" t="str">
        <f aca="false">IF($O13=0,"",INDEX(工单[跟进人1],$O13-ROW(工单[#Headers]))&amp;IF(INDEX(工单[跟进人2],$O13-ROW(工单[#Headers]))="","","、"&amp;INDEX(工单[跟进人2],$O13-ROW(工单[#Headers]))))</f>
        <v>陈师傅</v>
      </c>
      <c r="I13" s="48" t="str">
        <f aca="false">IF($O13=0,"",INDEX(工单[完成情况],$O13-ROW(工单[#Headers]))&amp;"")</f>
        <v>跟进中</v>
      </c>
      <c r="J13" s="51" t="n">
        <f aca="false">IF($O13=0,"",INDEX(工单[处理天数],$O13-ROW(工单[#Headers])))</f>
        <v>4</v>
      </c>
      <c r="K13" s="48" t="str">
        <f aca="false">IF($O13=0,"",INDEX(工单[维修评价],$O13-ROW(工单[#Headers]))&amp;"")</f>
        <v/>
      </c>
      <c r="L13" s="49" t="str">
        <f aca="false">IF($O13=0,"",INDEX(工单[维修备注],$O13-ROW(工单[#Headers]))&amp;"")</f>
        <v>已拍照留证，待联系防水单位复查</v>
      </c>
      <c r="M13" s="48" t="str">
        <f aca="false">IF($O13=0,"",INDEX(工单[单据编号],$O13-ROW(工单[#Headers]))&amp;"")</f>
        <v>6-2802-0503</v>
      </c>
      <c r="O13" s="52" t="n">
        <f aca="false">IFERROR(SUMPRODUCT(LARGE((工单[楼栋]=$B$3)*(((工单[房号/位置]&amp;"")=($D$3&amp;""))+($D$3="")&gt;0)*ROW(工单[楼栋]),5)),0)</f>
        <v>95</v>
      </c>
    </row>
    <row r="14" customFormat="false" ht="18.75" hidden="false" customHeight="true" outlineLevel="0" collapsed="false">
      <c r="A14" s="48" t="n">
        <f aca="false">IF($O14=0,"",6)</f>
        <v>6</v>
      </c>
      <c r="B14" s="50" t="n">
        <f aca="false">IF($O14=0,"",INDEX(工单[报修日期],$O14-ROW(工单[#Headers])))</f>
        <v>45780</v>
      </c>
      <c r="C14" s="48" t="str">
        <f aca="false">IF($O14=0,"",INDEX(工单[类型],$O14-ROW(工单[#Headers]))&amp;"")</f>
        <v>入户</v>
      </c>
      <c r="D14" s="48" t="str">
        <f aca="false">IF($O14=0,"",INDEX(工单[房号/位置],$O14-ROW(工单[#Headers]))&amp;"")</f>
        <v>1503</v>
      </c>
      <c r="E14" s="49" t="str">
        <f aca="false">IF($O14=0,"",INDEX(工单[报修问题描述],$O14-ROW(工单[#Headers]))&amp;"")</f>
        <v>玄关踢脚线脱落</v>
      </c>
      <c r="F14" s="49"/>
      <c r="G14" s="48" t="str">
        <f aca="false">IF($O14=0,"",INDEX(工单[维修类别],$O14-ROW(工单[#Headers]))&amp;"")</f>
        <v>墙地饰面</v>
      </c>
      <c r="H14" s="48" t="str">
        <f aca="false">IF($O14=0,"",INDEX(工单[跟进人1],$O14-ROW(工单[#Headers]))&amp;IF(INDEX(工单[跟进人2],$O14-ROW(工单[#Headers]))="","","、"&amp;INDEX(工单[跟进人2],$O14-ROW(工单[#Headers]))))</f>
        <v>张师傅</v>
      </c>
      <c r="I14" s="48" t="str">
        <f aca="false">IF($O14=0,"",INDEX(工单[完成情况],$O14-ROW(工单[#Headers]))&amp;"")</f>
        <v>已完成</v>
      </c>
      <c r="J14" s="51" t="str">
        <f aca="false">IF($O14=0,"",INDEX(工单[处理天数],$O14-ROW(工单[#Headers])))</f>
        <v/>
      </c>
      <c r="K14" s="48" t="str">
        <f aca="false">IF($O14=0,"",INDEX(工单[维修评价],$O14-ROW(工单[#Headers]))&amp;"")</f>
        <v>非常满意</v>
      </c>
      <c r="L14" s="49" t="str">
        <f aca="false">IF($O14=0,"",INDEX(工单[维修备注],$O14-ROW(工单[#Headers]))&amp;"")</f>
        <v/>
      </c>
      <c r="M14" s="48" t="str">
        <f aca="false">IF($O14=0,"",INDEX(工单[单据编号],$O14-ROW(工单[#Headers]))&amp;"")</f>
        <v>6-1503-0503</v>
      </c>
      <c r="O14" s="52" t="n">
        <f aca="false">IFERROR(SUMPRODUCT(LARGE((工单[楼栋]=$B$3)*(((工单[房号/位置]&amp;"")=($D$3&amp;""))+($D$3="")&gt;0)*ROW(工单[楼栋]),6)),0)</f>
        <v>83</v>
      </c>
    </row>
    <row r="15" customFormat="false" ht="18.75" hidden="false" customHeight="true" outlineLevel="0" collapsed="false">
      <c r="A15" s="48" t="n">
        <f aca="false">IF($O15=0,"",7)</f>
        <v>7</v>
      </c>
      <c r="B15" s="50" t="n">
        <f aca="false">IF($O15=0,"",INDEX(工单[报修日期],$O15-ROW(工单[#Headers])))</f>
        <v>45780</v>
      </c>
      <c r="C15" s="48" t="str">
        <f aca="false">IF($O15=0,"",INDEX(工单[类型],$O15-ROW(工单[#Headers]))&amp;"")</f>
        <v>入户</v>
      </c>
      <c r="D15" s="48" t="str">
        <f aca="false">IF($O15=0,"",INDEX(工单[房号/位置],$O15-ROW(工单[#Headers]))&amp;"")</f>
        <v>1102</v>
      </c>
      <c r="E15" s="49" t="str">
        <f aca="false">IF($O15=0,"",INDEX(工单[报修问题描述],$O15-ROW(工单[#Headers]))&amp;"")</f>
        <v>厨房门口门槛石松了，踩上去会动</v>
      </c>
      <c r="F15" s="49"/>
      <c r="G15" s="48" t="str">
        <f aca="false">IF($O15=0,"",INDEX(工单[维修类别],$O15-ROW(工单[#Headers]))&amp;"")</f>
        <v>墙地饰面</v>
      </c>
      <c r="H15" s="48" t="str">
        <f aca="false">IF($O15=0,"",INDEX(工单[跟进人1],$O15-ROW(工单[#Headers]))&amp;IF(INDEX(工单[跟进人2],$O15-ROW(工单[#Headers]))="","","、"&amp;INDEX(工单[跟进人2],$O15-ROW(工单[#Headers]))))</f>
        <v>王师傅</v>
      </c>
      <c r="I15" s="48" t="str">
        <f aca="false">IF($O15=0,"",INDEX(工单[完成情况],$O15-ROW(工单[#Headers]))&amp;"")</f>
        <v>已完成</v>
      </c>
      <c r="J15" s="51" t="str">
        <f aca="false">IF($O15=0,"",INDEX(工单[处理天数],$O15-ROW(工单[#Headers])))</f>
        <v/>
      </c>
      <c r="K15" s="48" t="str">
        <f aca="false">IF($O15=0,"",INDEX(工单[维修评价],$O15-ROW(工单[#Headers]))&amp;"")</f>
        <v>非常满意</v>
      </c>
      <c r="L15" s="49" t="str">
        <f aca="false">IF($O15=0,"",INDEX(工单[维修备注],$O15-ROW(工单[#Headers]))&amp;"")</f>
        <v/>
      </c>
      <c r="M15" s="48" t="str">
        <f aca="false">IF($O15=0,"",INDEX(工单[单据编号],$O15-ROW(工单[#Headers]))&amp;"")</f>
        <v>6-1102-0503</v>
      </c>
      <c r="O15" s="52" t="n">
        <f aca="false">IFERROR(SUMPRODUCT(LARGE((工单[楼栋]=$B$3)*(((工单[房号/位置]&amp;"")=($D$3&amp;""))+($D$3="")&gt;0)*ROW(工单[楼栋]),7)),0)</f>
        <v>82</v>
      </c>
    </row>
    <row r="16" customFormat="false" ht="18.75" hidden="false" customHeight="true" outlineLevel="0" collapsed="false">
      <c r="A16" s="48" t="n">
        <f aca="false">IF($O16=0,"",8)</f>
        <v>8</v>
      </c>
      <c r="B16" s="50" t="n">
        <f aca="false">IF($O16=0,"",INDEX(工单[报修日期],$O16-ROW(工单[#Headers])))</f>
        <v>45780</v>
      </c>
      <c r="C16" s="48" t="str">
        <f aca="false">IF($O16=0,"",INDEX(工单[类型],$O16-ROW(工单[#Headers]))&amp;"")</f>
        <v>入户</v>
      </c>
      <c r="D16" s="48" t="str">
        <f aca="false">IF($O16=0,"",INDEX(工单[房号/位置],$O16-ROW(工单[#Headers]))&amp;"")</f>
        <v>504</v>
      </c>
      <c r="E16" s="49" t="str">
        <f aca="false">IF($O16=0,"",INDEX(工单[报修问题描述],$O16-ROW(工单[#Headers]))&amp;"")</f>
        <v>次卧门把手松动</v>
      </c>
      <c r="F16" s="49"/>
      <c r="G16" s="48" t="str">
        <f aca="false">IF($O16=0,"",INDEX(工单[维修类别],$O16-ROW(工单[#Headers]))&amp;"")</f>
        <v>门窗五金</v>
      </c>
      <c r="H16" s="48" t="str">
        <f aca="false">IF($O16=0,"",INDEX(工单[跟进人1],$O16-ROW(工单[#Headers]))&amp;IF(INDEX(工单[跟进人2],$O16-ROW(工单[#Headers]))="","","、"&amp;INDEX(工单[跟进人2],$O16-ROW(工单[#Headers]))))</f>
        <v>刘师傅</v>
      </c>
      <c r="I16" s="48" t="str">
        <f aca="false">IF($O16=0,"",INDEX(工单[完成情况],$O16-ROW(工单[#Headers]))&amp;"")</f>
        <v>已完成</v>
      </c>
      <c r="J16" s="51" t="str">
        <f aca="false">IF($O16=0,"",INDEX(工单[处理天数],$O16-ROW(工单[#Headers])))</f>
        <v/>
      </c>
      <c r="K16" s="48" t="str">
        <f aca="false">IF($O16=0,"",INDEX(工单[维修评价],$O16-ROW(工单[#Headers]))&amp;"")</f>
        <v>非常满意</v>
      </c>
      <c r="L16" s="49" t="str">
        <f aca="false">IF($O16=0,"",INDEX(工单[维修备注],$O16-ROW(工单[#Headers]))&amp;"")</f>
        <v/>
      </c>
      <c r="M16" s="48" t="str">
        <f aca="false">IF($O16=0,"",INDEX(工单[单据编号],$O16-ROW(工单[#Headers]))&amp;"")</f>
        <v>6-504-0503</v>
      </c>
      <c r="O16" s="52" t="n">
        <f aca="false">IFERROR(SUMPRODUCT(LARGE((工单[楼栋]=$B$3)*(((工单[房号/位置]&amp;"")=($D$3&amp;""))+($D$3="")&gt;0)*ROW(工单[楼栋]),8)),0)</f>
        <v>80</v>
      </c>
    </row>
    <row r="17" customFormat="false" ht="18.75" hidden="false" customHeight="true" outlineLevel="0" collapsed="false">
      <c r="A17" s="48" t="n">
        <f aca="false">IF($O17=0,"",9)</f>
        <v>9</v>
      </c>
      <c r="B17" s="50" t="n">
        <f aca="false">IF($O17=0,"",INDEX(工单[报修日期],$O17-ROW(工单[#Headers])))</f>
        <v>45780</v>
      </c>
      <c r="C17" s="48" t="str">
        <f aca="false">IF($O17=0,"",INDEX(工单[类型],$O17-ROW(工单[#Headers]))&amp;"")</f>
        <v>入户</v>
      </c>
      <c r="D17" s="48" t="str">
        <f aca="false">IF($O17=0,"",INDEX(工单[房号/位置],$O17-ROW(工单[#Headers]))&amp;"")</f>
        <v>2402</v>
      </c>
      <c r="E17" s="49" t="str">
        <f aca="false">IF($O17=0,"",INDEX(工单[报修问题描述],$O17-ROW(工单[#Headers]))&amp;"")</f>
        <v>门把手松动</v>
      </c>
      <c r="F17" s="49"/>
      <c r="G17" s="48" t="str">
        <f aca="false">IF($O17=0,"",INDEX(工单[维修类别],$O17-ROW(工单[#Headers]))&amp;"")</f>
        <v>门窗五金</v>
      </c>
      <c r="H17" s="48" t="str">
        <f aca="false">IF($O17=0,"",INDEX(工单[跟进人1],$O17-ROW(工单[#Headers]))&amp;IF(INDEX(工单[跟进人2],$O17-ROW(工单[#Headers]))="","","、"&amp;INDEX(工单[跟进人2],$O17-ROW(工单[#Headers]))))</f>
        <v>张师傅</v>
      </c>
      <c r="I17" s="48" t="str">
        <f aca="false">IF($O17=0,"",INDEX(工单[完成情况],$O17-ROW(工单[#Headers]))&amp;"")</f>
        <v>已完成</v>
      </c>
      <c r="J17" s="51" t="str">
        <f aca="false">IF($O17=0,"",INDEX(工单[处理天数],$O17-ROW(工单[#Headers])))</f>
        <v/>
      </c>
      <c r="K17" s="48" t="str">
        <f aca="false">IF($O17=0,"",INDEX(工单[维修评价],$O17-ROW(工单[#Headers]))&amp;"")</f>
        <v>非常满意</v>
      </c>
      <c r="L17" s="49" t="str">
        <f aca="false">IF($O17=0,"",INDEX(工单[维修备注],$O17-ROW(工单[#Headers]))&amp;"")</f>
        <v/>
      </c>
      <c r="M17" s="48" t="str">
        <f aca="false">IF($O17=0,"",INDEX(工单[单据编号],$O17-ROW(工单[#Headers]))&amp;"")</f>
        <v>6-2402-0503</v>
      </c>
      <c r="O17" s="52" t="n">
        <f aca="false">IFERROR(SUMPRODUCT(LARGE((工单[楼栋]=$B$3)*(((工单[房号/位置]&amp;"")=($D$3&amp;""))+($D$3="")&gt;0)*ROW(工单[楼栋]),9)),0)</f>
        <v>70</v>
      </c>
    </row>
    <row r="18" customFormat="false" ht="18.75" hidden="false" customHeight="true" outlineLevel="0" collapsed="false">
      <c r="A18" s="48" t="n">
        <f aca="false">IF($O18=0,"",10)</f>
        <v>10</v>
      </c>
      <c r="B18" s="50" t="n">
        <f aca="false">IF($O18=0,"",INDEX(工单[报修日期],$O18-ROW(工单[#Headers])))</f>
        <v>45780</v>
      </c>
      <c r="C18" s="48" t="str">
        <f aca="false">IF($O18=0,"",INDEX(工单[类型],$O18-ROW(工单[#Headers]))&amp;"")</f>
        <v>入户</v>
      </c>
      <c r="D18" s="48" t="str">
        <f aca="false">IF($O18=0,"",INDEX(工单[房号/位置],$O18-ROW(工单[#Headers]))&amp;"")</f>
        <v>1904</v>
      </c>
      <c r="E18" s="49" t="str">
        <f aca="false">IF($O18=0,"",INDEX(工单[报修问题描述],$O18-ROW(工单[#Headers]))&amp;"")</f>
        <v>卫生间门关不上</v>
      </c>
      <c r="F18" s="49"/>
      <c r="G18" s="48" t="str">
        <f aca="false">IF($O18=0,"",INDEX(工单[维修类别],$O18-ROW(工单[#Headers]))&amp;"")</f>
        <v>门窗五金</v>
      </c>
      <c r="H18" s="48" t="str">
        <f aca="false">IF($O18=0,"",INDEX(工单[跟进人1],$O18-ROW(工单[#Headers]))&amp;IF(INDEX(工单[跟进人2],$O18-ROW(工单[#Headers]))="","","、"&amp;INDEX(工单[跟进人2],$O18-ROW(工单[#Headers]))))</f>
        <v>李师傅</v>
      </c>
      <c r="I18" s="48" t="str">
        <f aca="false">IF($O18=0,"",INDEX(工单[完成情况],$O18-ROW(工单[#Headers]))&amp;"")</f>
        <v>已完成</v>
      </c>
      <c r="J18" s="51" t="str">
        <f aca="false">IF($O18=0,"",INDEX(工单[处理天数],$O18-ROW(工单[#Headers])))</f>
        <v/>
      </c>
      <c r="K18" s="48" t="str">
        <f aca="false">IF($O18=0,"",INDEX(工单[维修评价],$O18-ROW(工单[#Headers]))&amp;"")</f>
        <v>非常满意</v>
      </c>
      <c r="L18" s="49" t="str">
        <f aca="false">IF($O18=0,"",INDEX(工单[维修备注],$O18-ROW(工单[#Headers]))&amp;"")</f>
        <v/>
      </c>
      <c r="M18" s="48" t="str">
        <f aca="false">IF($O18=0,"",INDEX(工单[单据编号],$O18-ROW(工单[#Headers]))&amp;"")</f>
        <v>6-1904-0503</v>
      </c>
      <c r="O18" s="52" t="n">
        <f aca="false">IFERROR(SUMPRODUCT(LARGE((工单[楼栋]=$B$3)*(((工单[房号/位置]&amp;"")=($D$3&amp;""))+($D$3="")&gt;0)*ROW(工单[楼栋]),10)),0)</f>
        <v>68</v>
      </c>
    </row>
    <row r="19" customFormat="false" ht="18.75" hidden="false" customHeight="true" outlineLevel="0" collapsed="false">
      <c r="A19" s="48" t="n">
        <f aca="false">IF($O19=0,"",11)</f>
        <v>11</v>
      </c>
      <c r="B19" s="50" t="n">
        <f aca="false">IF($O19=0,"",INDEX(工单[报修日期],$O19-ROW(工单[#Headers])))</f>
        <v>45779</v>
      </c>
      <c r="C19" s="48" t="str">
        <f aca="false">IF($O19=0,"",INDEX(工单[类型],$O19-ROW(工单[#Headers]))&amp;"")</f>
        <v>入户</v>
      </c>
      <c r="D19" s="48" t="str">
        <f aca="false">IF($O19=0,"",INDEX(工单[房号/位置],$O19-ROW(工单[#Headers]))&amp;"")</f>
        <v>3304</v>
      </c>
      <c r="E19" s="49" t="str">
        <f aca="false">IF($O19=0,"",INDEX(工单[报修问题描述],$O19-ROW(工单[#Headers]))&amp;"")</f>
        <v>空调外机噪音大</v>
      </c>
      <c r="F19" s="49"/>
      <c r="G19" s="48" t="str">
        <f aca="false">IF($O19=0,"",INDEX(工单[维修类别],$O19-ROW(工单[#Headers]))&amp;"")</f>
        <v>空调暖通</v>
      </c>
      <c r="H19" s="48" t="str">
        <f aca="false">IF($O19=0,"",INDEX(工单[跟进人1],$O19-ROW(工单[#Headers]))&amp;IF(INDEX(工单[跟进人2],$O19-ROW(工单[#Headers]))="","","、"&amp;INDEX(工单[跟进人2],$O19-ROW(工单[#Headers]))))</f>
        <v>李师傅</v>
      </c>
      <c r="I19" s="48" t="str">
        <f aca="false">IF($O19=0,"",INDEX(工单[完成情况],$O19-ROW(工单[#Headers]))&amp;"")</f>
        <v>跟进中</v>
      </c>
      <c r="J19" s="51" t="n">
        <f aca="false">IF($O19=0,"",INDEX(工单[处理天数],$O19-ROW(工单[#Headers])))</f>
        <v>5</v>
      </c>
      <c r="K19" s="48" t="str">
        <f aca="false">IF($O19=0,"",INDEX(工单[维修评价],$O19-ROW(工单[#Headers]))&amp;"")</f>
        <v>非常满意</v>
      </c>
      <c r="L19" s="49" t="str">
        <f aca="false">IF($O19=0,"",INDEX(工单[维修备注],$O19-ROW(工单[#Headers]))&amp;"")</f>
        <v>非物业维修范围，业主已联系空调售后</v>
      </c>
      <c r="M19" s="48" t="str">
        <f aca="false">IF($O19=0,"",INDEX(工单[单据编号],$O19-ROW(工单[#Headers]))&amp;"")</f>
        <v>6-3304-0502</v>
      </c>
      <c r="O19" s="52" t="n">
        <f aca="false">IFERROR(SUMPRODUCT(LARGE((工单[楼栋]=$B$3)*(((工单[房号/位置]&amp;"")=($D$3&amp;""))+($D$3="")&gt;0)*ROW(工单[楼栋]),11)),0)</f>
        <v>48</v>
      </c>
    </row>
    <row r="20" customFormat="false" ht="18.75" hidden="false" customHeight="true" outlineLevel="0" collapsed="false">
      <c r="A20" s="48" t="n">
        <f aca="false">IF($O20=0,"",12)</f>
        <v>12</v>
      </c>
      <c r="B20" s="50" t="n">
        <f aca="false">IF($O20=0,"",INDEX(工单[报修日期],$O20-ROW(工单[#Headers])))</f>
        <v>45779</v>
      </c>
      <c r="C20" s="48" t="str">
        <f aca="false">IF($O20=0,"",INDEX(工单[类型],$O20-ROW(工单[#Headers]))&amp;"")</f>
        <v>入户</v>
      </c>
      <c r="D20" s="48" t="str">
        <f aca="false">IF($O20=0,"",INDEX(工单[房号/位置],$O20-ROW(工单[#Headers]))&amp;"")</f>
        <v>201</v>
      </c>
      <c r="E20" s="49" t="str">
        <f aca="false">IF($O20=0,"",INDEX(工单[报修问题描述],$O20-ROW(工单[#Headers]))&amp;"")</f>
        <v>房门锁舌弹不回来</v>
      </c>
      <c r="F20" s="49"/>
      <c r="G20" s="48" t="str">
        <f aca="false">IF($O20=0,"",INDEX(工单[维修类别],$O20-ROW(工单[#Headers]))&amp;"")</f>
        <v>门窗五金</v>
      </c>
      <c r="H20" s="48" t="str">
        <f aca="false">IF($O20=0,"",INDEX(工单[跟进人1],$O20-ROW(工单[#Headers]))&amp;IF(INDEX(工单[跟进人2],$O20-ROW(工单[#Headers]))="","","、"&amp;INDEX(工单[跟进人2],$O20-ROW(工单[#Headers]))))</f>
        <v>张师傅</v>
      </c>
      <c r="I20" s="48" t="str">
        <f aca="false">IF($O20=0,"",INDEX(工单[完成情况],$O20-ROW(工单[#Headers]))&amp;"")</f>
        <v>已完成</v>
      </c>
      <c r="J20" s="51" t="str">
        <f aca="false">IF($O20=0,"",INDEX(工单[处理天数],$O20-ROW(工单[#Headers])))</f>
        <v/>
      </c>
      <c r="K20" s="48" t="str">
        <f aca="false">IF($O20=0,"",INDEX(工单[维修评价],$O20-ROW(工单[#Headers]))&amp;"")</f>
        <v>非常满意</v>
      </c>
      <c r="L20" s="49" t="str">
        <f aca="false">IF($O20=0,"",INDEX(工单[维修备注],$O20-ROW(工单[#Headers]))&amp;"")</f>
        <v/>
      </c>
      <c r="M20" s="48" t="str">
        <f aca="false">IF($O20=0,"",INDEX(工单[单据编号],$O20-ROW(工单[#Headers]))&amp;"")</f>
        <v>6-201-0502</v>
      </c>
      <c r="O20" s="52" t="n">
        <f aca="false">IFERROR(SUMPRODUCT(LARGE((工单[楼栋]=$B$3)*(((工单[房号/位置]&amp;"")=($D$3&amp;""))+($D$3="")&gt;0)*ROW(工单[楼栋]),12)),0)</f>
        <v>46</v>
      </c>
    </row>
    <row r="21" customFormat="false" ht="18.75" hidden="false" customHeight="true" outlineLevel="0" collapsed="false">
      <c r="A21" s="48" t="n">
        <f aca="false">IF($O21=0,"",13)</f>
        <v>13</v>
      </c>
      <c r="B21" s="50" t="n">
        <f aca="false">IF($O21=0,"",INDEX(工单[报修日期],$O21-ROW(工单[#Headers])))</f>
        <v>45778</v>
      </c>
      <c r="C21" s="48" t="str">
        <f aca="false">IF($O21=0,"",INDEX(工单[类型],$O21-ROW(工单[#Headers]))&amp;"")</f>
        <v>入户</v>
      </c>
      <c r="D21" s="48" t="str">
        <f aca="false">IF($O21=0,"",INDEX(工单[房号/位置],$O21-ROW(工单[#Headers]))&amp;"")</f>
        <v>2701</v>
      </c>
      <c r="E21" s="49" t="str">
        <f aca="false">IF($O21=0,"",INDEX(工单[报修问题描述],$O21-ROW(工单[#Headers]))&amp;"")</f>
        <v>次卧顶灯开关按了没反应</v>
      </c>
      <c r="F21" s="49"/>
      <c r="G21" s="48" t="str">
        <f aca="false">IF($O21=0,"",INDEX(工单[维修类别],$O21-ROW(工单[#Headers]))&amp;"")</f>
        <v>电气照明</v>
      </c>
      <c r="H21" s="48" t="str">
        <f aca="false">IF($O21=0,"",INDEX(工单[跟进人1],$O21-ROW(工单[#Headers]))&amp;IF(INDEX(工单[跟进人2],$O21-ROW(工单[#Headers]))="","","、"&amp;INDEX(工单[跟进人2],$O21-ROW(工单[#Headers]))))</f>
        <v>张师傅</v>
      </c>
      <c r="I21" s="48" t="str">
        <f aca="false">IF($O21=0,"",INDEX(工单[完成情况],$O21-ROW(工单[#Headers]))&amp;"")</f>
        <v>已完成</v>
      </c>
      <c r="J21" s="51" t="str">
        <f aca="false">IF($O21=0,"",INDEX(工单[处理天数],$O21-ROW(工单[#Headers])))</f>
        <v/>
      </c>
      <c r="K21" s="48" t="str">
        <f aca="false">IF($O21=0,"",INDEX(工单[维修评价],$O21-ROW(工单[#Headers]))&amp;"")</f>
        <v>非常满意</v>
      </c>
      <c r="L21" s="49" t="str">
        <f aca="false">IF($O21=0,"",INDEX(工单[维修备注],$O21-ROW(工单[#Headers]))&amp;"")</f>
        <v>已更换开关面板</v>
      </c>
      <c r="M21" s="48" t="str">
        <f aca="false">IF($O21=0,"",INDEX(工单[单据编号],$O21-ROW(工单[#Headers]))&amp;"")</f>
        <v>6-2701-0501</v>
      </c>
      <c r="O21" s="52" t="n">
        <f aca="false">IFERROR(SUMPRODUCT(LARGE((工单[楼栋]=$B$3)*(((工单[房号/位置]&amp;"")=($D$3&amp;""))+($D$3="")&gt;0)*ROW(工单[楼栋]),13)),0)</f>
        <v>30</v>
      </c>
    </row>
    <row r="22" customFormat="false" ht="18.75" hidden="false" customHeight="true" outlineLevel="0" collapsed="false">
      <c r="A22" s="48" t="n">
        <f aca="false">IF($O22=0,"",14)</f>
        <v>14</v>
      </c>
      <c r="B22" s="50" t="n">
        <f aca="false">IF($O22=0,"",INDEX(工单[报修日期],$O22-ROW(工单[#Headers])))</f>
        <v>45778</v>
      </c>
      <c r="C22" s="48" t="str">
        <f aca="false">IF($O22=0,"",INDEX(工单[类型],$O22-ROW(工单[#Headers]))&amp;"")</f>
        <v>入户</v>
      </c>
      <c r="D22" s="48" t="str">
        <f aca="false">IF($O22=0,"",INDEX(工单[房号/位置],$O22-ROW(工单[#Headers]))&amp;"")</f>
        <v>701</v>
      </c>
      <c r="E22" s="49" t="str">
        <f aca="false">IF($O22=0,"",INDEX(工单[报修问题描述],$O22-ROW(工单[#Headers]))&amp;"")</f>
        <v>次卧墙面受潮鼓包起皮</v>
      </c>
      <c r="F22" s="49"/>
      <c r="G22" s="48" t="str">
        <f aca="false">IF($O22=0,"",INDEX(工单[维修类别],$O22-ROW(工单[#Headers]))&amp;"")</f>
        <v>墙地饰面</v>
      </c>
      <c r="H22" s="48" t="str">
        <f aca="false">IF($O22=0,"",INDEX(工单[跟进人1],$O22-ROW(工单[#Headers]))&amp;IF(INDEX(工单[跟进人2],$O22-ROW(工单[#Headers]))="","","、"&amp;INDEX(工单[跟进人2],$O22-ROW(工单[#Headers]))))</f>
        <v>李师傅</v>
      </c>
      <c r="I22" s="48" t="str">
        <f aca="false">IF($O22=0,"",INDEX(工单[完成情况],$O22-ROW(工单[#Headers]))&amp;"")</f>
        <v>跟进中</v>
      </c>
      <c r="J22" s="51" t="n">
        <f aca="false">IF($O22=0,"",INDEX(工单[处理天数],$O22-ROW(工单[#Headers])))</f>
        <v>6</v>
      </c>
      <c r="K22" s="48" t="str">
        <f aca="false">IF($O22=0,"",INDEX(工单[维修评价],$O22-ROW(工单[#Headers]))&amp;"")</f>
        <v>非常满意</v>
      </c>
      <c r="L22" s="49" t="str">
        <f aca="false">IF($O22=0,"",INDEX(工单[维修备注],$O22-ROW(工单[#Headers]))&amp;"")</f>
        <v>已铲除鼓包批第一遍腻子，待干透后约第二次上门</v>
      </c>
      <c r="M22" s="48" t="str">
        <f aca="false">IF($O22=0,"",INDEX(工单[单据编号],$O22-ROW(工单[#Headers]))&amp;"")</f>
        <v>6-701-0501</v>
      </c>
      <c r="O22" s="52" t="n">
        <f aca="false">IFERROR(SUMPRODUCT(LARGE((工单[楼栋]=$B$3)*(((工单[房号/位置]&amp;"")=($D$3&amp;""))+($D$3="")&gt;0)*ROW(工单[楼栋]),14)),0)</f>
        <v>13</v>
      </c>
    </row>
    <row r="23" customFormat="false" ht="18.75" hidden="false" customHeight="true" outlineLevel="0" collapsed="false">
      <c r="A23" s="48" t="n">
        <f aca="false">IF($O23=0,"",15)</f>
        <v>15</v>
      </c>
      <c r="B23" s="50" t="n">
        <f aca="false">IF($O23=0,"",INDEX(工单[报修日期],$O23-ROW(工单[#Headers])))</f>
        <v>45778</v>
      </c>
      <c r="C23" s="48" t="str">
        <f aca="false">IF($O23=0,"",INDEX(工单[类型],$O23-ROW(工单[#Headers]))&amp;"")</f>
        <v>入户</v>
      </c>
      <c r="D23" s="48" t="str">
        <f aca="false">IF($O23=0,"",INDEX(工单[房号/位置],$O23-ROW(工单[#Headers]))&amp;"")</f>
        <v>2501</v>
      </c>
      <c r="E23" s="49" t="str">
        <f aca="false">IF($O23=0,"",INDEX(工单[报修问题描述],$O23-ROW(工单[#Headers]))&amp;"")</f>
        <v>入户门把手松动下垂</v>
      </c>
      <c r="F23" s="49"/>
      <c r="G23" s="48" t="str">
        <f aca="false">IF($O23=0,"",INDEX(工单[维修类别],$O23-ROW(工单[#Headers]))&amp;"")</f>
        <v>门窗五金</v>
      </c>
      <c r="H23" s="48" t="str">
        <f aca="false">IF($O23=0,"",INDEX(工单[跟进人1],$O23-ROW(工单[#Headers]))&amp;IF(INDEX(工单[跟进人2],$O23-ROW(工单[#Headers]))="","","、"&amp;INDEX(工单[跟进人2],$O23-ROW(工单[#Headers]))))</f>
        <v>张师傅</v>
      </c>
      <c r="I23" s="48" t="str">
        <f aca="false">IF($O23=0,"",INDEX(工单[完成情况],$O23-ROW(工单[#Headers]))&amp;"")</f>
        <v>已完成</v>
      </c>
      <c r="J23" s="51" t="str">
        <f aca="false">IF($O23=0,"",INDEX(工单[处理天数],$O23-ROW(工单[#Headers])))</f>
        <v/>
      </c>
      <c r="K23" s="48" t="str">
        <f aca="false">IF($O23=0,"",INDEX(工单[维修评价],$O23-ROW(工单[#Headers]))&amp;"")</f>
        <v>非常满意</v>
      </c>
      <c r="L23" s="49" t="str">
        <f aca="false">IF($O23=0,"",INDEX(工单[维修备注],$O23-ROW(工单[#Headers]))&amp;"")</f>
        <v>已紧固复位</v>
      </c>
      <c r="M23" s="48" t="str">
        <f aca="false">IF($O23=0,"",INDEX(工单[单据编号],$O23-ROW(工单[#Headers]))&amp;"")</f>
        <v>6-2501-0501</v>
      </c>
      <c r="O23" s="52" t="n">
        <f aca="false">IFERROR(SUMPRODUCT(LARGE((工单[楼栋]=$B$3)*(((工单[房号/位置]&amp;"")=($D$3&amp;""))+($D$3="")&gt;0)*ROW(工单[楼栋]),15)),0)</f>
        <v>12</v>
      </c>
    </row>
    <row r="24" customFormat="false" ht="18.75" hidden="false" customHeight="true" outlineLevel="0" collapsed="false">
      <c r="A24" s="48" t="n">
        <f aca="false">IF($O24=0,"",16)</f>
        <v>16</v>
      </c>
      <c r="B24" s="50" t="n">
        <f aca="false">IF($O24=0,"",INDEX(工单[报修日期],$O24-ROW(工单[#Headers])))</f>
        <v>45778</v>
      </c>
      <c r="C24" s="48" t="str">
        <f aca="false">IF($O24=0,"",INDEX(工单[类型],$O24-ROW(工单[#Headers]))&amp;"")</f>
        <v>入户</v>
      </c>
      <c r="D24" s="48" t="str">
        <f aca="false">IF($O24=0,"",INDEX(工单[房号/位置],$O24-ROW(工单[#Headers]))&amp;"")</f>
        <v>2004</v>
      </c>
      <c r="E24" s="49" t="str">
        <f aca="false">IF($O24=0,"",INDEX(工单[报修问题描述],$O24-ROW(工单[#Headers]))&amp;"")</f>
        <v>主卧空调出风口结露滴水</v>
      </c>
      <c r="F24" s="49"/>
      <c r="G24" s="48" t="str">
        <f aca="false">IF($O24=0,"",INDEX(工单[维修类别],$O24-ROW(工单[#Headers]))&amp;"")</f>
        <v>空调暖通</v>
      </c>
      <c r="H24" s="48" t="str">
        <f aca="false">IF($O24=0,"",INDEX(工单[跟进人1],$O24-ROW(工单[#Headers]))&amp;IF(INDEX(工单[跟进人2],$O24-ROW(工单[#Headers]))="","","、"&amp;INDEX(工单[跟进人2],$O24-ROW(工单[#Headers]))))</f>
        <v>张师傅</v>
      </c>
      <c r="I24" s="48" t="str">
        <f aca="false">IF($O24=0,"",INDEX(工单[完成情况],$O24-ROW(工单[#Headers]))&amp;"")</f>
        <v>已完成</v>
      </c>
      <c r="J24" s="51" t="str">
        <f aca="false">IF($O24=0,"",INDEX(工单[处理天数],$O24-ROW(工单[#Headers])))</f>
        <v/>
      </c>
      <c r="K24" s="48" t="str">
        <f aca="false">IF($O24=0,"",INDEX(工单[维修评价],$O24-ROW(工单[#Headers]))&amp;"")</f>
        <v>一般</v>
      </c>
      <c r="L24" s="49" t="str">
        <f aca="false">IF($O24=0,"",INDEX(工单[维修备注],$O24-ROW(工单[#Headers]))&amp;"")</f>
        <v>已调整出风角度并清洗滤网</v>
      </c>
      <c r="M24" s="48" t="str">
        <f aca="false">IF($O24=0,"",INDEX(工单[单据编号],$O24-ROW(工单[#Headers]))&amp;"")</f>
        <v>6-2004-0501</v>
      </c>
      <c r="O24" s="52" t="n">
        <f aca="false">IFERROR(SUMPRODUCT(LARGE((工单[楼栋]=$B$3)*(((工单[房号/位置]&amp;"")=($D$3&amp;""))+($D$3="")&gt;0)*ROW(工单[楼栋]),16)),0)</f>
        <v>11</v>
      </c>
    </row>
    <row r="25" customFormat="false" ht="18.75" hidden="false" customHeight="true" outlineLevel="0" collapsed="false">
      <c r="A25" s="48" t="n">
        <f aca="false">IF($O25=0,"",17)</f>
        <v>17</v>
      </c>
      <c r="B25" s="50" t="n">
        <f aca="false">IF($O25=0,"",INDEX(工单[报修日期],$O25-ROW(工单[#Headers])))</f>
        <v>45778</v>
      </c>
      <c r="C25" s="48" t="str">
        <f aca="false">IF($O25=0,"",INDEX(工单[类型],$O25-ROW(工单[#Headers]))&amp;"")</f>
        <v>入户</v>
      </c>
      <c r="D25" s="48" t="str">
        <f aca="false">IF($O25=0,"",INDEX(工单[房号/位置],$O25-ROW(工单[#Headers]))&amp;"")</f>
        <v>2504</v>
      </c>
      <c r="E25" s="49" t="str">
        <f aca="false">IF($O25=0,"",INDEX(工单[报修问题描述],$O25-ROW(工单[#Headers]))&amp;"")</f>
        <v>空调开机后室内机滴水</v>
      </c>
      <c r="F25" s="49"/>
      <c r="G25" s="48" t="str">
        <f aca="false">IF($O25=0,"",INDEX(工单[维修类别],$O25-ROW(工单[#Headers]))&amp;"")</f>
        <v>空调暖通</v>
      </c>
      <c r="H25" s="48" t="str">
        <f aca="false">IF($O25=0,"",INDEX(工单[跟进人1],$O25-ROW(工单[#Headers]))&amp;IF(INDEX(工单[跟进人2],$O25-ROW(工单[#Headers]))="","","、"&amp;INDEX(工单[跟进人2],$O25-ROW(工单[#Headers]))))</f>
        <v>刘师傅、张师傅</v>
      </c>
      <c r="I25" s="48" t="str">
        <f aca="false">IF($O25=0,"",INDEX(工单[完成情况],$O25-ROW(工单[#Headers]))&amp;"")</f>
        <v>跟进中</v>
      </c>
      <c r="J25" s="51" t="n">
        <f aca="false">IF($O25=0,"",INDEX(工单[处理天数],$O25-ROW(工单[#Headers])))</f>
        <v>6</v>
      </c>
      <c r="K25" s="48" t="str">
        <f aca="false">IF($O25=0,"",INDEX(工单[维修评价],$O25-ROW(工单[#Headers]))&amp;"")</f>
        <v/>
      </c>
      <c r="L25" s="49" t="str">
        <f aca="false">IF($O25=0,"",INDEX(工单[维修备注],$O25-ROW(工单[#Headers]))&amp;"")</f>
        <v>需重新包扎保温棉，待料处理</v>
      </c>
      <c r="M25" s="48" t="str">
        <f aca="false">IF($O25=0,"",INDEX(工单[单据编号],$O25-ROW(工单[#Headers]))&amp;"")</f>
        <v>6-2504-0501</v>
      </c>
      <c r="O25" s="52" t="n">
        <f aca="false">IFERROR(SUMPRODUCT(LARGE((工单[楼栋]=$B$3)*(((工单[房号/位置]&amp;"")=($D$3&amp;""))+($D$3="")&gt;0)*ROW(工单[楼栋]),17)),0)</f>
        <v>8</v>
      </c>
    </row>
    <row r="26" customFormat="false" ht="18.75" hidden="false" customHeight="true" outlineLevel="0" collapsed="false">
      <c r="A26" s="48" t="str">
        <f aca="false">IF($O26=0,"",18)</f>
        <v/>
      </c>
      <c r="B26" s="50" t="str">
        <f aca="false">IF($O26=0,"",INDEX(工单[报修日期],$O26-ROW(工单[#Headers])))</f>
        <v/>
      </c>
      <c r="C26" s="48" t="str">
        <f aca="false">IF($O26=0,"",INDEX(工单[类型],$O26-ROW(工单[#Headers]))&amp;"")</f>
        <v/>
      </c>
      <c r="D26" s="48" t="str">
        <f aca="false">IF($O26=0,"",INDEX(工单[房号/位置],$O26-ROW(工单[#Headers]))&amp;"")</f>
        <v/>
      </c>
      <c r="E26" s="49" t="str">
        <f aca="false">IF($O26=0,"",INDEX(工单[报修问题描述],$O26-ROW(工单[#Headers]))&amp;"")</f>
        <v/>
      </c>
      <c r="F26" s="49"/>
      <c r="G26" s="48" t="str">
        <f aca="false">IF($O26=0,"",INDEX(工单[维修类别],$O26-ROW(工单[#Headers]))&amp;"")</f>
        <v/>
      </c>
      <c r="H26" s="48" t="str">
        <f aca="false">IF($O26=0,"",INDEX(工单[跟进人1],$O26-ROW(工单[#Headers]))&amp;IF(INDEX(工单[跟进人2],$O26-ROW(工单[#Headers]))="","","、"&amp;INDEX(工单[跟进人2],$O26-ROW(工单[#Headers]))))</f>
        <v/>
      </c>
      <c r="I26" s="48" t="str">
        <f aca="false">IF($O26=0,"",INDEX(工单[完成情况],$O26-ROW(工单[#Headers]))&amp;"")</f>
        <v/>
      </c>
      <c r="J26" s="51" t="str">
        <f aca="false">IF($O26=0,"",INDEX(工单[处理天数],$O26-ROW(工单[#Headers])))</f>
        <v/>
      </c>
      <c r="K26" s="48" t="str">
        <f aca="false">IF($O26=0,"",INDEX(工单[维修评价],$O26-ROW(工单[#Headers]))&amp;"")</f>
        <v/>
      </c>
      <c r="L26" s="49" t="str">
        <f aca="false">IF($O26=0,"",INDEX(工单[维修备注],$O26-ROW(工单[#Headers]))&amp;"")</f>
        <v/>
      </c>
      <c r="M26" s="48" t="str">
        <f aca="false">IF($O26=0,"",INDEX(工单[单据编号],$O26-ROW(工单[#Headers]))&amp;"")</f>
        <v/>
      </c>
      <c r="O26" s="52" t="n">
        <f aca="false">IFERROR(SUMPRODUCT(LARGE((工单[楼栋]=$B$3)*(((工单[房号/位置]&amp;"")=($D$3&amp;""))+($D$3="")&gt;0)*ROW(工单[楼栋]),18)),0)</f>
        <v>0</v>
      </c>
    </row>
    <row r="27" customFormat="false" ht="18.75" hidden="false" customHeight="true" outlineLevel="0" collapsed="false">
      <c r="A27" s="48" t="str">
        <f aca="false">IF($O27=0,"",19)</f>
        <v/>
      </c>
      <c r="B27" s="50" t="str">
        <f aca="false">IF($O27=0,"",INDEX(工单[报修日期],$O27-ROW(工单[#Headers])))</f>
        <v/>
      </c>
      <c r="C27" s="48" t="str">
        <f aca="false">IF($O27=0,"",INDEX(工单[类型],$O27-ROW(工单[#Headers]))&amp;"")</f>
        <v/>
      </c>
      <c r="D27" s="48" t="str">
        <f aca="false">IF($O27=0,"",INDEX(工单[房号/位置],$O27-ROW(工单[#Headers]))&amp;"")</f>
        <v/>
      </c>
      <c r="E27" s="49" t="str">
        <f aca="false">IF($O27=0,"",INDEX(工单[报修问题描述],$O27-ROW(工单[#Headers]))&amp;"")</f>
        <v/>
      </c>
      <c r="F27" s="49"/>
      <c r="G27" s="48" t="str">
        <f aca="false">IF($O27=0,"",INDEX(工单[维修类别],$O27-ROW(工单[#Headers]))&amp;"")</f>
        <v/>
      </c>
      <c r="H27" s="48" t="str">
        <f aca="false">IF($O27=0,"",INDEX(工单[跟进人1],$O27-ROW(工单[#Headers]))&amp;IF(INDEX(工单[跟进人2],$O27-ROW(工单[#Headers]))="","","、"&amp;INDEX(工单[跟进人2],$O27-ROW(工单[#Headers]))))</f>
        <v/>
      </c>
      <c r="I27" s="48" t="str">
        <f aca="false">IF($O27=0,"",INDEX(工单[完成情况],$O27-ROW(工单[#Headers]))&amp;"")</f>
        <v/>
      </c>
      <c r="J27" s="51" t="str">
        <f aca="false">IF($O27=0,"",INDEX(工单[处理天数],$O27-ROW(工单[#Headers])))</f>
        <v/>
      </c>
      <c r="K27" s="48" t="str">
        <f aca="false">IF($O27=0,"",INDEX(工单[维修评价],$O27-ROW(工单[#Headers]))&amp;"")</f>
        <v/>
      </c>
      <c r="L27" s="49" t="str">
        <f aca="false">IF($O27=0,"",INDEX(工单[维修备注],$O27-ROW(工单[#Headers]))&amp;"")</f>
        <v/>
      </c>
      <c r="M27" s="48" t="str">
        <f aca="false">IF($O27=0,"",INDEX(工单[单据编号],$O27-ROW(工单[#Headers]))&amp;"")</f>
        <v/>
      </c>
      <c r="O27" s="52" t="n">
        <f aca="false">IFERROR(SUMPRODUCT(LARGE((工单[楼栋]=$B$3)*(((工单[房号/位置]&amp;"")=($D$3&amp;""))+($D$3="")&gt;0)*ROW(工单[楼栋]),19)),0)</f>
        <v>0</v>
      </c>
    </row>
    <row r="28" customFormat="false" ht="18.75" hidden="false" customHeight="true" outlineLevel="0" collapsed="false">
      <c r="A28" s="48" t="str">
        <f aca="false">IF($O28=0,"",20)</f>
        <v/>
      </c>
      <c r="B28" s="50" t="str">
        <f aca="false">IF($O28=0,"",INDEX(工单[报修日期],$O28-ROW(工单[#Headers])))</f>
        <v/>
      </c>
      <c r="C28" s="48" t="str">
        <f aca="false">IF($O28=0,"",INDEX(工单[类型],$O28-ROW(工单[#Headers]))&amp;"")</f>
        <v/>
      </c>
      <c r="D28" s="48" t="str">
        <f aca="false">IF($O28=0,"",INDEX(工单[房号/位置],$O28-ROW(工单[#Headers]))&amp;"")</f>
        <v/>
      </c>
      <c r="E28" s="49" t="str">
        <f aca="false">IF($O28=0,"",INDEX(工单[报修问题描述],$O28-ROW(工单[#Headers]))&amp;"")</f>
        <v/>
      </c>
      <c r="F28" s="49"/>
      <c r="G28" s="48" t="str">
        <f aca="false">IF($O28=0,"",INDEX(工单[维修类别],$O28-ROW(工单[#Headers]))&amp;"")</f>
        <v/>
      </c>
      <c r="H28" s="48" t="str">
        <f aca="false">IF($O28=0,"",INDEX(工单[跟进人1],$O28-ROW(工单[#Headers]))&amp;IF(INDEX(工单[跟进人2],$O28-ROW(工单[#Headers]))="","","、"&amp;INDEX(工单[跟进人2],$O28-ROW(工单[#Headers]))))</f>
        <v/>
      </c>
      <c r="I28" s="48" t="str">
        <f aca="false">IF($O28=0,"",INDEX(工单[完成情况],$O28-ROW(工单[#Headers]))&amp;"")</f>
        <v/>
      </c>
      <c r="J28" s="51" t="str">
        <f aca="false">IF($O28=0,"",INDEX(工单[处理天数],$O28-ROW(工单[#Headers])))</f>
        <v/>
      </c>
      <c r="K28" s="48" t="str">
        <f aca="false">IF($O28=0,"",INDEX(工单[维修评价],$O28-ROW(工单[#Headers]))&amp;"")</f>
        <v/>
      </c>
      <c r="L28" s="49" t="str">
        <f aca="false">IF($O28=0,"",INDEX(工单[维修备注],$O28-ROW(工单[#Headers]))&amp;"")</f>
        <v/>
      </c>
      <c r="M28" s="48" t="str">
        <f aca="false">IF($O28=0,"",INDEX(工单[单据编号],$O28-ROW(工单[#Headers]))&amp;"")</f>
        <v/>
      </c>
      <c r="O28" s="52" t="n">
        <f aca="false">IFERROR(SUMPRODUCT(LARGE((工单[楼栋]=$B$3)*(((工单[房号/位置]&amp;"")=($D$3&amp;""))+($D$3="")&gt;0)*ROW(工单[楼栋]),20)),0)</f>
        <v>0</v>
      </c>
    </row>
    <row r="29" customFormat="false" ht="15" hidden="false" customHeight="false" outlineLevel="0" collapsed="false">
      <c r="A29" s="16" t="str">
        <f aca="false">IF(A6=0,"　查无记录：请核对楼栋和房号的写法。",IF(A6&gt;20,"　共 "&amp;A6&amp;" 单，这里只列最近 20 单；完整记录在台账里按楼栋、房号筛选。",""))</f>
        <v/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</sheetData>
  <mergeCells count="24">
    <mergeCell ref="A1:M1"/>
    <mergeCell ref="E3:M3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A29:M29"/>
  </mergeCells>
  <conditionalFormatting sqref="I9:I28">
    <cfRule type="expression" priority="2" aboveAverage="0" equalAverage="0" bottom="0" percent="0" rank="0" text="" dxfId="22">
      <formula>$I9="已完成"</formula>
    </cfRule>
    <cfRule type="expression" priority="3" aboveAverage="0" equalAverage="0" bottom="0" percent="0" rank="0" text="" dxfId="17">
      <formula>$I9="跟进中"</formula>
    </cfRule>
    <cfRule type="expression" priority="4" aboveAverage="0" equalAverage="0" bottom="0" percent="0" rank="0" text="" dxfId="21">
      <formula>$I9="需另约时间"</formula>
    </cfRule>
  </conditionalFormatting>
  <conditionalFormatting sqref="K9:K28">
    <cfRule type="expression" priority="5" aboveAverage="0" equalAverage="0" bottom="0" percent="0" rank="0" text="" dxfId="21">
      <formula>$K9="不满意"</formula>
    </cfRule>
  </conditionalFormatting>
  <dataValidations count="2">
    <dataValidation allowBlank="true" errorStyle="stop" errorTitle="楼栋" operator="between" prompt="选楼栋；公共区域、商铺也在里面。" promptTitle="楼栋" showDropDown="false" showErrorMessage="false" showInputMessage="true" sqref="B3" type="list">
      <formula1>楼栋</formula1>
      <formula2>0</formula2>
    </dataValidation>
    <dataValidation allowBlank="true" errorStyle="stop" errorTitle="房号 / 位置" operator="between" prompt="写法和台账一致，例如 1101、东大门；留空＝查整栋。" promptTitle="房号 / 位置" showDropDown="false" showErrorMessage="false" showInputMessage="true" sqref="D3" type="textLength">
      <formula1>0</formula1>
      <formula2>40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867F"/>
    <pageSetUpPr fitToPage="false"/>
  </sheetPr>
  <dimension ref="A1:P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3"/>
    <col collapsed="false" customWidth="true" hidden="false" outlineLevel="0" max="7" min="5" style="0" width="12"/>
    <col collapsed="false" customWidth="true" hidden="false" outlineLevel="0" max="17" min="8" style="0" width="10"/>
    <col collapsed="false" customWidth="true" hidden="false" outlineLevel="0" max="18" min="18" style="0" width="12"/>
    <col collapsed="false" customWidth="true" hidden="false" outlineLevel="0" max="19" min="19" style="0" width="8"/>
  </cols>
  <sheetData>
    <row r="1" customFormat="false" ht="30" hidden="false" customHeight="true" outlineLevel="0" collapsed="false">
      <c r="A1" s="102" t="s">
        <v>19</v>
      </c>
    </row>
    <row r="2" customFormat="false" ht="15" hidden="false" customHeight="false" outlineLevel="0" collapsed="false">
      <c r="A2" s="103" t="s">
        <v>290</v>
      </c>
    </row>
    <row r="4" customFormat="false" ht="15" hidden="false" customHeight="false" outlineLevel="0" collapsed="false">
      <c r="A4" s="104" t="s">
        <v>291</v>
      </c>
      <c r="B4" s="105" t="n">
        <v>45784</v>
      </c>
      <c r="C4" s="103" t="s">
        <v>569</v>
      </c>
    </row>
    <row r="5" customFormat="false" ht="15" hidden="false" customHeight="false" outlineLevel="0" collapsed="false">
      <c r="A5" s="104" t="s">
        <v>292</v>
      </c>
      <c r="B5" s="106" t="n">
        <v>3</v>
      </c>
      <c r="C5" s="103" t="s">
        <v>293</v>
      </c>
    </row>
    <row r="6" customFormat="false" ht="15" hidden="false" customHeight="false" outlineLevel="0" collapsed="false">
      <c r="A6" s="107" t="s">
        <v>294</v>
      </c>
      <c r="B6" s="108" t="n">
        <f aca="true">IF(B4="",TODAY(),B4)</f>
        <v>45784</v>
      </c>
    </row>
    <row r="8" customFormat="false" ht="15" hidden="false" customHeight="false" outlineLevel="0" collapsed="false">
      <c r="A8" s="82" t="s">
        <v>295</v>
      </c>
      <c r="B8" s="109" t="s">
        <v>296</v>
      </c>
      <c r="C8" s="110" t="s">
        <v>297</v>
      </c>
      <c r="E8" s="82" t="s">
        <v>63</v>
      </c>
      <c r="F8" s="82" t="s">
        <v>66</v>
      </c>
      <c r="G8" s="109" t="s">
        <v>243</v>
      </c>
    </row>
    <row r="9" customFormat="false" ht="15" hidden="false" customHeight="false" outlineLevel="0" collapsed="false">
      <c r="A9" s="111" t="s">
        <v>83</v>
      </c>
      <c r="B9" s="112" t="str">
        <f aca="false">IFERROR(INDEX($A$9:$A$13,MATCH(1,$C$9:$C$13,0)),IF(1=MAX($C$9:$C$13)+1,"取消",""))</f>
        <v>李师傅</v>
      </c>
      <c r="C9" s="110" t="str">
        <f aca="false">IF(OR(A9="",INDEX(工单台账!$H$3:$L$3,1)="休息"),"",MAX($C$8:C8)+1)</f>
        <v/>
      </c>
      <c r="E9" s="111" t="s">
        <v>115</v>
      </c>
      <c r="F9" s="111" t="s">
        <v>97</v>
      </c>
      <c r="G9" s="112" t="s">
        <v>298</v>
      </c>
    </row>
    <row r="10" customFormat="false" ht="15" hidden="false" customHeight="false" outlineLevel="0" collapsed="false">
      <c r="A10" s="111" t="s">
        <v>84</v>
      </c>
      <c r="B10" s="112" t="str">
        <f aca="false">IFERROR(INDEX($A$9:$A$13,MATCH(2,$C$9:$C$13,0)),IF(2=MAX($C$9:$C$13)+1,"取消",""))</f>
        <v>王师傅</v>
      </c>
      <c r="C10" s="110" t="n">
        <f aca="false">IF(OR(A10="",INDEX(工单台账!$H$3:$L$3,2)="休息"),"",MAX($C$8:C9)+1)</f>
        <v>1</v>
      </c>
      <c r="E10" s="111" t="s">
        <v>127</v>
      </c>
      <c r="F10" s="111" t="s">
        <v>118</v>
      </c>
      <c r="G10" s="112" t="s">
        <v>299</v>
      </c>
    </row>
    <row r="11" customFormat="false" ht="15" hidden="false" customHeight="false" outlineLevel="0" collapsed="false">
      <c r="A11" s="111" t="s">
        <v>141</v>
      </c>
      <c r="B11" s="112" t="str">
        <f aca="false">IFERROR(INDEX($A$9:$A$13,MATCH(3,$C$9:$C$13,0)),IF(3=MAX($C$9:$C$13)+1,"取消",""))</f>
        <v>陈师傅</v>
      </c>
      <c r="C11" s="110" t="n">
        <f aca="false">IF(OR(A11="",INDEX(工单台账!$H$3:$L$3,3)="休息"),"",MAX($C$8:C10)+1)</f>
        <v>2</v>
      </c>
      <c r="E11" s="111" t="s">
        <v>125</v>
      </c>
      <c r="F11" s="111" t="s">
        <v>123</v>
      </c>
      <c r="G11" s="112" t="s">
        <v>244</v>
      </c>
    </row>
    <row r="12" customFormat="false" ht="15" hidden="false" customHeight="false" outlineLevel="0" collapsed="false">
      <c r="A12" s="111" t="s">
        <v>140</v>
      </c>
      <c r="B12" s="112" t="str">
        <f aca="false">IFERROR(INDEX($A$9:$A$13,MATCH(4,$C$9:$C$13,0)),IF(4=MAX($C$9:$C$13)+1,"取消",""))</f>
        <v>刘师傅</v>
      </c>
      <c r="C12" s="110" t="n">
        <f aca="false">IF(OR(A12="",INDEX(工单台账!$H$3:$L$3,4)="休息"),"",MAX($C$8:C11)+1)</f>
        <v>3</v>
      </c>
      <c r="E12" s="111" t="s">
        <v>129</v>
      </c>
      <c r="F12" s="111" t="s">
        <v>82</v>
      </c>
      <c r="G12" s="112" t="s">
        <v>300</v>
      </c>
    </row>
    <row r="13" customFormat="false" ht="15" hidden="false" customHeight="false" outlineLevel="0" collapsed="false">
      <c r="A13" s="111" t="s">
        <v>90</v>
      </c>
      <c r="B13" s="112" t="str">
        <f aca="false">IFERROR(INDEX($A$9:$A$13,MATCH(5,$C$9:$C$13,0)),IF(5=MAX($C$9:$C$13)+1,"取消",""))</f>
        <v>取消</v>
      </c>
      <c r="C13" s="110" t="n">
        <f aca="false">IF(OR(A13="",INDEX(工单台账!$H$3:$L$3,5)="休息"),"",MAX($C$8:C12)+1)</f>
        <v>4</v>
      </c>
      <c r="E13" s="111" t="s">
        <v>92</v>
      </c>
      <c r="F13" s="111" t="s">
        <v>94</v>
      </c>
    </row>
    <row r="14" customFormat="false" ht="15" hidden="false" customHeight="false" outlineLevel="0" collapsed="false">
      <c r="B14" s="112" t="str">
        <f aca="false">IFERROR(INDEX($A$9:$A$13,MATCH(6,$C$9:$C$13,0)),IF(6=MAX($C$9:$C$13)+1,"取消",""))</f>
        <v/>
      </c>
      <c r="E14" s="111" t="s">
        <v>88</v>
      </c>
      <c r="F14" s="111" t="s">
        <v>103</v>
      </c>
    </row>
    <row r="15" customFormat="false" ht="15" hidden="false" customHeight="false" outlineLevel="0" collapsed="false">
      <c r="E15" s="111" t="s">
        <v>95</v>
      </c>
      <c r="F15" s="111" t="s">
        <v>153</v>
      </c>
    </row>
    <row r="16" customFormat="false" ht="15" hidden="false" customHeight="false" outlineLevel="0" collapsed="false">
      <c r="A16" s="103" t="s">
        <v>301</v>
      </c>
      <c r="E16" s="111" t="s">
        <v>80</v>
      </c>
      <c r="F16" s="111" t="s">
        <v>143</v>
      </c>
    </row>
    <row r="17" customFormat="false" ht="15" hidden="false" customHeight="false" outlineLevel="0" collapsed="false">
      <c r="E17" s="111" t="s">
        <v>113</v>
      </c>
      <c r="F17" s="111" t="s">
        <v>139</v>
      </c>
    </row>
    <row r="18" customFormat="false" ht="15" hidden="false" customHeight="false" outlineLevel="0" collapsed="false">
      <c r="E18" s="111" t="s">
        <v>111</v>
      </c>
      <c r="F18" s="111" t="s">
        <v>157</v>
      </c>
    </row>
    <row r="19" customFormat="false" ht="15" hidden="false" customHeight="false" outlineLevel="0" collapsed="false">
      <c r="E19" s="111" t="s">
        <v>120</v>
      </c>
    </row>
    <row r="20" customFormat="false" ht="15" hidden="false" customHeight="false" outlineLevel="0" collapsed="false">
      <c r="E20" s="111" t="s">
        <v>194</v>
      </c>
    </row>
    <row r="21" customFormat="false" ht="15" hidden="false" customHeight="false" outlineLevel="0" collapsed="false">
      <c r="E21" s="111" t="s">
        <v>137</v>
      </c>
    </row>
    <row r="24" customFormat="false" ht="18" hidden="false" customHeight="true" outlineLevel="0" collapsed="false">
      <c r="A24" s="113" t="s">
        <v>302</v>
      </c>
      <c r="E24" s="113" t="s">
        <v>303</v>
      </c>
    </row>
    <row r="25" customFormat="false" ht="30" hidden="false" customHeight="true" outlineLevel="0" collapsed="false">
      <c r="A25" s="109" t="s">
        <v>304</v>
      </c>
      <c r="B25" s="109" t="s">
        <v>305</v>
      </c>
      <c r="C25" s="109" t="s">
        <v>306</v>
      </c>
      <c r="E25" s="114" t="s">
        <v>51</v>
      </c>
      <c r="F25" s="114" t="s">
        <v>272</v>
      </c>
      <c r="G25" s="114" t="s">
        <v>86</v>
      </c>
      <c r="H25" s="114" t="s">
        <v>273</v>
      </c>
      <c r="I25" s="114" t="s">
        <v>87</v>
      </c>
      <c r="J25" s="114" t="s">
        <v>98</v>
      </c>
      <c r="K25" s="114" t="s">
        <v>100</v>
      </c>
      <c r="L25" s="114" t="s">
        <v>274</v>
      </c>
      <c r="M25" s="114" t="s">
        <v>307</v>
      </c>
      <c r="N25" s="114" t="s">
        <v>275</v>
      </c>
      <c r="O25" s="114" t="s">
        <v>308</v>
      </c>
      <c r="P25" s="114" t="s">
        <v>271</v>
      </c>
    </row>
    <row r="26" customFormat="false" ht="18" hidden="false" customHeight="true" outlineLevel="0" collapsed="false">
      <c r="A26" s="112" t="s">
        <v>298</v>
      </c>
      <c r="B26" s="115" t="n">
        <f aca="false">基准日</f>
        <v>45784</v>
      </c>
      <c r="C26" s="115" t="n">
        <f aca="false">基准日</f>
        <v>45784</v>
      </c>
      <c r="E26" s="112" t="str">
        <f aca="false">A9&amp;""</f>
        <v>张师傅</v>
      </c>
      <c r="F26" s="112" t="n">
        <f aca="false">COUNTIFS(工单[跟进人1],$E26,工单[报修日期],"&gt;="&amp;期初,工单[报修日期],"&lt;="&amp;期末)+COUNTIFS(工单[跟进人2],$E26,工单[报修日期],"&gt;="&amp;期初,工单[报修日期],"&lt;="&amp;期末)</f>
        <v>67</v>
      </c>
      <c r="G26" s="112" t="n">
        <f aca="false">COUNTIFS(工单[跟进人1],$E26,工单[报修日期],"&gt;="&amp;期初,工单[报修日期],"&lt;="&amp;期末,工单[完成情况],"已完成")+COUNTIFS(工单[跟进人2],$E26,工单[报修日期],"&gt;="&amp;期初,工单[报修日期],"&lt;="&amp;期末,工单[完成情况],"已完成")</f>
        <v>64</v>
      </c>
      <c r="H26" s="112" t="n">
        <f aca="false">F26-G26</f>
        <v>3</v>
      </c>
      <c r="I26" s="112" t="n">
        <f aca="false">COUNTIFS(工单[跟进人1],$E26,工单[报修日期],"&gt;="&amp;期初,工单[报修日期],"&lt;="&amp;期末,工单[维修评价],"非常满意")+COUNTIFS(工单[跟进人2],$E26,工单[报修日期],"&gt;="&amp;期初,工单[报修日期],"&lt;="&amp;期末,工单[维修评价],"非常满意")</f>
        <v>52</v>
      </c>
      <c r="J26" s="112" t="n">
        <f aca="false">COUNTIFS(工单[跟进人1],$E26,工单[报修日期],"&gt;="&amp;期初,工单[报修日期],"&lt;="&amp;期末,工单[维修评价],"满意")+COUNTIFS(工单[跟进人2],$E26,工单[报修日期],"&gt;="&amp;期初,工单[报修日期],"&lt;="&amp;期末,工单[维修评价],"满意")</f>
        <v>2</v>
      </c>
      <c r="K26" s="112" t="n">
        <f aca="false">COUNTIFS(工单[跟进人1],$E26,工单[报修日期],"&gt;="&amp;期初,工单[报修日期],"&lt;="&amp;期末,工单[维修评价],"一般")+COUNTIFS(工单[跟进人2],$E26,工单[报修日期],"&gt;="&amp;期初,工单[报修日期],"&lt;="&amp;期末,工单[维修评价],"一般")</f>
        <v>1</v>
      </c>
      <c r="L26" s="112" t="n">
        <f aca="false">COUNTIFS(工单[跟进人1],$E26,工单[报修日期],"&gt;="&amp;期初,工单[报修日期],"&lt;="&amp;期末,工单[维修评价],"不满意")+COUNTIFS(工单[跟进人2],$E26,工单[报修日期],"&gt;="&amp;期初,工单[报修日期],"&lt;="&amp;期末,工单[维修评价],"不满意")</f>
        <v>0</v>
      </c>
      <c r="M26" s="112" t="n">
        <f aca="false">SUM(I26:L26)</f>
        <v>55</v>
      </c>
      <c r="N26" s="112" t="n">
        <f aca="false">IF(M26=0,"",ROUND((I26*100+J26*80+K26*60)/M26,1))</f>
        <v>98.5</v>
      </c>
      <c r="O26" s="112" t="n">
        <f aca="false">IF(E26="",-1,G26*1000+F26+(5-0)/10)</f>
        <v>64067.5</v>
      </c>
      <c r="P26" s="112" t="n">
        <f aca="false">RANK(O26,$O$26:$O$30)</f>
        <v>1</v>
      </c>
    </row>
    <row r="27" customFormat="false" ht="18" hidden="false" customHeight="true" outlineLevel="0" collapsed="false">
      <c r="A27" s="112" t="s">
        <v>299</v>
      </c>
      <c r="B27" s="115" t="n">
        <f aca="false">基准日-WEEKDAY(基准日,2)+1</f>
        <v>45782</v>
      </c>
      <c r="C27" s="115" t="n">
        <f aca="false">B27+6</f>
        <v>45788</v>
      </c>
      <c r="E27" s="112" t="str">
        <f aca="false">A10&amp;""</f>
        <v>李师傅</v>
      </c>
      <c r="F27" s="112" t="n">
        <f aca="false">COUNTIFS(工单[跟进人1],$E27,工单[报修日期],"&gt;="&amp;期初,工单[报修日期],"&lt;="&amp;期末)+COUNTIFS(工单[跟进人2],$E27,工单[报修日期],"&gt;="&amp;期初,工单[报修日期],"&lt;="&amp;期末)</f>
        <v>40</v>
      </c>
      <c r="G27" s="112" t="n">
        <f aca="false">COUNTIFS(工单[跟进人1],$E27,工单[报修日期],"&gt;="&amp;期初,工单[报修日期],"&lt;="&amp;期末,工单[完成情况],"已完成")+COUNTIFS(工单[跟进人2],$E27,工单[报修日期],"&gt;="&amp;期初,工单[报修日期],"&lt;="&amp;期末,工单[完成情况],"已完成")</f>
        <v>33</v>
      </c>
      <c r="H27" s="112" t="n">
        <f aca="false">F27-G27</f>
        <v>7</v>
      </c>
      <c r="I27" s="112" t="n">
        <f aca="false">COUNTIFS(工单[跟进人1],$E27,工单[报修日期],"&gt;="&amp;期初,工单[报修日期],"&lt;="&amp;期末,工单[维修评价],"非常满意")+COUNTIFS(工单[跟进人2],$E27,工单[报修日期],"&gt;="&amp;期初,工单[报修日期],"&lt;="&amp;期末,工单[维修评价],"非常满意")</f>
        <v>32</v>
      </c>
      <c r="J27" s="112" t="n">
        <f aca="false">COUNTIFS(工单[跟进人1],$E27,工单[报修日期],"&gt;="&amp;期初,工单[报修日期],"&lt;="&amp;期末,工单[维修评价],"满意")+COUNTIFS(工单[跟进人2],$E27,工单[报修日期],"&gt;="&amp;期初,工单[报修日期],"&lt;="&amp;期末,工单[维修评价],"满意")</f>
        <v>4</v>
      </c>
      <c r="K27" s="112" t="n">
        <f aca="false">COUNTIFS(工单[跟进人1],$E27,工单[报修日期],"&gt;="&amp;期初,工单[报修日期],"&lt;="&amp;期末,工单[维修评价],"一般")+COUNTIFS(工单[跟进人2],$E27,工单[报修日期],"&gt;="&amp;期初,工单[报修日期],"&lt;="&amp;期末,工单[维修评价],"一般")</f>
        <v>0</v>
      </c>
      <c r="L27" s="112" t="n">
        <f aca="false">COUNTIFS(工单[跟进人1],$E27,工单[报修日期],"&gt;="&amp;期初,工单[报修日期],"&lt;="&amp;期末,工单[维修评价],"不满意")+COUNTIFS(工单[跟进人2],$E27,工单[报修日期],"&gt;="&amp;期初,工单[报修日期],"&lt;="&amp;期末,工单[维修评价],"不满意")</f>
        <v>0</v>
      </c>
      <c r="M27" s="112" t="n">
        <f aca="false">SUM(I27:L27)</f>
        <v>36</v>
      </c>
      <c r="N27" s="112" t="n">
        <f aca="false">IF(M27=0,"",ROUND((I27*100+J27*80+K27*60)/M27,1))</f>
        <v>97.8</v>
      </c>
      <c r="O27" s="112" t="n">
        <f aca="false">IF(E27="",-1,G27*1000+F27+(5-1)/10)</f>
        <v>33040.4</v>
      </c>
      <c r="P27" s="112" t="n">
        <f aca="false">RANK(O27,$O$26:$O$30)</f>
        <v>2</v>
      </c>
    </row>
    <row r="28" customFormat="false" ht="18" hidden="false" customHeight="true" outlineLevel="0" collapsed="false">
      <c r="A28" s="112" t="s">
        <v>244</v>
      </c>
      <c r="B28" s="115" t="n">
        <f aca="false">DATE(YEAR(基准日),MONTH(基准日),1)</f>
        <v>45778</v>
      </c>
      <c r="C28" s="115" t="n">
        <f aca="false">DATE(YEAR(基准日),MONTH(基准日)+1,0)</f>
        <v>45808</v>
      </c>
      <c r="E28" s="112" t="str">
        <f aca="false">A11&amp;""</f>
        <v>王师傅</v>
      </c>
      <c r="F28" s="112" t="n">
        <f aca="false">COUNTIFS(工单[跟进人1],$E28,工单[报修日期],"&gt;="&amp;期初,工单[报修日期],"&lt;="&amp;期末)+COUNTIFS(工单[跟进人2],$E28,工单[报修日期],"&gt;="&amp;期初,工单[报修日期],"&lt;="&amp;期末)</f>
        <v>8</v>
      </c>
      <c r="G28" s="112" t="n">
        <f aca="false">COUNTIFS(工单[跟进人1],$E28,工单[报修日期],"&gt;="&amp;期初,工单[报修日期],"&lt;="&amp;期末,工单[完成情况],"已完成")+COUNTIFS(工单[跟进人2],$E28,工单[报修日期],"&gt;="&amp;期初,工单[报修日期],"&lt;="&amp;期末,工单[完成情况],"已完成")</f>
        <v>7</v>
      </c>
      <c r="H28" s="112" t="n">
        <f aca="false">F28-G28</f>
        <v>1</v>
      </c>
      <c r="I28" s="112" t="n">
        <f aca="false">COUNTIFS(工单[跟进人1],$E28,工单[报修日期],"&gt;="&amp;期初,工单[报修日期],"&lt;="&amp;期末,工单[维修评价],"非常满意")+COUNTIFS(工单[跟进人2],$E28,工单[报修日期],"&gt;="&amp;期初,工单[报修日期],"&lt;="&amp;期末,工单[维修评价],"非常满意")</f>
        <v>3</v>
      </c>
      <c r="J28" s="112" t="n">
        <f aca="false">COUNTIFS(工单[跟进人1],$E28,工单[报修日期],"&gt;="&amp;期初,工单[报修日期],"&lt;="&amp;期末,工单[维修评价],"满意")+COUNTIFS(工单[跟进人2],$E28,工单[报修日期],"&gt;="&amp;期初,工单[报修日期],"&lt;="&amp;期末,工单[维修评价],"满意")</f>
        <v>1</v>
      </c>
      <c r="K28" s="112" t="n">
        <f aca="false">COUNTIFS(工单[跟进人1],$E28,工单[报修日期],"&gt;="&amp;期初,工单[报修日期],"&lt;="&amp;期末,工单[维修评价],"一般")+COUNTIFS(工单[跟进人2],$E28,工单[报修日期],"&gt;="&amp;期初,工单[报修日期],"&lt;="&amp;期末,工单[维修评价],"一般")</f>
        <v>0</v>
      </c>
      <c r="L28" s="112" t="n">
        <f aca="false">COUNTIFS(工单[跟进人1],$E28,工单[报修日期],"&gt;="&amp;期初,工单[报修日期],"&lt;="&amp;期末,工单[维修评价],"不满意")+COUNTIFS(工单[跟进人2],$E28,工单[报修日期],"&gt;="&amp;期初,工单[报修日期],"&lt;="&amp;期末,工单[维修评价],"不满意")</f>
        <v>0</v>
      </c>
      <c r="M28" s="112" t="n">
        <f aca="false">SUM(I28:L28)</f>
        <v>4</v>
      </c>
      <c r="N28" s="112" t="n">
        <f aca="false">IF(M28=0,"",ROUND((I28*100+J28*80+K28*60)/M28,1))</f>
        <v>95</v>
      </c>
      <c r="O28" s="112" t="n">
        <f aca="false">IF(E28="",-1,G28*1000+F28+(5-2)/10)</f>
        <v>7008.3</v>
      </c>
      <c r="P28" s="112" t="n">
        <f aca="false">RANK(O28,$O$26:$O$30)</f>
        <v>5</v>
      </c>
    </row>
    <row r="29" customFormat="false" ht="18" hidden="false" customHeight="true" outlineLevel="0" collapsed="false">
      <c r="A29" s="112" t="s">
        <v>300</v>
      </c>
      <c r="B29" s="115" t="n">
        <f aca="false">DATE(2000,1,1)</f>
        <v>36526</v>
      </c>
      <c r="C29" s="115" t="n">
        <f aca="false">基准日</f>
        <v>45784</v>
      </c>
      <c r="E29" s="112" t="str">
        <f aca="false">A12&amp;""</f>
        <v>陈师傅</v>
      </c>
      <c r="F29" s="112" t="n">
        <f aca="false">COUNTIFS(工单[跟进人1],$E29,工单[报修日期],"&gt;="&amp;期初,工单[报修日期],"&lt;="&amp;期末)+COUNTIFS(工单[跟进人2],$E29,工单[报修日期],"&gt;="&amp;期初,工单[报修日期],"&lt;="&amp;期末)</f>
        <v>16</v>
      </c>
      <c r="G29" s="112" t="n">
        <f aca="false">COUNTIFS(工单[跟进人1],$E29,工单[报修日期],"&gt;="&amp;期初,工单[报修日期],"&lt;="&amp;期末,工单[完成情况],"已完成")+COUNTIFS(工单[跟进人2],$E29,工单[报修日期],"&gt;="&amp;期初,工单[报修日期],"&lt;="&amp;期末,工单[完成情况],"已完成")</f>
        <v>12</v>
      </c>
      <c r="H29" s="112" t="n">
        <f aca="false">F29-G29</f>
        <v>4</v>
      </c>
      <c r="I29" s="112" t="n">
        <f aca="false">COUNTIFS(工单[跟进人1],$E29,工单[报修日期],"&gt;="&amp;期初,工单[报修日期],"&lt;="&amp;期末,工单[维修评价],"非常满意")+COUNTIFS(工单[跟进人2],$E29,工单[报修日期],"&gt;="&amp;期初,工单[报修日期],"&lt;="&amp;期末,工单[维修评价],"非常满意")</f>
        <v>4</v>
      </c>
      <c r="J29" s="112" t="n">
        <f aca="false">COUNTIFS(工单[跟进人1],$E29,工单[报修日期],"&gt;="&amp;期初,工单[报修日期],"&lt;="&amp;期末,工单[维修评价],"满意")+COUNTIFS(工单[跟进人2],$E29,工单[报修日期],"&gt;="&amp;期初,工单[报修日期],"&lt;="&amp;期末,工单[维修评价],"满意")</f>
        <v>1</v>
      </c>
      <c r="K29" s="112" t="n">
        <f aca="false">COUNTIFS(工单[跟进人1],$E29,工单[报修日期],"&gt;="&amp;期初,工单[报修日期],"&lt;="&amp;期末,工单[维修评价],"一般")+COUNTIFS(工单[跟进人2],$E29,工单[报修日期],"&gt;="&amp;期初,工单[报修日期],"&lt;="&amp;期末,工单[维修评价],"一般")</f>
        <v>0</v>
      </c>
      <c r="L29" s="112" t="n">
        <f aca="false">COUNTIFS(工单[跟进人1],$E29,工单[报修日期],"&gt;="&amp;期初,工单[报修日期],"&lt;="&amp;期末,工单[维修评价],"不满意")+COUNTIFS(工单[跟进人2],$E29,工单[报修日期],"&gt;="&amp;期初,工单[报修日期],"&lt;="&amp;期末,工单[维修评价],"不满意")</f>
        <v>0</v>
      </c>
      <c r="M29" s="112" t="n">
        <f aca="false">SUM(I29:L29)</f>
        <v>5</v>
      </c>
      <c r="N29" s="112" t="n">
        <f aca="false">IF(M29=0,"",ROUND((I29*100+J29*80+K29*60)/M29,1))</f>
        <v>96</v>
      </c>
      <c r="O29" s="112" t="n">
        <f aca="false">IF(E29="",-1,G29*1000+F29+(5-3)/10)</f>
        <v>12016.2</v>
      </c>
      <c r="P29" s="112" t="n">
        <f aca="false">RANK(O29,$O$26:$O$30)</f>
        <v>3</v>
      </c>
    </row>
    <row r="30" customFormat="false" ht="18" hidden="false" customHeight="true" outlineLevel="0" collapsed="false">
      <c r="A30" s="112" t="s">
        <v>309</v>
      </c>
      <c r="B30" s="115" t="n">
        <f aca="false">INDEX(B26:B29,MATCH(仪表盘!$E$2,A26:A29,0))</f>
        <v>45778</v>
      </c>
      <c r="C30" s="115" t="n">
        <f aca="false">INDEX(C26:C29,MATCH(仪表盘!$E$2,A26:A29,0))</f>
        <v>45808</v>
      </c>
      <c r="E30" s="112" t="str">
        <f aca="false">A13&amp;""</f>
        <v>刘师傅</v>
      </c>
      <c r="F30" s="112" t="n">
        <f aca="false">COUNTIFS(工单[跟进人1],$E30,工单[报修日期],"&gt;="&amp;期初,工单[报修日期],"&lt;="&amp;期末)+COUNTIFS(工单[跟进人2],$E30,工单[报修日期],"&gt;="&amp;期初,工单[报修日期],"&lt;="&amp;期末)</f>
        <v>13</v>
      </c>
      <c r="G30" s="112" t="n">
        <f aca="false">COUNTIFS(工单[跟进人1],$E30,工单[报修日期],"&gt;="&amp;期初,工单[报修日期],"&lt;="&amp;期末,工单[完成情况],"已完成")+COUNTIFS(工单[跟进人2],$E30,工单[报修日期],"&gt;="&amp;期初,工单[报修日期],"&lt;="&amp;期末,工单[完成情况],"已完成")</f>
        <v>10</v>
      </c>
      <c r="H30" s="112" t="n">
        <f aca="false">F30-G30</f>
        <v>3</v>
      </c>
      <c r="I30" s="112" t="n">
        <f aca="false">COUNTIFS(工单[跟进人1],$E30,工单[报修日期],"&gt;="&amp;期初,工单[报修日期],"&lt;="&amp;期末,工单[维修评价],"非常满意")+COUNTIFS(工单[跟进人2],$E30,工单[报修日期],"&gt;="&amp;期初,工单[报修日期],"&lt;="&amp;期末,工单[维修评价],"非常满意")</f>
        <v>8</v>
      </c>
      <c r="J30" s="112" t="n">
        <f aca="false">COUNTIFS(工单[跟进人1],$E30,工单[报修日期],"&gt;="&amp;期初,工单[报修日期],"&lt;="&amp;期末,工单[维修评价],"满意")+COUNTIFS(工单[跟进人2],$E30,工单[报修日期],"&gt;="&amp;期初,工单[报修日期],"&lt;="&amp;期末,工单[维修评价],"满意")</f>
        <v>1</v>
      </c>
      <c r="K30" s="112" t="n">
        <f aca="false">COUNTIFS(工单[跟进人1],$E30,工单[报修日期],"&gt;="&amp;期初,工单[报修日期],"&lt;="&amp;期末,工单[维修评价],"一般")+COUNTIFS(工单[跟进人2],$E30,工单[报修日期],"&gt;="&amp;期初,工单[报修日期],"&lt;="&amp;期末,工单[维修评价],"一般")</f>
        <v>0</v>
      </c>
      <c r="L30" s="112" t="n">
        <f aca="false">COUNTIFS(工单[跟进人1],$E30,工单[报修日期],"&gt;="&amp;期初,工单[报修日期],"&lt;="&amp;期末,工单[维修评价],"不满意")+COUNTIFS(工单[跟进人2],$E30,工单[报修日期],"&gt;="&amp;期初,工单[报修日期],"&lt;="&amp;期末,工单[维修评价],"不满意")</f>
        <v>0</v>
      </c>
      <c r="M30" s="112" t="n">
        <f aca="false">SUM(I30:L30)</f>
        <v>9</v>
      </c>
      <c r="N30" s="112" t="n">
        <f aca="false">IF(M30=0,"",ROUND((I30*100+J30*80+K30*60)/M30,1))</f>
        <v>97.8</v>
      </c>
      <c r="O30" s="112" t="n">
        <f aca="false">IF(E30="",-1,G30*1000+F30+(5-4)/10)</f>
        <v>10013.1</v>
      </c>
      <c r="P30" s="112" t="n">
        <f aca="false">RANK(O30,$O$26:$O$30)</f>
        <v>4</v>
      </c>
    </row>
  </sheetData>
  <dataValidations count="2">
    <dataValidation allowBlank="true" error="请输入日期，例如 2025-05-07；留空表示今天。" errorStyle="stop" operator="between" showDropDown="false" showErrorMessage="true" showInputMessage="false" sqref="B4" type="date">
      <formula1>DATE(2020,1,1)</formula1>
      <formula2>DATE(2099,12,31)</formula2>
    </dataValidation>
    <dataValidation allowBlank="true" error="请输入 1–60 的整数。" errorStyle="stop" operator="between" showDropDown="false" showErrorMessage="true" showInputMessage="false" sqref="B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2026-10-25T16:01:34Z</dcterms:created>
  <dc:creator>openpyxl</dc:creator>
  <dc:description/>
  <dc:language>en-US</dc:language>
  <cp:lastModifiedBy/>
  <dcterms:modified xsi:type="dcterms:W3CDTF">2026-10-25T16:01:37Z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